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1.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6.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3000" activeTab="1"/>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Advanced!$D$17</definedName>
    <definedName name="dirRAoutput">Advanced!$K$8</definedName>
    <definedName name="dirRAtemplate">Advanced!$K$7</definedName>
    <definedName name="fiscalyear" localSheetId="3">Budgets!$M$2</definedName>
    <definedName name="from_date">Advanced!$E$12</definedName>
    <definedName name="Mac_connect_string" localSheetId="9">HiddenSettings!$B$5</definedName>
    <definedName name="menu_prop_stts">HiddenSettings!$D$7:$D$11</definedName>
    <definedName name="natr_rqst_abbr">Advanced!$D$19</definedName>
    <definedName name="obj_clas_code">Advanced!$D$20</definedName>
    <definedName name="org_code">Advanced!$D$16</definedName>
    <definedName name="overwrite_option">RoboRA!$J$2</definedName>
    <definedName name="panl_id">Advanced!$D$13</definedName>
    <definedName name="PC_connect_string" localSheetId="9">HiddenSettings!$B$4</definedName>
    <definedName name="pgm_annc_id">Advanced!$D$15</definedName>
    <definedName name="pgm_ele_code">Advanced!$D$18</definedName>
    <definedName name="PO_id">Budgets!$K$2</definedName>
    <definedName name="prop_atr_code">Advanced!$D$22</definedName>
    <definedName name="prop_stts_abbr">Advanced!#REF!</definedName>
    <definedName name="prop_stts_code" localSheetId="6">Advanced!$D$23</definedName>
    <definedName name="prop_titl_txt">Advanced!$D$21</definedName>
    <definedName name="Query_from_RPTSERVER" localSheetId="3" hidden="1">Budgets!$A$3:$AD$300</definedName>
    <definedName name="Query_from_RPTSERVER" localSheetId="2" hidden="1">ckAwd!$A$1:$AX$59</definedName>
    <definedName name="Query_from_RPTSERVER" localSheetId="1" hidden="1">ckCoding!$A$1:$BL$59</definedName>
    <definedName name="Query_from_RPTSERVER" localSheetId="7" hidden="1">ckSplits!$A$1:$AH$2</definedName>
    <definedName name="Query_from_RPTSERVER" localSheetId="4" hidden="1">PRCs!$A$2:$B$12</definedName>
    <definedName name="Query_from_RPTSERVER" localSheetId="8" hidden="1">ProjText!$B$1:$P$359</definedName>
    <definedName name="Query_from_RPTSERVER" localSheetId="5" hidden="1">RAData!$A$1:$EC$60</definedName>
    <definedName name="Query_from_RPTSERVER_1" localSheetId="4" hidden="1">PRCs!$D$2:$E$5</definedName>
    <definedName name="query_params" localSheetId="6">Advanced!$D$12:$E$22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Advanced!$D$12</definedName>
    <definedName name="user_id" comment="reportserver user_id" localSheetId="9">HiddenSettings!$B$2</definedName>
  </definedNames>
  <calcPr calcId="171027"/>
  <pivotCaches>
    <pivotCache cacheId="0" r:id="rId11"/>
    <pivotCache cacheId="3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s="1"/>
  <c r="M4" i="10" s="1"/>
  <c r="M5" i="10" s="1"/>
  <c r="M6" i="10" s="1"/>
  <c r="M7" i="10" s="1"/>
  <c r="M8" i="10" s="1"/>
  <c r="M9" i="10" s="1"/>
  <c r="M10" i="10" s="1"/>
  <c r="M11" i="10" s="1"/>
  <c r="M12" i="10" s="1"/>
  <c r="M13" i="10" s="1"/>
  <c r="M14" i="10" s="1"/>
  <c r="M15" i="10" s="1"/>
  <c r="M16" i="10" s="1"/>
  <c r="M17" i="10" s="1"/>
  <c r="M18" i="10" s="1"/>
  <c r="M19" i="10" s="1"/>
  <c r="M20" i="10" s="1"/>
  <c r="M21" i="10" s="1"/>
  <c r="M22" i="10" s="1"/>
  <c r="M23" i="10" s="1"/>
  <c r="M24" i="10" s="1"/>
  <c r="M25" i="10" s="1"/>
  <c r="M26" i="10" s="1"/>
  <c r="M27" i="10" s="1"/>
  <c r="M28" i="10" s="1"/>
  <c r="M29" i="10" s="1"/>
  <c r="M30" i="10" s="1"/>
  <c r="M31" i="10" s="1"/>
  <c r="M32" i="10" s="1"/>
  <c r="M33" i="10" s="1"/>
  <c r="M34" i="10" s="1"/>
  <c r="M35" i="10" s="1"/>
  <c r="M36" i="10" s="1"/>
  <c r="M37" i="10" s="1"/>
  <c r="M38" i="10" s="1"/>
  <c r="M39" i="10" s="1"/>
  <c r="M40" i="10" s="1"/>
  <c r="M41" i="10" s="1"/>
  <c r="M42" i="10" s="1"/>
  <c r="M43" i="10" s="1"/>
  <c r="M44" i="10" s="1"/>
  <c r="M45" i="10" s="1"/>
  <c r="M46" i="10" s="1"/>
  <c r="M47" i="10" s="1"/>
  <c r="M48" i="10" s="1"/>
  <c r="M49" i="10" s="1"/>
  <c r="M50" i="10" s="1"/>
  <c r="M51" i="10" s="1"/>
  <c r="M52" i="10" s="1"/>
  <c r="M53" i="10" s="1"/>
  <c r="M54" i="10" s="1"/>
  <c r="M55" i="10" s="1"/>
  <c r="M56" i="10" s="1"/>
  <c r="M57" i="10" s="1"/>
  <c r="M58" i="10" s="1"/>
  <c r="M59" i="10" s="1"/>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AT2" i="10"/>
  <c r="AT3" i="10"/>
  <c r="AT4" i="10"/>
  <c r="AT5" i="10"/>
  <c r="AT6" i="10"/>
  <c r="AT7" i="10"/>
  <c r="AT8" i="10"/>
  <c r="AT9" i="10"/>
  <c r="AT10" i="10"/>
  <c r="AT11" i="10"/>
  <c r="AT12" i="10"/>
  <c r="AT13" i="10"/>
  <c r="AT14" i="10"/>
  <c r="AT15" i="10"/>
  <c r="AT16" i="10"/>
  <c r="AT17" i="10"/>
  <c r="AT18" i="10"/>
  <c r="AT19" i="10"/>
  <c r="AT20" i="10"/>
  <c r="AT21" i="10"/>
  <c r="AT22" i="10"/>
  <c r="AT23" i="10"/>
  <c r="AT24" i="10"/>
  <c r="AT25" i="10"/>
  <c r="AT26" i="10"/>
  <c r="AT27" i="10"/>
  <c r="AT28" i="10"/>
  <c r="AT29" i="10"/>
  <c r="AT30" i="10"/>
  <c r="AT31" i="10"/>
  <c r="AT32" i="10"/>
  <c r="AT33" i="10"/>
  <c r="AT34" i="10"/>
  <c r="AT35" i="10"/>
  <c r="AT36" i="10"/>
  <c r="AT37" i="10"/>
  <c r="AT38" i="10"/>
  <c r="AT39" i="10"/>
  <c r="AT40" i="10"/>
  <c r="AT41" i="10"/>
  <c r="AT42" i="10"/>
  <c r="AT43" i="10"/>
  <c r="AT44" i="10"/>
  <c r="AT45" i="10"/>
  <c r="AT46" i="10"/>
  <c r="AT47" i="10"/>
  <c r="AT48" i="10"/>
  <c r="AT49" i="10"/>
  <c r="AT50" i="10"/>
  <c r="AT51" i="10"/>
  <c r="AT52" i="10"/>
  <c r="AT53" i="10"/>
  <c r="AT54" i="10"/>
  <c r="AT55" i="10"/>
  <c r="AT56" i="10"/>
  <c r="AT57" i="10"/>
  <c r="AT58" i="10"/>
  <c r="AT59"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C4" i="13"/>
  <c r="C5" i="13" s="1"/>
  <c r="C6" i="13" s="1"/>
  <c r="C7" i="13" s="1"/>
  <c r="C8" i="13" s="1"/>
  <c r="C9" i="13" s="1"/>
  <c r="C10" i="13" s="1"/>
  <c r="C11" i="13" s="1"/>
  <c r="C12" i="13" s="1"/>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100" i="13" s="1"/>
  <c r="C101" i="13" s="1"/>
  <c r="C102" i="13" s="1"/>
  <c r="C103" i="13" s="1"/>
  <c r="C104" i="13" s="1"/>
  <c r="C105" i="13" s="1"/>
  <c r="C106" i="13" s="1"/>
  <c r="C107" i="13" s="1"/>
  <c r="C108" i="13" s="1"/>
  <c r="C109" i="13" s="1"/>
  <c r="C110" i="13" s="1"/>
  <c r="C111" i="13" s="1"/>
  <c r="C112" i="13" s="1"/>
  <c r="C113" i="13" s="1"/>
  <c r="C114" i="13" s="1"/>
  <c r="C115" i="13" s="1"/>
  <c r="C116" i="13" s="1"/>
  <c r="C117" i="13" s="1"/>
  <c r="C118" i="13" s="1"/>
  <c r="C119" i="13" s="1"/>
  <c r="C120" i="13" s="1"/>
  <c r="C121" i="13" s="1"/>
  <c r="C122" i="13" s="1"/>
  <c r="C123" i="13" s="1"/>
  <c r="C124" i="13" s="1"/>
  <c r="C125" i="13" s="1"/>
  <c r="C126" i="13" s="1"/>
  <c r="C127" i="13" s="1"/>
  <c r="C128" i="13" s="1"/>
  <c r="C129" i="13" s="1"/>
  <c r="C130" i="13" s="1"/>
  <c r="C131" i="13" s="1"/>
  <c r="C132" i="13" s="1"/>
  <c r="C133" i="13" s="1"/>
  <c r="C134" i="13" s="1"/>
  <c r="C135" i="13" s="1"/>
  <c r="C136" i="13" s="1"/>
  <c r="C137" i="13" s="1"/>
  <c r="C138" i="13" s="1"/>
  <c r="C139" i="13" s="1"/>
  <c r="C140" i="13" s="1"/>
  <c r="C141" i="13" s="1"/>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C191" i="13" s="1"/>
  <c r="C192" i="13" s="1"/>
  <c r="C193" i="13" s="1"/>
  <c r="C194" i="13" s="1"/>
  <c r="C195" i="13" s="1"/>
  <c r="C196" i="13" s="1"/>
  <c r="C197" i="13" s="1"/>
  <c r="C198" i="13" s="1"/>
  <c r="C199" i="13" s="1"/>
  <c r="C200" i="13" s="1"/>
  <c r="C201" i="13" s="1"/>
  <c r="C202" i="13" s="1"/>
  <c r="C203" i="13" s="1"/>
  <c r="C204" i="13" s="1"/>
  <c r="C205" i="13" s="1"/>
  <c r="C206" i="13" s="1"/>
  <c r="C207" i="13" s="1"/>
  <c r="C208" i="13" s="1"/>
  <c r="C209" i="13" s="1"/>
  <c r="C210" i="13" s="1"/>
  <c r="C211" i="13" s="1"/>
  <c r="C212" i="13" s="1"/>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0" i="13" s="1"/>
  <c r="C241" i="13" s="1"/>
  <c r="C242" i="13" s="1"/>
  <c r="C243" i="13" s="1"/>
  <c r="C244" i="13" s="1"/>
  <c r="C245" i="13" s="1"/>
  <c r="C246" i="13" s="1"/>
  <c r="C247" i="13" s="1"/>
  <c r="C248" i="13" s="1"/>
  <c r="C249" i="13" s="1"/>
  <c r="C250" i="13" s="1"/>
  <c r="C251" i="13" s="1"/>
  <c r="C252" i="13" s="1"/>
  <c r="C253" i="13" s="1"/>
  <c r="C254" i="13" s="1"/>
  <c r="C255" i="13" s="1"/>
  <c r="C256" i="13" s="1"/>
  <c r="C257" i="13" s="1"/>
  <c r="C258" i="13" s="1"/>
  <c r="C259" i="13" s="1"/>
  <c r="C260" i="13" s="1"/>
  <c r="C261" i="13" s="1"/>
  <c r="C262" i="13" s="1"/>
  <c r="C263" i="13" s="1"/>
  <c r="C264" i="13" s="1"/>
  <c r="C265" i="13" s="1"/>
  <c r="C266" i="13" s="1"/>
  <c r="C267" i="13" s="1"/>
  <c r="C268" i="13" s="1"/>
  <c r="C269" i="13" s="1"/>
  <c r="C270" i="13" s="1"/>
  <c r="C271" i="13" s="1"/>
  <c r="C272" i="13" s="1"/>
  <c r="C273" i="13" s="1"/>
  <c r="C274" i="13" s="1"/>
  <c r="C275" i="13" s="1"/>
  <c r="C276" i="13" s="1"/>
  <c r="C277" i="13" s="1"/>
  <c r="C278" i="13" s="1"/>
  <c r="C279" i="13" s="1"/>
  <c r="C280" i="13" s="1"/>
  <c r="C281" i="13" s="1"/>
  <c r="C282" i="13" s="1"/>
  <c r="C283" i="13" s="1"/>
  <c r="C284" i="13" s="1"/>
  <c r="C285" i="13" s="1"/>
  <c r="C286" i="13" s="1"/>
  <c r="C287" i="13" s="1"/>
  <c r="C288" i="13" s="1"/>
  <c r="C289" i="13" s="1"/>
  <c r="C290" i="13" s="1"/>
  <c r="C291" i="13" s="1"/>
  <c r="C292" i="13" s="1"/>
  <c r="C293" i="13" s="1"/>
  <c r="C294" i="13" s="1"/>
  <c r="C295" i="13" s="1"/>
  <c r="C296" i="13" s="1"/>
  <c r="C297" i="13" s="1"/>
  <c r="C298" i="13" s="1"/>
  <c r="C299" i="13" s="1"/>
  <c r="C300" i="13" s="1"/>
  <c r="D4" i="13"/>
  <c r="D5" i="13" s="1"/>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D27" i="13" s="1"/>
  <c r="D28" i="13" s="1"/>
  <c r="D29" i="13" s="1"/>
  <c r="D30" i="13" s="1"/>
  <c r="D31" i="13" s="1"/>
  <c r="D32" i="13" s="1"/>
  <c r="D33" i="13" s="1"/>
  <c r="D34" i="13" s="1"/>
  <c r="D35" i="13" s="1"/>
  <c r="D36" i="13" s="1"/>
  <c r="D37" i="13" s="1"/>
  <c r="D38" i="13" s="1"/>
  <c r="D39" i="13" s="1"/>
  <c r="D40" i="13" s="1"/>
  <c r="D41" i="13" s="1"/>
  <c r="D42" i="13" s="1"/>
  <c r="D43" i="13" s="1"/>
  <c r="D44" i="13" s="1"/>
  <c r="D45" i="13" s="1"/>
  <c r="D46" i="13" s="1"/>
  <c r="D47" i="13" s="1"/>
  <c r="D48" i="13" s="1"/>
  <c r="D49" i="13" s="1"/>
  <c r="D50" i="13" s="1"/>
  <c r="D51" i="13" s="1"/>
  <c r="D52" i="13" s="1"/>
  <c r="D53" i="13" s="1"/>
  <c r="D54" i="13" s="1"/>
  <c r="D55" i="13" s="1"/>
  <c r="D56" i="13" s="1"/>
  <c r="D57" i="13" s="1"/>
  <c r="D58" i="13" s="1"/>
  <c r="D59" i="13" s="1"/>
  <c r="D60" i="13" s="1"/>
  <c r="D61" i="13" s="1"/>
  <c r="D62" i="13" s="1"/>
  <c r="D63" i="13" s="1"/>
  <c r="D64" i="13" s="1"/>
  <c r="D65" i="13" s="1"/>
  <c r="D66" i="13" s="1"/>
  <c r="D67" i="13" s="1"/>
  <c r="D68" i="13" s="1"/>
  <c r="D69" i="13" s="1"/>
  <c r="D70" i="13" s="1"/>
  <c r="D71" i="13" s="1"/>
  <c r="D72" i="13" s="1"/>
  <c r="D73" i="13" s="1"/>
  <c r="D74" i="13" s="1"/>
  <c r="D75" i="13" s="1"/>
  <c r="D76" i="13" s="1"/>
  <c r="D77" i="13" s="1"/>
  <c r="D78" i="13" s="1"/>
  <c r="D79" i="13" s="1"/>
  <c r="D80" i="13" s="1"/>
  <c r="D81" i="13" s="1"/>
  <c r="D82" i="13" s="1"/>
  <c r="D83" i="13" s="1"/>
  <c r="D84" i="13" s="1"/>
  <c r="D85" i="13" s="1"/>
  <c r="D86" i="13" s="1"/>
  <c r="D87" i="13" s="1"/>
  <c r="D88" i="13" s="1"/>
  <c r="D89" i="13" s="1"/>
  <c r="D90" i="13" s="1"/>
  <c r="D91" i="13" s="1"/>
  <c r="D92" i="13" s="1"/>
  <c r="D93" i="13" s="1"/>
  <c r="D94" i="13" s="1"/>
  <c r="D95" i="13" s="1"/>
  <c r="D96" i="13" s="1"/>
  <c r="D97" i="13" s="1"/>
  <c r="D98" i="13" s="1"/>
  <c r="D99" i="13" s="1"/>
  <c r="D100" i="13" s="1"/>
  <c r="D101" i="13" s="1"/>
  <c r="D102" i="13" s="1"/>
  <c r="D103" i="13" s="1"/>
  <c r="D104" i="13" s="1"/>
  <c r="D105" i="13" s="1"/>
  <c r="D106" i="13" s="1"/>
  <c r="D107" i="13" s="1"/>
  <c r="D108" i="13" s="1"/>
  <c r="D109" i="13" s="1"/>
  <c r="D110" i="13" s="1"/>
  <c r="D111" i="13" s="1"/>
  <c r="D112" i="13" s="1"/>
  <c r="D113" i="13" s="1"/>
  <c r="D114" i="13" s="1"/>
  <c r="D115" i="13" s="1"/>
  <c r="D116" i="13" s="1"/>
  <c r="D117" i="13" s="1"/>
  <c r="D118" i="13" s="1"/>
  <c r="D119" i="13" s="1"/>
  <c r="D120" i="13" s="1"/>
  <c r="D121" i="13" s="1"/>
  <c r="D122" i="13" s="1"/>
  <c r="D123" i="13" s="1"/>
  <c r="D124" i="13" s="1"/>
  <c r="D125" i="13" s="1"/>
  <c r="D126" i="13" s="1"/>
  <c r="D127" i="13" s="1"/>
  <c r="D128" i="13" s="1"/>
  <c r="D129" i="13" s="1"/>
  <c r="D130" i="13" s="1"/>
  <c r="D131" i="13" s="1"/>
  <c r="D132" i="13" s="1"/>
  <c r="D133" i="13" s="1"/>
  <c r="D134" i="13" s="1"/>
  <c r="D135" i="13" s="1"/>
  <c r="D136" i="13" s="1"/>
  <c r="D137" i="13" s="1"/>
  <c r="D138" i="13" s="1"/>
  <c r="D139" i="13" s="1"/>
  <c r="D140" i="13" s="1"/>
  <c r="D141" i="13" s="1"/>
  <c r="D142" i="13" s="1"/>
  <c r="D143" i="13" s="1"/>
  <c r="D144" i="13" s="1"/>
  <c r="D145" i="13" s="1"/>
  <c r="D146" i="13" s="1"/>
  <c r="D147" i="13" s="1"/>
  <c r="D148" i="13" s="1"/>
  <c r="D149" i="13" s="1"/>
  <c r="D150" i="13" s="1"/>
  <c r="D151" i="13" s="1"/>
  <c r="D152" i="13" s="1"/>
  <c r="D153" i="13" s="1"/>
  <c r="D154" i="13" s="1"/>
  <c r="D155" i="13" s="1"/>
  <c r="D156" i="13" s="1"/>
  <c r="D157" i="13" s="1"/>
  <c r="D158" i="13" s="1"/>
  <c r="D159" i="13" s="1"/>
  <c r="D160" i="13" s="1"/>
  <c r="D161" i="13" s="1"/>
  <c r="D162" i="13" s="1"/>
  <c r="D163" i="13" s="1"/>
  <c r="D164" i="13" s="1"/>
  <c r="D165" i="13" s="1"/>
  <c r="D166" i="13" s="1"/>
  <c r="D167" i="13" s="1"/>
  <c r="D168" i="13" s="1"/>
  <c r="D169" i="13" s="1"/>
  <c r="D170" i="13" s="1"/>
  <c r="D171" i="13" s="1"/>
  <c r="D172" i="13" s="1"/>
  <c r="D173" i="13" s="1"/>
  <c r="D174" i="13" s="1"/>
  <c r="D175" i="13" s="1"/>
  <c r="D176" i="13" s="1"/>
  <c r="D177" i="13" s="1"/>
  <c r="D178" i="13" s="1"/>
  <c r="D179" i="13" s="1"/>
  <c r="D180" i="13" s="1"/>
  <c r="D181" i="13" s="1"/>
  <c r="D182" i="13" s="1"/>
  <c r="D183" i="13" s="1"/>
  <c r="D184" i="13" s="1"/>
  <c r="D185" i="13" s="1"/>
  <c r="D186" i="13" s="1"/>
  <c r="D187" i="13" s="1"/>
  <c r="D188" i="13" s="1"/>
  <c r="D189" i="13" s="1"/>
  <c r="D190" i="13" s="1"/>
  <c r="D191" i="13" s="1"/>
  <c r="D192" i="13" s="1"/>
  <c r="D193" i="13" s="1"/>
  <c r="D194" i="13" s="1"/>
  <c r="D195" i="13" s="1"/>
  <c r="D196" i="13" s="1"/>
  <c r="D197" i="13" s="1"/>
  <c r="D198" i="13" s="1"/>
  <c r="D199" i="13" s="1"/>
  <c r="D200" i="13" s="1"/>
  <c r="D201" i="13" s="1"/>
  <c r="D202" i="13" s="1"/>
  <c r="D203" i="13" s="1"/>
  <c r="D204" i="13" s="1"/>
  <c r="D205" i="13" s="1"/>
  <c r="D206" i="13" s="1"/>
  <c r="D207" i="13" s="1"/>
  <c r="D208" i="13" s="1"/>
  <c r="D209" i="13" s="1"/>
  <c r="D210" i="13" s="1"/>
  <c r="D211" i="13" s="1"/>
  <c r="D212" i="13" s="1"/>
  <c r="D213" i="13" s="1"/>
  <c r="D214" i="13" s="1"/>
  <c r="D215" i="13" s="1"/>
  <c r="D216" i="13" s="1"/>
  <c r="D217" i="13" s="1"/>
  <c r="D218" i="13" s="1"/>
  <c r="D219" i="13" s="1"/>
  <c r="D220" i="13" s="1"/>
  <c r="D221" i="13" s="1"/>
  <c r="D222" i="13" s="1"/>
  <c r="D223" i="13" s="1"/>
  <c r="D224" i="13" s="1"/>
  <c r="D225" i="13" s="1"/>
  <c r="D226" i="13" s="1"/>
  <c r="D227" i="13" s="1"/>
  <c r="D228" i="13" s="1"/>
  <c r="D229" i="13" s="1"/>
  <c r="D230" i="13" s="1"/>
  <c r="D231" i="13" s="1"/>
  <c r="D232" i="13" s="1"/>
  <c r="D233" i="13" s="1"/>
  <c r="D234" i="13" s="1"/>
  <c r="D235" i="13" s="1"/>
  <c r="D236" i="13" s="1"/>
  <c r="D237" i="13" s="1"/>
  <c r="D238" i="13" s="1"/>
  <c r="D239" i="13" s="1"/>
  <c r="D240" i="13" s="1"/>
  <c r="D241" i="13" s="1"/>
  <c r="D242" i="13" s="1"/>
  <c r="D243" i="13" s="1"/>
  <c r="D244" i="13" s="1"/>
  <c r="D245" i="13" s="1"/>
  <c r="D246" i="13" s="1"/>
  <c r="D247" i="13" s="1"/>
  <c r="D248" i="13" s="1"/>
  <c r="D249" i="13" s="1"/>
  <c r="D250" i="13" s="1"/>
  <c r="D251" i="13" s="1"/>
  <c r="D252" i="13" s="1"/>
  <c r="D253" i="13" s="1"/>
  <c r="D254" i="13" s="1"/>
  <c r="D255" i="13" s="1"/>
  <c r="D256" i="13" s="1"/>
  <c r="D257" i="13" s="1"/>
  <c r="D258" i="13" s="1"/>
  <c r="D259" i="13" s="1"/>
  <c r="D260" i="13" s="1"/>
  <c r="D261" i="13" s="1"/>
  <c r="D262" i="13" s="1"/>
  <c r="D263" i="13" s="1"/>
  <c r="D264" i="13" s="1"/>
  <c r="D265" i="13" s="1"/>
  <c r="D266" i="13" s="1"/>
  <c r="D267" i="13" s="1"/>
  <c r="D268" i="13" s="1"/>
  <c r="D269" i="13" s="1"/>
  <c r="D270" i="13" s="1"/>
  <c r="D271" i="13" s="1"/>
  <c r="D272" i="13" s="1"/>
  <c r="D273" i="13" s="1"/>
  <c r="D274" i="13" s="1"/>
  <c r="D275" i="13" s="1"/>
  <c r="D276" i="13" s="1"/>
  <c r="D277" i="13" s="1"/>
  <c r="D278" i="13" s="1"/>
  <c r="D279" i="13" s="1"/>
  <c r="D280" i="13" s="1"/>
  <c r="D281" i="13" s="1"/>
  <c r="D282" i="13" s="1"/>
  <c r="D283" i="13" s="1"/>
  <c r="D284" i="13" s="1"/>
  <c r="D285" i="13" s="1"/>
  <c r="D286" i="13" s="1"/>
  <c r="D287" i="13" s="1"/>
  <c r="D288" i="13" s="1"/>
  <c r="D289" i="13" s="1"/>
  <c r="D290" i="13" s="1"/>
  <c r="D291" i="13" s="1"/>
  <c r="D292" i="13" s="1"/>
  <c r="D293" i="13" s="1"/>
  <c r="D294" i="13" s="1"/>
  <c r="D295" i="13" s="1"/>
  <c r="D296" i="13" s="1"/>
  <c r="D297" i="13" s="1"/>
  <c r="D298" i="13" s="1"/>
  <c r="D299" i="13" s="1"/>
  <c r="D300" i="13" s="1"/>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M5" i="13"/>
  <c r="M6" i="13"/>
  <c r="M7" i="13"/>
  <c r="M8" i="13"/>
  <c r="M9" i="13"/>
  <c r="M11" i="13"/>
  <c r="M12" i="13"/>
  <c r="M13" i="13"/>
  <c r="M14" i="13"/>
  <c r="M15" i="13"/>
  <c r="M17" i="13"/>
  <c r="M18" i="13"/>
  <c r="M19" i="13"/>
  <c r="M20" i="13"/>
  <c r="M21" i="13"/>
  <c r="M23" i="13"/>
  <c r="M24" i="13"/>
  <c r="M25" i="13"/>
  <c r="M26" i="13"/>
  <c r="M27" i="13"/>
  <c r="M29" i="13"/>
  <c r="M30" i="13"/>
  <c r="M31" i="13"/>
  <c r="M32" i="13"/>
  <c r="M33" i="13"/>
  <c r="M35" i="13"/>
  <c r="M36" i="13"/>
  <c r="M37" i="13"/>
  <c r="M38" i="13"/>
  <c r="M39" i="13"/>
  <c r="M41" i="13"/>
  <c r="M42" i="13"/>
  <c r="M43" i="13"/>
  <c r="M44" i="13"/>
  <c r="M45" i="13"/>
  <c r="M47" i="13"/>
  <c r="M48" i="13"/>
  <c r="M49" i="13"/>
  <c r="M50" i="13"/>
  <c r="M51" i="13"/>
  <c r="M53" i="13"/>
  <c r="M54" i="13"/>
  <c r="M55" i="13"/>
  <c r="M56" i="13"/>
  <c r="M57" i="13"/>
  <c r="M59" i="13"/>
  <c r="M60" i="13"/>
  <c r="M61" i="13"/>
  <c r="M62" i="13"/>
  <c r="M63" i="13"/>
  <c r="M65" i="13"/>
  <c r="M66" i="13"/>
  <c r="M67" i="13"/>
  <c r="M68" i="13"/>
  <c r="M69" i="13"/>
  <c r="M71" i="13"/>
  <c r="M72" i="13"/>
  <c r="M73" i="13"/>
  <c r="M74" i="13"/>
  <c r="M75" i="13"/>
  <c r="M77" i="13"/>
  <c r="M78" i="13"/>
  <c r="M79" i="13"/>
  <c r="M80" i="13"/>
  <c r="M81" i="13"/>
  <c r="M83" i="13"/>
  <c r="M84" i="13"/>
  <c r="M85" i="13"/>
  <c r="M86" i="13"/>
  <c r="M87" i="13"/>
  <c r="M89" i="13"/>
  <c r="M90" i="13"/>
  <c r="M91" i="13"/>
  <c r="M92" i="13"/>
  <c r="M93" i="13"/>
  <c r="M95" i="13"/>
  <c r="M96" i="13"/>
  <c r="M97" i="13"/>
  <c r="M98" i="13"/>
  <c r="M99" i="13"/>
  <c r="M101" i="13"/>
  <c r="M102" i="13"/>
  <c r="M103" i="13"/>
  <c r="M104" i="13"/>
  <c r="M105" i="13"/>
  <c r="M107" i="13"/>
  <c r="M108" i="13"/>
  <c r="M109" i="13"/>
  <c r="M110" i="13"/>
  <c r="M111" i="13"/>
  <c r="M113" i="13"/>
  <c r="M114" i="13"/>
  <c r="M115" i="13"/>
  <c r="M116" i="13"/>
  <c r="M117" i="13"/>
  <c r="M119" i="13"/>
  <c r="M120" i="13"/>
  <c r="M121" i="13"/>
  <c r="M122" i="13"/>
  <c r="M123" i="13"/>
  <c r="M125" i="13"/>
  <c r="M126" i="13"/>
  <c r="M127" i="13"/>
  <c r="M128" i="13"/>
  <c r="M129" i="13"/>
  <c r="M131" i="13"/>
  <c r="M132" i="13"/>
  <c r="M133" i="13"/>
  <c r="M134" i="13"/>
  <c r="M135" i="13"/>
  <c r="M137" i="13"/>
  <c r="M138" i="13"/>
  <c r="M139" i="13"/>
  <c r="M140" i="13"/>
  <c r="M141" i="13"/>
  <c r="M143" i="13"/>
  <c r="M144" i="13"/>
  <c r="M145" i="13"/>
  <c r="M146" i="13"/>
  <c r="M147" i="13"/>
  <c r="M149" i="13"/>
  <c r="M150" i="13"/>
  <c r="M151" i="13"/>
  <c r="M152" i="13"/>
  <c r="M153" i="13"/>
  <c r="M155" i="13"/>
  <c r="M156" i="13"/>
  <c r="M157" i="13"/>
  <c r="M158" i="13"/>
  <c r="M159" i="13"/>
  <c r="M161" i="13"/>
  <c r="M162" i="13"/>
  <c r="M163" i="13"/>
  <c r="M164" i="13"/>
  <c r="M165" i="13"/>
  <c r="M167" i="13"/>
  <c r="M168" i="13"/>
  <c r="M169" i="13"/>
  <c r="M170" i="13"/>
  <c r="M171" i="13"/>
  <c r="M173" i="13"/>
  <c r="M174" i="13"/>
  <c r="M175" i="13"/>
  <c r="M176" i="13"/>
  <c r="M177" i="13"/>
  <c r="M179" i="13"/>
  <c r="M180" i="13"/>
  <c r="M181" i="13"/>
  <c r="M182" i="13"/>
  <c r="M183" i="13"/>
  <c r="M185" i="13"/>
  <c r="M186" i="13"/>
  <c r="M187" i="13"/>
  <c r="M188" i="13"/>
  <c r="M189" i="13"/>
  <c r="M191" i="13"/>
  <c r="M192" i="13"/>
  <c r="M193" i="13"/>
  <c r="M194" i="13"/>
  <c r="M195" i="13"/>
  <c r="M197" i="13"/>
  <c r="M198" i="13"/>
  <c r="M199" i="13"/>
  <c r="M200" i="13"/>
  <c r="M201" i="13"/>
  <c r="M203" i="13"/>
  <c r="M204" i="13"/>
  <c r="M205" i="13"/>
  <c r="M206" i="13"/>
  <c r="M207" i="13"/>
  <c r="M209" i="13"/>
  <c r="M210" i="13"/>
  <c r="M211" i="13"/>
  <c r="M212" i="13"/>
  <c r="M213" i="13"/>
  <c r="M215" i="13"/>
  <c r="M216" i="13"/>
  <c r="M217" i="13"/>
  <c r="M218" i="13"/>
  <c r="M219" i="13"/>
  <c r="M221" i="13"/>
  <c r="M222" i="13"/>
  <c r="M223" i="13"/>
  <c r="M224" i="13"/>
  <c r="M225" i="13"/>
  <c r="M227" i="13"/>
  <c r="M228" i="13"/>
  <c r="M229" i="13"/>
  <c r="M230" i="13"/>
  <c r="M231" i="13"/>
  <c r="M233" i="13"/>
  <c r="M234" i="13"/>
  <c r="M235" i="13"/>
  <c r="M236" i="13"/>
  <c r="M237" i="13"/>
  <c r="M239" i="13"/>
  <c r="M240" i="13"/>
  <c r="M241" i="13"/>
  <c r="M242" i="13"/>
  <c r="M243" i="13"/>
  <c r="M245" i="13"/>
  <c r="M246" i="13"/>
  <c r="M247" i="13"/>
  <c r="M248" i="13"/>
  <c r="M249" i="13"/>
  <c r="M251" i="13"/>
  <c r="M252" i="13"/>
  <c r="M254" i="13"/>
  <c r="M255" i="13"/>
  <c r="M257" i="13"/>
  <c r="M258" i="13"/>
  <c r="M260" i="13"/>
  <c r="M261" i="13"/>
  <c r="M263" i="13"/>
  <c r="M264" i="13"/>
  <c r="M266" i="13"/>
  <c r="M267" i="13"/>
  <c r="M269" i="13"/>
  <c r="M270" i="13"/>
  <c r="M272" i="13"/>
  <c r="M273" i="13"/>
  <c r="M275" i="13"/>
  <c r="M276" i="13"/>
  <c r="M278" i="13"/>
  <c r="M279" i="13"/>
  <c r="M281" i="13"/>
  <c r="M282" i="13"/>
  <c r="M284" i="13"/>
  <c r="M285" i="13"/>
  <c r="M287" i="13"/>
  <c r="M288" i="13"/>
  <c r="M290" i="13"/>
  <c r="M291" i="13"/>
  <c r="M293" i="13"/>
  <c r="M294" i="13"/>
  <c r="M296" i="13"/>
  <c r="M297" i="13"/>
  <c r="M299" i="13"/>
  <c r="M300"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O294" i="13"/>
  <c r="O295" i="13"/>
  <c r="O296" i="13"/>
  <c r="O297" i="13"/>
  <c r="O298" i="13"/>
  <c r="O299" i="13"/>
  <c r="O300" i="13"/>
  <c r="R59" i="2"/>
  <c r="R44" i="2"/>
  <c r="R45" i="2"/>
  <c r="R15" i="2"/>
  <c r="R3" i="2"/>
  <c r="R31" i="2"/>
  <c r="R25" i="2"/>
  <c r="R26" i="2"/>
  <c r="R23" i="2"/>
  <c r="R19" i="2"/>
  <c r="R46" i="2"/>
  <c r="R27" i="2"/>
  <c r="R47" i="2"/>
  <c r="R53" i="2"/>
  <c r="R60" i="2"/>
  <c r="R48" i="2"/>
  <c r="R22" i="2"/>
  <c r="R16" i="2"/>
  <c r="R49" i="2"/>
  <c r="R4" i="2"/>
  <c r="R39" i="2"/>
  <c r="R28" i="2"/>
  <c r="R20" i="2"/>
  <c r="R50" i="2"/>
  <c r="R5" i="2"/>
  <c r="R10" i="2"/>
  <c r="R40" i="2"/>
  <c r="R11" i="2"/>
  <c r="R29" i="2"/>
  <c r="R6" i="2"/>
  <c r="R58" i="2"/>
  <c r="R24" i="2"/>
  <c r="R51" i="2"/>
  <c r="R41" i="2"/>
  <c r="R42" i="2"/>
  <c r="R34" i="2"/>
  <c r="R32" i="2"/>
  <c r="R33" i="2"/>
  <c r="R43" i="2"/>
  <c r="R30" i="2"/>
  <c r="R52" i="2"/>
  <c r="R7" i="2"/>
  <c r="R36" i="2"/>
  <c r="R54" i="2"/>
  <c r="R21" i="2"/>
  <c r="R12" i="2"/>
  <c r="R35" i="2"/>
  <c r="R8" i="2"/>
  <c r="R13" i="2"/>
  <c r="R14" i="2"/>
  <c r="R55" i="2"/>
  <c r="R37" i="2"/>
  <c r="R9" i="2"/>
  <c r="R38" i="2"/>
  <c r="R56" i="2"/>
  <c r="R17" i="2"/>
  <c r="R57" i="2"/>
  <c r="R18" i="2"/>
  <c r="R2" i="2"/>
  <c r="U59" i="2"/>
  <c r="U44" i="2"/>
  <c r="U45" i="2"/>
  <c r="U15" i="2"/>
  <c r="U3" i="2"/>
  <c r="U31" i="2"/>
  <c r="U25" i="2"/>
  <c r="U26" i="2"/>
  <c r="U23" i="2"/>
  <c r="U19" i="2"/>
  <c r="U46" i="2"/>
  <c r="U27" i="2"/>
  <c r="U47" i="2"/>
  <c r="U53" i="2"/>
  <c r="U60" i="2"/>
  <c r="U48" i="2"/>
  <c r="U22" i="2"/>
  <c r="U16" i="2"/>
  <c r="U49" i="2"/>
  <c r="U4" i="2"/>
  <c r="U39" i="2"/>
  <c r="U28" i="2"/>
  <c r="U20" i="2"/>
  <c r="U50" i="2"/>
  <c r="U5" i="2"/>
  <c r="U10" i="2"/>
  <c r="U40" i="2"/>
  <c r="U11" i="2"/>
  <c r="U29" i="2"/>
  <c r="U6" i="2"/>
  <c r="U58" i="2"/>
  <c r="U24" i="2"/>
  <c r="U51" i="2"/>
  <c r="U41" i="2"/>
  <c r="U42" i="2"/>
  <c r="U34" i="2"/>
  <c r="U32" i="2"/>
  <c r="U33" i="2"/>
  <c r="U43" i="2"/>
  <c r="U30" i="2"/>
  <c r="U52" i="2"/>
  <c r="U7" i="2"/>
  <c r="U36" i="2"/>
  <c r="U54" i="2"/>
  <c r="U21" i="2"/>
  <c r="U12" i="2"/>
  <c r="U35" i="2"/>
  <c r="U8" i="2"/>
  <c r="U13" i="2"/>
  <c r="U14" i="2"/>
  <c r="U55" i="2"/>
  <c r="U37" i="2"/>
  <c r="U9" i="2"/>
  <c r="U38" i="2"/>
  <c r="U56" i="2"/>
  <c r="U17" i="2"/>
  <c r="U57" i="2"/>
  <c r="U18" i="2"/>
  <c r="U2" i="2"/>
  <c r="V59" i="2"/>
  <c r="V44" i="2"/>
  <c r="V45" i="2"/>
  <c r="V15" i="2"/>
  <c r="V3" i="2"/>
  <c r="V31" i="2"/>
  <c r="V25" i="2"/>
  <c r="V26" i="2"/>
  <c r="V23" i="2"/>
  <c r="V19" i="2"/>
  <c r="V46" i="2"/>
  <c r="V27" i="2"/>
  <c r="V47" i="2"/>
  <c r="V53" i="2"/>
  <c r="V60" i="2"/>
  <c r="V48" i="2"/>
  <c r="V22" i="2"/>
  <c r="V16" i="2"/>
  <c r="V49" i="2"/>
  <c r="V4" i="2"/>
  <c r="V39" i="2"/>
  <c r="V28" i="2"/>
  <c r="V20" i="2"/>
  <c r="V50" i="2"/>
  <c r="V5" i="2"/>
  <c r="V10" i="2"/>
  <c r="V40" i="2"/>
  <c r="V11" i="2"/>
  <c r="V29" i="2"/>
  <c r="V6" i="2"/>
  <c r="V58" i="2"/>
  <c r="V24" i="2"/>
  <c r="V51" i="2"/>
  <c r="V41" i="2"/>
  <c r="V42" i="2"/>
  <c r="V34" i="2"/>
  <c r="V32" i="2"/>
  <c r="V33" i="2"/>
  <c r="V43" i="2"/>
  <c r="V30" i="2"/>
  <c r="V52" i="2"/>
  <c r="V7" i="2"/>
  <c r="V36" i="2"/>
  <c r="V54" i="2"/>
  <c r="V21" i="2"/>
  <c r="V12" i="2"/>
  <c r="V35" i="2"/>
  <c r="V8" i="2"/>
  <c r="V13" i="2"/>
  <c r="V14" i="2"/>
  <c r="V55" i="2"/>
  <c r="V37" i="2"/>
  <c r="V9" i="2"/>
  <c r="V38" i="2"/>
  <c r="V56" i="2"/>
  <c r="V17" i="2"/>
  <c r="V57" i="2"/>
  <c r="V18" i="2"/>
  <c r="V2" i="2"/>
  <c r="W59" i="2"/>
  <c r="W44" i="2"/>
  <c r="W45" i="2"/>
  <c r="W15" i="2"/>
  <c r="W3" i="2"/>
  <c r="W31" i="2"/>
  <c r="W25" i="2"/>
  <c r="W26" i="2"/>
  <c r="W23" i="2"/>
  <c r="W19" i="2"/>
  <c r="W46" i="2"/>
  <c r="W27" i="2"/>
  <c r="W47" i="2"/>
  <c r="W53" i="2"/>
  <c r="W60" i="2"/>
  <c r="W48" i="2"/>
  <c r="W22" i="2"/>
  <c r="W16" i="2"/>
  <c r="W49" i="2"/>
  <c r="W4" i="2"/>
  <c r="W39" i="2"/>
  <c r="W28" i="2"/>
  <c r="W20" i="2"/>
  <c r="W50" i="2"/>
  <c r="W5" i="2"/>
  <c r="W10" i="2"/>
  <c r="W40" i="2"/>
  <c r="W11" i="2"/>
  <c r="W29" i="2"/>
  <c r="W6" i="2"/>
  <c r="W58" i="2"/>
  <c r="W24" i="2"/>
  <c r="W51" i="2"/>
  <c r="W41" i="2"/>
  <c r="W42" i="2"/>
  <c r="W34" i="2"/>
  <c r="W32" i="2"/>
  <c r="W33" i="2"/>
  <c r="W43" i="2"/>
  <c r="W30" i="2"/>
  <c r="W52" i="2"/>
  <c r="W7" i="2"/>
  <c r="W36" i="2"/>
  <c r="W54" i="2"/>
  <c r="W21" i="2"/>
  <c r="W12" i="2"/>
  <c r="W35" i="2"/>
  <c r="W8" i="2"/>
  <c r="W13" i="2"/>
  <c r="W14" i="2"/>
  <c r="W55" i="2"/>
  <c r="W37" i="2"/>
  <c r="W9" i="2"/>
  <c r="W38" i="2"/>
  <c r="W56" i="2"/>
  <c r="W17" i="2"/>
  <c r="W57" i="2"/>
  <c r="W18" i="2"/>
  <c r="W2" i="2"/>
  <c r="X59" i="2"/>
  <c r="X44" i="2"/>
  <c r="X45" i="2"/>
  <c r="X15" i="2"/>
  <c r="X3" i="2"/>
  <c r="X31" i="2"/>
  <c r="X25" i="2"/>
  <c r="X26" i="2"/>
  <c r="X23" i="2"/>
  <c r="X19" i="2"/>
  <c r="X46" i="2"/>
  <c r="X27" i="2"/>
  <c r="X47" i="2"/>
  <c r="X53" i="2"/>
  <c r="X60" i="2"/>
  <c r="X48" i="2"/>
  <c r="X22" i="2"/>
  <c r="X16" i="2"/>
  <c r="X49" i="2"/>
  <c r="X4" i="2"/>
  <c r="X39" i="2"/>
  <c r="X28" i="2"/>
  <c r="X20" i="2"/>
  <c r="X50" i="2"/>
  <c r="X5" i="2"/>
  <c r="X10" i="2"/>
  <c r="X40" i="2"/>
  <c r="X11" i="2"/>
  <c r="X29" i="2"/>
  <c r="X6" i="2"/>
  <c r="X58" i="2"/>
  <c r="X24" i="2"/>
  <c r="X51" i="2"/>
  <c r="X41" i="2"/>
  <c r="X42" i="2"/>
  <c r="X34" i="2"/>
  <c r="X32" i="2"/>
  <c r="X33" i="2"/>
  <c r="X43" i="2"/>
  <c r="X30" i="2"/>
  <c r="X52" i="2"/>
  <c r="X7" i="2"/>
  <c r="X36" i="2"/>
  <c r="X54" i="2"/>
  <c r="X21" i="2"/>
  <c r="X12" i="2"/>
  <c r="X35" i="2"/>
  <c r="X8" i="2"/>
  <c r="X13" i="2"/>
  <c r="X14" i="2"/>
  <c r="X55" i="2"/>
  <c r="X37" i="2"/>
  <c r="X9" i="2"/>
  <c r="X38" i="2"/>
  <c r="X56" i="2"/>
  <c r="X17" i="2"/>
  <c r="X57" i="2"/>
  <c r="X18" i="2"/>
  <c r="X2" i="2"/>
  <c r="Y59" i="2"/>
  <c r="Y44" i="2"/>
  <c r="Y45" i="2"/>
  <c r="Y15" i="2"/>
  <c r="Y3" i="2"/>
  <c r="Y31" i="2"/>
  <c r="Y25" i="2"/>
  <c r="Y26" i="2"/>
  <c r="Y23" i="2"/>
  <c r="Y19" i="2"/>
  <c r="Y46" i="2"/>
  <c r="Y27" i="2"/>
  <c r="Y47" i="2"/>
  <c r="Y53" i="2"/>
  <c r="Y60" i="2"/>
  <c r="Y48" i="2"/>
  <c r="Y22" i="2"/>
  <c r="Y16" i="2"/>
  <c r="Y49" i="2"/>
  <c r="Y4" i="2"/>
  <c r="Y39" i="2"/>
  <c r="Y28" i="2"/>
  <c r="Y20" i="2"/>
  <c r="Y50" i="2"/>
  <c r="Y5" i="2"/>
  <c r="Y10" i="2"/>
  <c r="Y40" i="2"/>
  <c r="Y11" i="2"/>
  <c r="Y29" i="2"/>
  <c r="Y6" i="2"/>
  <c r="Y58" i="2"/>
  <c r="Y24" i="2"/>
  <c r="Y51" i="2"/>
  <c r="Y41" i="2"/>
  <c r="Y42" i="2"/>
  <c r="Y34" i="2"/>
  <c r="Y32" i="2"/>
  <c r="Y33" i="2"/>
  <c r="Y43" i="2"/>
  <c r="Y30" i="2"/>
  <c r="Y52" i="2"/>
  <c r="Y7" i="2"/>
  <c r="Y36" i="2"/>
  <c r="Y54" i="2"/>
  <c r="Y21" i="2"/>
  <c r="Y12" i="2"/>
  <c r="Y35" i="2"/>
  <c r="Y8" i="2"/>
  <c r="Y13" i="2"/>
  <c r="Y14" i="2"/>
  <c r="Y55" i="2"/>
  <c r="Y37" i="2"/>
  <c r="Y9" i="2"/>
  <c r="Y38" i="2"/>
  <c r="Y56" i="2"/>
  <c r="Y17" i="2"/>
  <c r="Y57" i="2"/>
  <c r="Y18" i="2"/>
  <c r="Y2" i="2"/>
  <c r="AE59" i="2"/>
  <c r="AE44" i="2"/>
  <c r="AE45" i="2"/>
  <c r="AE15" i="2"/>
  <c r="AE3" i="2"/>
  <c r="AE31" i="2"/>
  <c r="AE25" i="2"/>
  <c r="AE26" i="2"/>
  <c r="AE23" i="2"/>
  <c r="AE19" i="2"/>
  <c r="AE46" i="2"/>
  <c r="AE27" i="2"/>
  <c r="AE47" i="2"/>
  <c r="AE53" i="2"/>
  <c r="AE60" i="2"/>
  <c r="AE48" i="2"/>
  <c r="AE22" i="2"/>
  <c r="AE16" i="2"/>
  <c r="AE49" i="2"/>
  <c r="AE4" i="2"/>
  <c r="AE39" i="2"/>
  <c r="AE28" i="2"/>
  <c r="AE20" i="2"/>
  <c r="AE50" i="2"/>
  <c r="AE5" i="2"/>
  <c r="AE10" i="2"/>
  <c r="AE40" i="2"/>
  <c r="AE11" i="2"/>
  <c r="AE29" i="2"/>
  <c r="AE6" i="2"/>
  <c r="AE58" i="2"/>
  <c r="AE24" i="2"/>
  <c r="AE51" i="2"/>
  <c r="AE41" i="2"/>
  <c r="AE42" i="2"/>
  <c r="AE34" i="2"/>
  <c r="AE32" i="2"/>
  <c r="AE33" i="2"/>
  <c r="AE43" i="2"/>
  <c r="AE30" i="2"/>
  <c r="AE52" i="2"/>
  <c r="AE7" i="2"/>
  <c r="AE36" i="2"/>
  <c r="AE54" i="2"/>
  <c r="AE21" i="2"/>
  <c r="AE12" i="2"/>
  <c r="AE35" i="2"/>
  <c r="AE8" i="2"/>
  <c r="AE13" i="2"/>
  <c r="AE14" i="2"/>
  <c r="AE55" i="2"/>
  <c r="AE37" i="2"/>
  <c r="AE9" i="2"/>
  <c r="AE38" i="2"/>
  <c r="AE56" i="2"/>
  <c r="AE17" i="2"/>
  <c r="AE57" i="2"/>
  <c r="AE18" i="2"/>
  <c r="AE2" i="2"/>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S2" i="3"/>
  <c r="S3" i="3"/>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R2" i="3"/>
  <c r="AR3" i="3"/>
  <c r="AR4" i="3"/>
  <c r="AR5" i="3"/>
  <c r="AR6" i="3"/>
  <c r="AR7" i="3"/>
  <c r="AR8" i="3"/>
  <c r="AR9" i="3"/>
  <c r="AR10" i="3"/>
  <c r="AR11" i="3"/>
  <c r="AR12" i="3"/>
  <c r="AR13" i="3"/>
  <c r="AR14" i="3"/>
  <c r="AR15" i="3"/>
  <c r="AR16" i="3"/>
  <c r="AR17" i="3"/>
  <c r="AR18" i="3"/>
  <c r="AR19" i="3"/>
  <c r="AR20" i="3"/>
  <c r="AR21" i="3"/>
  <c r="AR22" i="3"/>
  <c r="AR23" i="3"/>
  <c r="AR24" i="3"/>
  <c r="AR25" i="3"/>
  <c r="AR26" i="3"/>
  <c r="AR27" i="3"/>
  <c r="AR28" i="3"/>
  <c r="AR29" i="3"/>
  <c r="AR30" i="3"/>
  <c r="AR31" i="3"/>
  <c r="AR32" i="3"/>
  <c r="AR33" i="3"/>
  <c r="AR34" i="3"/>
  <c r="AR35" i="3"/>
  <c r="AR36" i="3"/>
  <c r="AR37" i="3"/>
  <c r="AR38" i="3"/>
  <c r="AR39" i="3"/>
  <c r="AR40" i="3"/>
  <c r="AR41" i="3"/>
  <c r="AR42" i="3"/>
  <c r="AR43" i="3"/>
  <c r="AR44" i="3"/>
  <c r="AR45" i="3"/>
  <c r="AR46" i="3"/>
  <c r="AR47" i="3"/>
  <c r="AR48" i="3"/>
  <c r="AR49" i="3"/>
  <c r="AR50" i="3"/>
  <c r="AR51" i="3"/>
  <c r="AR52" i="3"/>
  <c r="AR53" i="3"/>
  <c r="AR54" i="3"/>
  <c r="AR55" i="3"/>
  <c r="AR56" i="3"/>
  <c r="AR57" i="3"/>
  <c r="AR58" i="3"/>
  <c r="AR59" i="3"/>
  <c r="AU2" i="3"/>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P360"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D23" i="1" l="1"/>
  <c r="K2" i="13" l="1"/>
  <c r="M259" i="13" l="1"/>
  <c r="M271" i="13"/>
  <c r="M283" i="13"/>
  <c r="M295" i="13"/>
  <c r="M4" i="13"/>
  <c r="M16" i="13"/>
  <c r="M28" i="13"/>
  <c r="M40" i="13"/>
  <c r="M52" i="13"/>
  <c r="M64" i="13"/>
  <c r="M76" i="13"/>
  <c r="M88" i="13"/>
  <c r="M100" i="13"/>
  <c r="M112" i="13"/>
  <c r="M124" i="13"/>
  <c r="M136" i="13"/>
  <c r="M148" i="13"/>
  <c r="M160" i="13"/>
  <c r="M172" i="13"/>
  <c r="M184" i="13"/>
  <c r="M196" i="13"/>
  <c r="M208" i="13"/>
  <c r="M220" i="13"/>
  <c r="M232" i="13"/>
  <c r="M244" i="13"/>
  <c r="M256" i="13"/>
  <c r="M268" i="13"/>
  <c r="M280" i="13"/>
  <c r="M292" i="13"/>
  <c r="M253" i="13"/>
  <c r="M265" i="13"/>
  <c r="M277" i="13"/>
  <c r="M289" i="13"/>
  <c r="M10" i="13"/>
  <c r="M22" i="13"/>
  <c r="M34" i="13"/>
  <c r="M46" i="13"/>
  <c r="M58" i="13"/>
  <c r="M70" i="13"/>
  <c r="M82" i="13"/>
  <c r="M94" i="13"/>
  <c r="M106" i="13"/>
  <c r="M118" i="13"/>
  <c r="M130" i="13"/>
  <c r="M142" i="13"/>
  <c r="M154" i="13"/>
  <c r="M166" i="13"/>
  <c r="M178" i="13"/>
  <c r="M190" i="13"/>
  <c r="M202" i="13"/>
  <c r="M214" i="13"/>
  <c r="M226" i="13"/>
  <c r="M238" i="13"/>
  <c r="M250" i="13"/>
  <c r="M262" i="13"/>
  <c r="M274" i="13"/>
  <c r="M286" i="13"/>
  <c r="M298" i="13"/>
  <c r="M2" i="13"/>
  <c r="Y4" i="13" l="1"/>
  <c r="Y8" i="13"/>
  <c r="Y12" i="13"/>
  <c r="Y16" i="13"/>
  <c r="Y20" i="13"/>
  <c r="Y24" i="13"/>
  <c r="Y28" i="13"/>
  <c r="Y32" i="13"/>
  <c r="Y36" i="13"/>
  <c r="Y40" i="13"/>
  <c r="Y44" i="13"/>
  <c r="Y48" i="13"/>
  <c r="Y52" i="13"/>
  <c r="Y56" i="13"/>
  <c r="Y60" i="13"/>
  <c r="Y64" i="13"/>
  <c r="Y68" i="13"/>
  <c r="Y72" i="13"/>
  <c r="Y76" i="13"/>
  <c r="Y80" i="13"/>
  <c r="Y84" i="13"/>
  <c r="Y88" i="13"/>
  <c r="Y92" i="13"/>
  <c r="Y96" i="13"/>
  <c r="Y100" i="13"/>
  <c r="Y104" i="13"/>
  <c r="Y108" i="13"/>
  <c r="Y112" i="13"/>
  <c r="Y116" i="13"/>
  <c r="Y120" i="13"/>
  <c r="Y124" i="13"/>
  <c r="Y128" i="13"/>
  <c r="Y132" i="13"/>
  <c r="Y136" i="13"/>
  <c r="Y140" i="13"/>
  <c r="Y144" i="13"/>
  <c r="Y148" i="13"/>
  <c r="Y152" i="13"/>
  <c r="Y9" i="13"/>
  <c r="Y14" i="13"/>
  <c r="Y19" i="13"/>
  <c r="Y25" i="13"/>
  <c r="Y30" i="13"/>
  <c r="Y35" i="13"/>
  <c r="Y41" i="13"/>
  <c r="Y46" i="13"/>
  <c r="Y51" i="13"/>
  <c r="Y57" i="13"/>
  <c r="Y62" i="13"/>
  <c r="Y67" i="13"/>
  <c r="Y73" i="13"/>
  <c r="Y78" i="13"/>
  <c r="Y83" i="13"/>
  <c r="Y89" i="13"/>
  <c r="Y94" i="13"/>
  <c r="Y99" i="13"/>
  <c r="Y105" i="13"/>
  <c r="Y110" i="13"/>
  <c r="Y115" i="13"/>
  <c r="Y121" i="13"/>
  <c r="Y126" i="13"/>
  <c r="Y131" i="13"/>
  <c r="Y137" i="13"/>
  <c r="Y142" i="13"/>
  <c r="Y147" i="13"/>
  <c r="Y153" i="13"/>
  <c r="Y157" i="13"/>
  <c r="Y161" i="13"/>
  <c r="Y165" i="13"/>
  <c r="Y169" i="13"/>
  <c r="Y173" i="13"/>
  <c r="Y177" i="13"/>
  <c r="Y181" i="13"/>
  <c r="Y185" i="13"/>
  <c r="Y189" i="13"/>
  <c r="Y193" i="13"/>
  <c r="Y197" i="13"/>
  <c r="Y201" i="13"/>
  <c r="Y205" i="13"/>
  <c r="Y209" i="13"/>
  <c r="Y213" i="13"/>
  <c r="Y217" i="13"/>
  <c r="Y221" i="13"/>
  <c r="Y225" i="13"/>
  <c r="Y229" i="13"/>
  <c r="Y233" i="13"/>
  <c r="Y237" i="13"/>
  <c r="Y241" i="13"/>
  <c r="Y245" i="13"/>
  <c r="Y249" i="13"/>
  <c r="Y253" i="13"/>
  <c r="Y257" i="13"/>
  <c r="Y261" i="13"/>
  <c r="Y265" i="13"/>
  <c r="Y269" i="13"/>
  <c r="Y273" i="13"/>
  <c r="Y277" i="13"/>
  <c r="Y281" i="13"/>
  <c r="Y285" i="13"/>
  <c r="Y289" i="13"/>
  <c r="Y293" i="13"/>
  <c r="Y297" i="13"/>
  <c r="Y61" i="13"/>
  <c r="Y93" i="13"/>
  <c r="Y109" i="13"/>
  <c r="Y114" i="13"/>
  <c r="Y141" i="13"/>
  <c r="Y156" i="13"/>
  <c r="Y168" i="13"/>
  <c r="Y176" i="13"/>
  <c r="Y188" i="13"/>
  <c r="Y200" i="13"/>
  <c r="Y212" i="13"/>
  <c r="Y224" i="13"/>
  <c r="Y236" i="13"/>
  <c r="Y248" i="13"/>
  <c r="Y256" i="13"/>
  <c r="Y268" i="13"/>
  <c r="Y284" i="13"/>
  <c r="Y296" i="13"/>
  <c r="Y5" i="13"/>
  <c r="Y10" i="13"/>
  <c r="Y15" i="13"/>
  <c r="Y21" i="13"/>
  <c r="Y26" i="13"/>
  <c r="Y31" i="13"/>
  <c r="Y37" i="13"/>
  <c r="Y42" i="13"/>
  <c r="Y47" i="13"/>
  <c r="Y53" i="13"/>
  <c r="Y58" i="13"/>
  <c r="Y63" i="13"/>
  <c r="Y69" i="13"/>
  <c r="Y74" i="13"/>
  <c r="Y79" i="13"/>
  <c r="Y85" i="13"/>
  <c r="Y90" i="13"/>
  <c r="Y95" i="13"/>
  <c r="Y101" i="13"/>
  <c r="Y106" i="13"/>
  <c r="Y111" i="13"/>
  <c r="Y117" i="13"/>
  <c r="Y122" i="13"/>
  <c r="Y127" i="13"/>
  <c r="Y133" i="13"/>
  <c r="Y138" i="13"/>
  <c r="Y143" i="13"/>
  <c r="Y149" i="13"/>
  <c r="Y154" i="13"/>
  <c r="Y158" i="13"/>
  <c r="Y162" i="13"/>
  <c r="Y166" i="13"/>
  <c r="Y170" i="13"/>
  <c r="Y174" i="13"/>
  <c r="Y178" i="13"/>
  <c r="Y182" i="13"/>
  <c r="Y186" i="13"/>
  <c r="Y190" i="13"/>
  <c r="Y194" i="13"/>
  <c r="Y198" i="13"/>
  <c r="Y202" i="13"/>
  <c r="Y206" i="13"/>
  <c r="Y210" i="13"/>
  <c r="Y214" i="13"/>
  <c r="Y218" i="13"/>
  <c r="Y222" i="13"/>
  <c r="Y226" i="13"/>
  <c r="Y230" i="13"/>
  <c r="Y234" i="13"/>
  <c r="Y238" i="13"/>
  <c r="Y242" i="13"/>
  <c r="Y246" i="13"/>
  <c r="Y250" i="13"/>
  <c r="Y254" i="13"/>
  <c r="Y258" i="13"/>
  <c r="Y262" i="13"/>
  <c r="Y266" i="13"/>
  <c r="Y270" i="13"/>
  <c r="Y274" i="13"/>
  <c r="Y278" i="13"/>
  <c r="Y282" i="13"/>
  <c r="Y286" i="13"/>
  <c r="Y290" i="13"/>
  <c r="Y294" i="13"/>
  <c r="Y298" i="13"/>
  <c r="Y6" i="13"/>
  <c r="Y11" i="13"/>
  <c r="Y22" i="13"/>
  <c r="Y27" i="13"/>
  <c r="Y33" i="13"/>
  <c r="Y43" i="13"/>
  <c r="Y54" i="13"/>
  <c r="Y65" i="13"/>
  <c r="Y75" i="13"/>
  <c r="Y86" i="13"/>
  <c r="Y97" i="13"/>
  <c r="Y107" i="13"/>
  <c r="Y118" i="13"/>
  <c r="Y129" i="13"/>
  <c r="Y139" i="13"/>
  <c r="Y150" i="13"/>
  <c r="Y159" i="13"/>
  <c r="Y167" i="13"/>
  <c r="Y175" i="13"/>
  <c r="Y183" i="13"/>
  <c r="Y191" i="13"/>
  <c r="Y199" i="13"/>
  <c r="Y207" i="13"/>
  <c r="Y215" i="13"/>
  <c r="Y223" i="13"/>
  <c r="Y231" i="13"/>
  <c r="Y239" i="13"/>
  <c r="Y247" i="13"/>
  <c r="Y259" i="13"/>
  <c r="Y267" i="13"/>
  <c r="Y275" i="13"/>
  <c r="Y283" i="13"/>
  <c r="Y291" i="13"/>
  <c r="Y299" i="13"/>
  <c r="Y18" i="13"/>
  <c r="Y29" i="13"/>
  <c r="Y39" i="13"/>
  <c r="Y50" i="13"/>
  <c r="Y66" i="13"/>
  <c r="Y87" i="13"/>
  <c r="Y103" i="13"/>
  <c r="Y125" i="13"/>
  <c r="Y135" i="13"/>
  <c r="Y151" i="13"/>
  <c r="Y164" i="13"/>
  <c r="Y180" i="13"/>
  <c r="Y192" i="13"/>
  <c r="Y204" i="13"/>
  <c r="Y220" i="13"/>
  <c r="Y232" i="13"/>
  <c r="Y244" i="13"/>
  <c r="Y260" i="13"/>
  <c r="Y276" i="13"/>
  <c r="Y288" i="13"/>
  <c r="Y300" i="13"/>
  <c r="Y17" i="13"/>
  <c r="Y38" i="13"/>
  <c r="Y49" i="13"/>
  <c r="Y59" i="13"/>
  <c r="Y70" i="13"/>
  <c r="Y81" i="13"/>
  <c r="Y91" i="13"/>
  <c r="Y102" i="13"/>
  <c r="Y113" i="13"/>
  <c r="Y123" i="13"/>
  <c r="Y134" i="13"/>
  <c r="Y145" i="13"/>
  <c r="Y155" i="13"/>
  <c r="Y163" i="13"/>
  <c r="Y171" i="13"/>
  <c r="Y179" i="13"/>
  <c r="Y187" i="13"/>
  <c r="Y195" i="13"/>
  <c r="Y203" i="13"/>
  <c r="Y211" i="13"/>
  <c r="Y219" i="13"/>
  <c r="Y227" i="13"/>
  <c r="Y235" i="13"/>
  <c r="Y243" i="13"/>
  <c r="Y251" i="13"/>
  <c r="Y255" i="13"/>
  <c r="Y263" i="13"/>
  <c r="Y271" i="13"/>
  <c r="Y279" i="13"/>
  <c r="Y287" i="13"/>
  <c r="Y295" i="13"/>
  <c r="Y7" i="13"/>
  <c r="Y13" i="13"/>
  <c r="Y23" i="13"/>
  <c r="Y34" i="13"/>
  <c r="Y45" i="13"/>
  <c r="Y55" i="13"/>
  <c r="Y71" i="13"/>
  <c r="Y77" i="13"/>
  <c r="Y82" i="13"/>
  <c r="Y98" i="13"/>
  <c r="Y119" i="13"/>
  <c r="Y130" i="13"/>
  <c r="Y146" i="13"/>
  <c r="Y160" i="13"/>
  <c r="Y172" i="13"/>
  <c r="Y184" i="13"/>
  <c r="Y196" i="13"/>
  <c r="Y208" i="13"/>
  <c r="Y216" i="13"/>
  <c r="Y228" i="13"/>
  <c r="Y240" i="13"/>
  <c r="Y252" i="13"/>
  <c r="Y264" i="13"/>
  <c r="Y272" i="13"/>
  <c r="Y280" i="13"/>
  <c r="Y292"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0" authorId="0" shapeId="0">
      <text>
        <r>
          <rPr>
            <b/>
            <sz val="10"/>
            <color indexed="9"/>
            <rFont val="Corbel"/>
            <family val="2"/>
          </rPr>
          <t>4-digit object class.  Common possibilities
 4101 - Personnel Mobility
 4110 - Research Grants
 4118 - SBIR Grant
 4144 - Equipment Grant
 4160 - Conference</t>
        </r>
      </text>
    </comment>
    <comment ref="B21" authorId="0" shapeId="0">
      <text>
        <r>
          <rPr>
            <b/>
            <sz val="10"/>
            <color indexed="9"/>
            <rFont val="Corbel"/>
            <family val="2"/>
          </rPr>
          <t>%Medium%  or %GOALI% can be used to restrict proposals to those that follow title conventions; ~%GOALI% to exclude.</t>
        </r>
      </text>
    </comment>
    <comment ref="B22" authorId="0" shapeId="0">
      <text>
        <r>
          <rPr>
            <b/>
            <sz val="10"/>
            <color indexed="9"/>
            <rFont val="Corbel"/>
            <family val="2"/>
          </rPr>
          <t>4-digit PRCs. The PRC table doesn't have an index, so this query slow; use a narrow date range</t>
        </r>
      </text>
    </comment>
    <comment ref="B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72027','p172028','p180207','p180209')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<sst xmlns="http://schemas.openxmlformats.org/spreadsheetml/2006/main" count="13386" uniqueCount="1622">
  <si>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</si>
  <si>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</si>
  <si>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</si>
  <si>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</si>
  <si>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</si>
  <si>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</si>
  <si>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</si>
  <si>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</si>
  <si>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</si>
  <si>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</si>
  <si>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</si>
  <si>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</si>
  <si>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</si>
  <si>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</si>
  <si>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</si>
  <si>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</si>
  <si>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</si>
  <si>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</si>
  <si>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</si>
  <si>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</si>
  <si>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</si>
  <si>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</si>
  <si>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</si>
  <si>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</si>
  <si>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</si>
  <si>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</si>
  <si>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</si>
  <si>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</si>
  <si>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</si>
  <si>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</si>
  <si>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</si>
  <si>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</si>
  <si>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</si>
  <si>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</si>
  <si>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</si>
  <si>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</si>
  <si>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</si>
  <si>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</si>
  <si>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</si>
  <si>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</si>
  <si>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</si>
  <si>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</si>
  <si>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</si>
  <si>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</si>
  <si>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</si>
  <si>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</si>
  <si>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</si>
  <si>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</si>
  <si>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</si>
  <si>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</si>
  <si>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</si>
  <si>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</si>
  <si>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</si>
  <si>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</si>
  <si>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</si>
  <si>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</si>
  <si>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</si>
  <si>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</si>
  <si>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</si>
  <si>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</si>
  <si>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</si>
  <si>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</si>
  <si>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</si>
  <si>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</si>
  <si>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</si>
  <si>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</si>
  <si>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</si>
  <si>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</si>
  <si>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</si>
  <si>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</si>
  <si>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</si>
  <si>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</si>
  <si>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</si>
  <si>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</si>
  <si>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</si>
  <si>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</si>
  <si>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</si>
  <si>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</si>
  <si>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</si>
  <si>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</si>
  <si>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</si>
  <si>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</si>
  <si>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</si>
  <si>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</si>
  <si>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</si>
  <si>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</si>
  <si>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</si>
  <si>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</si>
  <si>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</si>
  <si>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</si>
  <si>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</si>
  <si>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</si>
  <si>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</si>
  <si>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</si>
  <si>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</si>
  <si>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</si>
  <si>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</si>
  <si>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</si>
  <si>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</si>
  <si>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</si>
  <si>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</si>
  <si>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</si>
  <si>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</si>
  <si>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</si>
  <si>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</si>
  <si>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</si>
  <si>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</si>
  <si>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</si>
  <si>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</si>
  <si>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</si>
  <si>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</si>
  <si>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</si>
  <si>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</si>
  <si>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</si>
  <si>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</si>
  <si>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</si>
  <si>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</si>
  <si>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</si>
  <si>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</si>
  <si>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</si>
  <si>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</si>
  <si>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</si>
  <si>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</si>
  <si>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</si>
  <si>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</si>
  <si>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</si>
  <si>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</si>
  <si>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</si>
  <si>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</si>
  <si>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</si>
  <si>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</si>
  <si>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</si>
  <si>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</si>
  <si>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</si>
  <si>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</si>
  <si>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</si>
  <si>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</si>
  <si>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</si>
  <si>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</si>
  <si>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</si>
  <si>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</si>
  <si>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</si>
  <si>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</si>
  <si>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</si>
  <si>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</si>
  <si>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</si>
  <si>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</si>
  <si>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</si>
  <si>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</si>
  <si>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</si>
  <si>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</si>
  <si>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</si>
  <si>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</si>
  <si>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</si>
  <si>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</si>
  <si>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</si>
  <si>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</si>
  <si>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</si>
  <si>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</si>
  <si>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</si>
  <si>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</si>
  <si>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</si>
  <si>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</si>
  <si>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</si>
  <si>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</si>
  <si>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</si>
  <si>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</si>
  <si>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</si>
  <si>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</si>
  <si>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</si>
  <si>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</si>
  <si>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</si>
  <si>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</si>
  <si>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</si>
  <si>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</si>
  <si>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</si>
  <si>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</si>
  <si>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</si>
  <si>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</si>
  <si>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</si>
  <si>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</si>
  <si>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</si>
  <si>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</si>
  <si>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</si>
  <si>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</si>
  <si>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</si>
  <si>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</si>
  <si>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</si>
  <si>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</si>
  <si>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</si>
  <si>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</si>
  <si>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</si>
  <si>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</si>
  <si>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</si>
  <si>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</si>
  <si>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</si>
  <si>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</si>
  <si>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</si>
  <si>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</si>
  <si>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</si>
  <si>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</si>
  <si>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</si>
  <si>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</si>
  <si>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</si>
  <si>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</si>
  <si>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</si>
  <si>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R:\RAoutput</t>
  </si>
  <si>
    <t>Competitive</t>
  </si>
  <si>
    <t>C</t>
  </si>
  <si>
    <t>P</t>
  </si>
  <si>
    <t>Decline BSF RAt.docx</t>
  </si>
  <si>
    <t>E,V,G,F,P</t>
  </si>
  <si>
    <t>@PI</t>
  </si>
  <si>
    <t>SUNY Buffalo</t>
  </si>
  <si>
    <t>F/P</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</si>
  <si>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</si>
  <si>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</si>
  <si>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</si>
  <si>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</si>
  <si>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</si>
  <si>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</si>
  <si>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</si>
  <si>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</si>
  <si>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</si>
  <si>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</si>
  <si>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</si>
  <si>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</si>
  <si>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</si>
  <si>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</si>
  <si>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</si>
  <si>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</si>
  <si>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</si>
  <si>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</si>
  <si>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</si>
  <si>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</si>
  <si>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</si>
  <si>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</si>
  <si>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</si>
  <si>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</si>
  <si>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</si>
  <si>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</si>
  <si>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</si>
  <si>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Directories</t>
  </si>
  <si>
    <t>for RA templates:</t>
  </si>
  <si>
    <t>NSF 17-537</t>
  </si>
  <si>
    <t>HC</t>
  </si>
  <si>
    <t>U of Washington</t>
  </si>
  <si>
    <t>Highly Competitive</t>
  </si>
  <si>
    <t>Faculty Early Career Development Program</t>
  </si>
  <si>
    <t>U of Wisconsin Madison</t>
  </si>
  <si>
    <t>LC</t>
  </si>
  <si>
    <t>Low Competitive</t>
  </si>
  <si>
    <t>1045</t>
  </si>
  <si>
    <t>E</t>
  </si>
  <si>
    <t>6</t>
  </si>
  <si>
    <t>5</t>
  </si>
  <si>
    <t xml:space="preserve">        </t>
  </si>
  <si>
    <t>PA</t>
  </si>
  <si>
    <t>WI</t>
  </si>
  <si>
    <t>WA</t>
  </si>
  <si>
    <t>CA</t>
  </si>
  <si>
    <t>MA</t>
  </si>
  <si>
    <t>NY</t>
  </si>
  <si>
    <t>MD</t>
  </si>
  <si>
    <t>GA</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</si>
  <si>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</si>
  <si>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</si>
  <si>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</si>
  <si>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</si>
  <si>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</si>
  <si>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</si>
  <si>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</si>
  <si>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</si>
  <si>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</si>
  <si>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</si>
  <si>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</si>
  <si>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</si>
  <si>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</si>
  <si>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</si>
  <si>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</si>
  <si>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</si>
  <si>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</si>
  <si>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</si>
  <si>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</si>
  <si>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</si>
  <si>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</si>
  <si>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</si>
  <si>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</si>
  <si>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</si>
  <si>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</si>
  <si>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</si>
  <si>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</si>
  <si>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</si>
  <si>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</si>
  <si>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</si>
  <si>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</si>
  <si>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</si>
  <si>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</si>
  <si>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</si>
  <si>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</si>
  <si>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</si>
  <si>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</si>
  <si>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</si>
  <si>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</si>
  <si>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</si>
  <si>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</si>
  <si>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</si>
  <si>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</si>
  <si>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</si>
  <si>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</si>
  <si>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</si>
  <si>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</si>
  <si>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</si>
  <si>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</si>
  <si>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</si>
  <si>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</si>
  <si>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</si>
  <si>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</si>
  <si>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PRC</t>
  </si>
  <si>
    <t>PRC_Description</t>
  </si>
  <si>
    <t>CAREER: FACULTY EARLY CAR DEV</t>
  </si>
  <si>
    <t>9150</t>
  </si>
  <si>
    <t>EXP PROG TO STIM COMP RES</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</si>
  <si>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</si>
  <si>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</si>
  <si>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</si>
  <si>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</si>
  <si>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</si>
  <si>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</si>
  <si>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</si>
  <si>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</si>
  <si>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</si>
  <si>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</si>
  <si>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</si>
  <si>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</si>
  <si>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</si>
  <si>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</si>
  <si>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</si>
  <si>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</si>
  <si>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</si>
  <si>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</si>
  <si>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</si>
  <si>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Wang</t>
  </si>
  <si>
    <t>Carnegie Mellon University</t>
  </si>
  <si>
    <t>Lee</t>
  </si>
  <si>
    <t>V,V,V,G</t>
  </si>
  <si>
    <t>U of Ill Urbana-Champaign</t>
  </si>
  <si>
    <t>IL</t>
  </si>
  <si>
    <t>U of Cal Riverside</t>
  </si>
  <si>
    <t>Li</t>
  </si>
  <si>
    <t>V,G,G,G/F</t>
  </si>
  <si>
    <t>University of Michigan</t>
  </si>
  <si>
    <t>MI</t>
  </si>
  <si>
    <t>Duke University</t>
  </si>
  <si>
    <t>NC</t>
  </si>
  <si>
    <t>E/V,V,V/G,V/G</t>
  </si>
  <si>
    <t>VA Polytechnic Inst &amp; St U</t>
  </si>
  <si>
    <t>VA</t>
  </si>
  <si>
    <t>TX</t>
  </si>
  <si>
    <t>V,G,G/F,F</t>
  </si>
  <si>
    <t>U of Hawaii</t>
  </si>
  <si>
    <t>V,V/G,G,G/F</t>
  </si>
  <si>
    <t>G/F,F,F,F</t>
  </si>
  <si>
    <t>FL</t>
  </si>
  <si>
    <t>Sun</t>
  </si>
  <si>
    <t>rec0</t>
  </si>
  <si>
    <t>rec1</t>
  </si>
  <si>
    <t>rec2</t>
  </si>
  <si>
    <t>minScore</t>
  </si>
  <si>
    <t>maxScore</t>
  </si>
  <si>
    <t>PanlString0</t>
  </si>
  <si>
    <t>pnlst0</t>
  </si>
  <si>
    <t>confl0</t>
  </si>
  <si>
    <t>PanlString1</t>
  </si>
  <si>
    <t>pnlst1</t>
  </si>
  <si>
    <t>confl1</t>
  </si>
  <si>
    <t>PanlString2</t>
  </si>
  <si>
    <t>pnlst2</t>
  </si>
  <si>
    <t>confl2</t>
  </si>
  <si>
    <t>Div_name</t>
  </si>
  <si>
    <t>natr_rqst_txt</t>
  </si>
  <si>
    <t>Not Competitive</t>
  </si>
  <si>
    <t>New Project</t>
  </si>
  <si>
    <t xml:space="preserve"> V,V,V,G</t>
  </si>
  <si>
    <t xml:space="preserve"> V,G,G,G/F</t>
  </si>
  <si>
    <t xml:space="preserve"> E/V,V,V/G,V/G</t>
  </si>
  <si>
    <t xml:space="preserve"> V,G,G/F,F</t>
  </si>
  <si>
    <t xml:space="preserve"> V,V/G,G,G/F</t>
  </si>
  <si>
    <t xml:space="preserve"> G/F,F,F,F</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</si>
  <si>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</si>
  <si>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</si>
  <si>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</si>
  <si>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</si>
  <si>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</si>
  <si>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</si>
  <si>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</si>
  <si>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</si>
  <si>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</si>
  <si>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</si>
  <si>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</si>
  <si>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</si>
  <si>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</si>
  <si>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</si>
  <si>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</si>
  <si>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</si>
  <si>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</si>
  <si>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</si>
  <si>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</si>
  <si>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</si>
  <si>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</si>
  <si>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</si>
  <si>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</si>
  <si>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</si>
  <si>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</si>
  <si>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</si>
  <si>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</si>
  <si>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</si>
  <si>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</si>
  <si>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Abstr</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</si>
  <si>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</si>
  <si>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</si>
  <si>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</si>
  <si>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</si>
  <si>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</si>
  <si>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</si>
  <si>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</si>
  <si>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</si>
  <si>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</si>
  <si>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</si>
  <si>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</si>
  <si>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</si>
  <si>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</si>
  <si>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</si>
  <si>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</si>
  <si>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</si>
  <si>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</si>
  <si>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</si>
  <si>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</si>
  <si>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</si>
  <si>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</si>
  <si>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</si>
  <si>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</si>
  <si>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STND</t>
  </si>
  <si>
    <t>pi_email</t>
  </si>
  <si>
    <t>OTH_AGCY_SUBM_FLAG</t>
  </si>
  <si>
    <t>N</t>
  </si>
  <si>
    <t>Pend</t>
  </si>
  <si>
    <t xml:space="preserve">Germany       </t>
  </si>
  <si>
    <t>using mail merge to fill  RAtemplates with reportserver data.</t>
  </si>
  <si>
    <t/>
  </si>
  <si>
    <t>IN</t>
  </si>
  <si>
    <t>Georgia Tech Research Corp</t>
  </si>
  <si>
    <t>U of Southern California</t>
  </si>
  <si>
    <t>Columbia University</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</si>
  <si>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</si>
  <si>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</si>
  <si>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</si>
  <si>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</si>
  <si>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</si>
  <si>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</si>
  <si>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</si>
  <si>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</si>
  <si>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</si>
  <si>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</si>
  <si>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</si>
  <si>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</si>
  <si>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</si>
  <si>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</si>
  <si>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</si>
  <si>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</si>
  <si>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</si>
  <si>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</si>
  <si>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</si>
  <si>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</si>
  <si>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</si>
  <si>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</si>
  <si>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</si>
  <si>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</si>
  <si>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</si>
  <si>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</si>
  <si>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</si>
  <si>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</si>
  <si>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</si>
  <si>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</si>
  <si>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</si>
  <si>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</si>
  <si>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</si>
  <si>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r>
      <t xml:space="preserve">Signature block: </t>
    </r>
    <r>
      <rPr>
        <sz val="10"/>
        <color theme="5" tint="-0.499984740745262"/>
        <rFont val="Calibri"/>
        <family val="2"/>
        <scheme val="minor"/>
      </rPr>
      <t xml:space="preserve"> PD=managing pgm dir, blank=draft uploader.</t>
    </r>
  </si>
  <si>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</si>
  <si>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</si>
  <si>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</si>
  <si>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</si>
  <si>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</si>
  <si>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</si>
  <si>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</si>
  <si>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</si>
  <si>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</si>
  <si>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</si>
  <si>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</si>
  <si>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</si>
  <si>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</si>
  <si>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</si>
  <si>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</si>
  <si>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</si>
  <si>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</si>
  <si>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Human/vertibrate from cover</t>
  </si>
  <si>
    <t>RAData, or edit template</t>
  </si>
  <si>
    <t>Add note to DGA</t>
  </si>
  <si>
    <t>Countries &amp; foreign travel $</t>
  </si>
  <si>
    <t>Research %age</t>
  </si>
  <si>
    <t>PO(7 letters):</t>
  </si>
  <si>
    <t>blocks to copy for RA or budget calculations</t>
  </si>
  <si>
    <t>Table of EPSCoR states</t>
  </si>
  <si>
    <t>Available RA templates</t>
  </si>
  <si>
    <t>Directory to save RA drafts</t>
  </si>
  <si>
    <t>Project revs, panel summ, etc.</t>
  </si>
  <si>
    <t>pdf from ProjText</t>
  </si>
  <si>
    <t>where to save filled-in RA drafts:</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</si>
  <si>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</si>
  <si>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</si>
  <si>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</si>
  <si>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</si>
  <si>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</si>
  <si>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</si>
  <si>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</si>
  <si>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</si>
  <si>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</si>
  <si>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</si>
  <si>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</si>
  <si>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</si>
  <si>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U of Cal Berkeley</t>
  </si>
  <si>
    <t>7495</t>
  </si>
  <si>
    <t>ROBUST INTELLIGENCE</t>
  </si>
  <si>
    <t>Javidi</t>
  </si>
  <si>
    <t>Xie</t>
  </si>
  <si>
    <t>Clark</t>
  </si>
  <si>
    <t>V,G,G,G</t>
  </si>
  <si>
    <t>Yuan</t>
  </si>
  <si>
    <t xml:space="preserve"> V,G,G,G</t>
  </si>
  <si>
    <t xml:space="preserve">Sweden       </t>
  </si>
  <si>
    <t>RAps_note</t>
  </si>
  <si>
    <t>divergentReviews</t>
  </si>
  <si>
    <t xml:space="preserve"> '?' appearing in abstract</t>
  </si>
  <si>
    <t>ll</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</si>
  <si>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</si>
  <si>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</si>
  <si>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</si>
  <si>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</si>
  <si>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</si>
  <si>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</si>
  <si>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</si>
  <si>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</si>
  <si>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</si>
  <si>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</si>
  <si>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</si>
  <si>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</si>
  <si>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</si>
  <si>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</si>
  <si>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</si>
  <si>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</si>
  <si>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</si>
  <si>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</si>
  <si>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</si>
  <si>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</si>
  <si>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</si>
  <si>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026Y</t>
  </si>
  <si>
    <t>CRII CISE Research Initiation</t>
  </si>
  <si>
    <t>7796</t>
  </si>
  <si>
    <t>ALGORITHMIC FOUNDATIONS</t>
  </si>
  <si>
    <t>7926</t>
  </si>
  <si>
    <t>ALGORITHMS</t>
  </si>
  <si>
    <t>7929</t>
  </si>
  <si>
    <t>COMPUTATIONAL GEOMETRY</t>
  </si>
  <si>
    <t>7933</t>
  </si>
  <si>
    <t>NUM, SYMBOL, &amp; ALGEBRA COMPUT</t>
  </si>
  <si>
    <t>7934</t>
  </si>
  <si>
    <t>PARAL/DISTRIBUTED ALGORITHMS</t>
  </si>
  <si>
    <t>8228</t>
  </si>
  <si>
    <t>CISE Resrch Initiatn Initiatve</t>
  </si>
  <si>
    <t>JSNOEYI</t>
  </si>
  <si>
    <t>1749173</t>
  </si>
  <si>
    <t>Borgwardt</t>
  </si>
  <si>
    <t>TKIMBRE</t>
  </si>
  <si>
    <t>P180207</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</si>
  <si>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</si>
  <si>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</si>
  <si>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</si>
  <si>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</si>
  <si>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</si>
  <si>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</si>
  <si>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</si>
  <si>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</si>
  <si>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</si>
  <si>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</si>
  <si>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</si>
  <si>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</si>
  <si>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</si>
  <si>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</si>
  <si>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</si>
  <si>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</si>
  <si>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</si>
  <si>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</si>
  <si>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</si>
  <si>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</si>
  <si>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1749385</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</si>
  <si>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</si>
  <si>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</si>
  <si>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</si>
  <si>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</si>
  <si>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</si>
  <si>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</si>
  <si>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</si>
  <si>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</si>
  <si>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</si>
  <si>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</si>
  <si>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</si>
  <si>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</si>
  <si>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</si>
  <si>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</si>
  <si>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</si>
  <si>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</si>
  <si>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</si>
  <si>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</si>
  <si>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</si>
  <si>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1749563</t>
  </si>
  <si>
    <t>Del Pia</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</si>
  <si>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</si>
  <si>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</si>
  <si>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</si>
  <si>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</si>
  <si>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HB1006554</t>
  </si>
  <si>
    <t>Singh</t>
  </si>
  <si>
    <t>mohitsinghr@gmail.com</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</si>
  <si>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</si>
  <si>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</si>
  <si>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1749609</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</si>
  <si>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</si>
  <si>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</si>
  <si>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</si>
  <si>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</si>
  <si>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</si>
  <si>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</si>
  <si>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1749748</t>
  </si>
  <si>
    <t>Chandrasekaran</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</si>
  <si>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</si>
  <si>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NP0987734</t>
  </si>
  <si>
    <t>Madry</t>
  </si>
  <si>
    <t>madry@mit.edu</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</si>
  <si>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</si>
  <si>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</si>
  <si>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</si>
  <si>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HS0880526</t>
  </si>
  <si>
    <t>Spielman</t>
  </si>
  <si>
    <t>spielman@cs.yale.edu</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</si>
  <si>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</si>
  <si>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</si>
  <si>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1749855</t>
  </si>
  <si>
    <t>Orabona</t>
  </si>
  <si>
    <t>P180209</t>
  </si>
  <si>
    <t xml:space="preserve"> AF CAREER/CRII Panel B</t>
  </si>
  <si>
    <t xml:space="preserve"> Panel Summary       
 INTELLECTUAL MERIT:_x000D_
_x000D_
The goal of this proposal is to provide new algorithms with provable guarantees that depend on less parameters than the current machine learning algorithms. For example, this project aims at removing the need to set learning rates, regularization hyper parameters, and use weight initialization strategies in convex and non-convex optimization based machine learning algorithms._x000D_
_x000D_
+ Strengths_x000D_
-- This is a high risk, high rewards proposal on removing hyper parameters (and their tuning) from machine learning algorithms._x000D_
-- The proposal is very well written._x000D_
-- The proposal has a very exciting vision._x000D_
-- The PI is well qualified  to make progress on the problems he is proposing; he has good preliminary work in these directions._x000D_
_x000D_
- Weaknesses_x000D_
-- While the proposal research is broad and general, the techniques that the PI plans to use are quite specific (e.g. connection to a betting game). It's unclear whether the algorithms and results that are expected from this research are for some special learning scenarios or are going to be quite general (and if they are general, why it's possible to achieve that). The PI can strengthen the proposal by addressing this. _x000D_
-- The  relative ranking compared to the other proposals in the same panel was the only reason for which some of the panelists did not rank this proposal in the Excellent category._x000D_
_x000D_
_x000D_
BROADER IMPACTS:_x000D_
If successful, the research has direct benefits on the practicality of machine learning algorithms in various domains. The proposal provides adequate integration of research and education: course development, student advising/monitoring and outreach to K-12 classrooms (including collaborating with the non-profit company Kioto to create web-based machine learning courses for K-12 schools)._x000D_
_x000D_
+ Strengths_x000D_
The integration of research and teaching was particularly strong. _x000D_
_x000D_
- Weaknesses_x000D_
Some panelists felt that the proposed agenda is quite challenging and thus too risky, which might mitigate its potential broader impact._x000D_
_x000D_
Summary:_x000D_
This is a very strong proposal which has identified a number of interesting and interrelated research questions related to advancing the state of the art in theoretical machine learning via eliminating hyper parameters. The  broader impact and education components are strong as well._x000D_
_x000D_
PANEL RECOMMENDATION: Justification, including key strengths and critical_x000D_
weaknesses._x000D_
__Highly competitive (HC)_x000D_
_X_Competitive (C)_x000D_
__Low Competitive (LC)_x000D_
__Not Competitive (NC)_x000D_
_x000D_
The summary was read by/to the panel and the panel concurred that the summary accurately reflects the panel discussion. 
</t>
  </si>
  <si>
    <t>YC1007331</t>
  </si>
  <si>
    <t>Balcan</t>
  </si>
  <si>
    <t>ninamf@cs.cmu.edu</t>
  </si>
  <si>
    <t xml:space="preserve">In the context of the five review elements, please _x000D_
evaluate the strengths and weaknesses of the proposal with respect to intellectual merit._x000D_
_x000D_
The goal of this proposal is to provide new algorithms and the theoretical understanding to remove some of the hyperparameters present in current machine learning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models._x000D_
_x000D_
_x000D_
The PI has a recent interesting work in this direction a reasonable plan to attach the proposed objectives._x000D_
_x000D_
In the context of the five review elements, please _x000D_
evaluate the strengths and weaknesses of the proposal with respect to broader impacts._x000D_
_x000D_
The educational&amp;broader impact component is nicely laid out: it includes curriculum development, outreach to the growing community of machine learning practitioners via tutorial materials and open-source software on a dedicated website, collaborating with the non-profit company kidOYO to create web-based machine learning courses for K-12 schools._x000D_
_x000D_
_x000D_
Please evaluate the strengths and _x000D_
weaknesses of the proposal with respect to any additional solicitation-specific review criteria, if _x000D_
applicable_x000D_
_x000D_
_x000D_
_x000D_
Summary Statement_x000D_
_x000D_
This is a well written proposal on new algorithms and the theoretical understanding to remove some of the hyperparameters present in current machine learning algorithms. The project has an exciting vision and the PI is well qualified  to make progress on the problems he is proposing; he has good preliminary work in these directions._x000D_
_x000D_
_x000D_
</t>
  </si>
  <si>
    <t>XN0907598</t>
  </si>
  <si>
    <t>Chen</t>
  </si>
  <si>
    <t>yiling@seas.harvard.edu</t>
  </si>
  <si>
    <t xml:space="preserve">In the context of the five review elements, please _x000D_
evaluate the strengths and weaknesses of the proposal with respect to intellectual merit._x000D_
_x000D_
This proposal aims to develop theory for hyperparameter-free machine learning algorithms (or reducing hyperparameters). The proposed research includes three components: (1) Characterize computational complexity of learning algorithms without assuming knowledge on values of hyperparameters. In other words, take into account the computation involved for setting and tuning hyperparameters when considering the complexity of a learning algorithm. (2) Develop hyperparameter-free online optimization for both convex and some non-convex functions. (3) Reduce hyperparameters in deep learning. _x000D_
_x000D_
The research plan for the three components are generally well thought out and built upon the PI's previous research. For (1), the PI plans to first establish a lower bound of optimal computational complexity for learning in RKHS and then design a learning algorithm to match this optimal bound. The PI plans to extend his prior results (a lower bound for stochastic optimization in a particular setting and a hypermarameter-free stochastic approximation procedure) to achieve these. For (2), the PI's prior work has established a connection between parameter-free online convex optimization and a betting game and has used this connection to design parameter-free online learning algorithms. The PI will extend the work to richer settings. For (3), the PI again plans to leverage the aforementioned connection to the betting game to help remove superfluous hyperparameters from deep learning. But why the technique may help deep learning algorithms are somewhat vague to me. _x000D_
_x000D_
The directions of the proposed research are challenging and exciting. Theory for hyperparameter-free machine learning can fundamentally change our understanding of machine learning. The PI has a track record of developing interesting results in the area of the proposed research and is highly qualified for carrying out the proposed research.  _x000D_
_x000D_
One weakness of the proposal is: While the proposal research is broad and general, the techniques that the PI plan to use are quite specific (e.g. connection to a betting game). I didn't figure out from reading the proposal whether, as a result, the algorithms and results that are expected from this research are for some special learning scenarios or are going to be quite general (and if they are general, why it's possible to achieve that)._x000D_
_x000D_
In the context of the five review elements, please _x000D_
evaluate the strengths and weaknesses of the proposal with respect to broader impacts._x000D_
_x000D_
+ If successful, the research has direct benefits on practicality of machine learning algorithms in various domains._x000D_
_x000D_
Please evaluate the strengths and _x000D_
weaknesses of the proposal with respect to any additional solicitation-specific review criteria, if _x000D_
applicable_x000D_
_x000D_
Adequate integration of research and education: course development, student advising/mentoring and outreach to K-12 classrooms._x000D_
_x000D_
Summary Statement_x000D_
_x000D_
A solid, ambitious and well-reasoned proposal._x000D_
_x000D_
</t>
  </si>
  <si>
    <t>WE0867353</t>
  </si>
  <si>
    <t>Drineas</t>
  </si>
  <si>
    <t>drineas@gmail.com</t>
  </si>
  <si>
    <t xml:space="preserve">In the context of the five review elements, please _x000D_
evaluate the strengths and weaknesses of the proposal with respect to intellectual merit._x000D_
_x000D_
The objective of the proposal is to prevent overfitting as in machine learning by tuning the hyperparameters of the algorithm in order to trade-off the simplicity of the model with its performance on the training data. The PI seeks to design hyperparameter-free algorithms in order to achieve a better understanding of the computational complexity of learning. The career goal of the PI is to lay the foundations for hyperparameter-free non-linear and_x000D_
non-convex machine learning algorithms and already has some preliminary results in this direction. _x000D_
_x000D_
The proposal has three research directions, with the third direction being probably the most interesting and timely one. The first two directions focus on characterizing (fully?) the computational complexity of learning without prior knowledge and on doing stochastic optimization without hyperparameters. The third direction aims to reduce the hyperparameters in deep learning. _x000D_
_x000D_
Overall, this is a challenging and worth-while objective. Removing hyperparameters instead of fine-tuning them is an important direction for machine learning in the era of big data. The PI has a significant amount of prior work in this area and has a reasonable plan to attach the proposed objectives. I was not able to follow all the details of the PI's proposed plan, but the research questions are reasonably formulated -- I would have preferred a more detailed discussion of the assumptions under which the PI will actually deliver some of the proposed lower bounds. The proposed work in deep learning is more qualitatively described and was somewhat easier to follow. The end objective is to understand the characteristics of machine learning tasks that guarantee a better performance with deep learning methods with fewer hyperparameters._x000D_
_x000D_
In the context of the five review elements, please _x000D_
evaluate the strengths and weaknesses of the proposal with respect to broader impacts._x000D_
_x000D_
The broader impacts of the proposed research could be significant, if successful. However, the proposed agenda is quite challenging and thus risky. Other broader impacts are relatively standard, except for the collaboration with kidOYO, which is quite interesting. There is a letter of support for kidOYO, but no preliminary work showing how the educational infrastructure that kidOYO builds could benefit from the PI's agenda._x000D_
_x000D_
Please evaluate the strengths and _x000D_
weaknesses of the proposal with respect to any additional solicitation-specific review criteria, if _x000D_
applicable_x000D_
_x000D_
See above discussion._x000D_
_x000D_
Summary Statement_x000D_
_x000D_
A high risk high rewards proposal on removing hyperparameters (and their tuning) from machine learning algorithms. Solid proposal, with a nice vision and good preliminary work. Reasonable educational broader impacts._x000D_
_x000D_
</t>
  </si>
  <si>
    <t>NC1006557</t>
  </si>
  <si>
    <t>Mattei</t>
  </si>
  <si>
    <t>nsmattei@gmail.com</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</si>
  <si>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proposed research is important and an impressive number of key questions are identified towards expanding machine learning algorithms to eliminate dependancy on manually tuned hyperparameters..  It has the potential to impact not only the subfield of Machine Learning but inform advancements across a number of disciplines in computer science.  Focusing on eliminating hyperparameters is an important step and has broad application._x000D_
_x000D_
2. To what extent do the proposed activities suggest and explore creative, original, or potentially transformative concepts?_x000D_
_x000D_
The proposed activities are impressive -- the questions are obviously linked though not in an inter-coupled way and the PI identifies key aspects that need to be addressed. _x000D_
_x000D_
3. Is the plan for carrying out the proposed activities well-reasoned, well-organized, and based on a sound rationale? Does the plan incorporate a mechanism to assess success?_x000D_
_x000D_
This was a very tight proposal in so far as some of the same algorithmic machinery could be applied in may different areas without being codependent.  These aspects can be worked on independently and advances in any of them could be cross-fertilized._x000D_
_x000D_
4. How well qualified is the individual, team, or institution to conduct the proposed activities?_x000D_
_x000D_
He is obviously well qualified and given his experience creating opensource software there is obvious opportunity for significant impact_x000D_
_x000D_
5. Are there adequate resources available to the PI (either at the home institution or through collaborations) to carry out the proposed activities?_x000D_
_x000D_
Yes, there is strong support from both the coordinating institutions and within the department._x000D_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Very strong broader impacts -- the PI has identified several channels for teaching that are non-traditional and have significant opportunity to make an impact on a variety of populations, in addition his commitment to creating new learning modules and outreach to local communities._x000D_
_x000D_
2. To what extent do the proposed activities suggest and explore creative, original, or potentially transformative concepts?_x000D_
_x000D_
The PI has identified gaps where his research area can seamlessly support broader outreach.  The ideas (creating learning modules) are creative and potentially transformative if done well. _x000D_
_x000D_
3. Is the plan for carrying out the proposed activities well-reasoned, well-organized, and based on a sound rationale? Does the plan incorporate a mechanism to assess success?_x000D_
_x000D_
Yes, the plan is solid and there are feedback mechanisms to address success both for releasing software as well as outreach activities._x000D_
_x000D_
4. How well qualified is the individual, team, or institution to conduct the proposed activities?_x000D_
_x000D_
The PI has a track record of open-source software and identified good channels to host and maintain his work._x000D_
_x000D_
5. Are there adequate resources available to the PI (either at the home institution or through collaborations) to carry out the proposed activities?_x000D_
_x000D_
There were sufficient resources allocated to achieve the ambitious broader impacts (i.e., a GA for programming).  The PI seems committed to these broader impacts both with OYO and releasing source code._x000D_
_x000D_
Please evaluate the strengths and _x000D_
weaknesses of the proposal with respect to any additional solicitation-specific review criteria, if _x000D_
applicable_x000D_
_x000D_
_x000D_
_x000D_
Summary Statement_x000D_
_x000D_
An extremely strong proposal which has identified a number of interesting and interrelated research questions related to advancing the state of the art in theoretical machine learning via eliminating hyperparameters.  Outstanding attention to broader impacts and establishing connections to deliver the research to a diverse set of stakeholders._x000D_
_x000D_
_x000D_
</t>
  </si>
  <si>
    <t>Machine Learning has been described as the fuel of the next industrial revolution. Yet, current state-of-the-art machine learning algorithms still heavily rely on having a human in the loop setting hyperparameters to make the algorithms work properly._x000D_
The long-term goal of this project is to change the way machine learning algorithms are designed and analyzed, removing the need for hyperparameters to be tuned, yet retaining optimal theoretical and empirical performance. The overall objective is to lay the foundations for hyperparameter-free non-linear and non-convex machine learning algorithms. _x000D_
The PI's recent results built unexpected connections between optimal sequential investment and machine learning with convex models. This connection allows us, for example, to use hyperparameter-free algorithm from optimal sequential investment to design hyperparameter-free convex learning algorithms. Hence, the central hypothesis is that these connections will lead to hyperparameter-free learning algorithms for non-convex models, in particular for modern Deep Learning architectures._x000D_
_x000D_
The central hypothesis will be tested by pursuing the following inter-related specific aims:_x000D_
- Generalization and computational complexity. The aim is to fully characterize the computational complexity of learning, without assuming knowledge of unknown quantities._x000D_
- Stochastic optimization without hyperparameters. The PI will extend his recent results on hyperparameter-free online convex optimization to take advantage of curvature and smoothness. Moreover, the PI will extend these results to non-convex smooth functions proving convergence to local minima._x000D_
- Reducing hyperparameters in Deep Learning. A natural application of this theory is to deep learning models. For example, the PI aims at designing, analyzing, and implementing full fledged optimization algorithms aimed to be used by deep learning practitioners, rather than proof of concepts on synthetic problems._x000D_
_x000D_
The proposed line of research fundamentally differs from the current practice of trying to patch existing machine learning methods, finding ways to tune the hyperparameters rather than removing them.The proposed research is expected to contribute new algorithms and the theoretical understanding to remove at least some of the hyperparameters present in current machine learning algorithms. This will be done through a theoretical analysis on the role of the hyperparameters and through the design of hyperparameter-free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models.Machine learning algorithms are at the core of many recent and future developments in Biology, Medicine, Engineering, etc. However, there is still a wide gap between theoretical and applied results. This project brings together these two worlds, for designing better theoretically principled machine learning algorithms. Also, the proposed Education Plan is designed to fill the same gap in the minds of the students. It will involve designing theoretical undergraduate courses on advanced machine learning and curricular materials for graduate courses. Also, the PI plans to outreach to the growing community of machine learning practitioners via tutorial materials and open-source software on a dedicated website. Moreover, to have a broad and direct impact on the local community of Long Island, the PI will collaborate with the non-profit company kidOYO to create web-based machine learning courses for K-12 schools.</t>
  </si>
  <si>
    <t>1749977</t>
  </si>
  <si>
    <t>Solomon</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</si>
  <si>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</si>
  <si>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</si>
  <si>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</si>
  <si>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</si>
  <si>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</si>
  <si>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</si>
  <si>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1750039</t>
  </si>
  <si>
    <t>Solomonik</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</si>
  <si>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</si>
  <si>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YB0880523</t>
  </si>
  <si>
    <t>Bender</t>
  </si>
  <si>
    <t>bender@cs.stonybrook.edu</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</si>
  <si>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</si>
  <si>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</si>
  <si>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</si>
  <si>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</si>
  <si>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</si>
  <si>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1750076</t>
  </si>
  <si>
    <t>Schroeder</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</si>
  <si>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</si>
  <si>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</si>
  <si>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</si>
  <si>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</si>
  <si>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</si>
  <si>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</si>
  <si>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1750780</t>
  </si>
  <si>
    <t>Raichel</t>
  </si>
  <si>
    <t>7</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</si>
  <si>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</si>
  <si>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</si>
  <si>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</si>
  <si>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</si>
  <si>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SM1006553</t>
  </si>
  <si>
    <t>He</t>
  </si>
  <si>
    <t>xinhe@buffalo.edu</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</si>
  <si>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</si>
  <si>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</si>
  <si>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1751047</t>
  </si>
  <si>
    <t>Gibson</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</si>
  <si>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</si>
  <si>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</si>
  <si>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</si>
  <si>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</si>
  <si>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</si>
  <si>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</si>
  <si>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1751102</t>
  </si>
  <si>
    <t>Vouga</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</si>
  <si>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</si>
  <si>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</si>
  <si>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</si>
  <si>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</si>
  <si>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</si>
  <si>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</si>
  <si>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</si>
  <si>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1751135</t>
  </si>
  <si>
    <t>Nayyeri</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</si>
  <si>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</si>
  <si>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</si>
  <si>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</si>
  <si>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</si>
  <si>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</si>
  <si>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</si>
  <si>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1755702</t>
  </si>
  <si>
    <t>Charkhgard</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</si>
  <si>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</si>
  <si>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</si>
  <si>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</si>
  <si>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</si>
  <si>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</si>
  <si>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1755847</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</si>
  <si>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</si>
  <si>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</si>
  <si>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</si>
  <si>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</si>
  <si>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</si>
  <si>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1755881</t>
  </si>
  <si>
    <t>San</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</si>
  <si>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</si>
  <si>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</si>
  <si>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</si>
  <si>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</si>
  <si>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</si>
  <si>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1755954</t>
  </si>
  <si>
    <t>Hajimirza</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</si>
  <si>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</si>
  <si>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</si>
  <si>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</si>
  <si>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</si>
  <si>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PU0973340</t>
  </si>
  <si>
    <t>Kortsarz</t>
  </si>
  <si>
    <t>guyk@camden.rutgers.edu</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</si>
  <si>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</si>
  <si>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</si>
  <si>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1755978</t>
  </si>
  <si>
    <t>Gangammanavar</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</si>
  <si>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</si>
  <si>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</si>
  <si>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</si>
  <si>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</si>
  <si>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</si>
  <si>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05010000</t>
  </si>
  <si>
    <t>CCF</t>
  </si>
  <si>
    <t>CAR17-18</t>
  </si>
  <si>
    <t>1045 7926</t>
  </si>
  <si>
    <t>CO</t>
  </si>
  <si>
    <t>Steffen</t>
  </si>
  <si>
    <t>U of Colorado Denver</t>
  </si>
  <si>
    <t>V,F,F,F/P</t>
  </si>
  <si>
    <t>CAREER: Algorithms for Optimal Walks</t>
  </si>
  <si>
    <t>steffen.borgwardt@ucdenver.edu</t>
  </si>
  <si>
    <t>1045 7929</t>
  </si>
  <si>
    <t>UT</t>
  </si>
  <si>
    <t>Haitao</t>
  </si>
  <si>
    <t>Utah State University</t>
  </si>
  <si>
    <t>E,V,G,G/F</t>
  </si>
  <si>
    <t>CAREER: Algorithms for Shortest Paths and Related Problems in Computational Geometry</t>
  </si>
  <si>
    <t>haitao.wang@usu.edu</t>
  </si>
  <si>
    <t>Alberto</t>
  </si>
  <si>
    <t>E/V,V,V,V/G</t>
  </si>
  <si>
    <t>CAREER: Mixed-Integer Quadratic Optimization: Algorithms and Complexity</t>
  </si>
  <si>
    <t>delpia@wisc.edu</t>
  </si>
  <si>
    <t>Yin Tat</t>
  </si>
  <si>
    <t>E,E,E/V,V/G</t>
  </si>
  <si>
    <t>CAREER: The Interplay between Combinatorial Optimization and Algorithmic Convex Geometry</t>
  </si>
  <si>
    <t>yintat@uw.edu</t>
  </si>
  <si>
    <t>Karthekeyan</t>
  </si>
  <si>
    <t>E/V,V,V,G</t>
  </si>
  <si>
    <t>CAREER: Frontiers in the Algorithmic Theory of Cutting Planes</t>
  </si>
  <si>
    <t>karthe@illinois.edu</t>
  </si>
  <si>
    <t xml:space="preserve"> Francesco</t>
  </si>
  <si>
    <t>SUNY Stony Brook</t>
  </si>
  <si>
    <t>E,E,V,V</t>
  </si>
  <si>
    <t>CAREER: Hyperparameter-free Algorithms for Machine Learning</t>
  </si>
  <si>
    <t>francesco@cs.stonybrook.edu</t>
  </si>
  <si>
    <t>Justin</t>
  </si>
  <si>
    <t>MIT</t>
  </si>
  <si>
    <t>E,V,V/G,F</t>
  </si>
  <si>
    <t>CAREER: Structured Optimization for Geometric Problems</t>
  </si>
  <si>
    <t>jsolomon@mit.edu</t>
  </si>
  <si>
    <t>1045 7934</t>
  </si>
  <si>
    <t>Edgar</t>
  </si>
  <si>
    <t>G,G,G,F</t>
  </si>
  <si>
    <t>CAREER: Scalable algorithms for tensor networks</t>
  </si>
  <si>
    <t>solomon2@illinois.edu</t>
  </si>
  <si>
    <t>1045 7933</t>
  </si>
  <si>
    <t>Craig</t>
  </si>
  <si>
    <t>V,F,F,F</t>
  </si>
  <si>
    <t>CAREER: Addressing robustness in numerical simulation of nonlinear elastic solids through optimization integration and improved collision treatments</t>
  </si>
  <si>
    <t>craig@ucr.edu</t>
  </si>
  <si>
    <t>Benjamin</t>
  </si>
  <si>
    <t>U of Texas Dallas</t>
  </si>
  <si>
    <t>E,V,V,V</t>
  </si>
  <si>
    <t>CAREER:  AF: Giving Form to Data with a Geometric Scaffold</t>
  </si>
  <si>
    <t>Benjamin.Raichel@utdallas.edu</t>
  </si>
  <si>
    <t>Matthew</t>
  </si>
  <si>
    <t>U of Texas San Antonio</t>
  </si>
  <si>
    <t>CAREER: A Modern Look at Visibility Problems</t>
  </si>
  <si>
    <t>MATTHEW.GIBSON@UTSA.EDU</t>
  </si>
  <si>
    <t>Paul</t>
  </si>
  <si>
    <t>U of Texas Austin</t>
  </si>
  <si>
    <t>CAREER: Simulation and Design of Thin Objects Using Discrete Differential Geometry Algorithms</t>
  </si>
  <si>
    <t>evouga@cs.utexas.edu</t>
  </si>
  <si>
    <t>OR</t>
  </si>
  <si>
    <t>Amir</t>
  </si>
  <si>
    <t>Oregon State University</t>
  </si>
  <si>
    <t>V,V,V,V/G</t>
  </si>
  <si>
    <t>CAREER: Mapping Problems in Computational Geometry and Topology</t>
  </si>
  <si>
    <t>nayyeria@eecs.oregonstate.edu</t>
  </si>
  <si>
    <t>NSF 17-552</t>
  </si>
  <si>
    <t>FY18CRII</t>
  </si>
  <si>
    <t>7926 8228</t>
  </si>
  <si>
    <t>Hadi</t>
  </si>
  <si>
    <t>U of South Florida</t>
  </si>
  <si>
    <t>G,G,G</t>
  </si>
  <si>
    <t>CRII: AF: Theory and Algorithms for Two Classes of Optimization Problems: Multi-objective Binary Linear Programs and Single-objective Maximum Multiplicative Programs</t>
  </si>
  <si>
    <t>hcharkhgard@usf.edu</t>
  </si>
  <si>
    <t>7933 8228</t>
  </si>
  <si>
    <t>Ruoyu</t>
  </si>
  <si>
    <t>V,V/G,V/G</t>
  </si>
  <si>
    <t>CRII: AF: Towards Faster Algorithms for Large-scale Constrained Optimization</t>
  </si>
  <si>
    <t>ruoyus@illinois.edu</t>
  </si>
  <si>
    <t>7933 8228 9150</t>
  </si>
  <si>
    <t>Omer</t>
  </si>
  <si>
    <t>Oklahoma State University</t>
  </si>
  <si>
    <t>E/V,G,F</t>
  </si>
  <si>
    <t>CRII: AF: Generalized Deconvolution Algorithms for Coarse-Grained Simulations of Nonlinear Multiscale Systems</t>
  </si>
  <si>
    <t>osan@okstate.edu</t>
  </si>
  <si>
    <t>Shima</t>
  </si>
  <si>
    <t>Texas Engineering Exp Sta</t>
  </si>
  <si>
    <t>V,G,G/F</t>
  </si>
  <si>
    <t>CRII: AF:Bayesian Framework for Efficient Surrogate Modeling and Learning of Probabilistic Functions Based on Large Scale Monte Carlo Simulations</t>
  </si>
  <si>
    <t>shima.hm@tamu.edu</t>
  </si>
  <si>
    <t>Harsha</t>
  </si>
  <si>
    <t>Southern Methodist Univ</t>
  </si>
  <si>
    <t>V/G,G,F</t>
  </si>
  <si>
    <t>CRII:AF: Stochastic Programming Decomposition Model and Algorithm for Discrete-event Dynamic Systems</t>
  </si>
  <si>
    <t>harsha@smu.edu</t>
  </si>
  <si>
    <t>Division of Computing and Communication Foundations</t>
  </si>
  <si>
    <t>Jack Snoeyink</t>
  </si>
  <si>
    <t>AF CAREER/CRII Panel A</t>
  </si>
  <si>
    <t xml:space="preserve"> V,F,F,F/P</t>
  </si>
  <si>
    <t>31 rated projects: 3 HC, 12 C, 10 LC, 6 NC</t>
  </si>
  <si>
    <t xml:space="preserve">steffen.borgwardt@ucdenver.edu      </t>
  </si>
  <si>
    <t xml:space="preserve"> E,V,G,G/F</t>
  </si>
  <si>
    <t xml:space="preserve">haitao.wang@usu.edu      </t>
  </si>
  <si>
    <t xml:space="preserve"> E/V,V,V,V/G</t>
  </si>
  <si>
    <t xml:space="preserve">delpia@wisc.edu      </t>
  </si>
  <si>
    <t xml:space="preserve"> E,E,E/V,V/G</t>
  </si>
  <si>
    <t xml:space="preserve">yintat@uw.edu      </t>
  </si>
  <si>
    <t xml:space="preserve"> E/V,V,V,G</t>
  </si>
  <si>
    <t>Tracy J. Kimbrel</t>
  </si>
  <si>
    <t xml:space="preserve">karthe@illinois.edu      </t>
  </si>
  <si>
    <t>AF CAREER/CRII Panel B</t>
  </si>
  <si>
    <t xml:space="preserve"> E,E,V,V</t>
  </si>
  <si>
    <t>29 rated projects: 5 HC, 9 C, 11 LC, 4 NC</t>
  </si>
  <si>
    <t xml:space="preserve">francesco@cs.stonybrook.edu      </t>
  </si>
  <si>
    <t xml:space="preserve"> E,V,V/G,F</t>
  </si>
  <si>
    <t xml:space="preserve">jsolomon@mit.edu      </t>
  </si>
  <si>
    <t xml:space="preserve"> G,G,G,F</t>
  </si>
  <si>
    <t xml:space="preserve">solomon2@illinois.edu      </t>
  </si>
  <si>
    <t xml:space="preserve"> V,F,F,F</t>
  </si>
  <si>
    <t xml:space="preserve">craig@ucr.edu      </t>
  </si>
  <si>
    <t xml:space="preserve"> E,V,V,V</t>
  </si>
  <si>
    <t xml:space="preserve">Benjamin.Raichel@utdallas.edu      </t>
  </si>
  <si>
    <t xml:space="preserve">MATTHEW.GIBSON@UTSA.EDU      </t>
  </si>
  <si>
    <t xml:space="preserve">evouga@cs.utexas.edu      </t>
  </si>
  <si>
    <t xml:space="preserve"> V,V,V,V/G</t>
  </si>
  <si>
    <t xml:space="preserve">nayyeria@eecs.oregonstate.edu      </t>
  </si>
  <si>
    <t xml:space="preserve"> G,G,G</t>
  </si>
  <si>
    <t>Computer and Information Science and Engineering (CISE) Research Initiation Initiative</t>
  </si>
  <si>
    <t xml:space="preserve">hcharkhgard@usf.edu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</si>
  <si>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</si>
  <si>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</si>
  <si>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</si>
  <si>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</si>
  <si>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</si>
  <si>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</si>
  <si>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</si>
  <si>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</si>
  <si>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p172027,p172028,p180207,p180209</t>
  </si>
  <si>
    <t>7927</t>
  </si>
  <si>
    <t>COMPLEXITY &amp; CRYPTOGRAPHY</t>
  </si>
  <si>
    <t>7932</t>
  </si>
  <si>
    <t>COMPUT GAME THEORY &amp; ECON</t>
  </si>
  <si>
    <t>11</t>
  </si>
  <si>
    <t>Lin</t>
  </si>
  <si>
    <t>Valiant</t>
  </si>
  <si>
    <t>Scheinberg</t>
  </si>
  <si>
    <t>9</t>
  </si>
  <si>
    <t>WWONG</t>
  </si>
  <si>
    <t>KU0968186</t>
  </si>
  <si>
    <t>Pandurangan</t>
  </si>
  <si>
    <t>GopalPandurangan@gmail.com</t>
  </si>
  <si>
    <t>HP0953471</t>
  </si>
  <si>
    <t>Rao</t>
  </si>
  <si>
    <t>anuprao@cs.washington.edu</t>
  </si>
  <si>
    <t>1749414</t>
  </si>
  <si>
    <t>Moseley</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</si>
  <si>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</si>
  <si>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</si>
  <si>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</si>
  <si>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</si>
  <si>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</si>
  <si>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</si>
  <si>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RSHAH</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</si>
  <si>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</si>
  <si>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1749678</t>
  </si>
  <si>
    <t>Im</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</si>
  <si>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</si>
  <si>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</si>
  <si>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</si>
  <si>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</si>
  <si>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</si>
  <si>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</si>
  <si>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1749734</t>
  </si>
  <si>
    <t>Sidford</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</si>
  <si>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</si>
  <si>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</si>
  <si>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</si>
  <si>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</si>
  <si>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</si>
  <si>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1749747</t>
  </si>
  <si>
    <t>Weinstein</t>
  </si>
  <si>
    <t xml:space="preserve"> Panel Summary       
 Description: This proposal is focussed on attempting to find techniques to prove new lower bounds on data structure problems. The problems discussed in the proposal are of fundamental importance. Proving lower bounds is extremely challenging in computer science. There are few models where we truly have a full understanding of the complexity of computation. Communication complexity lies on one end of this spectrum (we know a lot about it), general models like circuits lies on the other end (there are many basic open questions). The data structures model seems to lie in between. At the same time, data structure problems are practically relevant._x000D_
_x000D_
_x000D_
Strengths_x000D_
_x000D_
+  There is a lot of space here for interaction with other kinds of research (for example understanding the complexity of computing polynomials)_x000D_
+ The technical part of the proposal with respect to data structure lower bounds is written very well with deep fundamental questions and proposed approaches. _x000D_
+ The problems posed are fundamental and some of the questions even if partly addressed (e.g., breaking the logarithmic barrier for static data structure lower bounds) will be significant theoretically._x000D_
_x000D_
_x000D_
Weaknesses_x000D_
- The second (and smaller) part of the proposal titled ?Information theory in modern distributed systems? is missing discussion of relevant work in distributed computing._x000D_
_x000D_
Broader Impact: _x000D_
_x000D_
Strengths:_x000D_
+ The proposal has a good community outreach component that promotes information theory in computer science and bridging different groups that are interested in the area._x000D_
+ The proposal lays out an interesting outreach program for high school students in New York City. _x000D_
_x000D_
Solicitation-specific criteria: _x000D_
The PI has developed a new course on the boundary of information theory and theoretical computer science bringing together researchers from both areas. The PI has also given several tutorials and survey talks and written survey articles._x000D_
_x000D_
Data Management Plan: adequate_x000D_
_x000D_
Justification for Panel Rating: _x000D_
The proposal would have been rated higher if the last part had more details. The proposal could be more competitive if the PI had a longer track record working on data structures. _x000D_
_x000D_
_x000D_
Panel Rating: _x000D_
_ Highly Competitive_x000D_
X Competitive_x000D_
_ Low Competitive_x000D_
_ Not Competitive_x000D_
The summary was read by/to the panel and the panel concurred that the summary accurately reflects_x000D_
the panel discussion._x000D_
_x000D_
_x000D_
_x000D_
</t>
  </si>
  <si>
    <t xml:space="preserve">In the context of the five review elements, please _x000D_
evaluate the strengths and weaknesses of the proposal with respect to intellectual merit._x000D_
_x000D_
Summary: This proposal addresses two majors directions using an information-theoretic approach: (1) data structure lower bounds in the cell probe model and (2) algorithms for distributed systems. It addresses fundamental open problems in establishing improved lower bounds  for static and dynamic data structures in the cell-probe model. It also explores connections to circuits and coding theory._x000D_
_x000D_
_x000D_
Strengths:_x000D_
_x000D_
1.	The technical part of the proposal with respect to data structure lower bounds is written very well with deep fundamental questions and proposed approaches._x000D_
_x000D_
2.	The PI has done a significant work in the area with many publications in top conferences. The PI demonstrates in-depth understanding of research in the area of data structure lower bounds  which has been active area of research in the theory community, especially in the last decade or so._x000D_
_x000D_
3.	The problems posed are fundamental and some of the questions even if partly addressed (e.g., breaking the logarithmic barrier for static data structure lower bounds) will be significant theoretically._x000D_
_x000D_
Weaknesses:_x000D_
1.	The main weakness is the second (and smaller) part of the proposal titled 'Information theory in modern distributed systems.'. This part is not well fleshed out and lacks understanding of significant research in distributed computing and literature done in this area. It is too generally titled, whereas the main focus is on a specific topic (asymmetric information for compressing sensing).  The MapReduce part is also not flesh out well with missing related work on connectivity and related problems in distributed computing._x000D_
_x000D_
2.	The proposal is titled too generally, while the bulk of the proposal focuses on lower bounds for data structures. It would be better if just this was the focus of the whole proposal._x000D_
_x000D_
_x000D_
In the context of the five review elements, please _x000D_
evaluate the strengths and weaknesses of the proposal with respect to broader impacts._x000D_
_x000D_
Strengths:_x000D_
1.	It has a good community outreach component that promotes information theory in computer science and bridging different groups that are interested in the area._x000D_
_x000D_
2.	Lays out an interesting outreach program for high school students in New York City._x000D_
_x000D_
Weaknesses:_x000D_
_x000D_
1. The proposal should elaborate on the industrial impact, in particular, on implementing algorithms and software package. Does the PI have prior experience on this?_x000D_
_x000D_
_x000D_
Please evaluate the strengths and _x000D_
weaknesses of the proposal with respect to any additional solicitation-specific review criteria, if _x000D_
applicable_x000D_
_x000D_
The integration of education and research is good._x000D_
_x000D_
Summary Statement_x000D_
_x000D_
This is a strong proposal if just confined to the first part, namely lower bounds for data structures. It poses fundamental open questions with credible approaches. The PI is very well-suited to undertake research in this area with many significant publications in data structure lower bounds. The practical impact is less clear, since in many cases the difficulty is closing at most a logarithmic  factor  gap._x000D_
_x000D_
</t>
  </si>
  <si>
    <t xml:space="preserve">In the context of the five review elements, please _x000D_
evaluate the strengths and weaknesses of the proposal with respect to intellectual merit._x000D_
_x000D_
This proposal is focussed on attempting to find techniques to prove new lower bounds on data structure problems. The problems discussed in the proposal are of fundamental importance. Proving lower bounds has proven to be extremely challenging in computer science. There are few models where we truly have a full  understanding of the complexity of computation. Communication complexity lies on one of this spectrum (we know a lot about it), general models like circuits like on the other end (there are many basic open questions). The data structures model seems to lie in between. At the same time, data structure problems are actually practically relevant._x000D_
_x000D_
As the PI's proposal illustrates, there is a lot of space here for interaction with other kinds of research (for example understanding the complexity of computing polynomials). Overall, I find the goals of the proposal ambitious, but a good target for this PI, who has a proven track record of succeeding on challenging problems in the past._x000D_
_x000D_
In the context of the five review elements, please _x000D_
evaluate the strengths and weaknesses of the proposal with respect to broader impacts._x000D_
_x000D_
The PI details several initiatives related to education that he is involved in and will be involved in. These involve interacting with high school students and broadly helping with STEM education at an early stage._x000D_
_x000D_
Please evaluate the strengths and _x000D_
weaknesses of the proposal with respect to any additional solicitation-specific review criteria, if _x000D_
applicable_x000D_
_x000D_
_x000D_
_x000D_
Summary Statement_x000D_
_x000D_
This proposal deserves to be funded._x000D_
_x000D_
</t>
  </si>
  <si>
    <t>HG0714371</t>
  </si>
  <si>
    <t>Rubinfeld</t>
  </si>
  <si>
    <t>ronitt@csail.mit.edu</t>
  </si>
  <si>
    <t xml:space="preserve">In the context of the five review elements, please _x000D_
evaluate the strengths and weaknesses of the proposal with respect to intellectual merit._x000D_
_x000D_
This proposal concerns the interplay between information, communication and computation, as applied to data structures and distributed computing.  This is an exciting research area with several cool breakthroughs.   The PI has suggested promising avenues for furthering_x000D_
the research, and has contributed several results in these directions._x000D_
_x000D_
The PI also proposes  a study of compressed sensing with asymmetric _x000D_
information for modeling communication in the internet-of-things, though these directions could be more fleshed out in the proposal._x000D_
_x000D_
PI is a promising young researcher._x000D_
_x000D_
In the context of the five review elements, please _x000D_
evaluate the strengths and weaknesses of the proposal with respect to broader impacts._x000D_
_x000D_
The PI will participate in Columbia programs to encourage STEM in K-12.  The PI is developing a new course on Information Theory in TCS, which is a very good contribution to the field._x000D_
_x000D_
Please evaluate the strengths and _x000D_
weaknesses of the proposal with respect to any additional solicitation-specific review criteria, if _x000D_
applicable_x000D_
_x000D_
_x000D_
_x000D_
Summary Statement_x000D_
_x000D_
+ Exciting area with good directions_x000D_
+ PI has good track record_x000D_
+ good broader impacts_x000D_
_x000D_
_x000D_
_x000D_
</t>
  </si>
  <si>
    <t>AS1006560</t>
  </si>
  <si>
    <t>Zuckerman</t>
  </si>
  <si>
    <t>anup.rao@gmail.com</t>
  </si>
  <si>
    <t xml:space="preserve">In the context of the five review elements, please _x000D_
evaluate the strengths and weaknesses of the proposal with respect to intellectual merit._x000D_
_x000D_
The PI proposes a strong research program of proving lower bounds for data structures in the prominent cell probe model. The PI suggest proving important lower bounds, such as a super constant lower bound on the number of queries required for an explicit static problem using space n^1.01.   The PI has a good track record, having proved lower bounds for the membership problem in the static case when the space is only a small additive amount above the information theoretic minimum, and a query lower bound of roughly log^{1.5} n in the dynamic case for 2D weighted range counting._x000D_
_x000D_
There are also interesting connections with locally decodable codes._x000D_
_x000D_
A weakness is that given the state of the art, breaking the barriers that the PI identifies seems very difficult, so it's not clear a breakthrough is imminent._x000D_
_x000D_
_x000D_
In the context of the five review elements, please _x000D_
evaluate the strengths and weaknesses of the proposal with respect to broader impacts._x000D_
_x000D_
The PI wants to bridge the gap between Electrical Engineering and Computer Science, do educational outreach to underrepresented groups, and have impact in industry._x000D_
_x000D_
Please evaluate the strengths and _x000D_
weaknesses of the proposal with respect to any additional solicitation-specific review criteria, if _x000D_
applicable_x000D_
_x000D_
_x000D_
_x000D_
Summary Statement_x000D_
_x000D_
This is a very good proposal about using information theoretic methods to prove lower bounds._x000D_
_x000D_
</t>
  </si>
  <si>
    <t>1750032</t>
  </si>
  <si>
    <t>Thaler</t>
  </si>
  <si>
    <t xml:space="preserve"> Panel Summary       
 Description: _x000D_
The main goal is to understand the approximate degree and threshold degree of Boolean functions.  The approximate degree is the minimum degree of a real-valued polynomial that is always within 1/3 of the Boolean function on inputs over {0,1}.  This has many applications and is a fundamental measure.  The PI proposes to improve lower bounds on AC0 functions, among other problems.  The PI also proposes work on Verifiable Computing, which amounts to making interactive proofs zero-knowledge and succinct in practical settings.  _x000D_
_x000D_
Intellectual Merit:_x000D_
Strengths_x000D_
  + The PI had a strong FOCS 2017 paper giving an n^{1-a} lower bound on approximate degree for an AC0 function, for any a&gt;0._x000D_
  + Approximate and threshold degree are fundamental and have applications to various lower bounds._x000D_
  + The PI improved previous runtime of prover in Verifiable Computing._x000D_
  + Well written and creative, with ideas to solve the different problems._x000D_
_x000D_
Weaknesses_x000D_
  - Track record somewhat below top-ranked proposals, though still very good._x000D_
_x000D_
Broader Impact:_x000D_
Strengths_x000D_
  + VC software developed by the PI could have significant influence; his previous implementations have been used by multiple security groups._x000D_
  + Has spoken at summer schools, given tutorials, mentored students with disabilities, and plans to continue._x000D_
_x000D_
Weaknesses_x000D_
_x000D_
Suggestions to PI: _x000D_
Keep up the good work. With a longer track record, this could fare even better against the extremely stiff competition._x000D_
_x000D_
Justification for Panel Rating:  This was a strong proposal, earning a "competitive" ranking against stiff competition.  The somewhat lower track record prevented an even higher ranking._x000D_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</si>
  <si>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is about understanding several somewhat related research directions in understanding the complexity of  boolean functions. The first set of questions concerns the degree of representations of boolean functions as polynomials. These are very basic questions related to both mathematics and computer science, and there is a lot of work to be done to improve our understanding of them. The approximate degree has played a crucial role in some lower bounds for other models, most notably in proving lower bounds on the randomized communication complexity of disjointness in the number-on-forehead model._x000D_
_x000D_
Another direction the PI proposes has to do with efficiently verifiable computation. This is an area with many interesting theoretical questions, and the PI has an established record of proving strong results._x000D_
_x000D_
_x000D_
In the context of the five review elements, please _x000D_
evaluate the strengths and weaknesses of the proposal with respect to broader impacts._x000D_
_x000D_
The PI has already made several important contributions in terms of code, and exposition. He has delivered lectures to a wide audience and seems well placed to continue this good work._x000D_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</si>
  <si>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This proposal will study the methodology of use of polynomials to understand complexity theoretic aspects of functions, referred to as "the polynomial method".  The PI plans to apply this method to a broader class of functions, building on previous work.  The PI gives a number of directions with reason to believe that he will make progress.  This work may impact quantum algorithms, circuit complexity and learning theory._x000D_
_x000D_
The second part of the proposal will work on verifiable computing, focusing on interactive proofs that are zero-knowledge and succinct._x000D_
_x000D_
In prior work, the PI has done creative work and has suggested very nice directions._x000D_
_x000D_
In the context of the five review elements, please _x000D_
evaluate the strengths and weaknesses of the proposal with respect to broader impacts._x000D_
_x000D_
The PI is a creator and current contributor of an open source library that is widely used in government/industry._x000D_
_x000D_
The PI has spoken at summer schools, given tutorials and is mentoring students with disabilities._x000D_
_x000D_
The PI is designing a course on streaming, and another on probabilistic proof systems._x000D_
_x000D_
Please evaluate the strengths and _x000D_
weaknesses of the proposal with respect to any additional solicitation-specific review criteria, if _x000D_
applicable_x000D_
_x000D_
_x000D_
_x000D_
Summary Statement_x000D_
_x000D_
+ the research direction is compelling_x000D_
+ the PI has a strong track record_x000D_
+ the broader impacts are impressive_x000D_
_x000D_
</t>
  </si>
  <si>
    <t>HQ0947191</t>
  </si>
  <si>
    <t>Saha</t>
  </si>
  <si>
    <t>barna@cs.umass.edu</t>
  </si>
  <si>
    <t xml:space="preserve">In the context of the five review elements, please _x000D_
evaluate the strengths and weaknesses of the proposal with respect to intellectual merit._x000D_
_x000D_
The proposal proposes to make progress on our understanding of polynomial method which has been extremely influential in theoretical computer science. _x000D_
_x000D_
The first part of the proposal concentrates on approximate degree and threshold degree of functions, use of dual polynomials to establish lower bounds and connection to quantum query complexity. The proposal also identifies various learning algorithms where the method could be useful. The PI also considers communication analog of approximate degree, the UPP communication model, and several important new directions there._x000D_
_x000D_
In the second part, the PI proposes an ambitious project of developing practical verifiable computing protocols, by developing more efficient IP protocols that also have additional nice properties._x000D_
_x000D_
Summary of strength and weakness: The proposal is well-written with clear direction given to solve each problem._x000D_
_x000D_
In the context of the five review elements, please _x000D_
evaluate the strengths and weaknesses of the proposal with respect to broader impacts._x000D_
_x000D_
Broader impact is adequate and PI has an impressive track record in that direction such as developing software._x000D_
_x000D_
Please evaluate the strengths and _x000D_
weaknesses of the proposal with respect to any additional solicitation-specific review criteria, if _x000D_
applicable_x000D_
_x000D_
_x000D_
_x000D_
Summary Statement_x000D_
_x000D_
Overall, I think the questions posed in the proposal are very important and the PI has provided a nice plan on how they can be solved._x000D_
_x000D_
</t>
  </si>
  <si>
    <t xml:space="preserve">In the context of the five review elements, please _x000D_
evaluate the strengths and weaknesses of the proposal with respect to intellectual merit._x000D_
_x000D_
The PI proposes questions about understanding the minimum degree of a polynomial that approximates certain functions, or the even smaller threshold degree.  The PI had a very nice result in FOCS 2017 using dual polynomials to show that there's a function in AC0 with approximate degree at least n^{1-a} for any a&gt;0. He would like to give a linear lower bound for a function in AC0. The PI also wants to apply approximate degree in the study of learning algorithms._x000D_
_x000D_
In addition, the PI proposes to study the UPP model of communication complexity, where the players only have to be correct with probability greater than 1/2.  This is equivalent to the study of sign rank of matrices.   _x000D_
_x000D_
Finally, the PI proposes work on Verifiable Computing: to make interactive proofs zero-knowledge and succinct in practical settings. Whereas the original interactive proofs in the IP=PSPACE required the prover to spend superpolynomial time even for simple problems, the PI has improved later work by others to achieve prover runtime O(s log s) if the problem is solvable by an arithmetic circuit of size s.  This work could be impactful._x000D_
_x000D_
These are all interesting questions. The PI's track record is fairly good, especially recently with two FOCS 2017 papers. The main weakness is that those are his only STOC/FOCS publications, though he has published in other good venues._x000D_
_x000D_
In the context of the five review elements, please _x000D_
evaluate the strengths and weaknesses of the proposal with respect to broader impacts._x000D_
_x000D_
VC software developed by the PI could have significant influence; his previous implementations have been used by multiple security groups._x000D_
_x000D_
Please evaluate the strengths and _x000D_
weaknesses of the proposal with respect to any additional solicitation-specific review criteria, if _x000D_
applicable_x000D_
_x000D_
_x000D_
_x000D_
Summary Statement_x000D_
_x000D_
Nice proposal about understanding function representations by polynomials over the reals. The work on verifiable computing could have practical impact. The PI has a good track record, though maybe slightly below several other PIs._x000D_
_x000D_
</t>
  </si>
  <si>
    <t>Algebraic structure in the form of approximation or exact computation by low-degree polynomials arises frequently in computer science. The study of such structure is called the polynomial method, and it has led to many celebrated results in theoretical computer science over the last 50 years. Still, serious gaps remain in our understanding of its power. This project seeks to improve our understanding of known formulations of the polynomial method, and to develop new formulations to solve major open problems.The first part of this proposal focuses on two basic formulations of the polynomial method, called approximate degree and threshold degree, that have many applications. As one example, quantum computers have the potential to be vastly more efficient (for some problems) than today's classical computers, and approximate degree is one of the most promising tools available for understanding their power, because the approximate degree of a function is a lower bound on its quantum query complexity._x000D_
     Despite their applications, approximate and threshold degree are poorly understood. To address this, the PI has spent several years developing a relatively new technique for proving approximate degree lower bounds, called the method of dual polynomials. Until this past year, the method had been applied only to very special functions, yet recent work of the PI has, for the first time, applied the method to broad classes of functions. As a result, it is now poised to resolve the approximate and threshold degrees of many basic functions. A key goal of the proposed research is to accomplish this. Via established applications, this will profoundly impact the fields of quantum algorithms (where it is likely to imply the optimality of a variety of quantum algorithms), circuit complexity (where it will resolve the complexity of shallow circuits under basic complexity measures), and learning theory (where it will characterize the power of important objects including halfspace learners and deep nets)._x000D_
     While approximate and threshold degree are powerful notions, this proposal also identifies several major open problems in theoretical computer science that they cannot address, and puts forth new polynomial-based notions of structure with the goal of solving these problems._x000D_
_x000D_
The proposal's second part focuses on verifiable computing (VC). VC refers to cryptographic protocols enabling an untrusted prover to provide a guarantee to a verifier that the prover performed a computation correctly. Efficient VC systems would enable a wide variety of applications. For example, entities that offload data processing to the cloud could obtain guarantees that the cloud is operating correctly._x000D_
     Seminal theoretical results showed that VC protocols can solve much more challenging problems than can traditional (NP) proofs, and the last six years have seen major progress in building VC systems verging on practicality. The PI played a founding role in these efforts, producing the first implementation of a general-purpose VC system (concurrently with one other work), and he continues to play a leading role in the area. The PI's current work targets a specific approach to VC systems, namely interactive proofs (IPs), because IPs generally have lower costs than competing approaches. But IPs lack two key properties, called zero-knowledge and succinctness, and this has limited their applicability. The goal of the proposed research is to overcome the limitations of IPs without sacrificing their advantages. This will yield general-purpose non-interactive zero-knowledge proofs (NIZKs) that are more efficient and apply to a wider variety of applications than current constructions. NIZKs are VC protocols that also protect privacy, and they have many applications in cryptography, such as to emerging blockchain technologies.The proposed research will produce useful software, including a general-purpose toolchain producing efficient NIZKs. The PI has a record of impact via such software dissemination. For example, the PI is a co-creator of an open source library of streaming algorithms that is used widely in industry and government, and his IP implementations have been incorporated into systems built by multiple security research groups. The PI will continue to disseminate research to a broad range of communities via tutorials, summer schools, and written surveys. A major goal of this outreach will be maximizing understanding among researchers and practitioners of the capabilities of the resulting implementations.</t>
  </si>
  <si>
    <t>1750075</t>
  </si>
  <si>
    <t>Razaviyayn</t>
  </si>
  <si>
    <t>18</t>
  </si>
  <si>
    <t xml:space="preserve"> Panel Summary       
 Description: The main objective of this project is to fundamentally improve our understanding of optimization problems that arise in the context of mixture model inference and develop large-scale optimization procedures with theoretical performance guarantees for solving them. There are four high-level research tasks: (i) looking at the maximum-likelihood estimation (MLE) problem for Gaussian mixture models and studying how to avoid local optima when using the expectation-maximization (EM) algorithm; (ii) looking at MLE algorithms and more general optimization techniques and showing their convergence to local optima; (iii) creating better algorithms for the transcriptome sequencing problem in computational biology; and (iv) improving out-of-sample performance by using an approximate estimator for cross-validation instead of computing the exact cross-validation function._x000D_
_x000D_
Intellectual Merit:_x000D_
_x000D_
Strengths_x000D_
  + The PI has preliminary work in the area of the proposal (especially for the second task)._x000D_
  + The proposal is well organized and the PI has identified a number of interesting questions that are non-overlapping but are addressable in parallel._x000D_
_x000D_
Weaknesses_x000D_
  - Much of the proposed research (especially Tasks 1, 3, and 4) consists of making changes to existing techniques and then using numerical experiments to understand their behavior. It was not obvious how this proposal could result in novel theoretical results and contributions._x000D_
  - It was unclear how much the proposed mixture models deviate from just assuming that the underlying data can be nicely clustered; especially for task 3, the PI seems to directly assume clustering of the underlying data._x000D_
  - Some panelists noted that the proposed research plan might not be ambitious enough for a CAREER proposal; either a stronger theoretical component or a more solid evaluation component should be included in the proposal. _x000D_
  - Some panelists noted that the proposed application to computational biology is a weakness, since this part of the research plan was poorly developed and the PI has no prior work in this domain._x000D_
_x000D_
Broader Impact:_x000D_
_x000D_
Strengths_x000D_
  + The proposed educational plan was above average, including outreach to high schools. The PI seems to already have performed such outreach activities._x000D_
  + The PI has secured a collaboration letter from an industrial partner for his work on analyzing transcriptome data._x000D_
_x000D_
Weaknesses_x000D_
  - Some panelists noted that even if successful, this proposal will have limited impact in the machine learning and data mining communities._x000D_
_x000D_
Solicitation-specific criteria: The panel concurred that the integration of research and education was adequate._x000D_
_x000D_
Data Management Plan: _x000D_
_x000D_
The data management plan was deemed adequate by the panel._x000D_
_x000D_
Suggestions to PI: The panelists suggested that the PI should consider explaining in more detail the novelty of the proposed work as well as possible approaches and new theoretical insights that may emerge. The discussion of the broader impact of the proposed work in machine learning and data mining should also be improved._x000D_
_x000D_
Justification for Panel Rating: A well-written proposal with above average broader impact, at least from an educational perspective. However, there were many concerns regarding the intellectual merit (especially in terms of novel theoretical contributions) of the proposed work._x000D_
_x000D_
Panel Rating:_x000D_
_ Highly Competitive_x000D_
_ Competitive_x000D_
_ Low Competitive_x000D_
X Not Competitive_x000D_
_x000D_
The summary was read by/to the panel and the panel concurred that the summary accurately reflects the panel discussion. 
</t>
  </si>
  <si>
    <t>MBASU</t>
  </si>
  <si>
    <t>P180211</t>
  </si>
  <si>
    <t xml:space="preserve"> Comp Bio Career Virtual Panel</t>
  </si>
  <si>
    <t xml:space="preserve"> Panel Summary       
 CAREER Panel Summary _x000D_
_x000D_
Objective of the proposed work:_x000D_
_x000D_
This CAREER proposal aims to make contributions to both theory and application of algorithms for mixture models, which are popular tools for describing observations of heterogeneous populations with subpopulation structures. The specific tasks include theoretical exploration of the likelihood landscape of mixture models, design of scalable algorithms for optimization, and applications to sequencing data in computational biology. _x000D_
_x000D_
_x000D_
Overview of reviews:_x000D_
_x000D_
This proposal was reviewed by 4 reviewers in the panel. One reviewer rated the proposal 'Very Good', while the other 3 reviewers were less enthusiastic. The main concern identified by most reviewers was the lack of connection between the first two aims and the last two aims. For example, the proposal does not demonstrate how the activities or results in Aims 1 and 2 relate to or guide those in the latter aims. The simulations in aim 1 show the landscape with respect to the means, while the goal of aim 3 is to estimate the mixture probabilities. Without a strong running thread connecting the aims, it is difficult to appreciate the proposal as a coherent story, rather than loose components put together. Another concern was that the PI does not have track record in computational biology, but the panel did recognize that the PI has a strong background in optimization. _x000D_
_x000D_
_x000D_
_x000D_
Panel Discussion:_x000D_
Intellectual Merit: _x000D_
_x000D_
STRENGTHS:_x000D_
_x000D_
The proposed work will address mixture model inference problems that present significant challenges due to their combinatorial and non-convex nature._x000D_
_x000D_
The PI has a strong record of publication at the interface of optimization and machine learning._x000D_
_x000D_
The application to long read sequencing data is both interesting and challenging. Established collaboration and supporting letter from researchers in PacBio._x000D_
_x000D_
WEAKNESSES:_x000D_
_x000D_
The preliminaries in aim 1 do not show enough information and intuition with respect to how the analysis can be extended to larger K. _x000D_
_x000D_
There is lack of connection between the first two aims and the last two aims, both technicially and conceptually. _x000D_
_x000D_
Except for aim 3, the other aims lack specifics in terms of application, datasets or simulation setting, etc. More specifics can strengthen those aims. _x000D_
_x000D_
Lack of published track record in computational biology._x000D_
_x000D_
Lack of convincing evaluation plan. _x000D_
_x000D_
_x000D_
	_x000D_
Broader Impacts:_x000D_
STRENGTHS:_x000D_
_x000D_
The proposed research and education plans are well integrated. _x000D_
_x000D_
The high-school outreach plan is comprehensive._x000D_
_x000D_
Efficient use of the existing outreach programs offered by the PI's institution. _x000D_
_x000D_
_x000D_
WEAKNESSES:_x000D_
_x000D_
No significant weaknesses identified. _x000D_
_x000D_
_x000D_
_x000D_
CAREER RESPONSIVENESS: _x000D_
- This proposal aims to address important and challenging problems with combinatorial and non-convex nature, and can lead to a career long contributions to research, education and their integrations. _x000D_
- Strong letter from the department chair, including departmental support, alignment of teaching duties and research, as well as mentoring by senior colleagues._x000D_
_x000D_
_x000D_
_x000D_
Panel Recommendation:_x000D_
_x000D_
Low Competitive_x000D_
_x000D_
The panel recommendation was "Low Competitive". The enthusiasm of the panel was dampened by the lack of coherence and coordination among the proposed aims, as well as lack of specific connections between theoretical aims and applications, datasets, or simulations. _x000D_
_x000D_
_x000D_
This summary was read by/to the panel, and the panel concurred that the summary accurately reflects the panel discussion._x000D_
</t>
  </si>
  <si>
    <t>ZT0899648</t>
  </si>
  <si>
    <t>Anshelevich</t>
  </si>
  <si>
    <t>eanshel@cs.rpi.edu</t>
  </si>
  <si>
    <t xml:space="preserve">In the context of the five review elements, please _x000D_
evaluate the strengths and weaknesses of the proposal with respect to intellectual merit._x000D_
_x000D_
This is a proposal focused on optimization and numerical methods, mostly for problems related to mixture models. There are four high-level research tasks: (1) Looking at the MLE problem for Gaussian mixture models, and studying how to avoid local optima when using the EM algorithm. The PI has preliminary work; it is for small K (the number of Gaussians being mixed) saying that either there are no local optima at all, or it is possible to avoid them with appropriate initialization. (2) Looking at MLE algorithms and more general optimization techniques, and showing their convergence to local optima (3) Creating better algorithms for the transcriptome sequencing problem in computational biology (4) Improving out-of-sample performance by using an approximate estimator for cross-validation instead of computing the exact cross-validation function._x000D_
_x000D_
_x000D_
Strengths:_x000D_
_x000D_
+ For Task 2, the PI has lots of preliminary work on showing when various optimization methods converge, and is likely to make a nice impact._x000D_
_x000D_
+ The applications to computational biology are nice and concrete; it seems likely that this project would result in some well-performing new tools for these problems._x000D_
_x000D_
_x000D_
Weaknesses:_x000D_
_x000D_
- For Task 1, it is really not clear how much insight the proposed work will yield about EM in Gaussian Mixture models. The preliminary work consists essentially of observations about very simple special cases, and it is not clear how these would be generalized (the PI does not really talk about this). The main conjectures are also only for very special cases, and the PI does not really say how they will be proved, except by saying that they seem to hold in numerical experiments._x000D_
_x000D_
- For Task 2, which is the task for which the PI seems especially qualified, very little details are given, or indication how to proceed, or even definitions of the algorithms the PI is analyzing and the issues involved. While this seems like the most promising direction, it is very difficult to tell its importance and feasibility without more detail._x000D_
_x000D_
- For Task 3, it seems that this is not even a mixture model: instead each sample comes from one specific transcript instead of being a combination of them. This is why clustering works. Why is using a mixture model a good idea here? There needs to be a better comparison with existing work, especially since the proposed technique seems to be essentially clustering based on prefixes._x000D_
_x000D_
- Much of the proposed research (especially Tasks 1, 3, and 4) consists of making new (although possibly important) changes to existing techniques, and then using numerical experiments to understand their behavior. It does not seem like this proposal is planning to spend much time in proving theorems about algorithm behavior, or getting further insight into this behavior. Certainly the PI does not talk about how they would do this._x000D_
_x000D_
_x000D_
Suggestions for Improvements: I would suggest focusing on one or two tasks, and really explaining the novelty of the proposed work, the ideas in preliminary work, the possible approaches and comparing with what has been tried, and the new theoretical insights that may result. The other tasks could also be mentioned, but only as an extra possible direction._x000D_
_x000D_
_x000D_
In the context of the five review elements, please _x000D_
evaluate the strengths and weaknesses of the proposal with respect to broader impacts._x000D_
_x000D_
Strengths:_x000D_
_x000D_
+ Course development, mentoring grad students and undergrads (PI has a history of mentoring undergrads)_x000D_
_x000D_
+ High-school outreach (the PI already does this)_x000D_
_x000D_
+ Collaboration with industry in bioinformatics (has collaboration letter)_x000D_
_x000D_
Please evaluate the strengths and _x000D_
weaknesses of the proposal with respect to any additional solicitation-specific review criteria, if _x000D_
applicable_x000D_
_x000D_
_x000D_
_x000D_
Summary Statement_x000D_
_x000D_
A proposal in an important area with nice applications, but not enough details about the proposed research are given, or what new theoretical insights would be likely._x000D_
_x000D_
_x000D_
</t>
  </si>
  <si>
    <t xml:space="preserve">In the context of the five review elements, please _x000D_
evaluate the strengths and weaknesses of the proposal with respect to intellectual merit._x000D_
_x000D_
The main objective of this project is to fundamentally improve our understanding of optimization problems that arise in the context of for mixture model inference and develop large-scale optimization procedures with theoretical performance guarantees for solving them. The PI claims that the proposed tools and algorithms will be more broadly applicable and will cover other non-convex problems._x000D_
_x000D_
The PI is building upon recent work that has shown that many nonconvex optimization problems that arise in machine learning can actually lead to efficient algorithms, contrary to the common view that non-convexity is akin to intractability. Within this domain, the PI seeks to work on optimization problems that arise in finite mixture distributions that are a common statistical model in many scientific disciplines. I am not convinced that the overall proposal is sufficiently ambitious and visionary; the proposal consists of a number of specific tasks that will result in a number of papers but, in total, do not seem to rise to a sufficiently broad CAREER plan. The evaluation plan of the proposed tasks in real data is rather weak and the computational biology tasks that the PI seeks to tackle necessitate background and outreach in computational biology that the PI seems to be lacking (there is one support letter towards that end, but the PI does not seem to have significantly published in biology venues in the past)._x000D_
_x000D_
In the context of the five review elements, please _x000D_
evaluate the strengths and weaknesses of the proposal with respect to broader impacts._x000D_
_x000D_
The broader impact of this proposal is above average, at least from an educational perspective. The PI has a well thought-out plan for outreach to high schools and has already established the necessary connections._x000D_
_x000D_
Please evaluate the strengths and _x000D_
weaknesses of the proposal with respect to any additional solicitation-specific review criteria, if _x000D_
applicable_x000D_
_x000D_
See above discussion._x000D_
_x000D_
Summary Statement_x000D_
_x000D_
An OK proposal from an intellectual merit perspective. An above average proposal with respect to broader impacts in education._x000D_
_x000D_
</t>
  </si>
  <si>
    <t>SH0824834</t>
  </si>
  <si>
    <t>Heber</t>
  </si>
  <si>
    <t>sheber@ncsu.edu</t>
  </si>
  <si>
    <t xml:space="preserve">In the context of the five review elements, please _x000D_
evaluate the strengths and weaknesses of the proposal with respect to intellectual merit._x000D_
_x000D_
The PI's research goals target investigation and algorithm design for large scale mixture model inference target function landscapes, a novel approach to improve out-of-sample performance, and the development of long-read transcriptome sequencing algorithms._x000D_
+ The proposed research aims are creative and original._x000D_
- Except for research task 3 (Pacific Bioscience long read sequence analysis) and a brief section in task 4 no specific application areas, data sets, or collaborations are described. In my opinion, the chance of success of the proposed research could be improved by focusing on specific problems and seeking corresponding collaborations with application scientists. _x000D_
- Evaluation metrics are missing._x000D_
- The research aims are not well-coordinated. It appears that aims 1 and 2 build on each other, while aims 3 and 4 are independent. The proposal states that the proposed aims are parallel tasks. However, working in parallel on four research tasks is quite challenging. The proposal could be improved by a detailed timeline. _x000D_
+ the planned collaboration with Pacific Biosciences is promising; the project could be further strengthened if an additional collaboration with an application scientist in this space is sought._x000D_
+ the PI has a good publication record and has access to sufficient resources for the proposed work._x000D_
+ Data Management Plan and Departmental Support Letter are appropriate._x000D_
_x000D_
In the context of the five review elements, please _x000D_
evaluate the strengths and weaknesses of the proposal with respect to broader impacts._x000D_
_x000D_
The education and outreach thrust includes course development, graduate and undergraduate student mentoring, organization of student reading groups, and outreach to high school students and teachers via the Neighborhood Academic Initiative (NAI) and the Viterbi Adopt-a-School Adopt-a-Teacher (VAST) program. The VAST program focuses on PreK-12 students and teachers, while the NAI program targets under-privileged and immigrant students. The PI plans to integrate his research into these activities._x000D_
_x000D_
Please evaluate the strengths and _x000D_
weaknesses of the proposal with respect to any additional solicitation-specific review criteria, if _x000D_
applicable_x000D_
_x000D_
_x000D_
_x000D_
Summary Statement_x000D_
_x000D_
The proposal lists interesting research goals. However, the proposed tasks are not sufficiently developed and coordinated. In particular, specific areas of application should be identified, and evaluation metrics should be identified. It would also be useful to expand the description of a long-term career plan around the proposed activities. The education and outreach activities are appropriate._x000D_
_x000D_
</t>
  </si>
  <si>
    <t>SK0956952</t>
  </si>
  <si>
    <t>Honavar</t>
  </si>
  <si>
    <t>vhonavar@ist.psu.edu</t>
  </si>
  <si>
    <t xml:space="preserve">In the context of the five review elements, please _x000D_
evaluate the strengths and weaknesses of the proposal with respect to intellectual merit._x000D_
_x000D_
This CAREER proposal aims to advance the theory and practice of algorithms for mixture model inference problems which present significant challenges due to their combinatorial and non-convex nature to develop scalable algorithms with strong theoretical performance guarantees. The resulting algorithms will be applied to problems in machine learning (e.g., optimizing out-of-sample predictive performance and in computational biology (e.g., long-read transcriptome sequencing). Anticipated results include new theoretical understanding of combinatorial and non-convex optimization problems arising in mixture model inference, and practical mixture model inference algorithms for large-scale machine learning and computational biology applications._x000D_
_x000D_
Strengths:_x000D_
Improved understanding of non-convex optimization problems that arise in mixture model inference can have significant impact on the theory and practice of machine learning, as well as a wide range of applications of mixture models, including computational biology. _x000D_
_x000D_
The PI has a strong record of publication at the interface of optimization and machine learning. _x000D_
_x000D_
The proposed research is well-conceived, well-organized, well-motivated, and built on a solid foundation of related work by the PI._x000D_
_x000D_
The approach to generalizing the analysis by relaxing the Gaussian assumption and the observation that the local optima are informative when the number of components in the mixture model exceeds 3 are both insightful and likely to lead to breakthroughs in our understanding of mixture models. _x000D_
_x000D_
Mixture model inference algorithms where in the number of mixture components defined_x000D_
on finite alphabets is large are ubiquitous in computational biology applications such as de_x000D_
novo long-read transcriptome sequencing._x000D_
_x000D_
_x000D_
Any advances in establishing the convergence of successive convex approximations (SCA) method and that of the alternating direction method of multipliers (ADMM) to local optima in the presence of saddle points are important from the standpoint of practical algorithms for large-scale non-convex optimization problems that arise in machine learning and other applications. _x000D_
_x000D_
The proposed approach to computational procedures for direct optimization of out-of-sample performance in statistical learning  (as opposed to the common practice of learning statistical models over a training set; and then adjusting regularizers using cross-validation) offers a fundamentally different and novel approach that if successful, could lead to a paradigm shift in machine learning._x000D_
_x000D_
Weaknesses_x000D_
_x000D_
The only potential  weakness has to do with the lack of detail in some of the theoretical aspects of the proposed work, which is not atypical of theoretical proposals._x000D_
_x000D_
In the context of the five review elements, please _x000D_
evaluate the strengths and weaknesses of the proposal with respect to broader impacts._x000D_
_x000D_
Strengths: _x000D_
_x000D_
The results of the proposed work would directly impact machine learning (using mixture models)  and computational biology (especially transcriptome sequencing), and indirectly benefit non-convex optimization. _x000D_
_x000D_
Broad dissemination of scalable open-source implementations of the  resulting non-convex optimization algorithms would benefit the broader machine learning, optimization, and computational biology communities. _x000D_
_x000D_
The plans for integrating research on non-convex optimization into education and training of students is well-conceived. _x000D_
_x000D_
The PI is especially well-positioned to develop a course on large-scale optimization for data science. Such a course is likely to be well-received by the emerging graduate and undergraduate programs in the Data Sciences. _x000D_
_x000D_
The project will benefit the research-based training of graduate and undergraduate students in an increasingly important area at the interface of optimization and data science._x000D_
_x000D_
The plans for outreach to high school students through USC Neighborhood Academic Initiative (NAI) and Viterbi Adopt-a-School Adopt-a-Teacher (VAST) programs to develop and distribute lesson plans to high school students and teachers are well-conceived._x000D_
_x000D_
The PI's engagement with NAI, along with his past track-record of success in broadening the participation of members of under-represented groups in research  careers in STEM disciplines, bode well for the success of similar efforts by the PI._x000D_
_x000D_
_x000D_
Please evaluate the strengths and _x000D_
weaknesses of the proposal with respect to any additional solicitation-specific review criteria, if _x000D_
applicable_x000D_
_x000D_
This CAREER proposal has all of the key elements of needed to lay the  foundation for a lifetime of contributions to research, education and their integration: Strong preparation for a successful research career in the chosen field; a strong track record of research and publication at the interface of non-convex optimization and machine learning; a well-motivated, well-articulated, innovative and compelling research plan built on a strong foundation of prior work, and with a high likelihood of impact within and beyond the discipline (benefited in part by careful focus on compelling applications in machine learning and computational biology), and credible plans for integrating research and education, including engagement of graduate and undergraduate students in research, and broadening the participation of underrepresented groups in STEM disciplines._x000D_
_x000D_
Summary Statement_x000D_
_x000D_
This is a very strong CAREER proposal, with compelling intellectual merits and a high likelihood of impact within and beyond the discipline (at the interface of optimization and data science). In the opinion of this reviewer, this proposal should have high priority for support._x000D_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</si>
  <si>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interesting questions related to inference and optimization under various mixture models.  The proposal itself is extremely well organized and clear -- doing an exemplary job of showing how the problems that are targeted have clear impact not only on their own domain but across domains.  The research is ambitious but also extremely focused and clear._x000D_
_x000D_
2. To what extent do the proposed activities suggest and explore creative, original, or potentially transformative concepts?_x000D_
_x000D_
The questions that are intended to be addressed are interesting and have the potential to be transformative in a number of application areas including computational biology and gene sequencing.  As the target is general optimization models there are a number of opportunities for impact.  I would have liked to see a bit more discussion of how these results could be applied in other areas or how much generalization could be extracted from the questions that are posed._x000D_
_x000D_
3. Is the plan for carrying out the proposed activities well-reasoned, well-organized, and based on a sound rationale? Does the plan incorporate a mechanism to assess success?_x000D_
_x000D_
The plan is very well organized and the PI has identified a number of interesting questions that are non-overlapping but are addressable in parallel.  This structure makes sure that the PI will not get "stuck" but at the same time several of these streams have interesting applications.  Methods of success include releasing code and publications._x000D_
_x000D_
4. How well qualified is the individual, team, or institution to conduct the proposed activities?_x000D_
_x000D_
The PI has a track record of releasing software (a proposed broader impact) and the research questions are clearly in line with the PIs past expertise._x000D_
_x000D_
5. Are there adequate resources available to the PI (either at the home institution or through collaborations) to carry out the proposed activities?_x000D_
_x000D_
Has the support of his home institution as well as support for the applications in biology through outreach to local companies._x000D_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Overall broader impacts are good -- includes resources for outreach within the local community and under-served populations -- not clear how these activities exactly intersect with the content of the proposal but that is not a major issue.  The research broader impacts are well covered by the outreach with local companies and there is a clear path to impact there._x000D_
_x000D_
2. To what extent do the proposed activities suggest and explore creative, original, or potentially transformative concepts?_x000D_
_x000D_
Outreach to local companies and the targeted nature of the proposal means that there is a high likelihood for broader impact w.r.t. the proposed research directions _x000D_
_x000D_
The course proposed by the PI is interesting and unique._x000D_
_x000D_
3. Is the plan for carrying out the proposed activities well-reasoned, well-organized, and based on a sound rationale? Does the plan incorporate a mechanism to assess success?_x000D_
_x000D_
The plan is well reasoned.  While there is not a clear metric for success the programs that the PI is supporting have a track record of success._x000D_
_x000D_
4. How well qualified is the individual, team, or institution to conduct the proposed activities?_x000D_
_x000D_
In terms of working with industry the PI has a successful track record which will help ensure the success of the proposed broader impacts. However, the PI has some experience in working with high school students but none with high-school teachers so hopefully there are resources through the identified programs to ensure success there._x000D_
_x000D_
5. Are there adequate resources available to the PI (either at the home institution or through collaborations) to carry out the proposed activities?_x000D_
_x000D_
The PI has been in contact with a good number of local companies and outreach organizations to help deliver the proposed impacts.  Funds are allocated to work with teachers and towards broader impacts which is good._x000D_
_x000D_
_x000D_
Please evaluate the strengths and _x000D_
weaknesses of the proposal with respect to any additional solicitation-specific review criteria, if _x000D_
applicable_x000D_
_x000D_
_x000D_
_x000D_
Summary Statement_x000D_
_x000D_
An interesting and strong proposal which will focus on advancing the state of the art in probabilistic mixture models and their applications to computational biology.  An interesting and diverse set of questions is very well specified and opportunities to translate research to impact through coordination with local companies and teaching outreach in local communities is identified._x000D_
_x000D_
_x000D_
</t>
  </si>
  <si>
    <t>JP0857163</t>
  </si>
  <si>
    <t>Qin</t>
  </si>
  <si>
    <t>zhaohui.qin@emory.edu</t>
  </si>
  <si>
    <t xml:space="preserve">In the context of the five review elements, please _x000D_
evaluate the strengths and weaknesses of the proposal with respect to intellectual merit._x000D_
_x000D_
In this research project,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I doubt the impact would be significant. Despite the fact that Finite Mixture Model is useful in many applications, it is not suitable for the big data scenario the PI wanted to apply it to. Essentially, Finite Mixture Model is ideal for small number of clusters case and when the number of clusters is easy to be decided on. For more complex scenario, infinite mixture model is much more flexible (no need to know the number of clusters a priori) and have been widely adopted and preferred over Finite Mixture Model. I do not understand why the PI never acknowledge this. This reviewer does not believe it is worth considering to apply Finite Mixture Model to any complex real data case unless there is compelling reason to believe what the true "K" should be which is extremely rare. In complex real data scenarios, the number of clusters is often being considered as a "nuisance" parameter. It is not important scientifically and only needed as a required parameter in the statistical model. But in Finite Mixture Model, special effort has to be made to decide on that which is not appealing._x000D_
_x000D_
The PI emphasizes the application on computational biology. But to my disappointment, the computational biology component is very small and weak. Only one application is described and the problem is very specific, even if successful (which I doubt), the impact would be extremely limited.   _x000D_
_x000D_
The computational biology problem is described as "de novo transcriptome sequencing" which seems a misnomer. I think the PI meant "de novo transcriptome assembly" or "de novo transcriptome quantification". There is no evidence to suggest the PI has never conducted any research in computational biology before, and it seems that the PI has limited knowledge in this topic. The problem that the PI is trying to solve is much more complicated than what is described in the proposal. To frame the problem as a 'clustering" problem is over-simplified. The reference cited "[25]" never mentioned "ICE" approach. And I have no idea what it is referring to. _x000D_
_x000D_
The PI has solid training and seems well versed in the optimization field of research and he has been very productive. And the PI has access to great resource at USC. It is noted that the PI has no previous research experience in computational biology. _x000D_
_x000D_
_x000D_
In the context of the five review elements, please _x000D_
evaluate the strengths and weaknesses of the proposal with respect to broader impacts._x000D_
_x000D_
The broad impact of the research to biology and other fiends is not convincing at the present form. The real world application is not well thought out and articulated. There is little evidence that the PI has made effort to really understand the scientific problems in other disciplines.  _x000D_
_x000D_
The PI is committed in education of graduate, undergraduate as well as high school students. The Pi has developed a nice educational plan._x000D_
_x000D_
Please evaluate the strengths and _x000D_
weaknesses of the proposal with respect to any additional solicitation-specific review criteria, if _x000D_
applicable_x000D_
_x000D_
_x000D_
_x000D_
Summary Statement_x000D_
_x000D_
In this application,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this reviewer has major concern whether the research will have a high impact since there are more powerful methods than finite mixture model for solving problems related to clustering big data. The proposed application to computational biology is a major weakness since the research plan there seems poorly developed. And there is no evidence that the research proposed here will be useful in the broader computational biology field. _x000D_
_x000D_
_x000D_
</t>
  </si>
  <si>
    <t>JE0931898</t>
  </si>
  <si>
    <t>Qiu</t>
  </si>
  <si>
    <t>peng.qiu@bme.gatech.edu</t>
  </si>
  <si>
    <t xml:space="preserve">In the context of the five review elements, please _x000D_
evaluate the strengths and weaknesses of the proposal with respect to intellectual merit._x000D_
_x000D_
This project focuses on finite mixture models, which are popular tools to describe observations of heterogeneous populations with subpopulation structures. The proposed research is motivated by the difficulties of parameters optimization in mixture models due to their non-convex and combinatorial nature, as well as the big-data challenge in many disciplines, in particular, sequencing data in genomics applications. _x000D_
_x000D_
Strengths:_x000D_
_x000D_
- The proposed aims in this project attempts to make contributions from both the theoretical perspective and the applications. _x000D_
_x000D_
- Aim 3 describes an interesting application in genomics. Due to the error rate of long read sequencing data, analysis of such data often requires special preprocessing or special modeling considerations. Large mixture models can be useful tools here, but I do have some reservation regarding the example here, which is mentioned in the weaknesses below. _x000D_
_x000D_
- Established collaboration with PacBio, which provide the technology to generate long read sequencing data in Aim 3. _x000D_
_x000D_
- Aim 4 is intriguing, using an approximation of the cross valudation to derive a gradient with respect to tuning parameters, which can guide the efficient tuning of these parameters. Although it does not seem to be applicable to discrete tuning parameters (e.g. number of nodes and layers in deep learning), I think this is a neat contribution, and the PI already showed that this can be applied to regularizatoin parameters. _x000D_
_x000D_
- The PI has strong track record and is well-suited to carry out the proposed research. _x000D_
_x000D_
_x000D_
Weaknesses:_x000D_
_x000D_
- Aim 1 describes the structure of the cost surface of MLE in several special cases of GMM with small number of components, and proposes to investigate cases with larger K. Although these are interesting exercices, this aim seems to be a bit disconnected to the remaining of the proprosal. It is unclear whether any general result can be obtained for large K. _x000D_
_x000D_
- Still related to Aim 1, regarding the observed pattern for K=3 where two of the estimated means are close to each other, is this because of the symmetry in the model, or because of the dimensionality of the data being too low, or something else? I would appreciate some discussions on more insights to the intuituion behind what gives rise to such pattern, rather than just saying we saw it and we clevered bypassed it. _x000D_
_x000D_
- In Aim 3, the result shown in Figure 9 seems too good to be true. Given the estimated transcript accuracy of ICE reported in [25], or more precisely the TOFU pipeline, the ICE/TOFU algorithm already showed excellent performance. The vertical axis in Figure 9 appears to be in log-scale. It is unclear why there is such a huge gap between the proposed method and [25], especially in terms of false positives. This result is probably generated using some simulated data. I wonder what simulation setting made the proposed method behave so much better than [25], and the next question is whether the simulation setting used here reflects what people see in real data. _x000D_
_x000D_
- The example used in Figure 8 is essentially a divisive hierarchical clustering algorithm, where the abundance threshold serves as a stopping criterion. Yes, the abundance quantification at each layer can be performed by mixture models where the number of transcripts (nodes) is fixed. Therefore, the only thing that needs to be estimated are the \rho's. Referring back to GMM, this is a setting where the \mu and \sigma of all the gaussian components are known, and only the mixing probabilities are estimated. However, aim 1 focused on examples of estimating the means. This echos my earlier comment that aim 1 seems to be disconnected from the other aims._x000D_
_x000D_
_x000D_
In the context of the five review elements, please _x000D_
evaluate the strengths and weaknesses of the proposal with respect to broader impacts._x000D_
_x000D_
_x000D_
Strengths: _x000D_
- The education plan includes developments at both graduate and undergraduate level. _x000D_
_x000D_
- The plan on high school outreach is described in details, showing the PI is already spending efforts on this. _x000D_
_x000D_
- The Viterbi VAST and NAI programs provide excellent platforms and support for the PI's outreach plan. _x000D_
_x000D_
_x000D_
_x000D_
Please evaluate the strengths and _x000D_
weaknesses of the proposal with respect to any additional solicitation-specific review criteria, if _x000D_
applicable_x000D_
_x000D_
_x000D_
_x000D_
Summary Statement_x000D_
_x000D_
This project aims to make contributions to both theory/algorithm and applications. Although aim 1 asks interesting questions, it seems to be a bit disconnected. Aims 3 and 4 are the more exciting aims. In the summary page, the Intellectual Merit section mentioned many extremely interesting questions, which raised my interests and expectations of the proposal. However, I felt that the research plan did not really deliver enough answers / conjectures to half of them. The application in genomics is quite focused and thus narrow. It may strengthen the proposal if the PI describe more computational biology applications, and also include briefly descriptions of the biological validation. _x000D_
_x000D_
_x000D_
</t>
  </si>
  <si>
    <t xml:space="preserve">In the context of the five review elements, please _x000D_
evaluate the strengths and weaknesses of the proposal with respect to intellectual merit._x000D_
_x000D_
This proposal is about mixture model inference optimization problems. The author proposes to develop new practically applicable algorithms for such problems. While I found the problems compelling, I did not find much in the proposal to support what kinds of techniques or theoretical insights might lead to improvements. In addition, it was not clear how the proposed research may be connected to other theoretical problems studied in computer science or elsewhere._x000D_
_x000D_
In the context of the five review elements, please _x000D_
evaluate the strengths and weaknesses of the proposal with respect to broader impacts._x000D_
_x000D_
The research questions proposed by the author have many practical applications, and progress on them would be very nice._x000D_
_x000D_
Please evaluate the strengths and _x000D_
weaknesses of the proposal with respect to any additional solicitation-specific review criteria, if _x000D_
applicable_x000D_
_x000D_
_x000D_
_x000D_
Summary Statement_x000D_
_x000D_
The proposed research is of high practical importance, but seems to lack the theoretical depth I would like to see for this program._x000D_
_x000D_
</t>
  </si>
  <si>
    <t>HP0916892</t>
  </si>
  <si>
    <t>Shehu</t>
  </si>
  <si>
    <t>amarda@cs.gmu.edu</t>
  </si>
  <si>
    <t xml:space="preserve">In the context of the five review elements, please _x000D_
evaluate the strengths and weaknesses of the proposal with respect to intellectual merit._x000D_
_x000D_
Strengths:_x000D_
_x000D_
Work on finite mixture models that utilize structure in an optimization landscape is in itself interesting._x000D_
_x000D_
PI Expertise: The PI has a strong background in optimization._x000D_
_x000D_
The PI has adequate resources._x000D_
_x000D_
Weaknesses:_x000D_
_x000D_
The a priori information on K is limiting, and it is not clear how finite mixture models provide an advantage over infinite mixture models._x000D_
_x000D_
The PI has no published track record in computational biology._x000D_
_x000D_
No indication is provided on what theoretically-sound properties will be pursued or demonstrated._x000D_
_x000D_
In the context of the five review elements, please _x000D_
evaluate the strengths and weaknesses of the proposal with respect to broader impacts._x000D_
_x000D_
Strengths:_x000D_
_x000D_
The high-school outreach plan is comprehensive._x000D_
_x000D_
Weaknesses:_x000D_
_x000D_
The project is narrow in scope and can benefit from a tighter connection with computational biology problems. There could possibly be other areas that can benefit from the proposed research, but the PI misses an opportunity in this respect._x000D_
_x000D_
Though preliminary data are related for Task 2, it is unclear whether the proposed activities will make a broader impact in computational biology._x000D_
_x000D_
It is also unclear that the proposed activities will make a more general contribution. For instance, in the context of big data, does the PI expect the same structure in the landscape? The proposal does not generalize from a few shown examples or provide some intuition for why the proposed techniques will be more than a neat but narrow-scope exercise._x000D_
_x000D_
Please evaluate the strengths and _x000D_
weaknesses of the proposal with respect to any additional solicitation-specific review criteria, if _x000D_
applicable_x000D_
_x000D_
_x000D_
_x000D_
Summary Statement_x000D_
_x000D_
This project proposes efficient and theoretically-sound optimization_x000D_
algorithms in finite mixture model inference. The focus is on large_x000D_
and multi-dimensional datasets with many clusters. The formulation_x000D_
under finite mixture models and the under-developed connection with_x000D_
problems of relevance in computational biology raise doubts on the_x000D_
impact of the proposed research activities. The planned educational_x000D_
and outreach activities are very good._x000D_
_x000D_
</t>
  </si>
  <si>
    <t>The ability and flexibility of finite mixture distributions to model the presence of subpopulations within an overall population has made them popular across almost all engineering and scientific disciplines. However, the theory and algorithms for mixture model inference problems are little understood beyond special cases, such as Gaussian mixture models (GMM). Moreover, most of the existing algorithms with theoretical performance guarantees are not scalable to the modern applications of massive size. This is mainly due to the combinatorial and non-convex nature of the underlying optimization problems. This project aims to fundamentally improve our understanding of these optimization problems and develop large-scale optimization procedures with theoretical performance guarantees for solving them. _x000D_
   Despite being motivated by the inference problems in mixture models, the tools and analyses in this project will cover many other non-convex problems as discussed in the proposal.It is expected that the results of the proposed research include:_x000D_
- Answers to fundamental open questions on mixture model inference optimization problems: What are the critical points of a ?typical? objective function? Are all local optimal points globally optimal? Are spurious local optima informative? What is the chance of being trapped in local optima?_x000D_
- Scalable algorithms for computation of ?informative? critical points in non-convex statistical learning problems. These developments will include first order optimization procedures which can escape saddle points of the constrained optimization problems. To date, there is no known algorithm with such favorable property in the optimization community._x000D_
- Efficient computational procedures for direct optimization of out-of-sample performance in statistical learning. To date, the common practice is to learn statistical models over a training set; and then adjust regularizers to achieve optimal out-of-sample performance using cross-validation. This project suggests a fundamentally different framework by optimizing cross-validation functions directly._x000D_
- Development and implementation of publicly available algorithms and software package(s) for long-read transcriptome sequencing problem in computational biology. This problem, which is in fact a mixture model inference problem, is central to biological applications. To date, there is no efficient algorithm/software package with statistical guarantees for this task.The results of this proposal are expected to indirectly affect many scientific disciplines due to the wide-applicability of mixture models and other similar non-convex optimization problems. Moreover, the resulting algorithms and software packages will have direct impact on the transcriptome sequencing and abundance estimation in computational biology. These results, which are developed with close close collaboration with industrial partners, will be available under open source license on GitHub.com._x000D_
The integration of research and education plan in this project includes: development of a new graduate level course, mentoring students, organizing reading groups for students in different departments, and establishing research connections between academia and industry. Central to the educational plan of this proposal is the outreach to high school students through USC Neighborhood Academic Initiative (NAI) and Viterbi Adopt-a-School Adopt-a-Teacher (VAST) programs to develop and distribute lesson plans to high school students and teachers.</t>
  </si>
  <si>
    <t>1750118</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</si>
  <si>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</si>
  <si>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</si>
  <si>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</si>
  <si>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</si>
  <si>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</si>
  <si>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</si>
  <si>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1750127</t>
  </si>
  <si>
    <t>Nagarajan</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</si>
  <si>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</si>
  <si>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</si>
  <si>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</si>
  <si>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</si>
  <si>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</si>
  <si>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</si>
  <si>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1750140</t>
  </si>
  <si>
    <t>Panigrahi</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</si>
  <si>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</si>
  <si>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</si>
  <si>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</si>
  <si>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</si>
  <si>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</si>
  <si>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</si>
  <si>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1750302</t>
  </si>
  <si>
    <t>Dinitz</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</si>
  <si>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</si>
  <si>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</si>
  <si>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</si>
  <si>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</si>
  <si>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</si>
  <si>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</si>
  <si>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1750333</t>
  </si>
  <si>
    <t>Ene</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</si>
  <si>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</si>
  <si>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</si>
  <si>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</si>
  <si>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</si>
  <si>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</si>
  <si>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1750344</t>
  </si>
  <si>
    <t xml:space="preserve"> Panel Summary       
 Description: This proposal is about working with noisy data. There are 3 main lines of problems discussed: learning from compressed data, list-decodable learning, and computation involving humans.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List decodable learning asks if it is possible to return multiple hypothesis out of which at least one is correct such as returning two lines for solving linear regression. _x000D_
PI asks how to discover truth in a crowd-sourcing setting, list decoding truth, emulating multiplicative weight updated method to penalize those who give wrong answer etc._x000D_
_x000D_
_x000D_
Strengths_x000D_
The PI has a track record of outstanding and highly influential results. _x000D_
This project will likely continue that trend._x000D_
The PI does a good job of motivating and presenting various applications. _x000D_
_x000D_
Weaknesses_x000D_
Although the high level goals of the proposal were explained well, it does not contain enough concrete details about the proposed research. It would be a better proposal if it contained concrete models to capture the problems being discussed in the proposal, as well as including more partial attempts and technical barriers to solving the problems._x000D_
The proposal does not explicitly specify the kinds of learning algorithms would be  studied under the compressed data model._x000D_
Past work on streaming algorithms, sketching and crowdsourcing has not been adequately discussed._x000D_
The proposal needs more discussion of techniques used and conjectures or partial attempts for algorithms or lower bounds._x000D_
_x000D_
Broader Impact: _x000D_
+ past work of the PI has had a big influence in other scientific fields _x000D_
_x000D_
_x000D_
Solicitation-specific criteria: _x000D_
The PI has an award-winning track record of teaching. The PI has also innovated greatly on course content and philosophy, in a very interesting and effective way. _x000D_
_x000D_
Data Management Plan: adequate_x000D_
_x000D_
Suggestions to PI: The proposal would be rated higher if it contained concrete models to capture the problems being discussed in the proposal, including partial attempts and technical barriers to solving the problems._x000D_
_x000D_
_x000D_
_x000D_
Justification for Panel Rating: _x000D_
The panel acknowledges that the PI has a strong track record, and is doing important work. The main drawback of the current proposal is a lack of detail about concrete models for the problems discussed, discussion about the technical barriers involved, and partial/failed attempts to solve the problems. _x000D_
_x000D_
_x000D_
Panel Rating: _x000D_
_ Highly Competitive_x000D_
_ Competitive_x000D_
X Low Competitive_x000D_
_ Not Competitive_x000D_
_x000D_
_x000D_
The summary was read by/to the panel and the panel concurred that the summary accurately reflects_x000D_
the panel discussion._x000D_
_x000D_
</t>
  </si>
  <si>
    <t xml:space="preserve">In the context of the five review elements, please _x000D_
evaluate the strengths and weaknesses of the proposal with respect to intellectual merit._x000D_
_x000D_
This proposal deals with so called 'flaky data' and proposes sublinear algorithms, i.e., algorithms that use only a small part of the data to solve various tasks._x000D_
_x000D_
_x000D_
Strengths:_x000D_
_x000D_
1.	The notion of algorithms for flaky data is interesting and seems a relatively new paradigm proposed by the PI. Flaky data are those that are corrupted and algorithms that can handle such data will be very useful in practice as well. It is worthwhile to address the theoretical issues that arise._x000D_
_x000D_
2.	The PI does a good job of motivating and presenting various applications. The proposal reads well._x000D_
_x000D_
3.	The PI has done strong work  publishing in top conferences and is qualified to do this research._x000D_
_x000D_
Weaknesses:_x000D_
_x000D_
1.	The connection between sublinear algorithms and flaky  data is not compelling. Sublinear algorithms have been studied extensively with a clear motivation of using less  time or space (these are not covered here very much). Here doing the same for flaky data seems to make it far more challenging. It seems that these are two different issues and the proposal is not very convincing in promoting this new concept._x000D_
_x000D_
2.	Many of the problems are informally described. It is better to concretely identify key questions and state them rigorously. Many of the preliminary works presented also are quite informal and somewhat vague. _x000D_
_x000D_
_x000D_
In the context of the five review elements, please _x000D_
evaluate the strengths and weaknesses of the proposal with respect to broader impacts._x000D_
_x000D_
_x000D_
_x000D_
Strengths:_x000D_
_x000D_
1.  Algorithms that work on unreliable data has potential for various applications. The project mentions several motivating scenarios._x000D_
_x000D_
2.	The PI has a strong teaching record and proposes to integrate as much as possible his research into both graduate and undergraduate teaching._x000D_
_x000D_
Weaknesses:_x000D_
_x000D_
None,_x000D_
_x000D_
_x000D_
Please evaluate the strengths and _x000D_
weaknesses of the proposal with respect to any additional solicitation-specific review criteria, if _x000D_
applicable_x000D_
_x000D_
The project integrates education and research well._x000D_
_x000D_
Summary Statement_x000D_
_x000D_
This is an interesting, somewhat speculative proposal that targets certain niche data problems where the data might be unreliable or corrupted and the goal is to process the data to answer certain queries  using less data. While the concept is ambitious, the proposal does not concretely identify key mathematical questions to tackle and then propose concinving preliminary work. The teaching component of the proposal is strong._x000D_
_x000D_
</t>
  </si>
  <si>
    <t xml:space="preserve">In the context of the five review elements, please _x000D_
evaluate the strengths and weaknesses of the proposal with respect to intellectual merit._x000D_
_x000D_
This proposal is about working with noisy data. There are 3 main lines of problems discussed: learning from compressed data, list-decodable learning, and computation involving humans. I found the proposal to be well-written, but short on technical details and motivation. I would have liked to see more evidence that the PI has spent time identifying potential avenues of ideas that might lead to solutions to the problems he proposes._x000D_
_x000D_
For the problem of learning from compressed data, where the algorithm itself is compressing data and then learning from it, the problem seems identical to sketching/data structures except that the number of queries is small (or 1 in the case of the example given in the proposal). I found the motivation given for this setting unconvincing. _x000D_
_x000D_
The problem of list-decodable learning seems more interesting to me, and the example of estimating the histogram of means is interesting. I would have liked to see more details about the techniques used and conjectures or partial attempts for algorithms or lower bounds. With human-in-the-loop computation, the model is less clear, and again, the proposal is low on technical details._x000D_
_x000D_
_x000D_
In the context of the five review elements, please _x000D_
evaluate the strengths and weaknesses of the proposal with respect to broader impacts._x000D_
_x000D_
The proposal has a solid plan for impact on education, with a strong past track record of successes._x000D_
_x000D_
Please evaluate the strengths and _x000D_
weaknesses of the proposal with respect to any additional solicitation-specific review criteria, if _x000D_
applicable_x000D_
_x000D_
_x000D_
_x000D_
Summary Statement_x000D_
_x000D_
This proposal considers some interesting and novel problems. The problems should be better justified in terms of their technical merit and potential tractability._x000D_
_x000D_
</t>
  </si>
  <si>
    <t xml:space="preserve">In the context of the five review elements, please _x000D_
evaluate the strengths and weaknesses of the proposal with respect to intellectual merit._x000D_
_x000D_
The PI proposes to work on sublinear algorithms for "flaky data".  _x000D_
The directions have the potential of being important and highly innovative.  A first direction on learning on compressed data deliberately introduces noise (as might happen in differential privacy).  An example of mean estimation is given to motivate a model of what should be required by the algorithm.   Further generalizations to higher dimensions are proposed.   A second direction -- "list decodable learning" is well motivated.  Finally, "human in the loop"_x000D_
computation is considered.  Some of the questions seem similar to bandit problems, and if so, the relationship should be discussed._x000D_
_x000D_
The PI has a track record of outstanding and highly influential results which have had impact well beyond Computer Science. This project will likely continue that trend, though it would be good to give more specific details on the plan of attack._x000D_
_x000D_
In the context of the five review elements, please _x000D_
evaluate the strengths and weaknesses of the proposal with respect to broader impacts._x000D_
_x000D_
The PI has a good track record of teaching (received a very prestigious award).  The PI has also innovated greatly on course content and philosophy, seemingly in a very interesting and effective way._x000D_
_x000D_
_x000D_
_x000D_
Please evaluate the strengths and _x000D_
weaknesses of the proposal with respect to any additional solicitation-specific review criteria, if _x000D_
applicable_x000D_
_x000D_
_x000D_
_x000D_
Summary Statement_x000D_
_x000D_
intellectual merit:_x000D_
+ interesting proposal_x000D_
+ PI has strong track record_x000D_
- questions could be fleshed out more clearly_x000D_
_x000D_
Broader impact:_x000D_
+ innovative teacher in terms of classroom format as well as viewpoint on material (award winning)_x000D_
+ influence in other scientific fields_x000D_
_x000D_
</t>
  </si>
  <si>
    <t xml:space="preserve">In the context of the five review elements, please _x000D_
evaluate the strengths and weaknesses of the proposal with respect to intellectual merit._x000D_
_x000D_
The proposal plans to develop sublinear algorithms for flaky data, specifically learning on compressed data, list decodable learning and handling human error._x000D_
_x000D_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_x000D_
List decodable learning asks if it is possible to return multiple hypothesis out of which at least one is correct such as returning two lines for solving linear regression._x000D_
_x000D_
PI asks how to discover truth in a crowd-sourcing setting, list decoding truth, emulating multiplicative weight updated method to penalize those who give wrong answer etc. _x000D_
_x000D_
Strength and Weakness: The proposal only touches few problems at a very high level without concretely formalizing any problem. For example, what kind of learning algorithms will be studied under compressed data model. Same question applies to other sections._x000D_
_x000D_
There is such a huge literature on streaming algorithms and sketching method, discussion of which is missing. The proposal just briefly talks about count-min sketch. _x000D_
_x000D_
There is also a huge literature on crowdsourcing algorithms and on inferring true answers. It is unclear what new things this proposal is going to bring in the front._x000D_
_x000D_
_x000D_
_x000D_
_x000D_
_x000D_
In the context of the five review elements, please _x000D_
evaluate the strengths and weaknesses of the proposal with respect to broader impacts._x000D_
_x000D_
Broader impact just mentions about PI's qualification as teacher. It would be good to include other impacts that the proposal can bring._x000D_
_x000D_
Please evaluate the strengths and _x000D_
weaknesses of the proposal with respect to any additional solicitation-specific review criteria, if _x000D_
applicable_x000D_
_x000D_
_x000D_
_x000D_
Summary Statement_x000D_
_x000D_
Overall, developing sublinear algorithms over noisy data is important, but the proposal is not structured well, and does not clearly specify the concrete problems that it will tackle._x000D_
_x000D_
</t>
  </si>
  <si>
    <t>The internet contains a vast amount of data, much of it of dubious accuracy, authenticity, impartiality, or integrity. This project aims to adapt the techniques of machine learning and statistics to apply in this newly crucial realm of what we call "flaky data". We adopt the "sublinear algorithms" approach, where we seek algorithms that make decisions in much less time than it would take to process all the relevant data. Sublinear algorithms is a rapidly developing area embracing techniques for quickly "sketching" a synopsis of data that enables broad and nuanced analyses based only on a small approximate sketch of the original data, enabling drastically faster approximate answers to queries about the - potentially very large - original data. Such sketches, however, tend to rely on precise assumptions about the original data that are violated in several ways in the real world. The aim of this project is to draw on the proposer's experience in developing key sublinear statistical estimation algorithms, in order to extend the reach of sublinear algorithms to many practically relevant regimes of unreliable data where no existing algorithms apply.The intellectual merit of the proposed work consists of bringing together several recent lines of algorithmic work to illuminate an area that looks poised to become an interdisciplinary locus of activity. This project aims to create algorithms that are powerful, yet robust. It also aims to develop a toolbox of techniques to get the most use from valuable data. There is enormous potential impact for results in this problem area, as a growing understanding of the settings in which we can robustly compute on unreliable data will shape the next generation of designs for interactive online platforms.First, developing practical algorithms that work despite unreliable data will have a broad impact because unreliable data occurs everywhere on the internet. Both internet companies and internet users would use and benefit from these advances. Second, the project will spark broadly interdisciplinary interest in its developments because the challenges raised touch on so many areas, from the computational fields of machine learning and data science to the areas of mathematics and statistics that underpin the techniques of this project. Finally, this project will have a positive impact on both undergraduate and graduate education, through the proposer's practice of of integrating research ideas into teaching through student projects and presentations, as well as an interactive teaching style that promotes both the development of communication skills and engagement between theory and practice.</t>
  </si>
  <si>
    <t>1750436</t>
  </si>
  <si>
    <t>Mehta</t>
  </si>
  <si>
    <t xml:space="preserve"> Panel Summary       
  Description: _x000D_
This proposal aims to tackle many important and fundamental problems in equilibrium computation. In particular, the PI will investigate complexity classes PPAD, CLS and PLS, which are for total search problems. Some of the key questions proposed include what the hardness of constant approximation for computing Nash equilibrium is, whether there are complete problems for CLS, how PPAD and PLS relate to each other. _x000D_
_x000D_
Intellectual Merit: _x000D_
_x000D_
Strengths_x000D_
  + The  research plan has a clear, overarching theme. The questions being asked are very ambitious: some of the questions have been open for a long time. Despite that, the PI has done a great job fleshing out short-term questions and new approaches to tackle the longer-term questions. _x000D_
 + The proposed research will likely contribute to novel approximation algorithms for long-standing open problems and/or shed light on the complexity of search problems. _x000D_
+ The PI is well known and has an excellent track record in this area. She is very qualified to carry out the proposed research. _x000D_
_x000D_
Weaknesses_x000D_
- As the PI mentioned, Harrow et al.'s recent work has used SoS based approach to provide answers to the questions proposed in Section 3.1. It will be helpful if the PI can discuss how her independent approach differs from that of Harrow et al., whether the approach could refine or improve the results of Harrow et al. and what further results can be expected here. _x000D_
_x000D_
Broader Impact: _x000D_
_x000D_
Strengths_x000D_
  + The course development and mentoring plans are interesting. Students include a female PhD student._x000D_
  + The PI has organized workshops, and will do it again _x000D_
  + The PI is developing a module for high-school on game theory_x000D_
_x000D_
Solicitation-specific criteria: _x000D_
+ Integration of education and research is good._x000D_
- The PI mentioned the CS+Econ program. It will further strengthen the integration if the PI can discuss how her course would fit in with the new program. _x000D_
_x000D_
Data Management Plan: _x000D_
Adequate_x000D_
_x000D_
What is bold, exciting, high risk/reward, or potentially transformative? _x000D_
The research agenda is very ambitious, but includes a set of well carved out problems. Solving these problems will help close long-standing, important open problems. _x000D_
_x000D_
Justification for Panel Rating:  _x000D_
An ambitious proposal with a clear, coherent theme and well-reasoned problems. The panel has some concerns on how Harrow et al.'s recent work affects the proposed research in section 3.1. _x000D_
_x000D_
Panel Rating: 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</si>
  <si>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make progress on many important and fundamental problems in equilibrium computation. The PI plans to investigate the complexity classes CLS, PLS, and PPAD, which are the most fundamental classes of search problems (problems which always have a solution, and the goal is to find such a solution). The focus in on applying techniques from modern approximation algorithms like the sum-of-squares approach and SDP hierarchies to form better approximation algorithms for various computation problems, on smoothed complexity, and on analyzing how these three classes are related and the exact structure of CLS (specifically understanding the problem EoPL and whether it is CLS-complete). This proposal is likely to either come up with novel approximation algorithms for long-standing open problems, or give large insights into the complexity of search problems._x000D_
_x000D_
Strengths:_x000D_
_x000D_
+ The questions being asked are very ambitious: some of the questions have been open for a long time and many researchers have been working on them. That said, the PI does a good job in proposing concrete short-term questions and some new approaches for studying longer-term ones. Even if the big open questions are not solved, there are likely to be important insights obtained from this proposal._x000D_
_x000D_
+ The proposal is ambitious as befits a CAREER proposal, and has a clear overall theme. The PI is very qualified, and has either preliminary work, or at least some idea on how to proceed, for most of the research directions._x000D_
_x000D_
+ In regards to specific research directions: (1) Looking at EoPL and how it relates to class CLS is important, as it would give an intuitive and coherent picture of how these three complexity classes relate to each other. (2) Using techniques from modern approximation algorithms like SoS for equilibrium computation and related problems is clearly worthwhile, and has already met with some success. (3) Showing good smoothed complexity for various search problems in PLS is extremely interesting, and would give great support for using local search algorithms for such search problems. It is very encouraging that the PI has already had some success in this._x000D_
_x000D_
Weaknesses:_x000D_
_x000D_
- The PI could probably compare with some of the existing work a bit more thoroughly. While the PI provides possible approaches for many of the research directions, it is difficult to evaluate how promising these approaches are._x000D_
_x000D_
In the context of the five review elements, please _x000D_
evaluate the strengths and weaknesses of the proposal with respect to broader impacts._x000D_
_x000D_
Strengths:_x000D_
_x000D_
+ Graduate and undergraduate course development, students including a female PhD student_x000D_
_x000D_
+ The PI has a history of mentoring female students_x000D_
_x000D_
+ The PI has organized workshops, and will do it again_x000D_
_x000D_
+ The PI is developing a module for high-school on game theory_x000D_
_x000D_
Please evaluate the strengths and _x000D_
weaknesses of the proposal with respect to any additional solicitation-specific review criteria, if _x000D_
applicable_x000D_
_x000D_
_x000D_
_x000D_
Summary Statement_x000D_
_x000D_
An ambitious proposal on fundamental open problems in equilibrium computation; the PI is very qualified and this is likely to result in some nice insights. _x000D_
_x000D_
_x000D_
</t>
  </si>
  <si>
    <t xml:space="preserve">In the context of the five review elements, please _x000D_
evaluate the strengths and weaknesses of the proposal with respect to intellectual merit._x000D_
_x000D_
This proposal aims to tackle a set of complexity theoretic and algorithmic questions on Nash and market equilibrium computation. In particular, it considers complexity classes, PPAD, CLS and PLS, all related to total search problems. It is well known that computing Nash equilibrium for matrix games is PPAD-complete. Many results have been developed in the literature for equilibrium computation. However, some important questions in this domain remain open for decades. The PI focuses on a set of such open questions in this proposal, including trying to understand whether PTAS algorithms exists for PPAD-complete equilibrium computation, to develop complete problems for the CLS class, and establish the relation between PPAD and PLS. _x000D_
_x000D_
The techniques and approaches that the PI plans to use include sum-of-squares, beyond worst-case analysis, and conditional lower bound. _x000D_
_x000D_
The PI has proposed to solve some very challenging and long-standing open complexity theoretic questions. She has an excellent track record in this area and is one of the few people who are qualified to solve these problems._x000D_
_x000D_
In the context of the five review elements, please _x000D_
evaluate the strengths and weaknesses of the proposal with respect to broader impacts._x000D_
_x000D_
+ The research may have spillover effects to other scientific areas, such as algorithmic game theory, economics, approximation algorithms._x000D_
_x000D_
_x000D_
Please evaluate the strengths and _x000D_
weaknesses of the proposal with respect to any additional solicitation-specific review criteria, if _x000D_
applicable_x000D_
_x000D_
Adequate integration of research and education, through course development and student training. _x000D_
_x000D_
_x000D_
Summary Statement_x000D_
_x000D_
A solid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</si>
  <si>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focuses on advancing the state of the art in questions of computational complexity for a number of interesting problems and classes related to TFNP.  Settling a number of these complexity questions could have impact in a diverse set of subfields in across CS and possibly beyond._x000D_
_x000D_
2. To what extent do the proposed activities suggest and explore creative, original, or potentially transformative concepts?_x000D_
_x000D_
The questions addressed in the proposal are all interesting and potentially transformative depending on the direction that they are settled in.  A number of practical results could emerge from the exploration of the complexity questions enumerated and their approximations.  The questions are well grounded and the PI does a good job of providing intuition and understanding of these questions._x000D_
_x000D_
3. Is the plan for carrying out the proposed activities well-reasoned, well-organized, and based on a sound rationale? Does the plan incorporate a mechanism to assess success?_x000D_
_x000D_
The questions identified are interesting and the PI does a good job of positioning her past work w.r.t. her ability to address the various questions.  Some of these are ambitious open problems but providing intuition on the attack plan is very good._x000D_
_x000D_
In places the proposal gets a bit too into the details and consequently is not as developed as it could be in terms of explaining the importance of the questions.  Specifically, the mechanisms for impact include handing implementation off to undergrads, which is not ideal.  Also, there are no resources committed to fund this part of the work and the PI does not have a track record of releasing software._x000D_
_x000D_
4. How well qualified is the individual, team, or institution to conduct the proposed activities?_x000D_
_x000D_
The individual is well qualified to undertake the proposed research having published extensively in the field.  As is evidenced below she has a strong network of researchers to help her in this task._x000D_
_x000D_
5. Are there adequate resources available to the PI (either at the home institution or through collaborations) to carry out the proposed activities?_x000D_
_x000D_
The PI has a strong network of researchers who have committed to work with her on the proposal.  There are sufficient resources at the home institution to support the proposed research plan._x000D_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of the research work are impressive but outside of traveling to conferences there is very little plan to translate the research itself into broader impacts within the community or home institution._x000D_
_x000D_
2. To what extent do the proposed activities suggest and explore creative, original, or potentially transformative concepts?_x000D_
_x000D_
The course development and mentoring plans are interesting but not transformative.  Diving more into how this could contribute to the CS+ECON degree would be good._x000D_
_x000D_
3. Is the plan for carrying out the proposed activities well-reasoned, well-organized, and based on a sound rationale? Does the plan incorporate a mechanism to assess success?_x000D_
_x000D_
The plan to disseminate results is well reasoned, however the outreach plan is not well reasoned or elucidated._x000D_
_x000D_
4. How well qualified is the individual, team, or institution to conduct the proposed activities?_x000D_
_x000D_
The PI has experience in giving talks and organizing workshops.  It is not clear how well positioned the PI is for some of the proposed outreach activities._x000D_
_x000D_
5. Are there adequate resources available to the PI (either at the home institution or through collaborations) to carry out the proposed activities?_x000D_
_x000D_
This is a weak point of this proposal, the PI names a number of outreach activities but has not reached out to as many organizations or secured commitments or allocated funding in a way that would ensure the success of the proposed broader activities besides traveling to conferences._x000D_
_x000D_
Please evaluate the strengths and _x000D_
weaknesses of the proposal with respect to any additional solicitation-specific review criteria, if _x000D_
applicable_x000D_
_x000D_
_x000D_
_x000D_
Summary Statement_x000D_
_x000D_
A strong research proposal which focuses on a number of interesting and open in theoretical computer science related to the complexity of problems in TFNP.  The questions and ideas are excellent but the proposal is weak when it comes to translating these interesting theoretical questions into broader impact._x000D_
_x000D_
_x000D_
</t>
  </si>
  <si>
    <t>HU0975977</t>
  </si>
  <si>
    <t>Schoenebeck</t>
  </si>
  <si>
    <t>schoeneb@umich.edu</t>
  </si>
  <si>
    <t xml:space="preserve">In the context of the five review elements, please _x000D_
evaluate the strengths and weaknesses of the proposal with respect to intellectual merit._x000D_
_x000D_
The proposal seeks to study complexity theory as it relates to games and equilibrium.  This is an exciting area of complexity that is still rather new, promising interesting results.  _x000D_
_x000D_
Some of the key questions proposed are as follows:_x000D_
1)	Investigating class CLS which contains several problems, but none of them is complete, and the relations between them are unknown.  Here one key approach is using a EoPLùsimilar to PPAD, but each node also has a potential.  A key questions is whether this is complete for CLS.  Also, EoPL works as a nice intermediate step for showing things in CLS.  One question is how general this is:  can this work for all of Unique CLS? _x000D_
2)	Investigating hardness of a constant approximation for 2-Nash.  Current algorithms are optimal assuming PETH: investigate PETH or other ways to establish hardness.  Current algorithms are not very clever.  Author proposes using SoS, but unfortunately, this was already shown not to work, at least in a normal way.  [I did not find this approach very compelling since it has, unfortunately, been done.  Seems like the author found this out very recently.]  Perhaps there are clever ways to circumvent this negative result.  The author also proposes a bunch of other questions in a similar boat as const-approx Nash and wishes to investigate the relations.  This seems more promising than SoS.  I wish more time was spent here.  For example, some of these are exact and some are approximate problems.  Which relationships are the most promising, etc._x000D_
3)	Looking beyond worst case for equilibrium problems.  This seems especially promising with network coordination games, building on recent success for local Max-cut algorithms.  For NE, the average case does not seem that it is likely to capture interesting properties, so that is likely less useful.  _x000D_
_x000D_
_x000D_
_x000D_
_x000D_
_x000D_
The plan for carrying out the research is well-reasoned and most of the proposed directions build on recent advances in the field (parity games in quasi-polynomial time and smaoothed analysis for max-cut local, definition of CLR)_x000D_
_x000D_
_x000D_
The author is well-known in this area, and likely to succeed given the available resources.   _x000D_
_x000D_
_x000D_
A few things I was confused by:_x000D_
_x000D_
I do not see how "One way permutations" results in crypto are related to this.  Maybe more explanation would be helpful._x000D_
_x000D_
Some parts are not properly proof-read and it gets in the way of understanding: for example the second paragraph after Sub-question 3.1.  Should lower bound mean upper bound?  Also, doesn't this directly give a quasi-poly algorithm?  _x000D_
_x000D_
In the first sentence of section 4, it says that the ¢ approx for max-cut by local search is good.  But one gets this same approximation other ways, including a random solution.  Seems like a better example could be created for this.  _x000D_
_x000D_
_x000D_
_x000D_
_x000D_
In the context of the five review elements, please _x000D_
evaluate the strengths and weaknesses of the proposal with respect to broader impacts._x000D_
_x000D_
The research might have some practical applications.  Especially computing NE, which will likely be needed in proxy agents of the future._x000D_
_x000D_
Please evaluate the strengths and _x000D_
weaknesses of the proposal with respect to any additional solicitation-specific review criteria, if _x000D_
applicable_x000D_
_x000D_
The outreach plan is okay.  Programmatic details are lacking and the PI has little track record in out-reach activities.  _x000D_
_x000D_
There is a plan for building an instructional module for high-schoolers, and building a portal for mentor-mentee matching of UIUC undergraduates with K-12 students.  Plus a mentorship workshop at EC for graduate students looking for career advice.  _x000D_
Additionally there is a plan to produce a book, teach two graduate classes (which are already being taught), teach an undergraduate course, and mentor some undergraduate/graduate students.  _x000D_
_x000D_
_x000D_
Summary Statement_x000D_
_x000D_
The overarching research direction is compelling.  It has some strong components, and the author has a strong track-record of success.  The educational component is passable but not overzealous. _x000D_
_x000D_
_x000D_
</t>
  </si>
  <si>
    <t>Nash and market equilibrium are two of the most fundamental solution concepts in Game Theory and Economics respectively. The complexity of computing equilibria for most game and economic models are characterized by sub-classes of Total Function NP, namely Polynomial Parity Argument for Directed Graph (PPAD), Polynomial Local Search (PLS), and Continuous Local Search (CLS). Furthermore, these sub-classes manage to capture long-standing open problems from diverse fields, e.g., oneway permutation from cryptography, contraction map from topology, and simple stochastic games from verification, are all in CLS. Although by now we have a fair understanding of these classes and problems therein, many fundamental questions still remain unresolved. The proposal outlines a career development plan to explore these questions, that builds and significantly broadens PI's extensive work on computation and complexity of equilibria that settled decade-long open questions. High-level questions for this proposal are motivated by the following:_x000D_
* For important PPAD-complete problems, obtaining either PTAS or hardness of constant approximation is a major open question. Lower bounds grounded on well-established assumptions are also not known._x000D_
* CLS captures important problems from diverse fields, and recent work by the PI and others obtained the first CLS-complete problem, however, it does not come from a natural application. Thus, obtaining a natural complete problem for CLS remains open. Furthermore, most of the relations among problems in CLS also remain unknown. No sub-exponential or smoothed polynomial time algorithms are known for most of these problems. _x000D_
* Most equilibrium computation problems that are complete for PPAD and PLS have simple algorithms that work very well in practice, however, almost no theoretical explanation in terms of analysis that goes beyond the worst case is known.This project will need to develop novel tools for approximation and for beyond worst case analysis of equilibrium computation problems to break the long-standing barriers. Furthermore, novel reduction techniques will need to be developed to relate the open problems from diverse fields that are in CLS as well as to obtain hardness of approximation results. The PI plans to approach these by building on and extending her work on equilibrium computation, using tools from Sum-of-Squares, recent smoothed analysis techniques, and recent advances in proving lower bounds for equilibrium computation problems. Tools developed in the process will contribute to the burgeoning literature on approximation, smoothed analysis, sum-of-squares based approaches and conditional lower bounds, and will open up new avenues for further exploration.First, this work will provide efficient and robust algorithms for a large class of game models. This, in turn, will have a positive practical impact due to the numerous applications of these game models, e.g., social network analysis, resource allocation, etc. Second, it will shed light on connections between disparate fields such as verification and cryptography, and thereby will bring new insights into their important open problems._x000D_
_x000D_
In addition to publishing results, PI and co-authors will organize workshops at the intersection of algorithmic game theory, approximation, and complexity. Further, the PI plans to involve and train both graduate and undergraduate students through research and implementation tasks. Integration of research and teaching will be done through graduate and undergraduate courses. In this process, the PI plans to develop detailed lecture notes on Equilibrium Computation with the goal of producing a monograph by the end of this project. All the resulting material and code will be made freely available online. _x000D_
_x000D_
Building on her experience of organizing a session on Career Advice at EC'17, the PI plans to co-organize a one-day Mentoring Workshop at EC'18. Finally, the PI plans to reach out to the students from underrepresented groups through a number of UIUC initiatives.</t>
  </si>
  <si>
    <t>1750443</t>
  </si>
  <si>
    <t>Kol</t>
  </si>
  <si>
    <t xml:space="preserve"> Panel Summary       
  _x000D_
Description: The PI proposes to study interactive information theory.   Some directions the PI will take are to understand the gap between information cost and communication complexity, the extent to which the interactive analogue of data compression can be achieved, the direct sum problem and multiparty settings.  _x000D_
_x000D_
Intellectual Merit: The PI has spelled out a compelling and well detailed plan, with many fundamental questions of varying difficulty.   The PI has made important contributions in these directions, and is likely to make further progress on them.  _x000D_
Strengths_x000D_
  + compelling research direction_x000D_
  +  progress will be important to understanding interactive communication_x000D_
  + extremely strong track record_x000D_
Weaknesses_x000D_
  - In some later sections, does not elaborate enough on new ideas/approaches to make progress (or at least to give some negative approaches)._x000D_
  _x000D_
_x000D_
Broader Impact:  The PI will mentor students, give tutorials and create a new course._x000D_
Weaknesses_x000D_
 -  Not spelled out beyond known scientific impacts._x000D_
  - Would be good to see more details on each part of the educational component_x000D_
_x000D_
Solicitation-specific criteria:  The PI will develop a new course on interactive information for Computer Science and Electrical Engineering majors.  This part of the proposal needs to be improved._x000D_
_x000D_
Data Management Plan: adequate_x000D_
_x000D_
_x000D_
Suggestions to PI: Should talk to program managers and other PIs to get a sense of typical broader impact expected in NSF proposals, and specific criteria for CAREER proposals._x000D_
_x000D_
_x000D_
Justification for Panel Rating:  The research direction is important, the plan is promising and the PI has a very strong track record. The proposal would be rated higher if it contained more details in the broad impact section._x000D_
_x000D_
Panel Rating: _x000D_
_ Highly Competitive_x000D_
x Competitive_x000D_
_ Low Competitive_x000D_
_ Not Competitive_x000D_
_x000D_
The summary was read by/to the panel and the panel concurred that the summary accurately reflects the panel discussion._x000D_
</t>
  </si>
  <si>
    <t>PREGALI</t>
  </si>
  <si>
    <t>P180139</t>
  </si>
  <si>
    <t xml:space="preserve"> CIF CAREER IT-COMM Panel</t>
  </si>
  <si>
    <t xml:space="preserve"> Panel Summary       
 The goal of this research is to advance information theory in the interactive setting with a particular focus on the compression problem in the interactive setting. In particular, the PI lists important and significant problems in the intersection of source coding and interactive communication. _x000D_
_x000D_
INTELLECTUAL MERIT _x000D_
_x000D_
Strengths: _x000D_
_x000D_
+ The proposal lists many interesting and very challenging problems in this area. _x000D_
_x000D_
+ The PI has an excellent record. _x000D_
_x000D_
_x000D_
Weaknesses: _x000D_
_x000D_
- The proposal reads like a long list of very difficult problems with little explanation regarding the main technical challenges and the approach the PI intends to take in order to tackle or solve them. _x000D_
_x000D_
- Without sufficient details and in its current form, the proposal lacks sufficient novel ideas to merit funding, such as defining information costs in multi-party problems. _x000D_
_x000D_
- To be competitive with other information/coding theory proposals, the PI is encouraged to consider and explicitly discuss the operational meaning/implication of the proposed analysis. Also, a tighter asymptotic analysis would be of interest. _x000D_
_x000D_
BROADER IMPACTS _x000D_
_x000D_
The proposal has a rather brief treatment of the broader impacts of the research, with only a sketch of an education plan. This is a major shortcoming since NSF submissions are required to carefully address broader impacts of the work. _x000D_
_x000D_
SOLICITATION-SPECIFIC CRITERIA _x000D_
_x000D_
The scope of the proposed research is appropriate for a five year effort, and the departmental letter adequately addresses support and mentoring for the PI. However, the NSF CAREER program aims to encourage junior PIs to develop meaningful integration of their research and teaching. The PI, hence, is encouraged to address this in her future submissions. _x000D_
_x000D_
_x000D_
SUMMARY _x000D_
_x000D_
In summary, the proposal addresses an ambitious set of challenging problems in the areas of interactive communications and complexity theory. The PI has an excellent record and is well-positioned to tackle the listed problems. However, the proposal lacks sufficient details on the specific challenges, the approach, or the analytic methodology. The proposal also fails to sufficiently discuss educational aspects or the integration of teaching and research. _x000D_
_x000D_
The panel placed the proposal in the following category: _x000D_
_x000D_
[ ] Highly Competitive _x000D_
[ ] Competitive _x000D_
[x] Low Competitive _x000D_
[ ] Not Competitive _x000D_
_x000D_
The summary was read by/to the panel and the panel concurred that the summary accurately reflects the panel discussion. 
</t>
  </si>
  <si>
    <t>XG0933641</t>
  </si>
  <si>
    <t>Calderbank</t>
  </si>
  <si>
    <t>robert.calderbank@duke.edu</t>
  </si>
  <si>
    <t xml:space="preserve">In the context of the five review elements, please _x000D_
evaluate the strengths and weaknesses of the proposal with respect to intellectual merit._x000D_
_x000D_
Interactive communication involves a pair (X, Y) of random variables distributed over some support set S. Person PX knows X, person PY knows Y, and both know S. The parties use a predetermined protocol to exchange binary messages in order for PY to learn X; PX may or may not learn Y. _x000D_
_x000D_
Communication complexity measures the amount of communication required to solve a task, and information cost measures the amount of information the parties need to reveal about themselves to solve the task. The relationship between the two is fundamental and fascinating. The question of how much an external party learns from observing the protocol, also the generalization to multiple parties, is very important._x000D_
_x000D_
Communication complexity bears upon several problems of significant engineering interest, including that of the edit distance between correlated files, and the privacy / utility tradeoff in querying databases. It bears upon public policy issues of great current interest, for example the goal of ensuring that a given entity (industry or government), trusted to infer certain information with our data, is blocked from inferring protected information from it. For example, a hospital might be allowed to produce a diagnosis on the patient (the positive task), without being able to infer the gender of the subject (negative task). _x000D_
_x000D_
For random errors in interactive communication, the PI has derived a protocol that guarantees a communication rate of 1 û O( (H(epsilon)1/2) and a converse that show the protocol is sometimes optimal. This is a significant result._x000D_
_x000D_
The proposal does not engage with potential applications, nor does it develop a program for interdisciplinary education, rather it is focused exclusively on deriving fundamental mathematical understanding. The aim of the proposal is impact on theoretical computer science, which might be expected, since it is in fact a theoretical computer science proposal._x000D_
_x000D_
_x000D_
In the context of the five review elements, please _x000D_
evaluate the strengths and weaknesses of the proposal with respect to broader impacts._x000D_
_x000D_
If broad impact should happen, it will be accidental, since the PI does not propose a plan for amplifying the impact of the proposed research plan._x000D_
_x000D_
_x000D_
_x000D_
Please evaluate the strengths and _x000D_
weaknesses of the proposal with respect to any additional solicitation-specific review criteria, if _x000D_
applicable_x000D_
_x000D_
_x000D_
_x000D_
Summary Statement_x000D_
_x000D_
Intellectual Merit: Good_x000D_
Broad Impact: Poor_x000D_
_x000D_
</t>
  </si>
  <si>
    <t>SQ0817026</t>
  </si>
  <si>
    <t>Hassibi</t>
  </si>
  <si>
    <t>Hassibi@caltech.edu</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</si>
  <si>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While the proposal is mostly limited to questions of compression (in two and multiparty interactive communication), within this confine, the scope of the proposal is quite ambitious_x000D_
-	The PI has a well thought out research agenda_x000D_
-	The questions studied by the PI are deep and of a foundational nature_x000D_
_x000D_
_x000D_
Weaknesses _x000D_
_x000D_
-	While the proposal is well written at a high level, at some points it is difficult to follow, because of a lack of detail and constant reference to a myriad of papers in the literature. The proposal would have benefited from some concrete descriptions/discussions of the approaches used in a few places._x000D_
-	The proposed work appears to be one that requires strong technical skills (which the PI certainly has). However, it is a little short on novel ideas and concepts. All the problems, information measures, etc., come from prior work (especially, that of Braverman). In this sense, the proposal reads as a continuation of work that earlier researchers have done. It would have been nice had the PI been able to come up with his own new measures of information cost in the multi-party setting and with a much more detailed discussion of the channel modeling issues that come up in error-correction coding for interactive communications._x000D_
_x000D_
_x000D_
In the context of the five review elements, please _x000D_
evaluate the strengths and weaknesses of the proposal with respect to broader impacts._x000D_
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Weaknesses _x000D_
_x000D_
-	The broader impacts, whether educational (graduate, undergraduate), outreach (to industry, other scientific communities, the lay communities and society) is not very well developed and is a weakness of the proposal_x000D_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_x000D_
Weaknesses _x000D_
_x000D_
-	The broader impacts, whether educational (graduate, undergraduate), outreach (to industry, other scientific communities, the lay communities and society) is not very well developed and is a weakness of the proposal_x000D_
_x000D_
_x000D_
Please evaluate the strengths and _x000D_
weaknesses of the proposal with respect to any additional solicitation-specific review criteria, if _x000D_
applicable_x000D_
_x000D_
_x000D_
_x000D_
Summary Statement_x000D_
_x000D_
This proposal studies the problems of interactive communication and computation. In particular, it attempts to lower bound the communication complexity of a certain function (or protocol) by information theoretic measures such as the internal (and external) information costs._x000D_
_x000D_
</t>
  </si>
  <si>
    <t>QH0821140</t>
  </si>
  <si>
    <t>tjavidi@eng.ucsd.edu</t>
  </si>
  <si>
    <t xml:space="preserve">In the context of the five review elements, please _x000D_
evaluate the strengths and weaknesses of the proposal with respect to intellectual merit._x000D_
_x000D_
The goal of this research is to deepen the understanding of information theory in the interactive setting with a particular focus on the compression problem in the interactive setting. In particular, the PI lists important and significant problems in the intersection of source coding and interactive communication. _x000D_
_x000D_
The scope of the project is extremely ambitious; the general area of interactive communication is an extremely important setting, making any research project in this domain extremely valuable. In addition the PI has an excellent track record and is very well positioned to tackle the problems posed. _x000D_
_x000D_
While each of the 14 problems posed by the PI are challenging and the solution to each of which is of significant impact, the proposal reads somewhat disjoint on the common (analytic) underpinning of the actual problems or the most promising methodology. The proposal would have been far stronger if the PI had chosen a subset of the problems listed and provide details on the uniqueness of her approaches and/or the steps involved in successfully tackling the problems proposed. _x000D_
_x000D_
The PI has adequate institutional support._x000D_
_x000D_
In the context of the five review elements, please _x000D_
evaluate the strengths and weaknesses of the proposal with respect to broader impacts._x000D_
_x000D_
The proposal includes a good and solid education plan with mentoring of gradate students._x000D_
_x000D_
Please evaluate the strengths and _x000D_
weaknesses of the proposal with respect to any additional solicitation-specific review criteria, if _x000D_
applicable_x000D_
_x000D_
_x000D_
_x000D_
Summary Statement_x000D_
_x000D_
In summary, the proposed work is ambitious and if successful impactful. However, the proposal would have much improved if the PI choses to focus the writing and the work._x000D_
_x000D_
</t>
  </si>
  <si>
    <t>MP0784008</t>
  </si>
  <si>
    <t>Nosratinia</t>
  </si>
  <si>
    <t>aria@utdallas.edu</t>
  </si>
  <si>
    <t xml:space="preserve">In the context of the five review elements, please _x000D_
evaluate the strengths and weaknesses of the proposal with respect to intellectual merit._x000D_
_x000D_
The proposed project intends to analyze interactive compression. It aims to answer the question: can the transcript of a communication protocol be compressed to its information content. Variations of the problems and its instances in different settings are considered._x000D_
_x000D_
Strengths:_x000D_
_x000D_
+ The proposal addresses interesting problems in interactive compression._x000D_
_x000D_
+ The PI is qualified to undertake the proposed research._x000D_
_x000D_
Weaknesses:_x000D_
_x000D_
- One could argue that interactive compression in a noiseless setting needs better motivation. Aside from questions in complexity theory, in what context would interactive compression be inherently (to the application) interesting or crucial? _x000D_
_x000D_
- Although one section is dedicated to relation to interactive coding, but this section raises new questions rather than tie the rest of the tasks to their equivalent coding problems.  The operational implication of many of the desired results from earlier sections were not sufficiently clarified._x000D_
_x000D_
_x000D_
_x000D_
In the context of the five review elements, please _x000D_
evaluate the strengths and weaknesses of the proposal with respect to broader impacts._x000D_
_x000D_
Weaknesses:_x000D_
_x000D_
- The explanation of the impact is too narrow and confined to the very specialized area of the proposal. The impact of the proposed work on the advancement of the broader theory of computation or information theory could have been explained better._x000D_
_x000D_
- The educational component is insufficient. The educational component of the proposal should be better developed, especially its connection to the research component._x000D_
_x000D_
_x000D_
Please evaluate the strengths and _x000D_
weaknesses of the proposal with respect to any additional solicitation-specific review criteria, if _x000D_
applicable_x000D_
_x000D_
Strengths:_x000D_
_x000D_
+ The scope of the project is compatible with a 5-year duration._x000D_
+ The departmental letter addresses support and mentoring of the PI._x000D_
_x000D_
Weakness:_x000D_
_x000D_
- The education plan is insufficient overall, as well as in addressing synergies between teaching and research._x000D_
_x000D_
_x000D_
Summary Statement_x000D_
_x000D_
A theoretical proposal about interactive compression. The broader impacts of the proposal could have been better clarified. The educational plan is inadequate and does not meet the solicitation-specific criteria._x000D_
_x000D_
</t>
  </si>
  <si>
    <t xml:space="preserve">In the context of the five review elements, please _x000D_
evaluate the strengths and weaknesses of the proposal with respect to intellectual merit._x000D_
_x000D_
This proposal addresses fundamental questions in interactive information theory, which deals  with interactive communication between parties, in contrast to Shannon's classical information theory which deals with one-shot communication. Specifically, a major part of the proposal focuses on  the interactive compression problem, which is the interactive analogue of the data compression problem. The goal is to prove theorems that are analogous to the classical results in information theory, namely noiseless coding theorem.  Interactive channel capacity is also addressed and the goal is to prove a counterpart of the Shannon's noisy coding theorem._x000D_
_x000D_
_x000D_
_x000D_
Strengths:_x000D_
1.	The proposal is generally well-written and focused. It gives a nice introduction to interactive information theory by putting it in context of  classical information theory. _x000D_
_x000D_
2.	The PI is very well-qualified and demonstrates good background and knowledge of the area.  _x000D_
_x000D_
3.	The proposal asks fundamental questions in the area. Addressing even some of these will  lead to significant advances in the field. At least, for some problems (interactive compression, interactive channel capacity), the PI has done significant prior work and seems poised to make progress on the future directions stated._x000D_
_x000D_
4.	Interactive information theory has close connections  to other areas of theory such as communication complexity and distributed computing and this proposal addresses some key issues in those areas._x000D_
_x000D_
Weaknesses:_x000D_
_x000D_
1.	While certain problems are very well-posed and articulated, some problems are just stated based on prior works of other researchers. It is clear that these are important and challenging problems, but no possible approaches to tackling them are mentioned nor any  prior work (even preliminary work) on these  by the PI are mentioned. Examples include the problems in Section 5 (Prior-free setting) and Section 6 (multi-party setting). In particular, it is not clear how to model information cost in the multiparty setting? Generally, this has been quite technical and difficult even for multi-party communication complexity. The PI does not give any hints on possible solutions._x000D_
_x000D_
_x000D_
In the context of the five review elements, please _x000D_
evaluate the strengths and weaknesses of the proposal with respect to broader impacts._x000D_
_x000D_
Strengths:_x000D_
_x000D_
1.	This research has connections with many areas, and has the potential to have an impact similar to Shannon's theory._x000D_
_x000D_
2.	The PI plans to help bridge theoretical computer science and information theory communities._x000D_
_x000D_
Weaknesses:_x000D_
_x000D_
1. The broader impact is rather weakly written and quite generic._x000D_
_x000D_
_x000D_
Please evaluate the strengths and _x000D_
weaknesses of the proposal with respect to any additional solicitation-specific review criteria, if _x000D_
applicable_x000D_
_x000D_
Integration of education and research is rather generic, more elaboration will be better._x000D_
_x000D_
Summary Statement_x000D_
_x000D_
This is a strong proposal focusing on interactive information theory, an important new area in information theory with many applications. The project addresses  fundamental and challenging questions in the area. The PI is very well-qualified to do research in this area with significant prior work. For some problems, more details on possible approaches could ne provided, given the challenging nature. Broader impacts and education plan could have been fleshed out better._x000D_
_x000D_
</t>
  </si>
  <si>
    <t xml:space="preserve">In the context of the five review elements, please _x000D_
evaluate the strengths and weaknesses of the proposal with respect to intellectual merit._x000D_
_x000D_
The intellectual merit component of the proposal is very strong.  The PI proposes questions in compression of interactive protocols._x000D_
Given the known lower bounds (shown by the PI), the PI suggests natural, well motivated, next questions to study -- that is, instead of_x000D_
asking for "nearly perfect compression", can you get a weaker, but still pretty good, compression.  The PI proposes to determine whether there are good algorithms for computing the "information cost", which is a quantity that lower bounds communication complexity.  Extensions to the multiparty setting are proposed.  The PI proposes to work on a number of other questions, including the multiparty setting and interactive coding._x000D_
_x000D_
PI has fantastic track record of solving big open problems in the area._x000D_
_x000D_
In the context of the five review elements, please _x000D_
evaluate the strengths and weaknesses of the proposal with respect to broader impacts._x000D_
_x000D_
Likely impact on information theory._x000D_
_x000D_
Broader impact description could use more details.  The PI has a track record of working with underrepresented groups, but it isn't mentioned (except in the publications)._x000D_
_x000D_
Please evaluate the strengths and _x000D_
weaknesses of the proposal with respect to any additional solicitation-specific review criteria, if _x000D_
applicable_x000D_
_x000D_
_x000D_
_x000D_
Summary Statement_x000D_
_x000D_
+ a large set of important questions, many of them difficult,_x000D_
but the PI has great track record on solving difficult problems._x000D_
_x000D_
- broader impacts could be more well developed._x000D_
_x000D_
</t>
  </si>
  <si>
    <t xml:space="preserve">In the context of the five review elements, please _x000D_
evaluate the strengths and weaknesses of the proposal with respect to intellectual merit._x000D_
_x000D_
The proposal proposes to extent the works on interactive information theory by answering  some of the open questions that have arise in this area. The PI has herself done some very nice works in this area. The problems considered in this proposal are _x000D_
_x000D_
(1) Understanding gap between information cost and communication complexity. Recently such separation has been provided by PI and her coauthors, but those consider special kind of functions. The goal will be to obtain a more general result._x000D_
_x000D_
(2) Interactive compression which is the interactive analogue of data compression: This is related to question (1) and PI will study whether it is possible to develop good compression schemes whose communication complexity grows slowly with information cost and some parameters of the problem. _x000D_
_x000D_
(3) The direct sum problem: Instead of studying it in the amortized setting, the PI proposes to study the one-shot (single copy case) for example, one-shot Wyner-Ziv problem and asks what other classical information theory theorems can be studied in this framework._x000D_
_x000D_
(4) Multiparty setting where the attention is to understand the same questions where several parties are involved._x000D_
_x000D_
There are other problems related to external information cost, interactive compression under various restricted model, connection to interactive coding etc._x000D_
_x000D_
Summary of Strength and Weakness: _x000D_
This is a focused proposal--questions are well-spelled out as they stem from open questions in the papers, some of them are by PI herself, and for that reason I feel good progress will be made. The PI has strong track record and has adequate support from the department._x000D_
_x000D_
The proposal mostly does not contain any idea or approach on how progress will be made. The questions asked are next natural steps stemming from open problems that are currently left out. Having one or two out of the box innovative questions/problems and new ideas that are missing in current literature would have made this proposal much more appealing to me._x000D_
_x000D_
_x000D_
_x000D_
In the context of the five review elements, please _x000D_
evaluate the strengths and weaknesses of the proposal with respect to broader impacts._x000D_
_x000D_
Broader impact is weak for a CAREER proposal. The impact of the results in theoretical computer science and information theory are of course well understood. But beyond that, the proposal does not put effort to spell out anything else._x000D_
_x000D_
Please evaluate the strengths and _x000D_
weaknesses of the proposal with respect to any additional solicitation-specific review criteria, if _x000D_
applicable_x000D_
_x000D_
_x000D_
_x000D_
Summary Statement_x000D_
_x000D_
It is a strong proposal in interactive information theory by a well-qualified PI and it is likely that good progress will be made. The broader impact section of the proposal is considerably weak for a CAREER proposal. Not enough direction is provided on how open questions will be tackled._x000D_
_x000D_
</t>
  </si>
  <si>
    <t>GK0768160</t>
  </si>
  <si>
    <t>Tarokh</t>
  </si>
  <si>
    <t>vahid@seas.harvard.edu</t>
  </si>
  <si>
    <t xml:space="preserve">In the context of the five review elements, please _x000D_
evaluate the strengths and weaknesses of the proposal with respect to intellectual merit._x000D_
_x000D_
The PI considers communications complexity.   In this setting the communication complexity of a function f with respect to a distribution is the minimum communication complexity of a protocol that computes f with high probabilities (she sets this to be 0.9) given that the inputs are drawn according to that distribution.  The information cost of function computation is roughly the amount of information that the parties need to reveal about their inputs to compute f.  For a protocol, this equals to the sum of amounts of information that each party learns about the others assuming that the protocol is executed.  She then proposes to come up with an algorithm to compute this efficiently and asks herself if information cost is equal to the communications complexity.  Her definition of equality is based on order or even polynomial order._x000D_
_x000D_
She then goes on to consider interactive compression, where she points out a result of Braverson that IC + r bits of communications suffice for compression using a protocol that has r rounds. She concludes 'intuitively' that she has to compress multiple rounds in order to reduce compression complexity.  She then reviews her own previous result in this direction about there exist cases that there is a gap between communications complexity and information complexity and proposes to improve on these gaps (at least in order) in future research.  She also asks questions about many questions about situations when a protocol can be replaced by other protocols with same information content but different orders of communications complexities._x000D_
_x000D_
Strengths:  The PI seems amazingly strong.  The topic is interesting (at least to me)._x000D_
_x000D_
Weaknesses: No details of technical approaches to solve the proposed problems are given.  The order analysis may be interesting to theoretical computer scientists, but their relevance to practice, and Shannon Theory are questionable._x000D_
_x000D_
The proposal seems more suitable for a theoretical computer science panel._x000D_
_x000D_
_x000D_
_x000D_
In the context of the five review elements, please _x000D_
evaluate the strengths and weaknesses of the proposal with respect to broader impacts._x000D_
_x000D_
The broader impact statement about potential impacts of the results on other areas of science is good._x000D_
_x000D_
Please evaluate the strengths and _x000D_
weaknesses of the proposal with respect to any additional solicitation-specific review criteria, if _x000D_
applicable_x000D_
_x000D_
_x000D_
_x000D_
Summary Statement_x000D_
_x000D_
Good proposal. Details of technical approaches are missing. The brightest spot is the PI herself which seems super-strong._x000D_
_x000D_
</t>
  </si>
  <si>
    <t xml:space="preserve">In the context of the five review elements, please _x000D_
evaluate the strengths and weaknesses of the proposal with respect to intellectual merit._x000D_
_x000D_
Strong research program of further developing the theory of compression in the interactive setting.  The PI had a pair of papers giving an exponential separation between information cost and communication complexity. The PI hopes to further improve these, as well as solve related problems.  One problem is developing a theory of information cost in the multiparty setting.  The PI also discusses applications to communication complexity and interactive coding._x000D_
_x000D_
The PI has a strong track record in the field._x000D_
_x000D_
_x000D_
In the context of the five review elements, please _x000D_
evaluate the strengths and weaknesses of the proposal with respect to broader impacts._x000D_
_x000D_
The PI discusses the relevance of information and communication in related fields, as well as educating students._x000D_
_x000D_
Please evaluate the strengths and _x000D_
weaknesses of the proposal with respect to any additional solicitation-specific review criteria, if _x000D_
applicable_x000D_
_x000D_
_x000D_
_x000D_
Summary Statement_x000D_
_x000D_
A very good proposal about developing the theory of compression in the interactive setting._x000D_
_x000D_
</t>
  </si>
  <si>
    <t>In the beautiful 1948 paper "A mathematical theory of communication", Claude Shannon introduced information theory and used it to study one-way data transmission problems over different channels. The paper defines and constructs the first error correcting codes and data compression schemes. Shannon's work has had a profound impact on both the practical and theoretical communities, finding application in almost every branch of science and beyond. Information theory is especially relevant today with the rise of the internet and data-intensive applications._x000D_
    In the last decades, interactive communication protocols that perform computations were studied extensively, as interaction often allows for more efficient solutions and models real communication better than one-way models. Interactive information theory is a new field of study at the interface between information theory and the study of interactive protocols. While interactive information theory encompasses many concepts, the key ingredient that sets it apart from classical information theory is that it studies problems where information flows in more than one direction._x000D_
    The goal of the proposed project is to deepen our understanding of information theory in the interactive setting, exploring the question: To what extent can Shannon's results be generalized to the interactive setting, where parties engage in an interactive communication protocol that carries out a computation? We are also interested in applications of interactive information theory to theoretical computer science and to classical information theory._x000D_
    Specifically, we consider the interactive compression problem, which is the interactive analogue of the data compression problem. Informally speaking, the celebrated data compression theorems imply that every message can be compressed to its information content, measured using the Entropy function. The interactive compression problem asks whether the transcript of every communication protocol can be compressed to (roughly) its "information content". An affirmative answer to this problem would also yield a powerful method for proving nearly tight communication complexity lower bounds, and may shed light on other central problems in theoretical computer science that are closely related to it._x000D_
    Key Words: Information Theory; Communication Complexity; Interactive Protocols; Data Compression; Source Coding; Direct SumInteractive information theory studies fundamental problems regarding the flow of information in interactive settings. Information and communication are at the heart of theoretical computer science and related fields. Understanding the interplay between information and communication in the interactive setting is crucial for advancing our knowledge in these fields.The unprecedented effect of Shannon's classical information theory on the sciences, gives hope that a better understanding of the relations between information and communication will also have applications in a wide range of fields. The impact of our project on theoretical computer science is immediate, mainly through connection to the field of communication complexity. The research is also relevant to the information theory community, which often considers related problems. Building better interdisciplinary connections is one of our goals. As part of this project, we intend to train students, and create a new advanced course that covers the new advancements in the field.</t>
  </si>
  <si>
    <t>1750463</t>
  </si>
  <si>
    <t>Raghvendra</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</si>
  <si>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</si>
  <si>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</si>
  <si>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</si>
  <si>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</si>
  <si>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</si>
  <si>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</si>
  <si>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1750555</t>
  </si>
  <si>
    <t>Hardt</t>
  </si>
  <si>
    <t xml:space="preserve"> Panel Summary       
 Description:_x000D_
_x000D_
The PI proposes to make machine learning more reliable by using algorithmic stability as the technical framework for developing novel theory and practical tools. The proposed work spans three important domains where machine learning, theoretical computer science, and statistics intersect: reliable data science; understanding deep learning; and stability for unsupervised learning. A fourth domain that is also included in the proposal is algorithmic fairness in machine learning, a loaded topic that has received continuous media coverage lately. In all four areas the PI has contributed significant prior work that he intends to build upon in novel, transformative directions. The PI has formulated many precise research questions in the proposal, ranging from the rate of estimation in adaptive data analysis to more reliable benchmarks to the grand challenge of replacing p-values in scientific applications by stability._x000D_
_x000D_
Intellectual Merit:_x000D_
_x000D_
Strengths_x000D_
  + ambitious research tasks with the potential for strong impact in any scientific field where machine learning is applied._x000D_
  + excellent PI with strong track record of ground-breaking contributions._x000D_
  + strong potential for transformative research that could use algorithmic stability to replace the traditional notion of p-values in scientific application domains._x000D_
  _x000D_
Weaknesses_x000D_
  None identified by the panelists._x000D_
_x000D_
Broader Impact: _x000D_
_x000D_
Strengths_x000D_
  + the proposed research, if successful, could impact our understanding of the reliability of the outputs of machine learning algorithms, both in the supervised and the unsupervised setting._x000D_
  + the PI has already made significant efforts to achieve community building around the objectives of this proposal by organizing workshops and specialized conferences that cut across theoretical computer science, machine learning, and statistics. The panel concurred that his work has strong potential to influence all the aforementioned communities._x000D_
  + reasonable educational component; even though the PI just joined UC Berkeley, he is advising multiple PhD students. _x000D_
_x000D_
Weaknesses_x000D_
  None identified by the panel. _x000D_
_x000D_
Solicitation-specific criteria:_x000D_
_x000D_
The panel concurred that the integration of education and research in this proposal is adequate. The panel appreciated the fact that the community building activities proposed by the PI will help train graduate students at the intersection of Machine Learning, Statistics, and Theoretical Computer Science. _x000D_
_x000D_
Data Management Plan: _x000D_
_x000D_
The data management plan is adequate._x000D_
_x000D_
Justification for Panel Rating:  _x000D_
_x000D_
A very well-written, ambitious proposal. Very strong intellectual merit and outstanding potential for broader impact in scientific fields that are impacted by unreliable machine learning. The PI's reputation and record are strong indicators for the proposal's success._x000D_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</si>
  <si>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provide new models and  algorithms with provable guarantees for several topics of significant importance in modern machine learning, including:_x000D_
_x000D_
(1) Reliable machine learning with the goal of reducing false discovery and overfitting._x000D_
(2) Understanding deep networks, for example how the parameterization of the model can help in easing optimization, and how in turn easier optimization problems may lead to better generalization._x000D_
(3) Unsupervised learning_x000D_
(4) Fairness in machine learning_x000D_
_x000D_
The proposed questions are very interesting and of high potential impact. The PI has already done seminal works in all of these directions, and overall he is uniquely qualified to attack the questions proposed._x000D_
_x000D_
The one section I found less convincing is the unsupervised learning section, but even without that section the proposal is very interesting._x000D_
_x000D_
_x000D_
In the context of the five review elements, please _x000D_
evaluate the strengths and weaknesses of the proposal with respect to broader impacts._x000D_
_x000D_
The PI has been actively engaged in organizing workshops on topics related to those in this proposal. He has also mentored students (through summer internships) and engaged with broad interdisciplinary audiences. He plans to continue all these. _x000D_
_x000D_
_x000D_
Please evaluate the strengths and _x000D_
weaknesses of the proposal with respect to any additional solicitation-specific review criteria, if _x000D_
applicable_x000D_
_x000D_
_x000D_
_x000D_
Summary Statement_x000D_
_x000D_
This is a very strong proposal aiming to provide new models and  algorithms with provable guarantees for several topics of significant importance in modern machine learning. The PI has an excellent track record on the proposed topics and is uniquely qualified to tackle the proposed questions._x000D_
_x000D_
</t>
  </si>
  <si>
    <t xml:space="preserve">In the context of the five review elements, please _x000D_
evaluate the strengths and weaknesses of the proposal with respect to intellectual merit._x000D_
_x000D_
This is an exciting and ambitious proposal that focuses on stability in machine learning. The proposed research tackles the problem in three directions: (1) develop new techniques and algorithms for adaptive data analysis to prevent false discovery, (2) use re-parameterization to explain when and why deep learning networks perform and generalize well and (3) develop notions of stability for unsupervised learning. These directions will help establish a stability theory for machine learning and hence are of significant importance.  In addition to the above, the proposed research also touches on privacy and fairness in machine learning. _x000D_
_x000D_
The PI has a track record of publishing in the area of proposed research is well qualified to carry out the proposed research. _x000D_
_x000D_
_x000D_
In the context of the five review elements, please _x000D_
evaluate the strengths and weaknesses of the proposal with respect to broader impacts._x000D_
_x000D_
+ Research results may have broad spillover effect on machine learning practice.  _x000D_
+ Increase awareness of societal consequences of machine learning via FATML workshop/conference_x000D_
+ Technology adoption by company and machine learning challenges_x000D_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advising/mentoring._x000D_
_x000D_
Summary Statement_x000D_
_x000D_
An excellent proposal._x000D_
_x000D_
</t>
  </si>
  <si>
    <t xml:space="preserve">In the context of the five review elements, please _x000D_
evaluate the strengths and weaknesses of the proposal with respect to intellectual merit._x000D_
_x000D_
The PI proposes to make machine learning more reliable by leveraging algorithmic stability as the technical framework for developing novel theory and practical tools. More specifically, the PI proposes to work on three domains: reliable data science; understanding deep learning; and stability for unsupervised learning. In all three areas, the PI will build upon his significant (and one could say groundbreaking) prior work. The PI has had significant contributions at the intersection of machine learning and theoretical computer science: for example, his work on the reusable holdout method which avoid biases that are introduced by probing the same holdout set multiple times using different methods. The PI crucially used ideas from differential privacy, showing that differential privacy implies algorithmic stability (which, in turn, implies generalization --- this is not the PI's work)._x000D_
_x000D_
The PI proceed to formulate many precise questions ranging from the rate of estimation in adaptive data analysis to more reliable benchmarks to the grand challenge of replacing p-values in scientific applications by stability (an excellent objective, in my opinion). Then, the PI proposes to work on understanding the interplay between optimization and parameterization in deep learning, again posing a number of precise technical questions to achieve the end goal. Finally, the PI discusses the potential of algorithmic stability for unsupervised learning: roughly speaking, the PI proposes to significantly extend our understanding of the observation that stability implies_x000D_
useful composition properties, thus ensuring that the unsupervised learner performs well with respect to a second learning task. The PI defines a potential framework that might be used to address such questions._x000D_
_x000D_
From an intellectual merit perspective, the proposed research directions are outstanding. The only concern might be the relative lack of technical details outlining the PI's approach to tackle the formidable challenges laid out in the proposal. However, in my opinion, this lack of technical details is mitigated by the PI's exceptional record which is a strong indicator of success for the proposed work._x000D_
_x000D_
In the context of the five review elements, please _x000D_
evaluate the strengths and weaknesses of the proposal with respect to broader impacts._x000D_
_x000D_
The broader impact of the proposal stems from the importance of reliable machine learning: there is no doubt that irreproducible research is at least partly due to poor statistical analyses and lack of stable, reliable machine learning approaches. The PI also has a significant amount of work on fairness in machine learning, even though this line of research did not seem to be in the forefront of the proposed work. The PI has organized workshops aiming to achieve community building around the objectives of this proposal and, in my opinion, his work will influence both the Machine Learning and Theoretical Computer Science communities. The proposed educational plan is reasonable but not outstanding._x000D_
_x000D_
Please evaluate the strengths and _x000D_
weaknesses of the proposal with respect to any additional solicitation-specific review criteria, if _x000D_
applicable_x000D_
_x000D_
See discussion above._x000D_
_x000D_
Summary Statement_x000D_
_x000D_
A very well-written, ambitious proposal. Very strong intellectual merit, and, if successful, outstanding broader impact. The PI's reputation and record is a strong indicator for the proposal's success._x000D_
_x000D_
</t>
  </si>
  <si>
    <t xml:space="preserve">In the context of the five review elements, please _x000D_
evaluate the strengths and weaknesses of the proposal with respect to intellectual merit._x000D_
_x000D_
This is a compelling proposal about machine learning. It discusses methods to improve reliability and avoid overfitting, to understand why deep learning is so successful in practice, and to develop a universal framework for generalization in unsupervised learning.  These are important problems, and the PI has an excellent track record on related work. Strong practical motivation._x000D_
_x000D_
This may or may not be a weakness for the theory panel, but recently the PI has published in ML venues, rather than theory ones.  Also, his PhD is from 2011, two years before most of the others, giving him perhaps an undeserved advantage._x000D_
_x000D_
_x000D_
In the context of the five review elements, please _x000D_
evaluate the strengths and weaknesses of the proposal with respect to broader impacts._x000D_
_x000D_
Part of the proposal is about fairness, and the PI has been raising awareness about the societal impact of algorithms.  The PI co-founded and has since co-organized a related workshop. He will also advise students, develop a course on fairness, and more._x000D_
_x000D_
Please evaluate the strengths and _x000D_
weaknesses of the proposal with respect to any additional solicitation-specific review criteria, if _x000D_
applicable_x000D_
_x000D_
_x000D_
_x000D_
Summary Statement_x000D_
_x000D_
A strong proposal about important areas of machine learning._x000D_
_x000D_
</t>
  </si>
  <si>
    <t>CAREER: Stable Foundations for Reliable Machine Learning_x000D_
_x000D_
Across all sciences, researchers hope to use algorithms and machine learning to derive reliable insights from data, but often research findings turn out to be false or hard to replicate. Indeed, assessing the validity of insights suggested by data is presently a difficult and error-prone task. Even in industry,_x000D_
where machine learning has fueled dramatic advances, more principled ways of benchmarking and improving the performance of a machine learning system would make a major difference. What often_x000D_
works best in practice are poorly understood non-convex optimization methods-leading to much guesswork with varying results. This inscrutable behavior of machine learning also has repercussions on society at large as more and more people struggle with the implications of algorithmic decisions in their daily lives. Fairness, interpretability, and transparency have become major talking points as algorithms increasingly aid or replace human judgment._x000D_
I aim to build guiding theory alongside scalable algorithms that make the practice of machine learning more reliable, transparent, and effective. Focusing on algorithmic stability as a unifying technical framework, this proposal targets three primary challenges:_x000D_
--Design a robust methodology to address the reliability crisis in data science and machine learning with the goal of reducing false discovery and overfitting. This effort extends on my recent work in the area of adaptive data analysis, but aims to complement the existing perspective with fundamentally new insights._x000D_
--Establish a working theory for why and when large artificial neural networks train and generalize well. This line of work will focus on how the parameterization of the model can help in easing_x000D_
optimization, and how in turn easier optimization problems may lead to better generalization performance._x000D_
--Develop a notion of algorithmic stability for unsupervised learning leading to a robust and universal framework to reason about generalization in unsupervised learning as is presently lacking. An important test case for this theory will be in the area of distribution learning and generative models.The proposed work combines a statistical view of algorithms with an algorithmic view of statistics, extending on the conceptual and technical repertoire of both disciplines. The work is likely to strengthen the ties between these fields, leading to new problems and concepts along the way.A major shortcoming of machine learning is its present lack of interpretable, reliable guarantees that do justice to its increasingly important role in science and society. Developing methods with strong theoretical underpinnings can provide much-needed a priori guarantees that avoid costly trial and error. More reliable machine learning methods may not only reduce the prevalence of incorrect scientific results, they can also facilitate the adoption of machine learning in high stakes applications. I have long been actively raising awareness about the societal impact of algorithms and machine learning, as exemplified not only by early work on privacy and fairness, areas that greatly benefit from a principled understanding of machine learning. Part of this ongoing effort has been community building through workshops, mentorship, teaching, and engaging with broad interdisciplinary audiences.</t>
  </si>
  <si>
    <t>1750640</t>
  </si>
  <si>
    <t>Ullman</t>
  </si>
  <si>
    <t xml:space="preserve"> Panel Summary       
 Description: _x000D_
This proposal focuses on developing data analysis algorithms that have rigorous guarantee of statistical accuracy, privacy, and computational efficiency. It contains several thrusts: (1) develop new techniques and algorithms with optimal sample complexity for interactive data analysis, (2) design computationally efficient and differentially private algorithms, (3) characterize realistic privacy attacks that can inform the design of privacy algorithms, and (4) adversarial machine learning. _x000D_
_x000D_
Intellectual Merit: _x000D_
_x000D_
Strengths_x000D_
  + The panel thinks the research plan is ambitious, compelling and generally well reasoned. The panelists are especially excited about the first two thrusts. Developing notions of stability that are weaker than differential privacy to establish new techniques and optimal algorithms for interactive data analysis and using techniques such as tensor completion and sum-of-squares algorithms to tackle the computational (in)efficiency of differentially private algorithms are exciting and potentially fruitful directions. _x000D_
 +  The panel thinks the crypto perspective that the PI takes is novel for the domain and can be transformative._x000D_
 + The PI has done substantial work in the research directions proposed and is one of the best researchers to carry out the proposed research. _x000D_
_x000D_
Weaknesses_x000D_
  - The last thrust is not very well fleshed out and probably can be left out._x000D_
_x000D_
Broader Impact:_x000D_
The panel thinks the proposal has excellent broader impact_x000D_
+ Workshop organization to reconnect the now very large differential privacy community. This is important and the PI has already been doing it. _x000D_
+ Podcast production showing how scientific perspective can be integrated into practical, non-academic subjects. The panel was especially excited about this broad science outreach. _x000D_
+ Excellent curriculum development and student involvement plan_x000D_
_x000D_
Solicitation-specific criteria: _x000D_
The integration of education and research is very well done._x000D_
_x000D_
Data Management Plan: _x000D_
Adequate_x000D_
_x000D_
What is bold, exciting, high risk/reward, or potentially transformative? _x000D_
The proposed research directions and the approaches that the PI plan to undertake can lead to high risk high reward research.  _x000D_
_x000D_
Justification for Panel Rating:  _x000D_
An excellent, ambitious and well thought-out proposal. 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</si>
  <si>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an excellently written and well reasoned proposal that aims to develop data analysis algorithms that can prevent false discovery in interactive data analysis, that are privacy preserving and computationally efficient, and generally speaking that are robust and trustworthy. _x000D_
_x000D_
The idea behind the proposed research is built upon the insight that challenges in both interactive data analysis and privacy-preserving statistical analysis can be tackled with a notion of stability. Differential privacy has been a popular notion of stability and in prior work has been used to prevent false discovery in interactive data analysis. But the notion of differential privacy is quite strong. For interactive data analysis, when applying differential privacy, it requires many more sample. For privacy-preserving statistical analysis, differential private algorithms often sacrifice computational efficiency. The PI aims to develop notions of stability that are weaker than differential privacy to establish new techniques and optimal algorithms for interactive data analysis and use techniques such as tensor completion and sum-of-squares algorithms to tackle the computational (in)efficiency of differential privacy. In addition to the above two thrusts, the PI will also investigate realistic privacy attacks and apply stable algorithms to other new settings such as adversarial machine learning. _x000D_
_x000D_
The PI has an established record in the area of differential privacy and using it for interactive data analysis. Despite the prior work, the proposed research is challenging and novel. The PI will take a crypto perspective for the proposed research and if successful will significantly advance the stability, reliability and trustworthy of algorithms and statistical analysis._x000D_
_x000D_
In the context of the five review elements, please _x000D_
evaluate the strengths and weaknesses of the proposal with respect to broader impacts._x000D_
_x000D_
+ Will produce more reliable and effective data analysis methods for empirical sciences and practitioners. _x000D_
+ Other excellent broader impacts including workshop organization to reconnect the now very large differential privacy community and a podcast production showing how scientific perspective can be integrated into practical, non-academic subjects. _x000D_
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 _x000D_
_x000D_
_x000D_
Summary Statement_x000D_
_x000D_
An excellent proposal. _x000D_
_x000D_
_x000D_
</t>
  </si>
  <si>
    <t xml:space="preserve">In the context of the five review elements, please _x000D_
evaluate the strengths and weaknesses of the proposal with respect to intellectual merit._x000D_
_x000D_
The PI proposes to perform research at the intersection of false discovery from interactive data analysis and statistical data privacy. Interestingly, the two fields have been unified by a body of work by many researchers, including prominent publications by the PI. The proposed research has four axes: (i) the use of differential privacy to prevent false discovery in interactive data analysis while sacrificing less statistical power (reducing false discovery in interactive data analysis is currently quite costly); (ii) computationally efficient privacy preserving algorithms for high-dimensional datasets; (iii) realistic privacy attacks to understand the limitations of privacy; and (iv) new applications of algorithmic stability to avoid sophisticated attacks in machine learning, such as training data manipulation, etc._x000D_
_x000D_
The PI expands on all aforementioned directions with a precise set of research topics and questions that are well-motivated and, in my opinion, is well qualified to address and resolve, at least from a theoretical perspective._x000D_
_x000D_
In the context of the five review elements, please _x000D_
evaluate the strengths and weaknesses of the proposal with respect to broader impacts._x000D_
_x000D_
The broader impacts of the proposal are definitely well above average. A nice educational plan, complemented with even a podcast production that the PI is co-producing. Student involvement and educational outreach are both quite reasonable. The only quibble might be the outreach to the machine learning community: it is not obvious how the PI's work will move from theoretical computer science to more applied venues: for the proposed line of the work to have true impact in practice, the PI will need to reach out to the statistics and the machine learning community, which is a rather tall order. However, this only slightly mitigates the broader impacts of a very good proposal._x000D_
_x000D_
Please evaluate the strengths and _x000D_
weaknesses of the proposal with respect to any additional solicitation-specific review criteria, if _x000D_
applicable_x000D_
_x000D_
See discussion above._x000D_
_x000D_
Summary Statement_x000D_
_x000D_
An ambitious, well-written proposal. Very good in terms of both intellectual merit and broader impacts._x000D_
_x000D_
</t>
  </si>
  <si>
    <t xml:space="preserve">In the context of the five review elements, please _x000D_
evaluate the strengths and weaknesses of the proposal with respect to intellectual merit._x000D_
_x000D_
Summary:_x000D_
_x000D_
This proposal deals with algorithms that have rigorous guarantees of privacy, security, and statistical accuracy. This is an important emerging area in theoretical computer science with many practical applications and is extremely timely with the emergence of Big Data. The main directions are:_x000D_
_x000D_
(1) Interactive data analysis: identifying new techniques and algorithms with optimal sample complexity. A key question is whether we can obtain more powerful algorithms by_x000D_
avoiding privacy or if this is even necessary._x000D_
_x000D_
(2) Designing efficient private algorithms for natural data analysis tasks._x000D_
_x000D_
(3) Realistic privacy attacks that can inform the design and deployment of privacy technologies._x000D_
_x000D_
_x000D_
_x000D_
Strengths:_x000D_
_x000D_
1.	The proposal is extremely very well written  and gives a nice tour de force of differential privacy and its applications. The connections to interactive data analysis  is very interesting and compelling. _x000D_
_x000D_
2.	The PI has done substantial work in essentially all the research directions proposed which are well-thought of and fleshed out._x000D_
_x000D_
3.	The project is right on the money in data analysis and addresses an important aspect, namely privacy and interactive data analysis. The latter has wide implications how data is used and interpreted. The PI is well-poised to make advances in the research directions proposed._x000D_
_x000D_
Weaknesses:_x000D_
1.	None._x000D_
_x000D_
_x000D_
_x000D_
In the context of the five review elements, please _x000D_
evaluate the strengths and weaknesses of the proposal with respect to broader impacts._x000D_
_x000D_
Strengths:_x000D_
_x000D_
1.	Privacy is obviously important and this research can lead to provably good privacy-preserving algorithms with rigorous privacy, security and statistical guarantees._x000D_
_x000D_
2.	Interactive data analysis can be very useful in empirical sciences and can lead to better interpretation of results based on interactive analysis._x000D_
_x000D_
3.	The PI has a strong program in connecting various communities that work in differential privacy._x000D_
_x000D_
4.	The project had an excellent curriculum development and student involvement plan. The PI has mentored a female undergraduate summer intern with whom he has co-authored a COLT paper._x000D_
_x000D_
_x000D_
Please evaluate the strengths and _x000D_
weaknesses of the proposal with respect to any additional solicitation-specific review criteria, if _x000D_
applicable_x000D_
_x000D_
The integration of education and research is very well done._x000D_
_x000D_
Summary Statement_x000D_
_x000D_
This is a strong and timely proposal on privacy aspects of data analysis. The PI is very well qualified to undertake the research agenda. The broader impact and education component is also well-written._x000D_
_x000D_
</t>
  </si>
  <si>
    <t xml:space="preserve">In the context of the five review elements, please _x000D_
evaluate the strengths and weaknesses of the proposal with respect to intellectual merit._x000D_
_x000D_
This proposal lays out several thrusts:_x000D_
1)	Rigorously studying interactive data analysis_x000D_
2)	Computationally efficient algorithms of DP_x000D_
3)	Realistic privacy attracks_x000D_
4)	Adversarial machine learning._x000D_
_x000D_
The most developed is #2.  About computationally efficient data summaries.  The basic idea here is to replace "synthetic data bases, which are either impossible or intractable, with some thing else.  The proposed methods forward are SoS and tensor composition.  They are quite intriguing, and also include back-up plans._x000D_
_x000D_
_x000D_
_x000D_
In the first thrust, the goal is to understand how privacy relates to interactive data analysis, and to figure out the fundamentals.  I think this seems like a great goal, unfortunately, some of the approaches listsed do not seem particularly promising (or perhaps I do not understand them much), but  One sub questions the PI proposes on the way is to study the statistical query model.  I did not understand this, because I don't see how to mix that data "size" metrics, and the SQ model.  I also did not deeply understand question 3, which seems to be asking about how many samples can be saved by testing k hypotheses together versus individually.  Q4 seems very interesting, asking about "what if the tester does not know the population", but the way forward is also a little vague._x000D_
_x000D_
The third trust is based on past research.  The goal is to create realistic attacks by building largely on this past work.  _x000D_
_x000D_
The fourth trust is adversarial machine learning.  This is the least developed.  It seems to miss vast research on the topic, and I do not see the intuitive connection beyond a very surface level._x000D_
_x000D_
The plan definitely explores important areas with novel ideas. _x000D_
_x000D_
The plans are a little spotty at places.  Though, this is often the case with theory research._x000D_
_x000D_
The PI is very qualified with adequate resources. _x000D_
_x000D_
_x000D_
In the context of the five review elements, please _x000D_
evaluate the strengths and weaknesses of the proposal with respect to broader impacts._x000D_
_x000D_
This proposal, if successful with have applications to large areas of empirical science, including datamining and data sharing.  This represents very exciting directions!_x000D_
It would also help the PI in his organization role at two workshops, creating a website for visibility of privacy research, and be input into the Pis grad course (and possible new UG course).  The PI will continue to mentor undergraduates and PhDs in research.  _x000D_
_x000D_
_x000D_
_x000D_
Please evaluate the strengths and _x000D_
weaknesses of the proposal with respect to any additional solicitation-specific review criteria, if _x000D_
applicable_x000D_
_x000D_
The main outreach is a pod-cast to discuss science topics to a broad audience.  While very ambitious, it seems only tangentially related to the proposal._x000D_
_x000D_
Summary Statement_x000D_
_x000D_
The proposal addresses really important questions by a very capable researcher.  Some of the paths forward are better worked out than others.  There is a large potential for broader impacts.  The educations outreach plan is okay but some parts seem rather unrelated to the research._x000D_
_x000D_
</t>
  </si>
  <si>
    <t>Every day, massive amounts of data are collected, analyzed, and used to make high-stakes decisions, raising many questions about how to use this data in a trustworthy manner.  This proposal is about two such questions: (1) How can researchers prevent false discovery and use data to learn meaningful facts about a population without overfitting to that data?  (2) How can researchers use valuable but sensitive data to learn about a population without compromising the privacy of the individuals in that data?  _x000D_
  Although they seem unrelated, these questions can both be addressed using stable algorithms---algorithms whose outputs are insensitive to small changes in their inputs.  Specifically, differential privacy is a strong form of algorithmic stability that guarantees a high degree of individual privacy yet admits highly accurate data analysis.  Recently, differential privacy has been shown to prevent false discovery in interactive data analysis---the common scenario where the same dataset is analyzed repeatedly, which has been implicated in a "statistical crisis in science" by Gelman and Loken.  This connection has led to dramatically more accurate algorithms for interactive data analysis._x000D_
  These examples show that stable algorithms are a strong and unified foundation for making data analysis more trustworthy in the face of modern challenges like false discovery and societal concerns over privacy.   This research program will make a unified study of these problems, and of the power of stable algorithms more generally.Our research will produce new algorithms with rigorous guarantees of privacy, security, and statistical accuracy---addressing key challenges to making these algorithms statistically efficient, computationally efficient, and aligned with modern practice.  It will also identify new barriers to achieving these goals and tradeoffs among them, both in theory and in practice.  Finally, this work will enrich and connect previously distinct areas of study via the unifying lens of algorithmic stability.  Specific contributions will include:_x000D_
(1) Building the foundations of interactive data analysis---identifying new techniques and algorithms with optimal sample complexity.  A key question is whether we can obtain more powerful algorithms by eschewing privacy, or whether privacy comes "for free" in interactive data analysis._x000D_
(2) New computationally efficient private algorithms for natural data analysis tasks, leveraging recent advances in machine learning to overcome computational hardness results for artificial tasks._x000D_
(3) A suite of realistic privacy attacks that can inform the design and deployment of privacy technologies, analogous to the way cryptanalysis informs cryptography.  This work is driven by the conjecture that differential privacy is the "right" stability notion to capture privacy, not only in theory, but in practice._x000D_
(4) Applying algorithmic stability to new problems in secure machine learning where data must be analyzed in the presence of adversaries who manipulate the training data or game the learned model.Privacy concerns are a major obstacle to the collection, sharing, and use of sensitive data coming from sources like medical records and online behavior, and the new algorithms produced in this research will enable greater access to these sensitive datasets.  By bridging the theoretical and applied literatures on privacy attacks, this research will also help prevent the use of unsound methods that lead to breaches and shake public confidence.  False discovery is also a major concern in the empirical sciences, and one that is increasingly discussed in the popular press.  By designing more effective algorithms for interactive data analysis, this research will help mitigate one significant source of false discovery.  Moreover, the broad impact of this research program will be amplified through new courses on data privacy that harness stability as a pedagogical tool to make the next generation of data scientists more fluent in privacy technology.  The impact will be further amplified through the PI's efforts to connect the fragmented privacy research community via a privacy research highlights website.  Finally, the PI will co-produce a podcast showing how the scientific and technological perspective can be applied to issues faced by the general public, including, but not limited to, the subjects of this research program.</t>
  </si>
  <si>
    <t>1750651</t>
  </si>
  <si>
    <t>Awasthi</t>
  </si>
  <si>
    <t xml:space="preserve"> Panel Summary       
  Description: The proposal aims to develop a new approach for unsupervised learning with provable guarantees. _x000D_
_x000D_
First, generalized clustering problems such as community detection, sparse coding, topic modeling etc. will be studied when model satisfies certain deterministic conditions such as weak deletion stability and/or perturbation resilience. _x000D_
_x000D_
Second, robust algorithms for generalized clustering problems as well as other important unsupervised learning algorithms will be studied where the model may be misspecified or there could be large amount of noise in data. The connection to semi random model will be explored. _x000D_
_x000D_
Finally, the proposal will explore new techniques to determine whether the underlying data has important structural properties that can be exploited to develop more efficient learning algorithms._x000D_
_x000D_
_x000D_
Intellectual Merit: _x000D_
_x000D_
Strengths_x000D_
  + Unsupervised learning is a very important paradigm in machine learning and more promising than supervised learning to scale to big data since there is no external annotation or intervention. _x000D_
_x000D_
+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 _x000D_
_x000D_
+ The proposal is very well written and presented. The background, approaches, and problems are clearly stated with a systematic research agenda. _x000D_
_x000D_
+ The PI is very well-qualified to undertake this research with significant prior publications, especially, in developing clustering algorithms under distribution-free models which exploit underlying pattern in data. _x000D_
_x000D_
+ In addition to theory, the project will evaluate the algorithms using real-world data sets. _x000D_
_x000D_
Weaknesses: _x000D_
- More elaboration on the technical difficulties and challenges in tackling the proposed problems would have been better. _x000D_
_x000D_
- The proposal did not make clear  what theoretically significant results or techniques will come out from this work. _x000D_
_x000D_
-The questions look somewhat incremental given the existing literature, some of which are by PI himself._x000D_
_x000D_
-Except for a 2015 paper, the PI's clustering work appears to be at least five years old, so it's unclear the time is ripe for progress. _x000D_
_x000D_
_x000D_
Broader Impact: _x000D_
+ Since unsupervised learning has wide applications in many domains, the algorithms developed in this proposal can have a big impact. _x000D_
_x000D_
+ The project will develop both undergraduate and graduate courses to train students in state of the art in machine learning. _x000D_
_x000D_
+ The PI will disseminate the research in top conference venues and by writing survey articles. _x000D_
_x000D_
+ The PI has given mini courses on Machine Learning to high school students which has attracted undergraduate students to Rutgers. _x000D_
_x000D_
+ The PI is currently supervising two female Ph.D. students who are likely to be supported by this grant. _x000D_
_x000D_
+ The PI is involved in DIMACS REU program, Rutgers young scholars program, and Rutgers China scholars program. He plans to hold regular summer series for dissemination of new results._x000D_
_x000D_
Weaknesses_x000D_
 None_x000D_
_x000D_
Solicitation-specific criteria: _x000D_
The integration of education and research is very well done. _x000D_
_x000D_
Data Management Plan: _x000D_
Adequate _x000D_
_x000D_
What is bold, exciting, high risk/reward, or potentially transformative? _x000D_
_x000D_
Research on provable algorithms for unsupervised learning can have high impact both in theory and practice._x000D_
_x000D_
Justification for Panel Rating: _x000D_
 This is a strong proposal on fundamental advances in unsupervised machine learning with potential to lead to new and robust algorithms with implementations. The educational plan, outreach, and broader impacts are written very well._x000D_
_x000D_
The panel felt the theoretical aspects of the proposal could have been better developed. It was not clear what significant theoretical techniques or breakthroughs can emerge from this work, though overall the panel appreciated the research direction of the proposal.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</si>
  <si>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focus of this proposal is to design provably optimal algorithms_x000D_
for unsupervised learning. The goal is to go beyond _x000D_
beyond the traditional probabilistic models and instead assuming a distributed free approach._x000D_
The proposal will develop algorithmic and mathematical techniques that_x000D_
will lead to a more practical, robust and modern theory of unsupervised learning. The main research directions are:_x000D_
(a) Distribution-free data models and algorithms for generalized clustering problems_x000D_
(b) Design of robust algorithms_x000D_
(c) New mathematical tools for robust analysis_x000D_
(d) Algorithms for learning structure inducing representations_x000D_
_x000D_
_x000D_
Strengths:_x000D_
_x000D_
1.Unsupervised learning is a very important paradigm in machine learning and more promising than supervised learning to scale to big data since there is no external annotation or intervention. However,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learning._x000D_
_x000D_
2. The proposal is very well written and presented. The background, approaches, and problems are clearly stated with a systematic research agenda. _x000D_
_x000D_
3. The PI is very well-qualified to undertake this research with significant prior publications, especially in developing clustering algorithms under distributed-free models which exploit underlying pattern in data  are quite reasonable from theory viewpoint and  seems to capture real-world scenarios as well._x000D_
_x000D_
4. In addition to theory, the project will evaluate the algorithms using real-world data sets._x000D_
_x000D_
Weaknesses: _x000D_
1.  More elaboration  on the technical difficulties and challenges in tackling the proposed problems would have been better._x000D_
_x000D_
_x000D_
In the context of the five review elements, please _x000D_
evaluate the strengths and weaknesses of the proposal with respect to broader impacts._x000D_
_x000D_
Strengths:_x000D_
_x000D_
1.	Since unsupervised learning has wide applications in many domains, the algorithms developed in this proposal can have a big impact._x000D_
_x000D_
2.	The project will develop both undergraduate and graduate courses to train students in state of the art in machine learning._x000D_
_x000D_
3.	The PI will disseminate the research in top conference venues and by writing survey articles._x000D_
_x000D_
4.	The PI has given mini courses on Machine Learning to high school students which has attracted  undergraduate students to Rutgers._x000D_
_x000D_
5.	The PI is currently supervising two female Ph.D. students who are likely to be supported by this grant._x000D_
_x000D_
Weaknesses:_x000D_
_x000D_
None._x000D_
_x000D_
_x000D_
_x000D_
_x000D_
Please evaluate the strengths and _x000D_
weaknesses of the proposal with respect to any additional solicitation-specific review criteria, if _x000D_
applicable_x000D_
_x000D_
The education and research are very well integrated._x000D_
_x000D_
Summary Statement_x000D_
_x000D_
This is a strong proposal on fundamental advances in unsupervised machine learning with clear research agenda supported by prior work of the PI. It has potential to lead to new and robust algorithms with  implementations. The educational plan, outreach, and broader impacts are written very well._x000D_
_x000D_
</t>
  </si>
  <si>
    <t xml:space="preserve">In the context of the five review elements, please _x000D_
evaluate the strengths and weaknesses of the proposal with respect to intellectual merit._x000D_
_x000D_
Proposed to work on robust algorithms for unsupervised learning, making use of weaker notions of implicit structure.  Progress in this area will be important.  Proposes interesting and motivated models for designing robust learning algorithms.  The models appear to be novel. Suggests modifications of well-known algorithms that would make them robust._x000D_
PI has made good progress along these lines and will likely make_x000D_
more progress._x000D_
_x000D_
In the context of the five review elements, please _x000D_
evaluate the strengths and weaknesses of the proposal with respect to broader impacts._x000D_
_x000D_
high school outreach_x000D_
undergrad research_x000D_
workshops_x000D_
surveys_x000D_
_x000D_
_x000D_
Please evaluate the strengths and _x000D_
weaknesses of the proposal with respect to any additional solicitation-specific review criteria, if _x000D_
applicable_x000D_
_x000D_
_x000D_
_x000D_
Summary Statement_x000D_
_x000D_
+ important area and proposes good questions which he is likely to make progress on_x000D_
+ good outreach_x000D_
_x000D_
</t>
  </si>
  <si>
    <t xml:space="preserve">In the context of the five review elements, please _x000D_
evaluate the strengths and weaknesses of the proposal with respect to intellectual merit._x000D_
_x000D_
The proposal aims to develop a new approach for unsupervised learning with provable guarantees. _x000D_
_x000D_
First, developing on PI's own work, generalized clustering problems on realistic data model that has weak deletion stability or is perturbation resilient will be studied.  Generalized clustering problem includes problems of community detection, sparse coding, normal data clustering, topic modeling etc. The PI argues that models that are distribution free but have these additional deterministic conditions are practically useful and yet amenable to algorithm design. _x000D_
_x000D_
Second, the PI will study developing robust algorithms for generalized clustering problems as well as other important unsupervised learning algorithms when the model may be misspecified or there could be large amount of noise in data. The connection to semi random model will be explored. _x000D_
_x000D_
Finally, optimal algorithms for unsupervised learning rely on exploiting mathematical structure that is present in real world data. The PI will investigate linear programming based techniques to detect presence of any such structure in data._x000D_
_x000D_
Summary of strength and weakness: The questions posed in this proposal are practically important. The PI has done a lot of work in this area._x000D_
_x000D_
It is not clear what theoretically significant results or techniques will come out from this work. The questions look incremental given the existing literature._x000D_
_x000D_
In the context of the five review elements, please _x000D_
evaluate the strengths and weaknesses of the proposal with respect to broader impacts._x000D_
_x000D_
Broader impact is well-written and the PI is involved in DIMACS REU program, Rutgers young  scholars program, integrating data science into K12 curriculum etc. The PI is also a member of Rutgers China scholars program, and plans to hold regular summer series for dissemination of new results._x000D_
_x000D_
Please evaluate the strengths and _x000D_
weaknesses of the proposal with respect to any additional solicitation-specific review criteria, if _x000D_
applicable_x000D_
_x000D_
_x000D_
_x000D_
Summary Statement_x000D_
_x000D_
In summary, the proposal plans to extend the literature on unsupervised learning and develop provably optimal algorithms with minimal assumptions on data. While, the developed algorithms could be of practical interest, it is not clear how significant the results will be from theoretical point of view._x000D_
_x000D_
</t>
  </si>
  <si>
    <t xml:space="preserve">In the context of the five review elements, please _x000D_
evaluate the strengths and weaknesses of the proposal with respect to intellectual merit._x000D_
_x000D_
Proposes to study unsupervised learning under distribution-free or deterministic data models. One focus is clustering, where the PI showed in a FOCS 2010 paper that a property called weak deletion stability implies a polynomial time approximation scheme (PTAS). The PI seeks robust algorithms, including using a semi-random model, which is interesting but no longer deterministic._x000D_
_x000D_
A weakness of the proposal is that except for a 2015 paper, the PI's clustering work appears to be at least five years old, so it's unclear the time is ripe for progress.  While the PI publishes regularly in COLT, the PI has only two STOC/FOCS papers (in 2014 and 2010)._x000D_
_x000D_
In the context of the five review elements, please _x000D_
evaluate the strengths and weaknesses of the proposal with respect to broader impacts._x000D_
_x000D_
The PI proposed to do curriculum development and outreach._x000D_
_x000D_
Please evaluate the strengths and _x000D_
weaknesses of the proposal with respect to any additional solicitation-specific review criteria, if _x000D_
applicable_x000D_
_x000D_
_x000D_
_x000D_
Summary Statement_x000D_
_x000D_
An interesting proposal about unsupervised learning. However, the PI's track record doesn't seem quite as strong as other applicants._x000D_
_x000D_
</t>
  </si>
  <si>
    <t>The goal of this proposal is to develop a new approach towards designing provably optimal algorithms for unsupervised learning. Traditional unsupervised models are grounded in probability theory and view a given data set as a realization from an idealized probabilistic process. In addition to being an oversimplification of real world data, this approach often leads to algorithms that break down or are poorly understood beyond the specific model. This leads to two fundamental challenges in the current theory and practice of unsupervised learning a) algorithms with theoretical guarantees that apply to realistic data models}, and b) algorithms that are not brittle to modeling assumptions and noise in the data}. _x000D_
_x000D_
The proposal will address these challenges and develop algorithmic and mathematical techniques that will lead to a more practical, robust and modern theory of unsupervised learning. We plan to carry out our research agenda along the following directions: (a) Distribution-free data models and algorithms for generalized clustering problems, (b) Design of robust algorithms, (c) New mathematical tools for robust analysis, (d) Algorithms for learning structure inducing representations, and (e) Education and Outreach.The proposed research aims to develop a robust and modern theory of unsupervised learning. A central theme is to investigate a previously untapped notion of exploiting implicit structure present in the data that is not tied to a specific distribution. The proposal demonstrates how this approach can lead to new algorithms, robustness to model misspecification, and learning useful representations of the data. Achieving the goals of the proposal will involve developing novel algorithmic techniques and a new set of mathematical tools for robust analysis of algorithms. The advances made will likely have applications beyond in other areas of computer science and mathematics.The proposed research tackles fundamental challenges in unsupervised learning. Given the pervasiveness of the paradigm, the algorithms developed as a part of this proposal can significantly improve the _x000D_
state of the art in machine learning thus impacting many domains. The course material developed during this project will educate the students and the community at large about the challenging research questions in this field and will lead to an increased activity in theoretical research in this direction. The educational component of the proposal will train the next generation of students in critical skills needed to perform cutting edge research. Furthermore, the PI plans to pursue various other activities for dissemination of the conducted research including holding a workshop on Challenges in unsupervised learning at top venues such as NIPS and COLT. The PI also plans to write a survey on deterministic data models for unsupervised learning.</t>
  </si>
  <si>
    <t>1750716</t>
  </si>
  <si>
    <t>Nguyen</t>
  </si>
  <si>
    <t xml:space="preserve"> Panel Summary       
 Description:_x000D_
_x000D_
The PI proposes novel work on sketches, namely data structures that support updates to the underlying data and a pre-specified set of queries, while requiring significantly less space than the size of the original data. The PI proposes to investigate sketches in the following three directions: (i) investigate the time complexity (i.e., the querying time) of linear sketches; (ii) investigate the space complexity of linear sketches; and (iii) investigate sketching in the distributed setting and especially its applications for submodular optimization._x000D_
_x000D_
Intellectual Merit:_x000D_
_x000D_
Strengths_x000D_
  + Well-written proposal, posing deep technical questions and possible approaches to tackle them. Advances in addressing these will significantly advance our knowledge of sketching and its applications._x000D_
  + Very strong PI with significant amount of prior work in the area of the proposal._x000D_
_x000D_
Weaknesses_x000D_
  - Some references might have been added to the proposal; however the panelists agreed that this omission was not a major issue. _x000D_
  - The part of the proposal discussing mapreduce was not as well thought as the remainder of the proposal._x000D_
 _x000D_
Broader Impact:_x000D_
_x000D_
Strengths_x000D_
  + Reasonable teaching plan._x000D_
  + Improving the quality of sketching could result in significant advances in domains where sketching algorithms are used (e.g., big data analytics)._x000D_
_x000D_
Weaknesses_x000D_
  - The broader impacts section was relatively sketchy and more details could have been included (e.g., involvement of under-represented minorities, etc.)._x000D_
  - Some panelists noted that the PI should include a plan for outreach to communities beyond theoretical computer science, as his research is immediately relevant to the machine learning and data mining communities._x000D_
_x000D_
Solicitation-specific criteria:_x000D_
_x000D_
The panel concurred that the integration of education and research was reasonable. The PI will develop graduate and undergraduate courses related to his research as well as write survey articles to disseminate his research to a wider audience. _x000D_
_x000D_
Data Management Plan:_x000D_
_x000D_
The data management plan was deemed adequate by the panel._x000D_
_x000D_
What is bold, exciting, high risk/reward, or potentially transformative?_x000D_
_x000D_
If the PI succeeds in his theoretical endeavors on sketching, it is highly probably that new tools will be developed in the process of proving the proposed results; these tools could be transformative from a theoretical computer science perspective._x000D_
_x000D_
Suggestions to PI: Better outreach plans and a more detailed broader impacts component could help improve the proposal._x000D_
_x000D_
Justification for Panel Rating: A very strong proposal (especially from an intellectual merit perspective) focusing on sketches, a hot topic in theoretical computer science with significant applicability in machine learning and data mining. The PI is a leading expert in this area and has a particularly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</si>
  <si>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A solid theoretical proposal on sketching algorithms. The PI intends to focus on three theoretical research directions: time complexity of sketching (in the turnstile model), mergeable sketches, and space complexity of sketching, addressing open problems that go back to the original pioneering work by Alon et al. on moment estimation. The PI is a very promising young researcher in the theory domain and he almost certainly deliver novel theoretical results._x000D_
_x000D_
In the context of the five review elements, please _x000D_
evaluate the strengths and weaknesses of the proposal with respect to broader impacts._x000D_
_x000D_
However, I am not convinced regarding the true impact of the proposed research outside a subset of the Theoretical Computer Science community. I would like to see more bridges with more applied communities that are often consumers of such tools as well as the applied mathematics communities. Such bridges are essentially non-existent in the proposal (the PI simply mentions some work towards that end with colleagues at NEU). Without such broader impact activities the overall impact of the proposed research, even if it is successful, will be very limited. The educational broader impacts of this proposal are average, at best._x000D_
_x000D_
Please evaluate the strengths and _x000D_
weaknesses of the proposal with respect to any additional solicitation-specific review criteria, if _x000D_
applicable_x000D_
_x000D_
See above discussion._x000D_
_x000D_
Summary Statement_x000D_
_x000D_
A solid theoretical proposal with very good intellectual merit from a theoretical computer science perspective. Limited potential for broader impact, which significantly mitigates the merits of the proposed work._x000D_
_x000D_
</t>
  </si>
  <si>
    <t>KT0605710</t>
  </si>
  <si>
    <t>Garg</t>
  </si>
  <si>
    <t>garg@ece.utexas.edu</t>
  </si>
  <si>
    <t xml:space="preserve">In the context of the five review elements, please _x000D_
evaluate the strengths and weaknesses of the proposal with respect to intellectual merit._x000D_
_x000D_
Strengths:_x000D_
The PI has proposed to investigate the theory of sketches. Sketches have many practical applications in the area of streaming algorithms. The proposed tasks include exploring time complexity, space complexity with connections to compressed sensing,_x000D_
and mergeable summaries with applications to distributed environments._x000D_
_x000D_
The PI has proposed concrete research problems with fundamental implications in multiple areas. One of the key strength of this proposal is that it studies problems that have applications in practical setting such as sketching in distributed environments with map-reduce style models._x000D_
_x000D_
For heavy hitters problem, the PI has given an algorithm with fast query time_x000D_
based on a graph partitioning approach. It is likely that algorithms that use heavy-hitters as subroutine will benefit from the PI's insights._x000D_
_x000D_
The PI has excellent track record with strong publications in top conferences._x000D_
_x000D_
There are adequate resources available to PI._x000D_
_x000D_
Weaknesses:_x000D_
_x000D_
PI has listed two additional pending proposals in the Current and Pending Support form. In the project description, only one of them is mentioned. The relationship with the other proposal is not given. From the title, it does seem that the other proposal is synergistic for distributed optimization algorithms._x000D_
_x000D_
_x000D_
In the context of the five review elements, please _x000D_
evaluate the strengths and weaknesses of the proposal with respect to broader impacts._x000D_
_x000D_
Strengths:_x000D_
_x000D_
The project is likely to have practical impact on sketching and submodular optimization._x000D_
_x000D_
The PI will involve students in theory as well as software development._x000D_
_x000D_
Please evaluate the strengths and _x000D_
weaknesses of the proposal with respect to any additional solicitation-specific review criteria, if _x000D_
applicable_x000D_
_x000D_
_x000D_
_x000D_
Summary Statement_x000D_
_x000D_
The proposal is well-written and advances our knowledge and understanding with benefits to the society._x000D_
_x000D_
</t>
  </si>
  <si>
    <t xml:space="preserve">In the context of the five review elements, please _x000D_
evaluate the strengths and weaknesses of the proposal with respect to intellectual merit._x000D_
_x000D_
Summary: Sketches are data structures that support updates to the underlying data and a pre-specified set of queries while requiring significantly less space than the size of the original data.  This proposal investigates sketches in the following three directions:_x000D_
_x000D_
1.	Investigate the time complexity (i.e., the querying time)  of  linear sketches._x000D_
_x000D_
2.	Space complexity of linear sketches._x000D_
_x000D_
3.	Sketching in distributed setting, especially for submodular optimization._x000D_
_x000D_
_x000D_
Strengths:_x000D_
_x000D_
1.	The proposal is written very well and presented.  It poses  deep technical questions and possible approaches to tackle the same. Advances in addressing these will significantly advance our knowledge of sketches and its applications._x000D_
_x000D_
2.	 The PI has done substantial work in this area and capable of tackling the challenging problems posed. In particular, the project seeks to improve the time complexity of querying in sketches which has been rather ignored in the past (where the focus has mostly been on space complexity). This is an important aspect and  PI's recent work gives the first algorithm for heavy hitters with optimal space and fast query time. This can be useful in designing efficient sketches for graph sparsifiers and sparse recovery. _x000D_
_x000D_
3.	Sparse recovery is an important and fundamental problem. The proposal proposes improving the time complexity and space complexity of sketches._x000D_
_x000D_
Weaknesses:_x000D_
_x000D_
1.	The proposal omits some key references in  submodular optimization and sketching in distributed computing and machine learning literature. It should address and discuss these as well, e.g., see below and the references therein:_x000D_
_x000D_
a.	Distributed and parallel algorithms for weighted vertex cover and other covering problems, PODC, 2009._x000D_
b.	Distributed Submodular Optimization, JMLR 2016._x000D_
c.	Fast Distributed Algorithms for connectivity and MST in large graphs, SPAA 2016._x000D_
_x000D_
_x000D_
In the context of the five review elements, please _x000D_
evaluate the strengths and weaknesses of the proposal with respect to broader impacts._x000D_
_x000D_
Strengths:_x000D_
_x000D_
1.	Good education plan._x000D_
_x000D_
2.	Sketches have applications, including in industry, and this proposal can have an impact._x000D_
_x000D_
3.	The PI plans to collaborate with applied researchers._x000D_
_x000D_
4.	The PI has been an editor for XRDS, an ACM student magazine and will contribute to popularize sketches and related material._x000D_
_x000D_
Weaknesses:_x000D_
1. The Broader impact is pretty sketchy and short, could have been elaborated with details._x000D_
_x000D_
_x000D_
_x000D_
_x000D_
Please evaluate the strengths and _x000D_
weaknesses of the proposal with respect to any additional solicitation-specific review criteria, if _x000D_
applicable_x000D_
_x000D_
Integration of education and research is adequate._x000D_
_x000D_
Summary Statement_x000D_
_x000D_
This is a very strong project focusing on sketches, a hot topic  of  late. It lays out a strong research agenda  backed up by significant  work by the PI. I expect strong publications to come out of this._x000D_
_x000D_
</t>
  </si>
  <si>
    <t xml:space="preserve">In the context of the five review elements, please _x000D_
evaluate the strengths and weaknesses of the proposal with respect to intellectual merit._x000D_
_x000D_
The PI proposes compelling questions including: the time complexity of sketching, sketching of graph sparsifiers (in particular, better query complexity), sparse recovery, streaming lower bounds, the realm of mergeable sketches and sketching in distributed environments. The PI suggests a number of plans of attack and has a number of results in these directions._x000D_
_x000D_
PI has very strong track record, solving long studied open questions and applying his techniques to very powerful classes of problems (i.e., submodular maximization)._x000D_
_x000D_
In the context of the five review elements, please _x000D_
evaluate the strengths and weaknesses of the proposal with respect to broader impacts._x000D_
_x000D_
The algorithms studied in this proposal are useful in industrial settings (e.g. by Google)._x000D_
_x000D_
Will work with researchers in vision, NLP, network security and Database systems._x000D_
_x000D_
Please evaluate the strengths and _x000D_
weaknesses of the proposal with respect to any additional solicitation-specific review criteria, if _x000D_
applicable_x000D_
_x000D_
_x000D_
_x000D_
Summary Statement_x000D_
_x000D_
+ important research area_x000D_
+ very strong track record_x000D_
+ good outline of how the PI will make progress_x000D_
_x000D_
</t>
  </si>
  <si>
    <t>The unprecedented growth of new data has pushed computer systems to their limits in not only storage capacity but also communication bandwidth and computational power. A fundamental challenge underlying these constraints is the need for {\em suitable representations} of the data that facilitate efficient computation and are sufficiently compact for storage and communication. These representations, or {\em sketches}, are data structures that support updates to the underlying data and a pre-specified set of queries while requiring significantly less space than the size of the original data. This proposal aims to address fundamental gaps in our understanding of sketches by pursuing the following goals: _x000D_
_x000D_
- Investigate {\em linear sketches}, a universal form of sketches for turnstile streaming algorithms in a broad class of problems and also applicable to classical algorithms as well as distributed algorithms. The proposal focuses on fundamental questions regarding time complexity of sketches in both upper and lower bounds._x000D_
	_x000D_
- {\em Space complexity} of linear sketches in sparse recovery. Linear sketches are precisely the linear measurements used to recover signals in the flourishing area of compressed sensing[CRT06,Donoho06]. The fundamental challenge in this area is to use as few measurements as possible, which is exactly the space complexity of linear sketches. The PI proposes to study this question with respect to several different recovery guarantees._x000D_
_x000D_
- Develop {\em new forms of sketches} for abstract objects and distributed environments. To this end, the proposal considers sketching for submodular functions, a popular model for machine learning, computer vision, economics, etc. Problems in these applications are modeled as submodular maximization subject to various types of constraints.The proposal will lead to deeper understanding and novel algorithms for fundamental problems in streaming algorithms, compressed sensing, and submodular optimization. The proposed research is of interest to not only theoretical computer science but also databases and machine learning, combining theoretical insights with computational models relevant to applications. The proposal builds on techniques from a wide variety of areas including analysis, information theory, coding theory, combinatorics, and optimization, and it can lead to novel connections among them. As an example, the PI's work with Garg et al.[GMN14,BGMNW16] uses techniques from information theory and communication complexity to tackle problems in distributed machine learning.Work produced through this project is likely to have practical impact due_x000D_
to the extensive use of sketching and submodular optimization in applications[LDP07,TZ12,Bilmes15,ELVZ17]. Investigation of large scale submodular optimization is especially timely given the growth in data size and it has attracted significant attention in the machine learning community[KG10,BMKK14,MKBK15,LBZK16]. The students supported by the project and the PI will actively pursue research in both theory and applications, publishing in both theory and machine learning venues, and broadly disseminate research outcomes by giving talks at universities, industrial labs, research conferences, and tutorial sessions. 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 The PI will also write survey articles aimed at broad audiences and also beginning theory graduate students.</t>
  </si>
  <si>
    <t>1750808</t>
  </si>
  <si>
    <t>Haeupler</t>
  </si>
  <si>
    <t xml:space="preserve"> Panel Summary       
 Description: This proposal is about interactive coding. The broad problem here is to convert any given interactive communication protocol into one that is resilient to transmission errors, while preserving its functionality. The proposal discusses problems that are related to this basic goal. The PI has written many papers on the subject and seems well placed to make further progress. The goals outlined in the proposal are certainly worthy of support. _x000D_
_x000D_
Strengths_x000D_
The PI has a significant track record of success in this area._x000D_
Getting explicit construction of tree-codes or efficient decoding algorithms will be significant contributions. _x000D_
The interaction of interactive coding and crypto is very important._x000D_
It seems that in [GHS14] and [GH14], the PI has already answered many fundamental questions on interactive coding._x000D_
_x000D_
Weaknesses_x000D_
Other proposals for tree codes based on Reed-Solomon codes have been around, and it's very unclear that this proposal is any more likely to admit a proof of correctness than any of the others. _x000D_
The panel did not find the connection to boolean circuits as described in the proposal  convincing. There are some technical issues with finding circuits resilient to short-circuit errors by solving the corresponding communication problem that were not addressed in the proposal.  The PI explains that solving this problem is similar to finding error-resilient versions of protocols with small memory usage. However, every Karchmer-Wigderson game has a logarithmic complexity randomized communication protocol---the randomized complexity of solving Karchmer-Wigderson games says nothing about circuits. Nevertheless, a lot of interactive coding schemes designed by the PI are randomized. Secondly, every Karchmer-Wigderson game for n-bit inputs has a deterministic protocol with O(n) memory states (and O(n) communication) that solves the game. So again, the number of memory states used to solve the game is unrelated to the size of the circuit. The proposal does not address these technical barriers._x000D_
_x000D_
Broader Impact: _x000D_
The PI has a detailed plan for course development, undergraduate/graduate research, and involving underserved minorities. The PI is involved in an effort to reform the interdisciplinary ACO program at his institution. The PI has made significant efforts to increasing female participation in the ICPC programming contests, has a very strong track record of advising graduate students, and has organized tutorials, workshops and a Simons program._x000D_
_x000D_
_x000D_
Solicitation-specific criteria: _x000D_
The proposal targets teaching, advising, involving students from underrepresented groups, interdisciplinary education, and tutorials at workshops. The PI already has a strong track record on many of these issues._x000D_
_x000D_
Data Management Plan: adequate_x000D_
_x000D_
_x000D_
Justification for Panel Rating: _x000D_
The PI has a very strong track record of past work. This proposal was rated low competitive because of the weaknesses in the discussion of the connections between circuits and communication protocols. The proposal would be higher rated if the proposal contained more details about this direction. _x000D_
_x000D_
Panel Rating: _x000D_
_ Highly Competitive_x000D_
_ Competitive_x000D_
X Low Competitive_x000D_
_ Not Competitive_x000D_
_x000D_
The summary was read by/to the panel and the panel concurred that the summary accurately reflects_x000D_
the panel discussion._x000D_
</t>
  </si>
  <si>
    <t xml:space="preserve"> Panel Summary       
  The proposal focuses on the problem of error correction for interactive communication over noisy channels (e.g., in order to execute protocols). The communication is done over very short messages, so the conventional error correction doesn't work. Hence, the project aims at developing a new approach for this problem._x000D_
_x000D_
INTELLECTUAL MERIT _x000D_
_x000D_
  Strengths:_x000D_
_x000D_
+ The topic is theoretically interesting and very challenging. Some of the problems discussed in the proposal are long standing open problems._x000D_
_x000D_
+ The proposal is ambitious and a series of challenging problems are proposed. The research plan is also well articulated._x000D_
_x000D_
+ There are several new and exciting ideas proposed, for example the issue of memory blow-up in error-resilient circuits is novel and exciting._x000D_
_x000D_
+ The PI is well qualified and has an excellent track record._x000D_
_x000D_
_x000D_
  Weaknesses:_x000D_
_x000D_
- The PI is considering challenging problems, however for some of them an approach to attack them is not discussed. For example, building a practical tree code is a very interesting open problem, but how does the PI plan to approach it?_x000D_
_x000D_
- The practical impact and motivation of the work could have been better articulated._x000D_
_x000D_
BROADER IMPACTS_x000D_
_x000D_
  Strengths:_x000D_
_x000D_
+ The broader impact section of the proposal is novel, and several creative methods for education and mentoring are proposed._x000D_
_x000D_
+ The plan for involvement of the undergraduate students is appreciated by the panel._x000D_
_x000D_
+ Joint activities to bring information theorists and computer scientists together are valuable. _x000D_
_x000D_
Weaknesses:_x000D_
_x000D_
- While the panel appreciates the details discussed in the broader impact section, a more balanced allocation of the 15-page budget between research plan and educational activities would have allowed the PI to provide further details on the technical approach to the problem._x000D_
_x000D_
SOLICITATION-SPECIFIC CRITERIA_x000D_
_x000D_
The scope of the proposal is quite ambitious and well suited for a 5-year award. The education and research activities are well integrated._x000D_
_x000D_
SUMMARY_x000D_
_x000D_
The proposal focuses on a series of challenging and important problems in the area of interactive communication over noisy channel. An ambitious research plan is proposed and the PI is well qualified. The broader impact section of the proposal is novel, and several creative methods for education and mentoring are proposed. _x000D_
_x000D_
The panel placed the proposal in the following category:_x000D_
[X ] Highly Competitive_x000D_
[ ] Competitive_x000D_
[ ] Low Competitive_x000D_
[ ]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</si>
  <si>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PI proposes to develop error correcting codes for communication that takes place over many interleaved rounds of interactive communication, which are interspersed with computations. This is an important engineering problem at the interface of electrical engineering and theoretical computer science. It is not possible to simply apply classical asymptotic results because the messages involved in interactive communication can be very short._x000D_
_x000D_
In joint work with Ghaffari and Sudan, the PI has determined, for various settings, the exact tolerable error rates up to which interactive communication can be maintained. There is still quite a different with the tight classical tradeoff between rate and distortion, but it is a significant result nonetheless. _x000D_
_x000D_
The proposed research program is organized into four directions. The problem of explicitly constructing tree codes, and that of deriving the fundamental tradeoff between rate and distortion, are recognized as fundamental and very difficult. The relationship between small circuits that are robust to gate failures and the memory efficiency of interactive communication is very interesting. Finally the whole area of cryptographic protocols and the privacy / utility tradeoff is full of interesting problems._x000D_
_x000D_
_x000D_
In the context of the five review elements, please _x000D_
evaluate the strengths and weaknesses of the proposal with respect to broader impacts._x000D_
_x000D_
The PI proposes to redesign and redevelop Great Theoretical Ideas in Theoretical Computer Science which is a signature sophomore course at CMU, attracting around 200 students per semester. He is experimenting with alternatives to traditional homework assignments, where students develop group solutions, but are responsible for writing down individual answers to a subset of questions in a proctored limited time session. He is also experimenting with conceptual office hours where TAs discuss concepts from lectures rather than homework problems. He works with the Eberly Center for Teaching Excellence and Educational Innovation to incorporate best practices into his teaching._x000D_
_x000D_
The PI has designed a new graduate course, Algorithmic Superpower: Randomization, aimed at advanced undergraduates and beginning graduate students, which includes a module on interactive communication. He intends to develop a second course with Venkat Guruswami that will connect classical information theory and coding with computational complexity. The PI has also redesigned the Algorithms, Combinatorics and Optimization graduate program, leading to a renewal of CS interest in interdisciplinary work involving the mathematical sciences._x000D_
_x000D_
The PI involves undergraduates in his research program, and works closely with CMU programming contest team which advanced to the World Finals in 2016. He is involved with PhD admissions at CMU, and has introduced best practices that create a more welcoming environment for women. It is remarkable that two out of three undergraduates on the CMU programming team were female, when there were only five women among the remaining 400 finals participants. _x000D_
_x000D_
The PI promotes engagement between the information theory and theoretical computer science communities by organizing workshops. He has organized special sessions at Allerton and ITW, a semester long program at the Institut Henri Poincare, and is planning a second semester long program on distributed computing at the Simons Institute in Berkeley._x000D_
_x000D_
_x000D_
Please evaluate the strengths and _x000D_
weaknesses of the proposal with respect to any additional solicitation-specific review criteria, if _x000D_
applicable_x000D_
_x000D_
_x000D_
_x000D_
Summary Statement_x000D_
_x000D_
Intellectual Merit: Excellent_x000D_
Broad Impact: Excellent_x000D_
_x000D_
</t>
  </si>
  <si>
    <t xml:space="preserve">In the context of the five review elements, please _x000D_
evaluate the strengths and weaknesses of the proposal with respect to intellectual merit._x000D_
_x000D_
Strengths:_x000D_
The proposal seeks to develop a theory for correcting errors in interactive communication (analogous to Shannon's theory for one-way communication)._x000D_
The PI has already made significant contributions to this area. He is uniquely qualified to do the proposed research. It seems that in [GHS14] and [GH14], he has already answered many fundamental questions on interactive coding._x000D_
_x000D_
Getting explicit construction of tree-codes or efficient decoding algorithms (analogous to Berlekamp-Massey decoding algrothm for RS codes) will be significant contributions._x000D_
_x000D_
This is a well-written proposal. The PI is extremely capable and has more than adequate resources to carry out the proposed activities._x000D_
_x000D_
_x000D_
_x000D_
_x000D_
In the context of the five review elements, please _x000D_
evaluate the strengths and weaknesses of the proposal with respect to broader impacts._x000D_
_x000D_
Strengths:_x000D_
The proposed project will have impact on multiple areas including cryptography and distributed machine learning._x000D_
_x000D_
The PI is passionate teacher in addition to a stellar researcher. The project will_x000D_
help in development of new course material._x000D_
_x000D_
The PI has proactively reached out to students from underrepresented groups._x000D_
_x000D_
Weaknesses:_x000D_
The PI is already supervising six Ph.D. students. Will he have the bandwidth to supervise additional students? Presumably, the project will support these existing students rather than new students._x000D_
_x000D_
Please evaluate the strengths and _x000D_
weaknesses of the proposal with respect to any additional solicitation-specific review criteria, if _x000D_
applicable_x000D_
_x000D_
_x000D_
_x000D_
Summary Statement_x000D_
_x000D_
Excellent proposal._x000D_
_x000D_
</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</si>
  <si>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The scope of the proposal is quite ambitious. The PI mentions that what he has described in the proposal is only a fraction of what he intends to explore in this area_x000D_
-	The PI has a well thought out research agenda_x000D_
-	The work on error-resilient circuits and the issue of memory blow-up is a very interesting one that had hitherto not been explored_x000D_
-	The cryptography application, whether it is through the design of stronger cryptographic primitives, or strong error-correcting codes, is very interesting_x000D_
_x000D_
_x000D_
Weaknesses _x000D_
_x000D_
-	The extensive (more than five pages) material devoted to broader impacts is commendable, but it does detract from the main technical part of the proposal. (There really is no need to include the names of  all the undergraduate students involved, and such other details, etc.)_x000D_
-	The two main thrusts of the proposal (explicit design of tree codes in section 2.4 and fundamental limits in section 2.5) would have benefited from more detail. These are well recognized to be the main challenges in the field. However, section 2.5 contained no new idea and the Reed-Solomon-like code proposal for tree codes seemed very preliminary and somewhat na´ve._x000D_
_x000D_
_x000D_
_x000D_
_x000D_
In the context of the five review elements, please _x000D_
evaluate the strengths and weaknesses of the proposal with respect to broader impacts._x000D_
_x000D_
Strengths _x000D_
_x000D_
-	Excellent educational program: sophomore level course on "Great Theoretical Ideas in Theoretical Computer Science", new graduate courses, PI has twice participated workshops at the Eberly Center at CMU, _x000D_
-	PI has involved undergraduate students in his research and has co-coached CMU's team at the AMC ICPC contest_x000D_
-	PI has involved under-represented groups in his research_x000D_
-	The PI has a leadership role in the interdisciplinary ACO program at CMU_x000D_
-	The PI is very active in organizing workshops, giving tutorials and in other outreach efforts_x000D_
_x000D_
_x000D_
Weaknesses _x000D_
_x000D_
-	None._x000D_
_x000D_
_x000D_
Please evaluate the strengths and _x000D_
weaknesses of the proposal with respect to any additional solicitation-specific review criteria, if _x000D_
applicable_x000D_
_x000D_
_x000D_
_x000D_
Summary Statement_x000D_
_x000D_
This proposal deals with the problem of error correcting coding for interactive communications. It has four main thrusts, the explicit design of efficiently encodable and decodable tree codes, the study of the fundamental limits of interactive communication over noisy channels, as well as applications to error-resilient circuits and cryptography._x000D_
_x000D_
</t>
  </si>
  <si>
    <t xml:space="preserve">In the context of the five review elements, please _x000D_
evaluate the strengths and weaknesses of the proposal with respect to intellectual merit._x000D_
_x000D_
This career development plan aims at developing a theory and methods for correcting errors in interactive communications. The proposal's scope is broad, the projected outcome are of significant impact, and the PI's record in the area is extremely promising. In particular, the PI envisions addressing the following problems: _x000D_
_x000D_
1. the connection between resilient circuits and interactive communication. _x000D_
_x000D_
--&gt; The PI has interesting preliminary work here that grounds his proposed work in specific successes and methods. _x000D_
_x000D_
2. iterative coding and cryptographic protocols over networks w loss. _x000D_
_x000D_
---&gt; Here the PI suggests activities both for developing stronger crypto solutions that are robust to network failures and loss and also for improving the communications bounds for knowledge preserving signature schemes. The PIs preliminary work in this area is well explained and suggests a positive way forward. _x000D_
_x000D_
3) tree code construction. _x000D_
_x000D_
--&gt; This is an intellectually ambitious specific aims. Both stated objectives are known to be extremely challenging. The PI has some lead based on RS codes' algebraic construction and properties. The ideas are fresh but the PI admits that more sophisticated machinery might be needed.  Here, I believe, making connection to the practical codes developed by Hassibi et al on the topic would be beneficial. _x000D_
_x000D_
4) fundamental limits of interactive communications. _x000D_
_x000D_
--&gt; The statement of the objective is extremely ambitious as mentioned by the PI. Instead smaller more attainable asymptotic analysis is discussed. The questions are well motivated and the approach seems likely to succeed. _x000D_
_x000D_
The write up at points becomes too grandiose and unfocused but specifying the objectives and prior work's specific findings makes the case for each specific aim clear and easier to assess. That being said, at many places, the objectives seem to be somewhat disconnected. _x000D_
_x000D_
The PI has an excellent record and is well-positioned to conduct the proposed research._x000D_
_x000D_
In the context of the five review elements, please _x000D_
evaluate the strengths and weaknesses of the proposal with respect to broader impacts._x000D_
_x000D_
The proposal has a very good and solid educational component integrating the PI's teaching/mentoring/advising both at the undergraduate and graduate levels. The PI also has a strong interest and record in broadening the participation and addressing implicit bias. The PI also has an excellent record of organizing workshops and tutorials as well as service to the community._x000D_
_x000D_
Please evaluate the strengths and _x000D_
weaknesses of the proposal with respect to any additional solicitation-specific review criteria, if _x000D_
applicable_x000D_
_x000D_
_x000D_
_x000D_
Summary Statement_x000D_
_x000D_
In summary, this is an extremely intellectually ambitious program with potentially significant impact. The area of research is not as exciting to me as I believe practically distributed computation has gone away from the theoretically questions posed regarding minimizing rate of interactions. In fact, in the intersection of coding theory and distributed computing, the problem of coded computation and parallelization seem to be of far more practical relevance.  The PI is well positioned to address many of the problems specified. If successful, he will for sure put himself in a leadership position in the area of interactive communication for years to come._x000D_
_x000D_
</t>
  </si>
  <si>
    <t xml:space="preserve">In the context of the five review elements, please _x000D_
evaluate the strengths and weaknesses of the proposal with respect to intellectual merit._x000D_
_x000D_
The proposed activity aims to develop theory and techniques for interactive communication, where two-way communication on noisy channels occurs between two agents that wish to compute functions that depend on both their data. In this setting, Shannon type coding utilizing long codewords is not appropriate, and new approaches are called for. The proposed work has four thrusts: (i) explicit construction of tree codes, (ii) exploring fundamental tradeoff of rate and error, (iii) applications in memory-resilient circuits, and (iv) application in cryptography._x000D_
_x000D_
Strengths:_x000D_
_x000D_
+ The introduction of the research area, a cross section of its literature and some of its open problems, are nicely done._x000D_
_x000D_
+ The PI is well qualified for research in this area, evidenced by preliminary results._x000D_
_x000D_
+ Research questions are related to deep problems in theoretical computer science as well as emerging applications._x000D_
_x000D_
+ The proposed research involves creative and original concepts, and is well organized._x000D_
_x000D_
+ The outlining of a reasonable angle of attack, especially on difficult problems (e.g., Question 7) gives the proposal credibility._x000D_
_x000D_
_x000D_
In the context of the five review elements, please _x000D_
evaluate the strengths and weaknesses of the proposal with respect to broader impacts._x000D_
_x000D_
Strengths:_x000D_
_x000D_
+ The course development plan ties research with education._x000D_
_x000D_
+The undergraduate involvement is nice. Is the track record in this area related to PI's preliminary results in the research area of this proposal?_x000D_
_x000D_
+The efforts in recruiting under-represented groups, and leveraging CMU's existing infrastructure in that respect, are positive aspects of the activity._x000D_
_x000D_
Weaknesses:_x000D_
_x000D_
-The educational activities could have been better tied with the research topic of the proposed activity._x000D_
_x000D_
_x000D_
Please evaluate the strengths and _x000D_
weaknesses of the proposal with respect to any additional solicitation-specific review criteria, if _x000D_
applicable_x000D_
_x000D_
+ The scope of the project is compatible with its 5-year duration._x000D_
+The research and educational parts of the proposal are related._x000D_
+The departmental letter indicates mentoring and support for the PI._x000D_
_x000D_
_x000D_
Summary Statement_x000D_
_x000D_
This is a well-written proposal by a qualified PI on an emerging subject with obvious theoretical importance as well as potential practical impact. The activity can advance the state of knowledge in its field. The proposal is well organized and involves creative and novel concepts. The PI has the resources to undertake the proposed activity._x000D_
_x000D_
</t>
  </si>
  <si>
    <t xml:space="preserve">In the context of the five review elements, please _x000D_
evaluate the strengths and weaknesses of the proposal with respect to intellectual merit._x000D_
_x000D_
This proposal is about interactive coding. The broad problem here is to convert any given  interactive communication protocol into one that is resilient to transmission errors, while preserving its functionality. The PI has written many papers on the subject and seems well placed to make further progress. The goals outlined in the proposal are certainly worthy of support. _x000D_
_x000D_
There are some issues with some of the proposed approaches to tackling them. The first goal outlined is about finding circuits resilient to short-circuit errors by solving the corresponding communication problem, which the PI explains is similar to finding error-resilient versions of protocols with small memory usage. However, the proposal does not address some of the basic challenges involved in getting such an approach to work. For one thing, every Karchmer-Wigderson game has a logarithmic complexity randomized communication protocol---the randomized complexity of solving Karchmer-Wigderson games says nothing about circuits. Secondly, every Karchmer-Wigderson game for n-bit inputs has a deterministic protocol with O(n) memory states (and O(n) communication) that solves the game. So again, the number of memory states used to solve the game has nothing to do with circuit size. In particular, Objective 2 cannot possibly be accomplished, because otherwise, plugging in the O(n) state protocol above, one would presumably obtain a circuit of subexponential size for every boolean function, something we know is not possible. The proposal does not adequately address the subtleties involved in the connection between boolean circuits and interactive protocols._x000D_
_x000D_
The other topics discussed in the proposal involve improved interactive coding schemes with nice cryptographic properties, better constructions of tree codes, and problems related to finding the optimal tradeoff between rate and errors of these coding schemes. These are all worthwhile goals._x000D_
_x000D_
_x000D_
In the context of the five review elements, please _x000D_
evaluate the strengths and weaknesses of the proposal with respect to broader impacts._x000D_
_x000D_
This proposal contains a detailed plan for broad impact. The PI has given many well received lectures about this line of work already, and plans to continue this good work. _x000D_
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</si>
  <si>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PI proposes questions in the exciting area of interactive coding. Some of the questions regard memory requirements, questions in circuit complexity_x000D_
and their relationship to the existence of good interactive coding schemes, finding techniques that do not rely on tree codes, constructing tree codes explicity, the interaction of interactive coding and crypto._x000D_
_x000D_
The PI demonstrates promising directions, and has already made outstanding contributions in the area._x000D_
_x000D_
In the context of the five review elements, please _x000D_
evaluate the strengths and weaknesses of the proposal with respect to broader impacts._x000D_
_x000D_
* revamping undergrad courses_x000D_
* programming contest_x000D_
* great research advising record already_x000D_
* tutorials, workshops, coorganize semester program at SIMONS_x000D_
_x000D_
Please evaluate the strengths and _x000D_
weaknesses of the proposal with respect to any additional solicitation-specific review criteria, if _x000D_
applicable_x000D_
_x000D_
_x000D_
_x000D_
Summary Statement_x000D_
_x000D_
+ interesting questions_x000D_
+ fantastic track record_x000D_
+ good quality broader impacts_x000D_
_x000D_
</t>
  </si>
  <si>
    <t xml:space="preserve">In the context of the five review elements, please _x000D_
evaluate the strengths and weaknesses of the proposal with respect to intellectual merit._x000D_
_x000D_
Compelling research program of further developing the theory of correcting errors in interactive communication.  The PI discusses two widely recognized fundamental problems, constructing tree codes and determining the tradeoff between communication rate and tolerable error rate.  He further suggests two other problems, exploring the connection between circuits robust to gate failures and interactive coding schemes, and exploring connections between interactive communication and cryptography.  The PI has a strong track record in the field._x000D_
_x000D_
A weakness is that I've seen other proposals for tree codes based on Reed-Solomon codes, and it's very unclear that this proposal is any more likely to admit a proof of correctness than any of the others._x000D_
_x000D_
_x000D_
In the context of the five review elements, please _x000D_
evaluate the strengths and weaknesses of the proposal with respect to broader impacts._x000D_
_x000D_
The PI proposes several targets: teaching, advising, involving students from underrepresented groups, interdisciplinary education, and tutorials at workshops._x000D_
_x000D_
Please evaluate the strengths and _x000D_
weaknesses of the proposal with respect to any additional solicitation-specific review criteria, if _x000D_
applicable_x000D_
_x000D_
_x000D_
_x000D_
Summary Statement_x000D_
_x000D_
A strong proposal about error correction in the interactive setting._x000D_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</si>
  <si>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gained a lot of attention and the PI has been on the forefront of this effort._x000D_
_x000D_
This proposals outlines the PI's plan to further drive this research direction over the next five years. It gives a large number of interesting aspects to study. This the most important core questions of the research area, namely, explicit constructions of tree-codes, a powerful but so-far elusive type of online-code and determining the fundamental communication rate limits for error correction in interactive communications. It also demonstrates the breadth and wider applicability of the direction by showing connections to other areas of theoretical computer science, including, cryptography, privacy, memory efficient error resilient computations and robust circuits. Lastly, it outlines initiatives of the PI to inform and excite undergraduates, graduate students, the larger scientific community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Key Words: Interactive Communication, Communication Complexity, Reliable Computation and Communication, Interactive Coding Theory, Interactive Information Theory.</t>
  </si>
  <si>
    <t>1750893</t>
  </si>
  <si>
    <t xml:space="preserve"> Panel Summary       
 Description: _x000D_
_x000D_
The PI proposes to study three problems about the analysis of Boolean functions: the log-rank conjecture for XOR functions, the sensitivity conjecture, and understanding the structure of Boolean functions with small Fourier-L1 norm._x000D_
_x000D_
Intellectual Merit:_x000D_
Strengths_x000D_
  + Interesting questions, though well known._x000D_
  + PI had a nice FOCS 2013 paper making progress on the first question, and suggests ideas from that paper in the proposal._x000D_
_x000D_
Weaknesses_x000D_
  - The ideas to attack these questions don't appear new._x000D_
  - Proposal seems not up to date on all the topics, not mentioning an exponential improvement in the last problem and a smaller improvement in the first problem._x000D_
   - Relevant track record not as good as other PIs, though he also did important work in the unrelated area of local computation._x000D_
   - Not written for a broad audience._x000D_
_x000D_
Broader Impact: _x000D_
Strengths_x000D_
  + FIU is very diverse, and the PI has co-advised two Hispanic PhD students._x000D_
  + PI aims to include undergraduates in research._x000D_
_x000D_
Weaknesses_x000D_
_x000D_
Suggestions to PI:_x000D_
Probably need more results and ideas to make this competitive._x000D_
_x000D_
Justification for Panel Rating:_x000D_
See intellectual merit weaknesses._x000D_
_x000D_
Panel Rating: _x000D_
_ Highly Competitive_x000D_
_ Competitive_x000D_
_ Low Competitive_x000D_
x Not Competitive_x000D_
_x000D_
The summary was read by/to the panel and the panel concurred that the summary accurately reflects the panel discussion._x000D_
</t>
  </si>
  <si>
    <t>KG0982206</t>
  </si>
  <si>
    <t>ODonnell</t>
  </si>
  <si>
    <t>odonnell@cs.cmu.edu</t>
  </si>
  <si>
    <t xml:space="preserve">In the context of the five review elements, please _x000D_
evaluate the strengths and weaknesses of the proposal with respect to intellectual merit._x000D_
_x000D_
The overall topic of the proposal is a good one: (Fourier) Analysis of Boolean functions, a foundational area of computer science research that the PI has worked in previously.  This is an area that perhaps centers more around problem-solving than theory-building, so the PI's proposal -- which essentially gives a few major open problems to tackle -- is a reasonable approach.  The 3 main problems discussed are:_x000D_
_x000D_
1. The Log-Rank Conjecture for XOR functions.  (The PI has one directly relevant paper on this, from FOCS 2013, and what slightly less related paper, from CSR 2016.)_x000D_
_x000D_
2. The (rather infamous) Sensitivity Conjecture._x000D_
_x000D_
3. Improving the Green-Sanders Theorem on the structure of Boolean functions with small Fourier-L1 norm._x000D_
_x000D_
On one hand, these problems do not have major transformative consequences, but they are certainly well-known (especially #2) and are reasonable test-beds for trying to develop and sharpen Boolean function tools.  The PI says he will try to bring to bear F_2-polynomial representation and coding theory, as well as the usual Fourier analysis._x000D_
_x000D_
I must admit I didn't find that the PI had any striking-sounded new approaches; for #1 and #3 he mentioned ideas from his 2013 paper, and for #2... well, I feel no one has any great ideas for #2._x000D_
_x000D_
One thing that concerned me is that the PI does not seem completely up-to-date on the topics.  For example, regarding #3, he states that the Green-Sanders (2008) bound is doubly-exponential, and he hopes to bring it down to singly-exponential, or even quasipolynomial.  But in fact, it was already brought down to singly-exponential by Sanders in 2016 (https://arxiv.org/abs/1610.07092).  As an additional (albeit much less important) example, in describing the general Log-Rank conjecture, he states that the best known lower bound (power of log_3(6)) is due to Kushilevitz'94.  But in fact, this was recently improved (power of 2) by Goos-Pitassi-Watson'15.  These two examples make me slightly nervous that the PI is not completely in tune with recent progress on the problems he's proposed._x000D_
_x000D_
I should add that the PI also mentions a few more smaller additional problems he wants to tackle: improving the trivial Cauchy--Schwarz upper bound of ||\hat{f}||_1^2 &lt;= ||f||_1 to ||\hat{f}||_1^2 &lt;= (2/pi + o(1))||f||_1 for Boolean functions, and the also tackling the "Fourier Entropy-Influence" inequality.  Again, these are fine problems, though I didn't see any particularly innovative approach suggested._x000D_
_x000D_
_x000D_
_x000D_
In the context of the five review elements, please _x000D_
evaluate the strengths and weaknesses of the proposal with respect to broader impacts._x000D_
_x000D_
Regarding broader impacts, the proposal makes a token effort to say that Boolean Function Analysis could be important for distant areas such as crypto, security, network design, databases, but nothing is added to back this up._x000D_
_x000D_
The more promising broader impacts are regarding training and development of students from under-represented populations.  The PI notes that his institution (FIU) has a particularly high level of diversity, and the PI says he has previously co-advised 1 Hispanic PhD student (and also 1 female PhD student).  This is certainly promising.  _x000D_
_x000D_
The PI also mentioned the possibility of taking an interest in elementary education, but concrete steps have not yet been taken (it was more like, "The PI plans to...")._x000D_
_x000D_
_x000D_
Please evaluate the strengths and _x000D_
weaknesses of the proposal with respect to any additional solicitation-specific review criteria, if _x000D_
applicable_x000D_
_x000D_
Not relevant._x000D_
_x000D_
Summary Statement_x000D_
_x000D_
Overall, I was a little concerned about the PI's ability to make major progress in the area.  Although he has done some good work in the past, it has been a bit distant; his relevant papers he quoted were from CSR'16, FOCS'13, SODA'10, and then two more papers from a decade ago.  As I mentioned, the PI was also not fully up-to-date on some of the problems he discussed.  (Finally, the writing quality of the proposal was adequate, but not particularly high-quality.)_x000D_
_x000D_
</t>
  </si>
  <si>
    <t xml:space="preserve">In the context of the five review elements, please _x000D_
evaluate the strengths and weaknesses of the proposal with respect to intellectual merit._x000D_
_x000D_
This proposal is about the complexity of boolean functions. It has some ambitious goals, for example proving the sensitivity conjecture and the entropy-infuence conjecture. However, the proposal is a bit short on intermediate problems that seem both approachable and tractable. The PI also proposes studying the log-rank conjecture for XOR functions. Here the problem does seem more tractable, and the PI has proposed some plausible approaches to the problem, but the goal is a little less interesting to me._x000D_
_x000D_
Overall, I think the proposal has solid intellectual merit._x000D_
_x000D_
_x000D_
In the context of the five review elements, please _x000D_
evaluate the strengths and weaknesses of the proposal with respect to broader impacts._x000D_
_x000D_
The PI has a good plan for increasing the visibility of TCS at FIU, and for bringing TCS to a broad audience._x000D_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</si>
  <si>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The author proposes a program to study Boolean function analysis via the Fourier spectrum.  _x000D_
_x000D_
1)	One item proposed to be studied is the log-rank conjecture.  The author proposes a simpler version on "XOR-functions".  _x000D_
2)	The sensitivity conjecture.  _x000D_
3)	Improving the Green-Sanders upperbound on the number of subspaces.  _x000D_
_x000D_
These are (at least the first two), very well-known conjectures in the area.  I confess I do not really understand their importance, and the proposal did not aid in this.  _x000D_
_x000D_
The author lays out several approaches to these problems (which are very difficult problems that have withstood much scrutiny) including: GF(2) polynomial understanding of Boolean functions; some recent advances in coding theory; and additive combinatorics.    _x000D_
_x000D_
I will confess that I could not follow the details at a low level here.  I cannot judge whether the approaches are novel or well-reasoned other than to say the sound plausible at a very surface level._x000D_
_x000D_
The PI has background in the area adequate to reasonably try tackling these problems.  It is a little disconcerting that he has no results (after two years) from his other NSF CCF award.  _x000D_
_x000D_
Notes:_x000D_
_x000D_
Large swaths of this proposal were unintelligible to me.  Several key definitions were deferred to a nonexistent "appendix" (including granularity and GF(2) polynomial understanding of Boolean functions)  _x000D_
_x000D_
I have taken a course on Boolean function analyses, and used it in my research (though I am not an expert).  The proposal would be improved greatly if it were written for an appropriate audience (I understand this is very difficult).   _x000D_
_x000D_
When I was starting out, I did not realize this: people actually read these proposals carefully!  90% of it should be understandable by the person reading it (me in this case).  Your structure is to have high-level overview and then details for the "expert".  The problem is that there are only 3-4 TCS experts (not Fourier analysis experts) reading this.  Most of the time, there is no area "expert".  So your technical proposal largely ends after page 5.   We have a fair bit of patience for some detailed explanations, but at the end, we want to understand them.  _x000D_
_x000D_
The author could add social networks to the uses of Fourier analysis on Boolean functions.  However, it would also add, that it would be great to make the connections of the research in THIS proposal link outside Boolean function analysis.  It is not very convincing to say that A relates to B and B relates to C.  Because C is important, so is A.  A could relate to a completely useless part of B that says nothing about C.  Making these connections explicit (and intelligible to a TCS expert) will strengthen the proposal.  _x000D_
_x000D_
_x000D_
_x000D_
In the context of the five review elements, please _x000D_
evaluate the strengths and weaknesses of the proposal with respect to broader impacts._x000D_
_x000D_
This proposal aims to tackle ambitious problems.  If solved they will likely have impacts beyond TCS.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Please evaluate the strengths and _x000D_
weaknesses of the proposal with respect to any additional solicitation-specific review criteria, if _x000D_
applicable_x000D_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Summary Statement_x000D_
_x000D_
The proposal is an ambitious undertaking two some of the most challenging problems in TCS.  The importance of these problem and the proposed techniques could have been better argued.  The educational outreach aspect is strong both in its proposal, the prior work of the author, and the author's university/location._x000D_
_x000D_
</t>
  </si>
  <si>
    <t xml:space="preserve">In the context of the five review elements, please _x000D_
evaluate the strengths and weaknesses of the proposal with respect to intellectual merit._x000D_
_x000D_
The PI proposes to study several interesting and well known problems in the analysis of Boolean functions, including the log-rank conjecture and the sensitivity conjecture. He presents some interesting ideas, notably a few that stem from the PI's FOCS 2013 paper about the log-rank conjecture and Fourier sparsity.  While this paper seems nice,  it's unclear why progress should be made now when progress was slower after 2013.  The log-rank conjecture and sensitivity conjecture seem very difficult.  The PI's track record appears weaker than other applicants, with only two STOC/FOCS publications (from 2013 and 2007), two SODA papers (2012 and 2010), and three ICALP papers (from 2016, 2012, and 2010)._x000D_
_x000D_
_x000D_
In the context of the five review elements, please _x000D_
evaluate the strengths and weaknesses of the proposal with respect to broader impacts._x000D_
_x000D_
FIU is one of the leading minority-serving research universities in the country. The PI has co-advised two Hispanic PhD students._x000D_
_x000D_
Please evaluate the strengths and _x000D_
weaknesses of the proposal with respect to any additional solicitation-specific review criteria, if _x000D_
applicable_x000D_
_x000D_
_x000D_
_x000D_
Summary Statement_x000D_
_x000D_
While the PI proposes interesting ideas in the analysis of Boolean functions, his track record is probably not strong enough to justify a CAREER award at this time._x000D_
_x000D_
</t>
  </si>
  <si>
    <t>Boolean function is one of the most fundamental computation models in theoretical computer science. Applying analytic tools, especially Fourier analysis, to the study Boolean functions has led to fruitful research in many areas such as complexity theory, learning theory, inapproximability, pseudorandomness, metric embedding, property testing, threshold phenomena, social choice, etc.   _x000D_
_x000D_
In this proposal, the PI aims at developing new tools and techniques to study several open problems in the analysis of Boolean functions._x000D_
Specifically, the PI plans to apply GF(2)-polynomial paradigm, coding theoretic methods, additive combinatorics, together with traditional Fourier analytic methods to make progress on the problems of the Log-rank conjecture for XOR functions, the Sensitivity conjecture, tighter characterizations of complexity measures in decision tree complexity, decomposing Boolean functions with small spectral norms, Fourier Entropy Influence (FEI) conjecture, and so on.The proposed research attempts to address some fundamental open problems in Boolean functions, develop novel tools and techniques for analyzing the Fourier spectra of Boolean functions, and reveal new connections between the Fourier spectral and various other complexity measures of Boolean functions. As a foundational research frontier in theoretical computer science, advances in the studies of Boolean functions will have significant impacts on a wide range of areas within computer science, such as complexity theory, learning theory, coding theory, derandomization, approximation algorithms, streaming algorithms, and social choice theory. Due to its close relationship with discrete mathematics and functional analysis, progress in the analysis of Boolean functions will have far-reaching implications in combinatorics, number theory, analysis, and other branches of mathematics.Understanding various properties, including complexity measures, _x000D_
of Boolean functions poses one of the greatest challenges in theoretical computer science. The proposed research will deepen our understanding of Boolean functions from the perspective of Fourier spectral, and thus have the potential of fundamentally changing the way Boolean functions are designed, analyzed and processed. Moreover, due to the intimate connections between Boolean functions and other computational and combinatorial objects, this new study could have far-reaching implications in many other areas in computer science, such as cryptography, cyber security, network design and database systems._x000D_
_x000D_
An integral part of this proposal are the educational components,_x000D_
which are designed to ensure the proposed research's broader impact and improve workforce training. The program includes developing undergraduate and graduate courses geared toward disseminating _x000D_
new algorithmic ideas outside the theoretical computer science community, as well as recruiting and advising graduate students from under-representative groups._x000D_
_x000D_
Given the relatively small number of minority PhD students across the country, it is significant to note that FIU is one of the largest minority-serving research universities in Unite States. The PI has co-advised a Hispanic PhD student and is currently co-advising another female PhD student with another faculty member in the department. With the support of this project, the PI is committed to recruiting more undergraduate and graduate students from minority groups to carry out research in theoretical computer science and, more generally, to pursue computationally-oriented scientific careers.</t>
  </si>
  <si>
    <t>1751040</t>
  </si>
  <si>
    <t>Price</t>
  </si>
  <si>
    <t xml:space="preserve"> Panel Summary       
  Description: _x000D_
This proposal will consider two directions:  First, this work will develop algorithms for recovering continuous signals which have sparse representations, analogous to the important thrust of ongoing work for discrete signals with sparse representation.   Second, this work will develop sublinear time and space algorithms for estimating properties of distributions with better p-values (that is, in terms of the confidence parameters) and for estimating parameters of graphs._x000D_
_x000D_
Intellectual Merit: _x000D_
_x000D_
_x000D_
Strengths_x000D_
  + Question are compelling and well-motivated._x000D_
  + The PI is well-qualified, has made partial progress and has a good track record in this area_x000D_
  + Likely to have practical impact._x000D_
  + Likely to lead to interesting theoretical work._x000D_
  + well-written proposal_x000D_
  + connections with deep nets  are interesting_x000D_
Weaknesses_x000D_
  - The second direction could have been elaborated better._x000D_
_x000D_
Broader Impact: Broader impact includes industrial use of techniques in their algorithms.  The PI plans to work with the USA Olympiad to increase participation, with a special target for diversity.   The PI will integrate more programming assignments into the algorithms class._x000D_
_x000D_
Strengths_x000D_
  + Research is likely to have industrial impact_x000D_
  + PI plans to work with USA Computing Olympiad and high schoolers_x000D_
  - Some of the processes for raising awareness (e.g. handing out flyers) could be better thought out._x000D_
_x000D_
Solicitation-specific criteria: The PI will integrate education and research by designing new graduate courses and enhancing undergraduate courses._x000D_
_x000D_
Data Management Plan:  Adequate_x000D_
_x000D_
Collaboration Plan: not needed_x000D_
_x000D_
What is bold, exciting, high risk/reward, or potentially transformative? _x000D_
 Data that comes from the continuous domain occurs widely.   Our ability to deal with it in better ways will be transformative.  _x000D_
_x000D_
Suggestions to PI: _x000D_
_x000D_
Justification for Panel Rating:  The questions raised are important, and the PI is well-qualified to make progress in these directions. However, there were other stronger proposals in the panel._x000D_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</si>
  <si>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is extremely well organized and clear questions -- does a good job of showing how the problems and areas that are targeted have clear impact not only in their domain but also across domains. The research questions are ambitious but also extremely focused and clear._x000D_
_x000D_
While there was not significant detail on moving to practice and the PI has had success in technology commercialization this proposal does not address how the proposed courses of theoretical research may be exposed to practice.  However, these links don't seem hard to make: i.e., with the distribution testing creating tools / algorithms online or in the case of sample complexity to GANs this could have direct impact._x000D_
_x000D_
2. To what extent do the proposed activities suggest and explore creative, original, or potentially transformative concepts?_x000D_
_x000D_
The questions addressed are well grounded in creative and address fundamental gaps between the theory and more practical aspects (data limited aspects) of signal recovery and property testing._x000D_
_x000D_
3. Is the plan for carrying out the proposed activities well-reasoned, well-organized, and based on a sound rationale? Does the plan incorporate a mechanism to assess success?_x000D_
_x000D_
There is a clear integration between these questions and they are important. Additionally the questions are related but not interdependent such that advances could be used across questions but failure to make progress in any of the theoretical areas will not impede the others._x000D_
_x000D_
4. How well qualified is the individual, team, or institution to conduct the proposed activities?_x000D_
_x000D_
The main questions are well integrated and show a clear focus from the PI in terms of research direction for which he is well qualified based on past publications and performance.  The fundamental questions are informed by the PIs PhD research so he is in a good place to conduct the proposed activities._x000D_
_x000D_
5. Are there adequate resources available to the PI (either at the home institution or through collaborations) to carry out the proposed activities?_x000D_
_x000D_
There is sufficient resources from the department to carryout the proposed research activities._x000D_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are ambitious and the PI seems to have a real desire to see the work translated to practice through working on concrete problems of industrial interest (i.e., signal processing).  He also is very invested in expanding the scope of IOI/USACO.  It is unclear to me how impactful this channel will be and how it compares to the scope and impact of the ACM Programming Competition.  _x000D_
_x000D_
2. To what extent do the proposed activities suggest and explore creative, original, or potentially transformative concepts?_x000D_
_x000D_
The broader impacts are creative and explore underutilized resources (USACO) along with potentially transformative applications of algorithms through technology transfer._x000D_
_x000D_
3. Is the plan for carrying out the proposed activities well-reasoned, well-organized, and based on a sound rationale? Does the plan incorporate a mechanism to assess success?_x000D_
_x000D_
See 5, there are good measure for success identified w.r.t. the USACO participation as well as the teaching and mentoring aspects of the project._x000D_
_x000D_
4. How well qualified is the individual, team, or institution to conduct the proposed activities?_x000D_
_x000D_
The PI is a graduate of the programs he has identified and is hence well qualified to execute.  He also has a good track record of teaching and commercialization so he is well qualified for these tasks._x000D_
_x000D_
5. Are there adequate resources available to the PI (either at the home institution or through collaborations) to carry out the proposed activities?_x000D_
_x000D_
W.r.t the outreach related to IOI/USACO I am not sure if flyers are sufficient.  Additionally, it is not clear how this is connected to the bulk of the proposal and how one informs the other. Or how this integrates with the well established ACM programming competition which is only mentioned in passing._x000D_
_x000D_
Please evaluate the strengths and _x000D_
weaknesses of the proposal with respect to any additional solicitation-specific review criteria, if _x000D_
applicable_x000D_
_x000D_
_x000D_
_x000D_
Summary Statement_x000D_
_x000D_
A strong proposal that identifies important and key questions in the area of signal processing and property testing.  Good opportunity for broad impact through technological advances and technology transfer.  Several key areas for outreach are identified but could be developed slightly better._x000D_
_x000D_
</t>
  </si>
  <si>
    <t xml:space="preserve">In the context of the five review elements, please _x000D_
evaluate the strengths and weaknesses of the proposal with respect to intellectual merit._x000D_
_x000D_
This proposal is about understanding several well motivated families of problems. The first has to do with recovering a function with a sparse fourier-spectrum. When the spectrum is supported on discrete frequencies, the problem is well studied. The PI suggests several interesting questions in this regard. These problems are extremely well motivated by practical applications, and progress on them is likely to involve some interesting theoretical work. The PI also suggests studying problems related to robust polynomial regression, where again the problem is quite interesting and the PI has made partial progress already._x000D_
_x000D_
The PI has already established a strong track record of coming up with interesting answers to similar questions._x000D_
_x000D_
In the second part of the proposal the PI discusses problems related to distribution testing and in the third, counting triangles in graphs using streaming algorithms. These are also interesting topics that the PI has had past success with._x000D_
_x000D_
Overall, I find the propoal to have a lot of intellectual merit._x000D_
_x000D_
_x000D_
In the context of the five review elements, please _x000D_
evaluate the strengths and weaknesses of the proposal with respect to broader impacts._x000D_
_x000D_
The PI has been involved with the USA computing Olympiad, and plans to continue advacing theoretical computer science via this participation. Generally, he has a good plan for continuing to have broad impact, both through education and via interaction with other research communities.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</si>
  <si>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PI proposes two major thrusts:_x000D_
(1) Continuous sparse recovery problems:  The PI suggests a research program, as in the (highly successful) large body of work on *discrete* sparse recovery, for continuous sparse recovery.   Since an important class of is continuous, this direction is crucial.  The PI gives a number interesting mathematical suggestions for how he plans to pursue this plan.  (2)  The PI suggests interesting questions in property testing of distributions, namely to reduce the dependence on the confidence parameter, and in sublinear time and space algorithms for triangle counting.   The former builds on previous work of the PI and the proposal suggests directions for making further progress.  _x000D_
_x000D_
The PI is highly qualified to make progress on this project._x000D_
PI proposed interesting questions in signal recovery and property testing.  Fpr tInteresting techniques are suggested for continuous_x000D_
sparse recovery problems, generative models,faster robust polynomial regression and faster property testing of distributions._x000D_
_x000D_
The PI has a very strong research track record, and has made fantastic contributions in the area of the proposal._x000D_
_x000D_
In the context of the five review elements, please _x000D_
evaluate the strengths and weaknesses of the proposal with respect to broader impacts._x000D_
_x000D_
Solutions to sparse recovery for continuous signals will have impact on industry._x000D_
_x000D_
PI will work with USA Computing Olympiad and with high schools.   Places emphasis on more involvement in general, and specifically more diversity involvement._x000D_
_x000D_
Please evaluate the strengths and _x000D_
weaknesses of the proposal with respect to any additional solicitation-specific review criteria, if _x000D_
applicable_x000D_
_x000D_
_x000D_
_x000D_
Summary Statement_x000D_
_x000D_
+ strong track record_x000D_
+ high likelihood of progress_x000D_
+ many of the problems have a fundamental feel._x000D_
+ interesting ideas are suggested for solving them_x000D_
+ likely to have impact on industry_x000D_
_x000D_
</t>
  </si>
  <si>
    <t xml:space="preserve">In the context of the five review elements, please _x000D_
evaluate the strengths and weaknesses of the proposal with respect to intellectual merit._x000D_
_x000D_
There are two main threads in the proposal: (1) to develop new algorithms for recovering signals with sparse Fourier transforms for continuous signals, and (2) to develop new property testing algorithms for distribution testing and estimating parameters over graphs. _x000D_
_x000D_
(1) Most existing results only apply to the discrete setting where the current literature also provides approach that is robust to noise (close to k-sparse signal). These algorithms do not carry over to the continuous setting. There are some old work on continuous setting for noiseless case, but when developing robust algorithms, no known algorithm has sublinear sample complexity in terms of k, and all require certain gap in the frequency spectrum. The PI proposes to analyze various new questions in this domain, especially the connection to sample complexity of deep networks is very interesting. _x000D_
_x000D_
(2) While there has been many results in distribution testing, the impact of those results have been limited. The PI proposes new approach for distribution testing to make the results compatible to hypothesis testing, which on the other hand has enormous practical usage. For example, for uniformity testing, the property testing results suggests \Theta(sqrt{n}/epsilon^2) samples are enough to distinguish a distribution being uniform or \epsilon-far in total variation distance. PI argues the probability amplification step that amplifies the success probability from a constant to any arbitrary precision is problematic as it involves repeating the experiment many times. It introduces large constant factors. PI asks if it is possible to develop simple test statistics that avoid this easy repetition technique. For uniformity testing, such a tester is possible, and PI will try to develop such tester for other problems. PI also asks some interesting questions about counting triangles in the streaming model and understanding the space complexity requirements for turnstile vs sampling model._x000D_
_x000D_
Summary of strength and weakness: Well-written proposal by a qualified PI. The first part of the proposal on sparse Fourier recovery of continuous signals is compelling. The last two sections, especially the one on graph streaming could have been elaborated better._x000D_
_x000D_
In the context of the five review elements, please _x000D_
evaluate the strengths and weaknesses of the proposal with respect to broader impacts._x000D_
_x000D_
Well written broader impact section. The research is likely to have industrial impact (though no industrial collaboration letter has been submitted). The PI plans to work with the USA Computing Olympiad to teach high schoolers advanced algorithmic programming. PI will advise undergraduates and graduate students and develop courses where students can get more hands-on experience with the algorithms._x000D_
_x000D_
Please evaluate the strengths and _x000D_
weaknesses of the proposal with respect to any additional solicitation-specific review criteria, if _x000D_
applicable_x000D_
_x000D_
_x000D_
_x000D_
Summary Statement_x000D_
_x000D_
Overall, the proposal is well-written and is likely to produce interesting results both of theoretical and practical interest._x000D_
_x000D_
</t>
  </si>
  <si>
    <t>From medical imaging to astronomy, scientific hypothesis testing to data analysis, computers are used in a wide variety of areas where computation is cheaper than data collection. Such situations call for algorithms that are not just fast, but more importantly data efficient._x000D_
_x000D_
This proposal focuses on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object?For signal recovery, the PI will develop new algorithms for recovering signals with sparse Fourier transforms for continuous signals. There has been substantial recent progress on efficient algorithms for the sparse variant of the discrete Fourier transform. However, there has been much less work on the continuous case, despite the fact that most signals of interest have continuous spectra. The proposal will address this gap._x000D_
_x000D_
The PI will demonstrate the possibility of leveraging recent developments in neural networks into efficient signal recovery. These networks are much more expressive than the sparsity-based models used in traditional compressed sensing, so this direction promises to achieve similar theoretical guarantees with many fewer samples._x000D_
_x000D_
Furthermore, many techniques used in signal recovery -- including for sparse Fourier transforms -- deal poorly with arbitrarily corrupted samples. The PI will explore methods of signal recovery that are robust to outlier measurements, starting with the robust polynomial regression problem._x000D_
_x000D_
For property testing, the PI proposes a modification to the standard distribution testing framework that makes it more compatible with statistical hypothesis testing. This will allow scientists to get smaller, more accurate p-values from fewer data points._x000D_
_x000D_
The PI also plans to study properties of graphs that can be estimated with a sublinear sample of the edges, starting with an instance-optimal estimator for counting triangles in the graph. In the sublinear regime, it is conjectured that sampling may be as powerful as the general turnstile streaming model.Much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and more diverse set of high school students.</t>
  </si>
  <si>
    <t>1751048</t>
  </si>
  <si>
    <t>Papakonstantinou</t>
  </si>
  <si>
    <t xml:space="preserve"> Panel Summary       
 Description:_x000D_
This proposal aims to establish a theory for comparing prediction accuracy of machine learning heuristics and improving the run time of SAT-solving heuristics. For machine learning heuristics, it considers both sampling-based heuristics and deep learning networks._x000D_
_x000D_
The research agenda may lead to interesting results that will advance our understanding of heuristics and providing a theoretical underpinning for them. _x000D_
 _x000D_
Intellectual Merit:_x000D_
Strengths_x000D_
_x000D_
+ The PI is investigating fundamental heuristics in the machine learning area (Random Forests and Deep Neural Networks) and SAT._x000D_
_x000D_
+ The research agenda may lead to interesting results that will advance our understanding of heuristics and provide a theoretical underpinning for them. _x000D_
_x000D_
Weaknesses_x000D_
  -  The PI explains how to use this approach to compare sampling-based heuristics, where the heuristics are of similar structure. It is not clear how to establish a comparative framework for comparing heuristics that have different structures._x000D_
_x000D_
- There is a limited evaluation component on real data._x000D_
_x000D_
- The PI claims limited results on analysis of ensemble methods. There are other results besides those claimed by the PI. For example, many results are in Mikhail Traskin, PhD Thesis UC Berkeley._x000D_
_x000D_
Broader Impact:_x000D_
Strengths_x000D_
  + The broader impacts of the proposed research could be significant, if the PI is able to provide a solid framework to compare heuristics._x000D_
  + The educational and outreach activities include student training through curriculum development._x000D_
  + Training students for the SAT-solving competition._x000D_
_x000D_
Data Management Plan:_x000D_
Adequate_x000D_
_x000D_
Solicitation-specific criteria:_x000D_
The integration of education and research is reasonable._x000D_
_x000D_
Suggestions to PI:_x000D_
The proposal has two distinct components --- one on machine learning heuristics and the other on SAT solvers._x000D_
There is very little common between these two components._x000D_
Even in machine learning the work on random bagging and forests seems disconnected with deep neural networks. Explaining connections between them will help._x000D_
_x000D_
The proposal needs to discuss new insights that will help the PI in solving the proposed problems._x000D_
_x000D_
Justification for Panel Rating:_x000D_
The current proposal poses good questions, but does not provide concrete ways to approach them._x000D_
_x000D_
Panel Rating:_x000D_
_ Highly Competitive_x000D_
_ Competitive_x000D_
X Low Competitive_x000D_
- Not Competitive_x000D_
_x000D_
The summary was read 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</si>
  <si>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concerns several important topics in machine learning and AI: (1) sub-sampling and re-sampling (e.g., Bagging and Random Forests); (2) deep learning; (3) SAT solvers.  Many of these questions are timely, interesting, and well-known (e.g., why does deep learning work or under which conditions can more complex DNNs be learned more accurately than simpler ones?). However, the proposal does not present concrete approaches or ideas for attaching them. _x000D_
_x000D_
The writing is somewhat bombastic and inaccurate at times. There are more theoretical results on ensemble methods than the PI states. See e.g., "On the consistency of ensemble classification algorithms",  Mikhail Traskin, PhD Thesis UC Berkeley_x000D_
_x000D_
_x000D_
In the context of the five review elements, please _x000D_
evaluate the strengths and weaknesses of the proposal with respect to broader impacts._x000D_
_x000D_
The educational and outreach activities include  student training through curriculum development with an emphasis on "injecting computational thinking" into undergraduate and graduate_x000D_
courses, developing lecture notes, and training students for the SAT-solving competition._x000D_
_x000D_
Please evaluate the strengths and _x000D_
weaknesses of the proposal with respect to any additional solicitation-specific review criteria, if _x000D_
applicable_x000D_
_x000D_
_x000D_
_x000D_
Summary Statement_x000D_
_x000D_
This proposal concerns several important topics in machine learning and AI: (1) sub-sampling and re-sampling (e.g., Bagging and Random Forests); (2) deep learning; (3) SAT solvers.  All of these topics are highly important and providing guarantees for existing algorithms or explanations for phenomena observed in practice would be highly beneficial. The current proposal poses good questions (some of them well-known) in these directions, but does not provide concrete ways to approach them._x000D_
_x000D_
</t>
  </si>
  <si>
    <t xml:space="preserve">In the context of the five review elements, please _x000D_
evaluate the strengths and weaknesses of the proposal with respect to intellectual merit._x000D_
_x000D_
This proposal aims to establish a theory for comparing prediction accuracy of machine learning heuristics and improving the run time of SAT-solving heuristics. For machine learning heuristics, it considers both sampling-based heuristics and deep learning networks. I like the research agenda and believe that the effort will lead to interesting results that will advance our understanding of heuristics and providing a theoretical underpinning for them. _x000D_
_x000D_
The PI intends to use a comparative framework for comparing heuristics and develop better ones. The idea is intuitive: if we can find an 'ideal algorithm' for the problem, we can use it as a benchmark and compare heuristics with this ideal algorithm. The PI explains how to use this approach to compare sampling-based heuristics, where the heuristics are of similar structure. I hope the PI will spend more time discussing how to establish a comparative framework for comparing heuristics that have different structures. That seems to be important._x000D_
_x000D_
In the context of the five review elements, please _x000D_
evaluate the strengths and weaknesses of the proposal with respect to broader impacts._x000D_
_x000D_
+ Provide guidance to practical uses of heuristics_x000D_
+ Outreach to local community_x000D_
_x000D_
_x000D_
Please evaluate the strengths and _x000D_
weaknesses of the proposal with respect to any additional solicitation-specific review criteria, if _x000D_
applicable_x000D_
_x000D_
Good integration of research and education: curriculum development, student advising/mentoring, and pedagogical innovation._x000D_
_x000D_
Summary Statement_x000D_
_x000D_
Nice research agenda. I'd hope to see more information on how to deal with the more challenging scenarios. _x000D_
_x000D_
_x000D_
</t>
  </si>
  <si>
    <t xml:space="preserve">In the context of the five review elements, please _x000D_
evaluate the strengths and weaknesses of the proposal with respect to intellectual merit._x000D_
_x000D_
The objective of the proposal is to conceptualize the notion of comparing heuristics; to obtain provably better heuristics; and to study the limits of heuristics. This is a commendable and potentially very useful quest in the era of big data._x000D_
_x000D_
Unfortunately, the proposal is very poorly written. The research plan seems to have two disconnected components: the first component focuses on subsampling, resampling, and its connections to training Deep Neural Networks. The PI poses four research questions that focus on subsampling and three more research questions regarding deep learning. The interplay between those seven research tasks was not properly articulated in the proposal, leading to a non-cohesive research plan. The second component of the proposal focuses on SAT-solving heuristics: again, five more research questions are posed, but the connection and interplay with the first seven questions is not discussed. Beyond the fact that all research questions have something to do with analyzing heuristics, I could not figure out any other connections between the various components of the proposal._x000D_
_x000D_
The PI is quite experienced, and actually appears to be currently tenured (according to the department head's letter). So, one would expect a better written proposal by a relatively senior PI._x000D_
_x000D_
In the context of the five review elements, please _x000D_
evaluate the strengths and weaknesses of the proposal with respect to broader impacts._x000D_
_x000D_
The broader impacts of the proposed research could be significant, if the PI is able to provide a solid framework to compare heuristics. There is a limited evaluation component on real data and the broader impact in terms of educational activities is very limited._x000D_
_x000D_
Please evaluate the strengths and _x000D_
weaknesses of the proposal with respect to any additional solicitation-specific review criteria, if _x000D_
applicable_x000D_
_x000D_
See discussion above._x000D_
_x000D_
Summary Statement_x000D_
_x000D_
A poorly written proposal on an important and potentially influential topic. Both the intellectual merit and the broader impact part of the proposal could be significantly improved._x000D_
_x000D_
</t>
  </si>
  <si>
    <t xml:space="preserve">In the context of the five review elements, please _x000D_
evaluate the strengths and weaknesses of the proposal with respect to intellectual merit._x000D_
_x000D_
Strengths: _x000D_
_x000D_
The PI is investigating fundamental problems in the area of heuristics in machine learning. He has picked the heuristics that are immensely popular in the machine learning area (Random Forests and Deep Neural Networks)._x000D_
_x000D_
For SAT problems, the PI proposes to look at SLS algorithms as well as CDCL solvers._x000D_
In the SAT area, the PI has participated in the annual competition and his team was ranked 4th in 2016._x000D_
_x000D_
Any contribution to either of the areas will have a direct impact on the practice._x000D_
_x000D_
The PI has made significant contributions in the area with publications in prestigious conferences. There are adequate resources available to PI._x000D_
_x000D_
The proposal is well-written with clear formulation of the research problems._x000D_
_x000D_
Weaknesses: _x000D_
_x000D_
While the work on machine learning and SAT have the common thread of using heuristics, the areas and the style is quite different._x000D_
_x000D_
In the SAT area, it is likely that PI will discover interesting properties of heuristics for_x000D_
SLS algorithms and CDCL solvers. However, it is not clear if the project will result in fundamentally new methods for SAT problems._x000D_
_x000D_
_x000D_
_x000D_
In the context of the five review elements, please _x000D_
evaluate the strengths and weaknesses of the proposal with respect to broader impacts._x000D_
_x000D_
Strengths:_x000D_
Any new ''dominant'' heuristic in machine learning or SAT will have large impact._x000D_
_x000D_
Rutgers-Newark is a diverse campus and the project may benefit underrepresented groups. The project involves undergraduates and will contribute to various educational activities._x000D_
_x000D_
Please evaluate the strengths and _x000D_
weaknesses of the proposal with respect to any additional solicitation-specific review criteria, if _x000D_
applicable_x000D_
_x000D_
_x000D_
_x000D_
Summary Statement_x000D_
_x000D_
The proposal is at the interface of theory and practice. It has potential to make important practical contributions to the art and science of heuristics._x000D_
_x000D_
</t>
  </si>
  <si>
    <t>In recent years, data analysis and optimization algorithms have been deployed at an unprecedented rate due to their incredible usefulness. Such algorithms are instrumental in drug discovery and personalized treatments, chip design, self-driving vehicles, and stock trading, among a variety of other applications. These remarkable algorithms are heuristic, which means that they lack provable guarantees in accuracy or efficiency. The gap between theory and practice in heuristics is alarming. The proposed research aims to close this gap, develop a theory for heuristics that uses no (or very few) input assumptions, design better heuristics, and study their limitations. The research plan aims to cover the study of accuracy and efficiency by studying (1) the accuracy of machine learning heuristics and (2) efficiency of constraint satisfaction heuristics._x000D_
_x000D_
The theoretical problems the proposed research seeks to address stem from the following question: "What theory can we develop using the knowledge that current heuristics perform well in practice?''.Previous theoretical research in heuristics relied on modeling and input assumptions. Instead of absolute guarantees, the proposed research puts forth the \emph{comparative analysis of heuristics} that formalizes the following idea. "Whenever (old) heuristic B works then (new) heuristic A works better'', which leaves the possibility that occasionally both A and B perform poorly. The stepping stone towards this research direction is the preliminary work by the PI (AAAI'14, AAAI'16). In that work ``new heuristics A'' were designed by ``transferring technology'' from the areas of pseudorandomness and time-space trade-offs, including previous theoretical works by the PI; e.g.,~Nisan-Wigderson designs in machine learning._x000D_
_x000D_
The overarching goal of this research is to improve (1) the prediction accuracy of supervised machine learning heuristics and (2) the runtime of SAT-solving heuristics. The following questions form the thrusts of the proposed research. Is there a general principle for designing sub-sampling heuristics and how can we exploit additional underlying structure (such as metric structure) in sub-sampling? How do the different deep neural network (DNN) architectures compare to each other? More generally, why does deep learning work, e.g.,~under which conditions can more complex DNNs be learned more accurately than simpler ones? Which heuristic rules in stochastic local search solvers have the greatest impact on the running time? How should we choose the right conflict-driven clause learning policies in state-of-the-art SAT-solvers?The proposed research has the potential to bridge the gap between theory and practice and profoundly change the way heuristics are devised in machine learning and constraint satisfaction. Towards realizing this goal, and to ensure the broader impact of this work, this career development plan encompasses various educational and outreach activities. These include student training through curriculum development with an emphasis on "injecting computational thinking" into undergraduate and graduate courses, developing more sets of lecture notes, training students for the SAT-solving competition (PI's team ranked 4th in 2016), and constantly contributing to the very successful efforts in realizing the main mission of Rutgers-Newark for "diversity, inclusion, and opportunity".</t>
  </si>
  <si>
    <t>1751076</t>
  </si>
  <si>
    <t>Gkatzelis</t>
  </si>
  <si>
    <t xml:space="preserve"> Panel Summary       
 _x000D_
Description: _x000D_
_x000D_
This proposal seeks to develop a theme of research around mechanisms without money and to create a "coherent theory or systematic approach"   It focuses on computational complexity of fair division (of indivisible goods), fair division of fully allocating divisible goods, truthful matching markets, and mechanisms for allocating computational resources. One theme that runs through the proposal is looking at NSW (the product of the utilities) rather than SW the sum. This provides a natural "fairness" guarantee, which is quite nice in several of the settings._x000D_
_x000D_
Intellectual Merit: _x000D_
  + Many tangilble research directions proposed._x000D_
  + Most research directions come with viable approaches._x000D_
  +  PI has a strong track-record in this area. _x000D_
_x000D_
Weaknesses:_x000D_
   - Problems could be more tied together, lacks a cohesive focus.   _x000D_
  - a couple directions are very difficult and do not seem to have sufficient coherent plans to make advances._x000D_
  - It will be nice if the PI can better position the proposed research in the context of existing efforts and justify why the set of the proposed problems in the proposal is the best/right questions to ask for the domain of mechanism design without money. For example, Ariel Procaccia's group at CMU has done a plethora of work on fair division and has the Spliddit site that providing probably fair solutions for a variety of real-world problems. _x000D_
_x000D_
Broader Impact: _x000D_
_x000D_
Strengths_x000D_
  + coop-matching idea_x000D_
  +  reachout through SPLASH_x000D_
  +  research will be integrated into the PIs cirriculum development efforts_x000D_
  +  he proposes a new seminar series for Drexel PhDs_x000D_
Weaknesses_x000D_
  - Proposal does not make it clear how immediately these results will apply to practical settings._x000D_
_x000D_
Solicitation-specific criteria: _x000D_
_x000D_
The PI has a history of reaching out to K-12 student's through SPASH!   The research will be integrated into the PIs cirriculum development efforts, and he proposes a new seminar series for Drexel PhDs. _x000D_
_x000D_
Data Management Plan:  Your data management plan should talk about how you are going to interface with any data from the COOP program, or should should explicitly state that you will not use such data._x000D_
_x000D_
Suggestions to PI: The proposal would be stronger if it were tied together a little more.  Additionally, some of the directions that are less fleshed out could be removed or improved.    _x000D_
_x000D_
Justification for Panel Rating:  This was a well reasoned proposal by a PI with experience in the area.  The broader impacts and integration with edutation components were excellent.  The proposal could be improved by making it more cohesive and culling or improving relatively weaker areas.  The competition was fierce, and you were competing with other reserachers with even stronger track records.   The proposal should be improved along the suggested guidelines and resubmitted.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</si>
  <si>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looks at mechanism design without payments or money changing hands; such mechanisms are very important in settings where one is unable, or it is not allowed, to have monetary exchanges. While this is a very large area with a lot of history, this proposal focuses on two high-level types of questions:_x000D_
_x000D_
1. Designing truthful mechanisms by using "money-burning". In resource allocation, this would correspond to not allocating all the resources (and thus wasting them), or penalizing the agents (for example by causing them extra delay in scheduling mechanisms). While this is clearly wasteful, such techniques can be used to guarantee truthfulness from the agents, and thus improve the performance of the mechanism overall._x000D_
_x000D_
2. Designing approximation algorithms for allocation of items to buyers with various objectives. There is no "game theory" for this direction: it is simply a well-defined optimization problem; the PI plans to focus on difficult-to-approximate objectives like solving the Santa Clause problem._x000D_
_x000D_
Strengths:_x000D_
_x000D_
+ The PI has preliminary work for most of the questions asked, and some possible approaches. The PI is very well-qualified to answer these questions._x000D_
_x000D_
+ There is a nice mix of longer-term and short-term problems to be tackled._x000D_
_x000D_
+ The questions being asked are important, and have a variety of applications such as matching, resource sharing, scheduling of computing jobs, etc. They are definitely interesting and deserve study._x000D_
_x000D_
+ The PI plans to specifically tackle concrete applications in addition to theory, through looking at the Drexel co-op matching mechanism._x000D_
_x000D_
_x000D_
Weaknesses:_x000D_
_x000D_
- There is no "big research direction", instead there are many medium-term directions. I would expect something a bit more long-term and ambitious from a CAREER proposal. That said, I would consider developing techniques for the questions being asked here to be a big and important research direction._x000D_
_x000D_
- Sometimes the proposed approaches reduce to "we'll try the same thing that worked in our published work, but for a slightly different setting"._x000D_
_x000D_
- The questions being asked are not extremely novel. That said, some of the techniques that the PI plans to use are promising, so this should be considered the novel part._x000D_
_x000D_
_x000D_
In the context of the five review elements, please _x000D_
evaluate the strengths and weaknesses of the proposal with respect to broader impacts._x000D_
_x000D_
Strengths:_x000D_
_x000D_
+ The PI plans to work on the Drexel co-op matching mechanism, which could yield applied tools for cardinal matching in addition to improving the Drexel co-op program itself._x000D_
_x000D_
+ The PI plans to design tutorials, courses with projects in them_x000D_
_x000D_
+ The PI plans to outreach to K-12 students, as he has done previously while at NYU._x000D_
_x000D_
_x000D_
Please evaluate the strengths and _x000D_
weaknesses of the proposal with respect to any additional solicitation-specific review criteria, if _x000D_
applicable_x000D_
_x000D_
_x000D_
_x000D_
Summary Statement_x000D_
_x000D_
This is a solid proposal by a well-qualified PI, in an interesting and important area where the PI is likely to make an impact._x000D_
_x000D_
_x000D_
</t>
  </si>
  <si>
    <t xml:space="preserve">In the context of the five review elements, please _x000D_
evaluate the strengths and weaknesses of the proposal with respect to intellectual merit._x000D_
_x000D_
This is a fine proposal on mechanism design without money. It focuses on computational complexity of fair division (of indivisible goods), fair division of fully allocating divisible goods, truthful matching markets, and mechanisms for allocating computational resources. The first three topics all have extensive literatures. The proposed research pushes the frontier by considering computational questions of existing mechanisms and richer and more realistic models. While I believe that interesting results will come out from this research, the problems considered felt a little spread-out and it's not well supported that these are the set of most fundamental questions for these topics. The last topic doesn't have a lot of prior work and potentially has important practical impacts. I hope that the PI will focus more on the last topic.  _x000D_
_x000D_
The PI has a track record in the areas of the proposed research and is well qualified to carry out this research. _x000D_
_x000D_
_x000D_
In the context of the five review elements, please _x000D_
evaluate the strengths and weaknesses of the proposal with respect to broader impacts._x000D_
_x000D_
+Better and more practical mechanisms for many real-world applications_x000D_
+ Great outreach and applications of research results (see below)_x000D_
_x000D_
Please evaluate the strengths and _x000D_
weaknesses of the proposal with respect to any additional solicitation-specific review criteria, if _x000D_
applicable_x000D_
_x000D_
Great integration of research and education: curriculum development, student advising, outreach to K-12 students, and improvement on Drexel co-op matching. _x000D_
_x000D_
_x000D_
Summary Statement_x000D_
_x000D_
A fine proposal but with a slightly spread-out focus._x000D_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</si>
  <si>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is a strong and interesting proposal which will investigate a number of questions around mechanism design and resource allocation in large distributed systems.  There are a large number of topics covered and the PI has identified a good number of interesting questions that are non-overlapping and could inform each other. I would have liked to see a bit more focused list of topics, diving a bit deeper into each one.  As it stands the proposal spans a large number of questions (which isn't bad) but focusing down a bit more would be good._x000D_
_x000D_
2. To what extent do the proposed activities suggest and explore creative, original, or potentially transformative concepts?_x000D_
_x000D_
The ideas are creative, though in some cases they are incremental or amount to important yet obvious directions I like it overall.  There is a good mix of questions which are more ambitious and ones where progress extending the PIs previous work can almost for sure be made._x000D_
_x000D_
3. Is the plan for carrying out the proposed activities well-reasoned, well-organized, and based on a sound rationale? Does the plan incorporate a mechanism to assess success?_x000D_
_x000D_
The plan is well reasoned in so far as that there are a number of questions that are identified and these are not all overlapping.  Hence, the research questions are organized in such a way as to not block each other._x000D_
_x000D_
4. How well qualified is the individual, team, or institution to conduct the proposed activities?_x000D_
_x000D_
The PI is well qualified and has a long track record of specific contribution to the areas of resource allocation and mechanism design._x000D_
_x000D_
5. Are there adequate resources available to the PI (either at the home institution or through collaborations) to carry out the proposed activities?_x000D_
_x000D_
There are adequate resources at the institution.  The PI also has a good track record of working with outside groups that can help to support the main research threads._x000D_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overall research is interesting and has a strong opportunity to convert into broad impacts both at Drexel and the wider research and teaching communities.  The PI has identified good opportunities at home institution to translate research to impact and taken initiative to get these underway.  The proposed teaching is good but maybe there are also opportunities to teach cross disciplinary / cross listed classes?_x000D_
_x000D_
2. To what extent do the proposed activities suggest and explore creative, original, or potentially transformative concepts?_x000D_
_x000D_
The application areas identified by the PI are interesting and creative.  He has identified interesting opportunities at his home institution to apply his research and the ideas are potentially transformative for students at Drexel._x000D_
_x000D_
3. Is the plan for carrying out the proposed activities well-reasoned, well-organized, and based on a sound rationale? Does the plan incorporate a mechanism to assess success?_x000D_
_x000D_
The PI has laid an impressive amount of groundwork in terms of outreach at Drexel and other avenues.  There are specific outcomes that are identified along several measures of success for the PI to evaluate his plan._x000D_
_x000D_
4. How well qualified is the individual, team, or institution to conduct the proposed activities?_x000D_
_x000D_
The individual is well qualified to undertake the specified broader impacts work.  He has a track record of delivering research results, hosting outreach events at NYU, and teaching (including remote teaching) which will help him._x000D_
_x000D_
5. Are there adequate resources available to the PI (either at the home institution or through collaborations) to carry out the proposed activities?_x000D_
_x000D_
Working to improve the Co-Op program, and having a letter of cooperation already in place, shows that there is strong opportunity to convert the research to practice at the home institution. I am a bit worried about the amount of commitment for the proposed Splash! program.  One summer month in addition to the quite ambitious research proposal seems a bit light.  _x000D_
_x000D_
_x000D_
Please evaluate the strengths and _x000D_
weaknesses of the proposal with respect to any additional solicitation-specific review criteria, if _x000D_
applicable_x000D_
_x000D_
_x000D_
_x000D_
Summary Statement_x000D_
_x000D_
A strong proposal which looks at interesting aspects of mechanism design and resource allocation.  The PI has a strong track record of research success and has identified unique ways to translate this research to impact at his home institution and beyond._x000D_
_x000D_
_x000D_
</t>
  </si>
  <si>
    <t xml:space="preserve">In the context of the five review elements, please _x000D_
evaluate the strengths and weaknesses of the proposal with respect to intellectual merit._x000D_
_x000D_
This proposal seeks to develop a theme of research around mechanisms without money and to create a "coherent theory or systematic approach".  The key insight that this is built upon is a new ability (from the PI in 2012) to create money burning mechanisms that can replicate VCG payments in the case that the agents utility functions are homogenous (utility scales with provisions) but maximizes NSW instead of SW.  The author makes a compelling case, that this is likely worthy undertaking.  First, it seems like a pretty fundamental question in mechanism design; second, it may have broader applications.  _x000D_
_x000D_
This proposal seeks to take this in several new directions: 1) it studies some computational problems in the space; looks to extend the result to where the goods cannot be burned; looks at matching markets; and computational environments.  One theme that runs through the proposal is looking at NSW (the product of the utilities) rather than SW the sum.  This provides a natural "fairness" guarantee, which is quite nice in several of the settings._x000D_
_x000D_
The plan seems reasonable, but I think some of the directions are much more compelling than others._x000D_
_x000D_
Question 3.2ùsubmodular + NSW; 3.4: truthful matching NSW better than trivial; 3.7 applications to scheduling; PoA in distributed systems especially 3.9. all seem like very nice questions.  Some of the others, I found less compelling.  _x000D_
_x000D_
There is still enough meat in the propose content to carry forward a solid 5 years  of research.  _x000D_
_x000D_
The team is qualified with adequate resourses.  _x000D_
_x000D_
_x000D_
Extra notes:_x000D_
_x000D_
The proposal seems very related to Braess's Paradox.  In this case burning resources helps in equilibrium.  Perhaps this is a useful observation._x000D_
_x000D_
Some faults: _x000D_
_x000D_
_x000D_
It is not clear how well the approaches laid out with match with security concerns.  For example, what would requesting a bunch of services effectively produce a DoS attack by both taking up and burning resources?  With sharing caches, is security an issue?  _x000D_
_x000D_
Some of the directions proposed seem either incremental or well-trodden with no especially new or likely to work ideas : 3.1 the proof idea does not seem compelling; cake-cutting direction is pretty vagueùthe author correctly (in my opinion) identifies that the current approaches are not compelling, but then there remains little clear directly left, Question 3.3 seems unlikely to work out in light of GibbardûSatterthwaite impossibility, _x000D_
_x000D_
Question 3.5 seems like it may be more different than anticipated.  The stable matching algorithms give first pick to the "good' students (or at least desired ones).  In this sense they seem either more "fair" or "less fair" depending on the definition of fair.  It is not clear that the proposal understands this trade-off._x000D_
_x000D_
I would be interesting to use your data to look at the recent work of Yash Kanonoi which asks if the male optimal/pessimal stable matchings are really different in practice.  _x000D_
_x000D_
My impression is that in real-life systems fairness is an "on-line" problem.  Agents have different desires or resources at different times and these can be traded off.  For example, maybe you need a lot of memory now, but I need it in an hour.  This would be an additional directly to investigate.  _x000D_
_x000D_
_x000D_
In the context of the five review elements, please _x000D_
evaluate the strengths and weaknesses of the proposal with respect to broader impacts._x000D_
_x000D_
The research, if successful, will help to employ mechanism design in a wider range of fields were money is not present._x000D_
_x000D_
Please evaluate the strengths and _x000D_
weaknesses of the proposal with respect to any additional solicitation-specific review criteria, if _x000D_
applicable_x000D_
_x000D_
I like the coop-matching idea. (Just a warning that you should look into whether you need IRB approval to work with this data.)  _x000D_
The research will be integrated into the Pis cirriculum development efforts and his proposes a new seminar series for Drexel PhDs.  _x000D_
Additionally the PI has a history of reaching out to student's through SPASH! And proposes to do so at his new institution.  _x000D_
I do not think that the proposal made as compelling case for the application of some of these results as it could have.  For example, the memory sharing research direction: does this really have application?  Are programs using the same core ever sharing the same data, but not the same incentives?  It would be great to provide some evidence that this actually happens.  I do not have the expertise to know.  _x000D_
_x000D_
_x000D_
Summary Statement_x000D_
_x000D_
The overarching research direction is compelling.  It has some strong components, but others seems like novel or likely to succeed.   I wish the applications were either better argued (or it was conceded that they are still in the future).   The educational component is adequate but not overzealous.  The PI has a history reaching out, and the modest proposals will likely be carried out with some success and impact.   _x000D_
Notes: I found the proposal a little rambling at the beginning.  Could be more to the point.  But it later caught its stride.  _x000D_
_x000D_
_x000D_
</t>
  </si>
  <si>
    <t>As the world becomes increasingly interconnected, this enables resource sharing at unprecedented levels. Every day, human and software agents compete for an extremely diverse set of resources, ranging from the computational resources (CPU, memory, or bandwidth) of a computer network that its users share, to the airport runways and the airspace that airline companies share. Were it not for appropriate mechanisms that define the rules and protocols governing these resource allocation processes, massive amounts of social utility would be wasted; hence, it is imperative that these mechanisms are designed to the highest standard. Some of the optimization problems involved in designing such resource allocation mechanisms can be highly demanding from a computational standpoint. In reality, the design process can be even more challenging, as the agents competing for these resources are strategic and have their own interests at heart. _x000D_
_x000D_
This proposal approaches such resource allocation problems from the perspective of the designer who chooses the rules of a resource allocation mechanism, aiming to achieve fair and efficient outcomes, despite the strategic behavior of the participating agents. The long literature on game theory and mechanism design has produced several important tools that can be used to inform the design process, but most of these tools depend heavily on the use of monetary payments. The special focus of this proposal is on settings where monetary payments are either undesirable, impractical, or infeasible. Despite the prevalence of this constraint within computing environments, and beyond, there is no coherent theory for guiding the designer's choices._x000D_
_x000D_
The proposed research aims to bridge the gap between the classic literature on mechanism design and the problems that arise in the absence of monetary transfers by uncovering structural properties of the latter that can be used to apply techniques from the former. The problems will be approached through the lens of approximation: if maximizing the desired fairness or efficiency objective is impossible due to either incentive or computational constraints, the proposed solutions will be evaluated using worst-case approximation guarantees.This project will lay the foundations toward a unifying theory for the design and analysis of mechanisms that cannot use monetary payments. Also, by drawing structural connections to the classic literature on mechanism design, the research will enable the translation of celebrated results and techniques from this literature to the less understood context of money-free mechanisms. Apart from evaluating mechanisms in existing models using established benchmarks, the proposed research will contribute novel benchmarks, as well as new models for well-motivated money-free domains.This project will have a broader impact on the effectiveness of money-free markets in general, and the co-op market at Drexel University in particular. The theoretical foundations provided by the proposed research will enable the design of mechanisms that can afford to elicit more meaningful information from the participating agents without worrying about incentive issues that can lead to market failure.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 The PI also plans to prepare a tutorial on the unifying structure in mechanism design without money, which can be presented at a major conference in order to disseminate these research results and directions. Beyond the broader impacts of the research, the PI is dedicated to the integration of research and teaching, and to outreach initiatives or initiatives that foster collaboration and create a better connected research community at Drexel.</t>
  </si>
  <si>
    <t>1751181</t>
  </si>
  <si>
    <t>Young</t>
  </si>
  <si>
    <t xml:space="preserve"> Panel Summary       
 Description: _x000D_
This proposal studies contention resolution algorithms for wireless networks. _x000D_
It aims to develop a unifying theory of contention resolution where multiple devices must coordinate in a decentralized way to get access to a shared communication channel.  It addresses in a fairly comprehensive manner various issues in the design and implementation of contention resolution algorithms with regards to throughput, traffic, cooperation, resource costs, prioritization (QoS issues), and jamming resistance. One key goal is to improve on mechanisms such as the classical binary exponential back-off (BEB). _x000D_
_x000D_
_x000D_
Intellectual Merit: _x000D_
Strengths_x000D_
  + This proposal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 The proposal is very well written and presented._x000D_
 + The panel appreciates the PI's effort on developing theory and algorithms for a very applied domain._x000D_
  +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design, analyze, and implement and study new and improved contention resolution algorithms in wireless networks. _x000D_
  + The PI has published significant papers to back up his credentials in the area (STOC 2016, SODA 2016, SPAA 2017, SPAA 2014, PODC 2011) and is extremely well-qualified to undertake this research._x000D_
 + There are adequate resources available to PI to carry out this research._x000D_
  _x000D_
Weaknesses_x000D_
  - More technical details regarding approaches, e.g., elaborating how the STOC 2016 paper relates to the proposed problems will improve the proposal._x000D_
  -  Some references listed are not complete with missing data._x000D_
- There is concern about how this work will impact networking in practice. _x000D_
- Designing contention-resolution algorithms under the adversarial-arrival model may not have good performance in the practical systems. _x000D_
- It will be good to explain why the proposed simple models capture important aspects of the real network problems. _x000D_
- It will be good to explicitly flesh out theory techniques that will come out of this proposal._x000D_
- The main application domain is networking, but the PI does not have prior publications in networking._x000D_
_x000D_
_x000D_
Broader Impact: _x000D_
Strengths_x000D_
  +  Excellently written broader impacts and contributions which are nicely integrated with research throughout the proposal. In particular, the educational aspects of the proposal are strong which are listed separately under various key research directions. _x000D_
+ The PI comes from a EPSCoR state and Mississippi State University (MSU) has a student population with diverse educational backgrounds. Funding from this project will likely support a female MSU PhD student who is currently advised by the PI. _x000D_
+ Improved contention resolution algorithms are very important and this proposal also explores the practical aspects of it. This can have a big impact in networking._x000D_
 + The PI will develop course works that will include results from his research. The PI will involve undergraduates in research. _x000D_
_x000D_
  _x000D_
Weaknesses_x000D_
  - None_x000D_
_x000D_
Solicitation-specific criteria: _x000D_
The integration of education and research is extremely well done._x000D_
_x000D_
Data Management Plan: _x000D_
Adequate._x000D_
_x000D_
Suggestions to PI: _x000D_
The most significant broader impact is in the networking area. The PI should _x000D_
disseminate his work in networking venues (such as INFOCOM) in addition to the theory (or distributed algorithms) community. Input  (and possible collaboration) from networking researchers will further strengthen the proposal. The proposal will also be strengthened by making it more technical. The panel appreciates the work by the PI in publishing in top venues such as STOC and SODA in an applied domain (which is challenging)._x000D_
_x000D_
_x000D_
Justification for Panel Rating:  This is a very well-written and presented proposal addressing a topic that is fundamental to networking, namely contention resolution, in a theoretically rigorous framework motivated by practical applications.  The PI has very good publications in the area and is well-qualified to undertake this research. However, one concern is the real impact to networking. The broader impact and education plan is very well written._x000D_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</si>
  <si>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considers the future of networks where there are many devices seeking access to a shared communication channel and proposes basic models and algorithms for solving this coordination problem. _x000D_
_x000D_
I appreciate the PI's effort on developing theory and algorithms for a very applied domain. This is inherently challenging. However, reading the proposal, I think the models may be too simple to capture the important aspects of the real network problems and hence theory and algorithms developed in such models may not be of practical impacts. I see that there are two ways to strengthen this proposal: one is to focus on the network problems and use multiple approaches (theory, simulation and experiments) to seek practical impacts; the other is to keep the proposal mostly theoretical, but demonstrate the importance of solving the theoretical problems from multiple domains. _x000D_
_x000D_
_x000D_
In the context of the five review elements, please _x000D_
evaluate the strengths and weaknesses of the proposal with respect to broader impacts._x000D_
_x000D_
+ Some potential practical implications on designing the future of networks_x000D_
_x000D_
_x000D_
Please evaluate the strengths and _x000D_
weaknesses of the proposal with respect to any additional solicitation-specific review criteria, if _x000D_
applicable_x000D_
_x000D_
Reasonable integration of research and education: curriculum improvement and graduate and undergraduate advising. _x000D_
_x000D_
_x000D_
Summary Statement_x000D_
_x000D_
A proposal on an interesting topic, but need improvement on several aspects._x000D_
_x000D_
</t>
  </si>
  <si>
    <t xml:space="preserve">In the context of the five review elements, please _x000D_
evaluate the strengths and weaknesses of the proposal with respect to intellectual merit._x000D_
_x000D_
Strengths:_x000D_
_x000D_
This proposal is in the area of networking. The PI proposes to develop better algorithms for contention resolution. In particular, the goal is to improve on mechanisms such as binary exponential back-off (BEB)._x000D_
_x000D_
Some proposed algorithms improve the metric of contention window slots, however the total transmission time is not reduced. The PI has also proposed a Best-of-k algorithm that sends small dummy packets to sense collision._x000D_
This idea of sending dummy packets to reduce the cost of collision is intriguing._x000D_
The Best-of-k algorithm seems to outperform Binary exponential backoff (BEB) in NS3_x000D_
simulations._x000D_
_x000D_
The PI has formulated research problems quite concretely._x000D_
_x000D_
The PI has made important contributions in the area with publications in_x000D_
good conferences.There are adequate resources available to PI._x000D_
_x000D_
_x000D_
Weaknesses:_x000D_
_x000D_
The problem studied is quite old -- access to a shared medium._x000D_
The simulation results on NS3 show that the binary exponential backoff_x000D_
outperforms LLB. There is no clear argument that strtegies other than BEB may be_x000D_
better in terms of total time._x000D_
_x000D_
Prioritization of traffic has been studied in the networking community for quite some time. It is not clear that practical benefits will ensue from the proposed project._x000D_
_x000D_
Designing contention-resolution algorithms under the adversarial-arrival model_x000D_
may not have good performance in the practical systems._x000D_
_x000D_
_x000D_
_x000D_
_x000D_
_x000D_
In the context of the five review elements, please _x000D_
evaluate the strengths and weaknesses of the proposal with respect to broader impacts._x000D_
_x000D_
Strengths:_x000D_
_x000D_
Mississippi is EPSCoR state. The project will fund a female student._x000D_
_x000D_
Recommendation:_x000D_
The most significant broader impact is in the networking area. The PI should_x000D_
disseminate his work in those avenues in addition to the theory (or distributed algorithms) community._x000D_
_x000D_
Please evaluate the strengths and _x000D_
weaknesses of the proposal with respect to any additional solicitation-specific review criteria, if _x000D_
applicable_x000D_
_x000D_
_x000D_
_x000D_
Summary Statement_x000D_
_x000D_
The proposal is good but can benefit by interaction with networking community._x000D_
_x000D_
</t>
  </si>
  <si>
    <t xml:space="preserve">In the context of the five review elements, please _x000D_
evaluate the strengths and weaknesses of the proposal with respect to intellectual merit._x000D_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resistance._x000D_
Strengths:_x000D_
_x000D_
1.	This is an excellent proposal, one of the best written ones I have seen._x000D_
It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_x000D_
2.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desingn, analyze, and implement and study contention resolution algorithms in wireless networks._x000D_
_x000D_
3.	The PI has published significant papers to back up his credentials in the area (STOC 2016, SODA 2016, SPAA 2017, SPAA 2014, PODC 2011)._x000D_
_x000D_
_x000D_
Weaknesses:_x000D_
1.	I would like to see more details in the technical details regarding approaches, e.g., elaborating how the STOC 2016 paper relates to the proposed problems._x000D_
2.	Some references listed are not complete with missing data.  _x000D_
_x000D_
_x000D_
In the context of the five review elements, please _x000D_
evaluate the strengths and weaknesses of the proposal with respect to broader impacts._x000D_
_x000D_
Strengths:_x000D_
_x000D_
1.	Excellently written broader impacts and contributions which are nicely integrated with research throughout the proposal. In particular, the educational aspects of the proposal are strong which are listed separately under various key research directions._x000D_
2. The PI comes from a EPSCoR state and Mississippi State University (MSU) has a student_x000D_
population with diverse educational backgrounds. Funding from this project will likely support a  female MSU PhD student who is currently advised by the PI._x000D_
2.	Improved contention resolution algorithms are very important and this proposal also explores the practical aspects of it. This can have a big impact in networking._x000D_
_x000D_
Weaknesses:_x000D_
None._x000D_
_x000D_
_x000D_
_x000D_
_x000D_
Please evaluate the strengths and _x000D_
weaknesses of the proposal with respect to any additional solicitation-specific review criteria, if _x000D_
applicable_x000D_
_x000D_
The integration of education and research is extremely well done._x000D_
_x000D_
Summary Statement_x000D_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 The project is timely and the issues are fleshed out very well with a clear research agenda. All in all a very strong proposal._x000D_
_x000D_
_x000D_
_x000D_
</t>
  </si>
  <si>
    <t xml:space="preserve">In the context of the five review elements, please _x000D_
evaluate the strengths and weaknesses of the proposal with respect to intellectual merit._x000D_
_x000D_
The proposal aims to develop a unifying theory of contention resolution where multiple devices must coordinate in a decentralized way to get access to a shared communication channel. It will develop new algorithms for optimizing throughout, managing arbitrary traffic, under various models of cooperation, with bandwidth and energy constraints, allowing prioritization of certain traffics, guarantees under adversarial model etc. _x000D_
_x000D_
The proposal is well-written, however, it is not clear what new theoretical techniques will come out from this work._x000D_
_x000D_
In the context of the five review elements, please _x000D_
evaluate the strengths and weaknesses of the proposal with respect to broader impacts._x000D_
_x000D_
The PI will develop course works that will include results from his research. The PI will involve undergraduates in research. The outcome of this work may have impact in industry._x000D_
_x000D_
Please evaluate the strengths and _x000D_
weaknesses of the proposal with respect to any additional solicitation-specific review criteria, if _x000D_
applicable_x000D_
_x000D_
_x000D_
_x000D_
Summary Statement_x000D_
_x000D_
In summary, this is a well-written proposal. It is unclear what substantial new theoretical results will come out of this. The proposal may be interesting to the networking community._x000D_
_x000D_
</t>
  </si>
  <si>
    <t>Future networks promise ubiquitous connectivity provided by large-scale systems densely populated by resource-constrained wireless devices. While this is an exciting vision, it also motivates us to revisit a fundamental challenge: how do we coordinate access by multiple devices to a shared communication channel? _x000D_
	_x000D_
This is the problem of contention resolution and it is an enduring issue with various solutions implemented in communications standards spanning the past four decades. Surprisingly, despite this track record, our understanding of even basic metrics -- such as worst-case expected throughput -- is incomplete. Furthermore, the demands of future networks will require confronting a range of concerns for which current solutions provide few rigorous guarantees. In light of these issues, a better understanding of the theory underlying the design and analysis of contention-resolution algorithms is warranted.Let time be discretized into slots, each of which can accommodate a packet. Initially, there are a set of stations, each with a packet to send on a shared channel where in a slot: (i) if a single station sends, then its packet succeeds, (ii) else, if two or more stations send, their packets fail, and the stations learn they must retry later.  There is no central authority or scheduler. How many slots are required for all packets to succeed?_x000D_
	_x000D_
This is a natural question about simple traffic -- a single burst of packets -- and yet our understanding of this basic scenario is incomplete. Along similar lines, aspects of popular contention-resolution mechanisms already deployed in modern-day networks deserve study,  both the single-burst case and under an arbitrary (worst-case) packet-arrival distribution._x000D_
	_x000D_
Given that future networks will be densely populated by resource-constrained devices, our solutions must impose only a small cost in terms of energy and bandwidth. In this context, we investigate contention resolution when packets have differing levels of priority, or in scenarios with multiple channels and multi-hop routing. Finally, motivated by increasingly common attacks on wireless networks, we explore solutions with performance guarantees under adversarial scenarios._x000D_
	_x000D_
While our primary goal is the design and analysis of new contention-resolution algorithms, we integrate applied work in order to validate our abstract models and solutions.Developments in manufacturing, industry, and communications standards are driving the next generation of networks. This evolution is anticipated to result in tens of billions of consumer-market devices becoming connected over the next five years. Addressing the performance and security of these massive-scale systems has obvious economic and societal impact._x000D_
	_x000D_
Mississippi is an EPSCoR state. Funding from this project will likely support a promising  PhD student, Mercy Jaiyeola; she is currently advised by PI Young. This project will also provide opportunities for undergraduate students to work on challenging aspects of the project.</t>
  </si>
  <si>
    <t>1751234</t>
  </si>
  <si>
    <t>Bhaskara</t>
  </si>
  <si>
    <t xml:space="preserve"> Panel Summary       
 Description: _x000D_
_x000D_
The main goal of the proposal is to improve our understanding of the complexity landscape of learning, specifically the tradeoffs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  The first two of these are applied to mixture of Gaussian models and the third to dictionary learning, non-negative factorization, and subspace clustering.  _x000D_
_x000D_
_x000D_
 _x000D_
_x000D_
_x000D_
Intellectual Merit: _x000D_
_x000D_
Strengths_x000D_
  + The problems are pretty well-scoped within each of these areas.  _x000D_
  + The concrete paths forward are proposed._x000D_
  + The PI has a strong track-record in the area._x000D_
  + Connection to algebraic geometry is appealing.  _x000D_
_x000D_
Weaknesses_x000D_
  - The panel was concerned that the proposal lacks an exciting overarching vision._x000D_
_x000D_
Broader Impact: _x000D_
_x000D_
Strengths_x000D_
  + As data science is exploding, if successful, the impact of this research would likely be wide reaching_x000D_
 + Would help the PI continue to improve the graduate courses_x000D_
 + PI would develop mini-surveys to deciminate core new research_x000D_
 + PI would organize local workshop on learning._x000D_
_x000D_
 _x000D_
Solicitation-specific criteria: _x000D_
PI would improve the graduate courses he is teaching, he would develop "mini-surveys" about the techniques here, continue to mentor graduate and undergraduate students, and organize a local workshop on learning._x000D_
_x000D_
_x000D_
Data Management Plan: adequate._x000D_
_x000D_
_x000D_
Suggestions to PI: Spend less space on some of the individual approaches and instead show how these stepes will cohere into something greater.  It is also good to highlight a few broader connections between fundamental problems and the rest of the field.  _x000D_
A better argument for why progress like likely to occur now.   _x000D_
_x000D_
Justification for Panel Rating:  Proposal lays out nice individual problems to tackle from a very qualified PI, but lacks exciting cohesive vision of research.  Broader impacts was adequate._x000D_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</si>
  <si>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concerns several algorithmic topics in machine learning. _x000D_
Three main directions proposed are:_x000D_
_x000D_
(1) Identifiability, given samples from a probabilistic model, find the model parameters in a computationally efficient manner and with small sample complexity. The proposed work is to develop  new techniques based on the method of moments and tensors._x000D_
_x000D_
(2) Learning in the presence of noise, in particular addressing the types of estimation questions above in the presence of various types of noise._x000D_
_x000D_
(3) Addressing matrix factorization questions (including dictionary learning and non-negative matrix factorization) under weaker (but not worst case) assumptions compared to prior work._x000D_
_x000D_
These are all important questions and the PI has prior work on these topics that make him uniquely qualified to tackle them._x000D_
_x000D_
In the context of the five review elements, please _x000D_
evaluate the strengths and weaknesses of the proposal with respect to broader impacts._x000D_
_x000D_
The education and broader impact component includes organizing a yearly workshop on theory and practical aspects of learning at the PI  institution, as well as new courses and mini-surveys for various topics._x000D_
_x000D_
_x000D_
Please evaluate the strengths and _x000D_
weaknesses of the proposal with respect to any additional solicitation-specific review criteria, if _x000D_
applicable_x000D_
_x000D_
_x000D_
_x000D_
Summary Statement_x000D_
_x000D_
This proposal concerns several algorithmic topics in machine learning: identifiability, learning in the presence of noise, and more broadly applicable matrix factorization algorithms. These are all important questions and the PI has prior work on these topics that make him uniquely qualified to tackle them. The education and broader impact component is strong._x000D_
_x000D_
</t>
  </si>
  <si>
    <t xml:space="preserve">In the context of the five review elements, please _x000D_
evaluate the strengths and weaknesses of the proposal with respect to intellectual merit._x000D_
_x000D_
The main goal of the proposal is to improve our understanding of the complexity landscape of learning, specifically the tread-offs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assumptions._x000D_
_x000D_
For (1), the PI proposes to develop the existing moment based method  for parameter identification and gives a detailed approach with many new ideas how this will be done.  _x000D_
_x000D_
For (2), the PI proposes to handle various different types of noise like sample corruption, distribution corruption etc.  For example, if we have polynomially many samples from a data distribution that is epsilon close to mixture of well-separated Guassians, is it possible to recover the data distribution again with some epsilon' distance? The PI will study how the separation required in the noisy case differs from the noiseless case and extension of moment based method._x000D_
_x000D_
For (3), the PI proposes to not consider any structural assumptions but obtain weaker yet interesting guarantees. Here the PI will study important problems like Dictionary learning or sparse coding, non-negative matrix factorization etc. _x000D_
_x000D_
Summary of strength and weakness: The proposal is well-written by a qualified PI. The questions are interesting and detailed approach has been provided to tackle them._x000D_
_x000D_
In the context of the five review elements, please _x000D_
evaluate the strengths and weaknesses of the proposal with respect to broader impacts._x000D_
_x000D_
The PI plans to integrate the outcome of the research into the courses that he will be developing. The PI will also organize workshops on insights in learning, for which budget has been allocated for speaker travel. The workshop will be co-located with Utah Data Science Day._x000D_
_x000D_
Please evaluate the strengths and _x000D_
weaknesses of the proposal with respect to any additional solicitation-specific review criteria, if _x000D_
applicable_x000D_
_x000D_
_x000D_
_x000D_
Summary Statement_x000D_
_x000D_
The proposal lays out few important problems in theoretical machine learning with viable pathway for making progress. The PI is well-positioned for performing the proposed research._x000D_
_x000D_
</t>
  </si>
  <si>
    <t xml:space="preserve">In the context of the five review elements, please _x000D_
evaluate the strengths and weaknesses of the proposal with respect to intellectual merit._x000D_
_x000D_
The author proposes a program to study questions in theoretical machine learning under 3 general topics:_x000D_
1)	Identifiability of general models;_x000D_
2)	Learnability under noise_x000D_
3)	low-expectations applied to learning theory.  _x000D_
_x000D_
The problems are pretty well-scoped within each of these areas.  _x000D_
_x000D_
In the first area, the main goal is to understand when the moment generating functions (of low moments) can identify mixtures of Guassians.  For example, what is the relationship between dimension and number of mixtures that can be IDed with 3 moments?  The PI proposes both SoS and an algebriac geometry approach.  The latter would be especially nice if it worked out, as it would add a new tool to TCS.  He also has most robust (wrt error) versions of the problem. _x000D_
_x000D_
In the second area, the proposal sticks with mixtures of Gaussians, but proposes to study several popular error models.  This is the most well-developed part of the proposal, and posits several interesting directions for a very challenging space.  In particular, reasoning about the robustness of SDPs.  _x000D_
_x000D_
The third trust is not about mixtures of Gaussians, but rather dictionary learning, non-negative factorization, and subspace clustering.   That is we would like to (approximately) represent many different vectors in a sparse way over a small bases.  The goal is to find the basis.  The goal here is to relax the problem to approximation and bi-critera (larger vectors, less sparsity).  _x000D_
_x000D_
The activities are novel and well worth pursuing.  The PI lays out interesting approaches (especially for the first two).  The proposed work is well thought out.  While I do like how there are great details for the first problems to be worked on.  It would also be nice to get a better vision of where this research is headed.  _x000D_
_x000D_
The claim is that these problems are very fundamental, and that progress will have wide-reaching impacts.  It would be great if this were further-flushed out (e.g. how important is mixture of Gaussians, why?).  _x000D_
_x000D_
The PI is well qualified and have available resources to undertake this project.  _x000D_
_x000D_
_x000D_
_x000D_
In the context of the five review elements, please _x000D_
evaluate the strengths and weaknesses of the proposal with respect to broader impacts._x000D_
_x000D_
As data science is exploding, if successful, this impacts of this research would likely be wide reaching.  A particularly neat connection would be the invention of a more computational approach to algebraic geometry problems._x000D_
_x000D_
Additionally, this would help the PI continue to improve the graduate courses he is teaching, he would develop "mini-surveys" about the techniques here, continue to mentor graduate and undergraduate students, and organize a local workshop on learning.  _x000D_
_x000D_
_x000D_
Please evaluate the strengths and _x000D_
weaknesses of the proposal with respect to any additional solicitation-specific review criteria, if _x000D_
applicable_x000D_
_x000D_
_x000D_
The outreach and education plan seems to focus on develop "mini-surveys" about the techniques here, continue to mentor graduate and undergraduate students, and organize a local workshop on learning.  _x000D_
_x000D_
_x000D_
Summary Statement_x000D_
_x000D_
This proposal tackles fundamental problems at the forefront of data science.  However, it would be even better if it were better linked to an overarching view.  The educational/outreach plan is serviceable._x000D_
_x000D_
</t>
  </si>
  <si>
    <t xml:space="preserve">In the context of the five review elements, please _x000D_
evaluate the strengths and weaknesses of the proposal with respect to intellectual merit._x000D_
_x000D_
The PI proposes to pursue three general directions in theoretical machine learning: identifiability of generative models, learnability under model noise, and learning in more general settings.  These are important questions, and the PI has made some progress. However, his most relevant publications are from 2014 or before. (He lists two more recent publications too, but they were non-theory venues and he doesn't really reference them in the proposal; he also has recent unpublished work.) Therefore, it's unclear to me why to expect big advances now._x000D_
_x000D_
_x000D_
In the context of the five review elements, please _x000D_
evaluate the strengths and weaknesses of the proposal with respect to broader impacts._x000D_
_x000D_
Learning has many applications, and the PI has a history of collaborating with industrial researchers. The PI also has an education and mentoring plan, and plans to organize an annual workshop on theory and practical aspects of learning._x000D_
_x000D_
Please evaluate the strengths and _x000D_
weaknesses of the proposal with respect to any additional solicitation-specific review criteria, if _x000D_
applicable_x000D_
_x000D_
_x000D_
_x000D_
Summary Statement_x000D_
_x000D_
This is a good proposal with interesting questions.  However, the PI's track record may not be strong enough to compete with other applicants._x000D_
_x000D_
</t>
  </si>
  <si>
    <t>As machine learning becomes pervasive in various aspects of our lives, theoretical investigations into accuracy guarantees, noise tolerance, interpretability, privacy, etc. are becoming increasingly important. Ideas from theoretical computer science, statistics, and computational linear algebra are being used to attack these challenges. This has opened up new avenues of research in theory, raising questions of modeling and going beyond the lens of worst-case analysis. The proposal considers fundamental problems in unsupervised learning of modeling and understanding data, and aims to develop new insights on topics ranging from theoretical guarantees on learnability, to practical challenges such as robustness. _x000D_
_x000D_
The three broad directions are:_x000D_
- Identifiability: we will tackle a basic statistical problem, given samples from a probabilistic model, of finding the model parameters. Being able to do this efficiently with small sample complexity has numerous applications. We propose new insights into the method of moments, to understand this basic question._x000D_
- We consider the practical challenge of dealing with modeling noise and outliers. Recent algorithms in learning have good theoretic properties, but are sensitive to errors. We propose new directions in this burgeoning area of research, to design new algorithms and understand complexity aspects that arise due to noise._x000D_
- For basic problems like sparse coding and non-negative matrix factorization, provable guarantees are known only under strong structural assumptions (inevitably so, due to NP-hardness). We propose a different direction: relaxing the assumptions, while obtaining weaker, yet interesting guarantees._x000D_
_x000D_
The common goal in these directions is to improve our understanding of the complexity landscape of learning, specifically the trade-offs between assumptions and guarantees._x000D_
_x000D_
Keywords: learning theory, beyond worst case, robustness in algorithms, generative models, modeling noiseIdentifying the possibilities and limitations of learning is one of the most important research directions in computer science. The problems we propose get to the heart of modeling data and the associated complexity questions. Obtaining efficient algorithms here could have tremendous impact in applications (beyond learning), much like hashing and dimension reduction have in the past. These directions will also develop new theoretical methods for reasoning about noise, and improve our understanding of basic clustering and decomposition questions.The directions studied have a potential to impact any field of science with a modeling component. The technical contributions will bring new collaborations, both from theoretical fields like statistics and algebraic geometry, and from machine learning practitioners. A workshop to induce such interactions is proposed. The PI is also in collaboration with teams in the industry, working to disseminate theoretical insights and help design practical, efficient algorithms. The PI has developed new courses for a new wave of students trained in both theory and learning. Course content will be made accessible via self-contained mini-surveys, to benefit students everywhere.</t>
  </si>
  <si>
    <t>1751254</t>
  </si>
  <si>
    <t>Fasy</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</si>
  <si>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</si>
  <si>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</si>
  <si>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</si>
  <si>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</si>
  <si>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</si>
  <si>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</si>
  <si>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1751416</t>
  </si>
  <si>
    <t>Sitchinava</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</si>
  <si>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</si>
  <si>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</si>
  <si>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</si>
  <si>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</si>
  <si>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</si>
  <si>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</si>
  <si>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1755038</t>
  </si>
  <si>
    <t>Majumdar</t>
  </si>
  <si>
    <t xml:space="preserve"> Panel Summary       
 Description:_x000D_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_x000D_
Intellectual Merit:_x000D_
Strengths_x000D_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 The proposal is cross-disciplinary. It will facilitate flow of ideas from computer science to control theory and vice-versa._x000D_
  + There are adequate resources available to the PI to carry out the proposed activities._x000D_
_x000D_
Weaknesses_x000D_
  - The PI does not compare with what is already known in streaming algorithms and related areas._x000D_
_x000D_
  -  The PI needs to spend more time explaining how the proposed research is novel in terms of problems being solved and techniques required._x000D_
_x000D_
   -It is not clear what contributions in theoretical computer science and algorithms will be possible from this project._x000D_
_x000D_
Broader Impact:_x000D_
Strengths_x000D_
  + The PI plans to make new algorithms for robotic tasks, which is very useful_x000D_
_x000D_
  + K-12 outreach, robotics is good for that_x000D_
_x000D_
  + Undergrad participation, already working with 2 undergrads_x000D_
_x000D_
Data Management Plan:_x000D_
Adequate_x000D_
_x000D_
Suggestions to PI:_x000D_
The proposed research sounds very interesting and important in principle. However, the PI does not have supporting prior work on this topic or on theoretical research in general. Some supporting prior work would make the proposal much more convincing._x000D_
_x000D_
Justification for Panel Rating: _x000D_
PI does not have supporting prior work on algorithmic foundations on this topic. He does have prior work in the robotics area._x000D_
_x000D_
_x000D_
Panel Rating:_x000D_
_ Highly Competitive_x000D_
_ Competitive_x000D_
_ Low Competitive_x000D_
X Not Competitive_x000D_
_x000D_
The summary was read to the panel and the panel concurred that the summary accurately reflects the panel discussion._x000D_
</t>
  </si>
  <si>
    <t>RESIMMO</t>
  </si>
  <si>
    <t>P180307</t>
  </si>
  <si>
    <t xml:space="preserve"> CRII Robotics: Reid</t>
  </si>
  <si>
    <t xml:space="preserve"> Panel Summary       
 The proposed work aims to develop a theory for characterizing the memory complexity of robot perception and control tasks, including finding lower bounds on memory requirements using communication complexity theory and reductions from existing streaming algorithms results. Extensions to streaming algorithms theory will be explored to capture controlled tasks, where the system can take actions that affect the data stream. The algorithms developed will be in the context of perceptual tasks (localization, search, SLAM) for a micro aerial vehicle in simulation and in hardware. _x000D_
_x000D_
_x000D_
INTELLECTUAL MERIT_x000D_
_x000D_
--Strengths_x000D_
- The proposal aims to break new theoretical ground in robotics by building on, and extending, established ideas in streaming algorithms and communication complexity. _x000D_
- The project is well organized and integrates theoretical development with experimental evaluation. _x000D_
- The proposal is very well aligned with the PI's background and long term research agenda. _x000D_
- If successful, this work could have direct implications for a large number of robot perception and control tasks. _x000D_
_x000D_
_x000D_
--Weaknesses_x000D_
- The proposal could be improved by further elaborating on the connection of the proposed theoretical approach to existing perception algorithms (e.g., SLAM) and by laying out the experimental agenda in more detail._x000D_
_x000D_
_x000D_
BROADER IMPACTS, INCLUDING ENHANCING DIVERSITY_x000D_
--Strengths_x000D_
- The question of minimal representations and complexity bounds for robotics tasks is not well understood. Any principled approach to derive such results would significantly impact the field. _x000D_
- The PI plans to involve middle school, high school and undergraduate students through several programs available in his school such as PEEK, PSURE etc. _x000D_
- Efforts will be made to include women and undergraduates in this research.  _x000D_
_x000D_
--Weaknesses_x000D_
- No significant weaknesses identified. _x000D_
_x000D_
_x000D_
_x000D_
ADDITIONAL REVIEW CRITERIA:_x000D_
_x000D_
-- Is the research appropriate for the proposed duration?_x000D_
_x000D_
The research agenda is ambitious for two years. The panel suggests the PI carefully scope the experimental agenda so as to hit all three of the stated research threads. _x000D_
_x000D_
-- Does the project have potential to produce sufficient preliminary results to serve as the basis for future competitive research proposals?_x000D_
_x000D_
Yes, this proposal aims to break new theoretical ground in robotics. The panel suggests that showing concrete results for a specific robotic task will make subsequent proposals competitive. _x000D_
_x000D_
--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insights to inform algorithm design. _x000D_
_x000D_
_x000D_
DEPARTMENT SUPPORT LETTER: _x000D_
_x000D_
The letter verifies the eligibility of the PI. _x000D_
_x000D_
_x000D_
DATA MANAGEMENT PLAN: _x000D_
_x000D_
The data management plan is adequate. _x000D_
_x000D_
_x000D_
POST-DOCTORAL MENTORING PLAN (if applicable): _x000D_
_x000D_
N/A._x000D_
_x000D_
COLLABORATIONS (if applicable): _x000D_
_x000D_
N/A._x000D_
_x000D_
ADDITIONAL SUGGESTIONS: _x000D_
_x000D_
_x000D_
PANEL RECOMMENDATION AND JUSTIFICATION, INCLUDING BRIEF STATEMENT OF KEY STRENGTHS AND/OR CRITICAL WEAKNESSES	_x000D_
_x000D_
The proposal is very well organized and aims to break new theoretical ground by building on insights from communication complexity and streaming algorithms to understand the memory complexity of robotics tasks. In addition to framing robot perception problems in a new light, which may lead to new ways to understand, compare, and design algorithms for robot perception and control tasks, the proposed work aims to extend ideas from streaming algorithms theory to active systems whose behavior can affect the data stream. In addition to theoretical investigations, the proposed work will be grounded in localization, search, and mapping experiments using micro aerial vehicles in simulation and hardware. _x000D_
_x000D_
_x000D_
Ranking (check one)_x000D_
_X_ Highly Competitive_x000D_
__ Competitive_x000D_
__ Low Competitive_x000D_
__ Not Competitive_x000D_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</si>
  <si>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apply streaming algorithms and communication complexity to robotic tasks, in order to form lower bounds on robot memory requirements for various tasks, design new memory-efficient algorithms for robot tasks, and make new computational models for robot tasks (for example instead of streaming algorithms in which you can never go back in a stream, one could choose to go to a previous point in the stream again if desired, essentially forming an array one can access which is too big to store)._x000D_
_x000D_
Strengths:_x000D_
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_x000D_
_x000D_
Weaknesses:_x000D_
_x000D_
- The PI does not compare with what is already known in streaming algorithms and related areas. Is the proposed work to design truly new and innovative streaming algorithms? Or is to only to take existing streaming algorithms, and re-work them for slightly different problems? When proposing new computational models which allow the robot to "backtrack" in the data stream, how is this different from theoretical work on memory-constrained algorithms where the data does not come in a stream, but is given as a large static array or a database? In other words, the PI needs to spend more time explaining how their proposed research is novel in terms of problems being solved and techniques required, and compare with existing algorithmic work, not just work in robotics. It is not clear if the proposed work is a simple extension of existing algorithmic work, or if applying it to robotic tasks would require truly new techniques._x000D_
_x000D_
- For many of the tasks (e.g., looking at time-memory tradeoffs) the PI seems to be mostly proposing to create new models, and does not give much indication of how they plan to analyze these models, or what the issues are with analyzing them._x000D_
_x000D_
_x000D_
Suggestions for Improvement: Providing a more detailed explanation of some preliminary work, and explaining why it is non-trivial and the novel issues that arise in it, would greatly improve this proposal. If space is needed, Section 5 can probably be reduced._x000D_
_x000D_
In the context of the five review elements, please _x000D_
evaluate the strengths and weaknesses of the proposal with respect to broader impacts._x000D_
_x000D_
Strengths:_x000D_
_x000D_
+ The PI plans to make new algorithms for robotic tasks, which is very useful_x000D_
_x000D_
+ K-12 outreach, robotics is good for that_x000D_
_x000D_
+ Undergrad participation, already working with 2 undergrads_x000D_
_x000D_
Please evaluate the strengths and _x000D_
weaknesses of the proposal with respect to any additional solicitation-specific review criteria, if _x000D_
applicable_x000D_
_x000D_
_x000D_
_x000D_
Summary Statement_x000D_
_x000D_
While on an interesting and important topic, this does not feel like research yielding fundamental insights. Providing a more detailed explanation of some preliminary work, and explaining why it is non-trivial and the novel issues that arise in it, would greatly improve this proposal._x000D_
_x000D_
_x000D_
</t>
  </si>
  <si>
    <t xml:space="preserve">In the context of the five review elements, please _x000D_
evaluate the strengths and weaknesses of the proposal with respect to intellectual merit._x000D_
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The proposed research sounds very interesting and important in principle. However, the PI does not have supporting prior work on this topic or on theoretical research in general. Some supporting prior work would make the proposal much more convincing._x000D_
_x000D_
_x000D_
In the context of the five review elements, please _x000D_
evaluate the strengths and weaknesses of the proposal with respect to broader impacts._x000D_
_x000D_
In addition to the strong broader impact of the research itself, the PI plans to engage in several outreach activities, for example to partner with the Princeton Engineering Education for Kids program to organize outreach events for K-12 students where students design LEGO robots that perform basic versions of the tasks discussed in the proposal. Furthermore, the PI plans to actively engage undergraduate students in the simulation and hardware implementation needed for the proposed research._x000D_
_x000D_
Please evaluate the strengths and _x000D_
weaknesses of the proposal with respect to any additional solicitation-specific review criteria, if _x000D_
applicable_x000D_
_x000D_
_x000D_
_x000D_
Summary Statement_x000D_
_x000D_
The goal of this project is to develop principled and general techniques for establishing the memory resources required by a robot in order to perform its task.  _x000D_
_x000D_
The PI does not have supporting prior work on this topic or on theoretical research in general, making it hard to evaluate the nature of the results that are likely to be outcome of this project, if funded._x000D_
_x000D_
</t>
  </si>
  <si>
    <t>XR1007255</t>
  </si>
  <si>
    <t>clark@hmc.edu</t>
  </si>
  <si>
    <t xml:space="preserve">In the context of the five review elements, please _x000D_
evaluate the strengths and weaknesses of the proposal with respect to intellectual merit._x000D_
_x000D_
The research proposed aims to provide new tools for evaluating memory and run-time complexity in robotic systems. The work is motivated by the need to evaluate the applicability of micro scale vehicles embedded with microprocessors to different application tasks. The PI uses a micro air vehicle (MAV) exploration task as a motivating example, and while much of the work will be theoretical in nature, the PI aims to evaluate the theory on an undergraduate student built MAV._x000D_
_x000D_
_x000D_
--Strengths:_x000D_
The PI does a good job motivating the work, both with respect to its relevance to small scale robotic systems, and with respect to it being an unsolved problem with much to gain if solutions are found. The PI proposes to leverage work from other research communities (e.g. work in streaming theory), and demonstrate its potential usefulness as a starting point for determining computational complexity with single and multi-robot systems (i.e. that are subject to communication constraints.)_x000D_
_x000D_
The PI has a strong background and academic preparation that combines engineering and computer science, an appropriate combination for the proposed work._x000D_
_x000D_
_x000D_
--Weaknesses:_x000D_
Some of the starting points neglect how noise affects the system. The problem of checking off if a landmark has been visited is not easy when the correspondence is hard, (due to noisy data). As well, the quality of data in general is not mentioned here, and will likely have a large effect on how much data truly needs to be sensed, stored, and communicated._x000D_
_x000D_
_x000D_
_x000D_
In the context of the five review elements, please _x000D_
evaluate the strengths and weaknesses of the proposal with respect to broader impacts._x000D_
_x000D_
--Strengths:_x000D_
This work could have a large impact on a the field of robotics and embedded systems in general which doesn't always consider such issues. The outreach work with PEEK seems beneficial, although it is unclear how strong the collaboration between the PI and PEAK will be._x000D_
_x000D_
The reader appreciates the PI's intentions to work with PWICS and increase participation from underrepresented student groups._x000D_
_x000D_
_x000D_
_x000D_
--Weaknesses:_x000D_
More work on increasing participation of traditionally underrepresented students is encouraged,_x000D_
_x000D_
_x000D_
Please evaluate the strengths and _x000D_
weaknesses of the proposal with respect to any additional solicitation-specific review criteria, if _x000D_
applicable_x000D_
_x000D_
Adequacy of Data Management Plan:_x000D_
A few more details on the size/format of sensor data would be appreciated. Also, the use of Github is positive for version control and backup. Using an open source approach to data dissemination is also appreciated by the reader._x000D_
_x000D_
Is the research appropriate for the proposed duration?_x000D_
While it is unclear as to whether the PI will be able to rely on a MAV being developed by undergraduates within the 2 year timeframe, the PI has selected a manageable problem that seems in scope. _x000D_
_x000D_
_x000D_
Does the project have potential to produce sufficient preliminary results to serve as the basis for future competitive research proposals?_x000D_
The reader believes that the PI will produce results within the two year time frame that can form the basis of a future proposal. The preliminary ideas seem solid, with many options for exploration and development of formal theorems._x000D_
_x000D_
Are the activities necessary and critical steps for the PI to achieve research independence?_x000D_
The PI spends a page describing how the proposed work fits within the goal to develop 'A Complexity Theory for Robotics'. This is highly appropriate, relevant, and indicates a strong vision._x000D_
_x000D_
Strength of Department Letter_x000D_
The letter of support is adequate but could do more to indicate the department's dedication to the PI's research in terms of providing resources, mentoring, and ability to teach a subject that resonates with the proposal._x000D_
_x000D_
_x000D_
Summary Statement_x000D_
_x000D_
The proposal does a good job demonstrating paths to develop new theory that can find its way to a real world application. The project seems to be a logical step in building towards the PI's vision of establishing 'Complexity Theory for Robotics'. Some more attention should be made to the quality and types of data that may affect the provable bounds the PI is attempting to develop._x000D_
_x000D_
</t>
  </si>
  <si>
    <t xml:space="preserve">In the context of the five review elements, please _x000D_
evaluate the strengths and weaknesses of the proposal with respect to intellectual merit._x000D_
_x000D_
Strengths:_x000D_
The PI proposes to leverage data streaming algorithms for robotics applications.  The project investigates both the lower bounds on space and communication complexity as well as scalable algorithms._x000D_
_x000D_
The proposal is really cross-disciplinary._x000D_
It will facilitate flow of ideas from computer science to control theory and vice-versa._x000D_
_x000D_
The PI proposes to apply the theory developed for algorithms on search and rescue tasks with MAVs._x000D_
_x000D_
The PI is well-qualified to conduct the proposed activity._x000D_
There are adequate resources available to the PI to carry out the proposed activities._x000D_
_x000D_
Weaknesses:_x000D_
_x000D_
1. The proposal does not identify which problems are fundamentally different in robotics and how are they different from the applications studied in theoretical computer science (except in the context of navigation where robots can backtrack)._x000D_
_x000D_
2. The proposal gives an overview of techniques in sketches and communication complexity, but does not identify new insights by the PI that will lead to transformative concepts. _x000D_
_x000D_
3. The proposal does not describe any preliminary work done in proving lower bounds for memory._x000D_
_x000D_
_x000D_
In the context of the five review elements, please _x000D_
evaluate the strengths and weaknesses of the proposal with respect to broader impacts._x000D_
_x000D_
Strengths:_x000D_
The PI has proposed to interact with K-12 outreach program at Princeton. He is co-advising undergraduates._x000D_
_x000D_
The project has potential to impact not just the theory of streaming algorithms but also the area of robotics._x000D_
_x000D_
Please evaluate the strengths and _x000D_
weaknesses of the proposal with respect to any additional solicitation-specific review criteria, if _x000D_
applicable_x000D_
_x000D_
_x000D_
_x000D_
Summary Statement_x000D_
_x000D_
This is a good cross-disciplinary proposal._x000D_
_x000D_
</t>
  </si>
  <si>
    <t>PW0906523</t>
  </si>
  <si>
    <t>Kress-Gazit</t>
  </si>
  <si>
    <t>hadaskg@cornell.edu</t>
  </si>
  <si>
    <t xml:space="preserve">In the context of the five review elements, please _x000D_
evaluate the strengths and weaknesses of the proposal with respect to intellectual merit._x000D_
_x000D_
A brief statement of what the proposal is about:_x000D_
This proposal aims to develop theory and algorithms that reason about memory resources needed by a robot to perform different perceptual tasks. The theory includes finding lower bounds on memory requirements for a task, through reductions from streaming algorithms with known memory lower bounds and communication complexity, and reasoning about memory bounds for robotics tasks that are "active", that is the stream of information is influenced by the actions of the robot. The algorithms developed will be in the context of perceptual tasks for a micro aerial vehicle and will be demonstrated in simulation and in hardware.  _x000D_
_x000D_
--Strengths:_x000D_
This is an ambitious proposal that looks at memory requirements for different robotics perceptual task and thus will pave the way for defining, in a principled way, the (minimal) representations needed by a robot for a task.  _x000D_
This project is well thought out. Focusing on a few tasks, the PI will develop a general theory and specific algorithms, and will demonstrate the results in simulation and hardware. _x000D_
The insight connecting robotic tasks and the required (minimal) representation with streaming algorithms and communication complexity is interesting and will result in a fresh look at an important problem._x000D_
_x000D_
--Weaknesses:_x000D_
The proposal focuses on tasks that are extremely well studied in estimation theory and robotics (localization, SLAMà) but there is no mention of how the project fits into that landscape. Would the lower bounds inform the dimension of the state needed in the filter? Define the state representation?  Would the algorithms developed in this project replace filtering or will they leverage well known filtering techniques?_x000D_
The proposal mentions tasks multiple times but does not discuss the space of tasks, nor defines what a task is in this context. From the detailed aim description, it reads as if the approach is for perceptual tasks. It would have been good to see a paragraph describing how these approaches might, in the future, be used for other types of tasks that require more decision making._x000D_
_x000D_
_x000D_
In the context of the five review elements, please _x000D_
evaluate the strengths and weaknesses of the proposal with respect to broader impacts._x000D_
_x000D_
--Strengths:_x000D_
The question of appropriate representations of robot and environment state suitable for a task is not well understood. Any principled approach to construct such representations would have significant impact on robotics and CPS in general._x000D_
The K-12 outreach looks good._x000D_
_x000D_
--Weaknesses:_x000D_
Similar to what I wrote in the IM section, the connection to estimation theory and filtering is unclear therefore the risk here is that these results will not impact the way people think about representations. _x000D_
_x000D_
_x000D_
Adequacy of Data Management Plan:_x000D_
Open source code and data will be archived on Princeton's  github site with public access. PI has track record in releasing open source code.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The research aims are very ambitious for one student for two years. If the PI focuses on one very specific task, for example the coverage problem, he and his student might be able to get to all three aims._x000D_
_x000D_
_x000D_
Does the project have potential to produce sufficient preliminary results to serve as the basis for future competitive research proposals?_x000D_
Yes. The goals and vision of the project are very ambitious and exciting but not substantiated yet. Showing concrete results for a specific robotic task, demonstrated on an actual hardware system, will make a follow on full proposal competitive. _x000D_
_x000D_
_x000D_
Are the activities necessary and critical steps for the PI to achieve research independence?_x000D_
The PI describes his overall vision and this project fits well with the initial steps toward realizing the vision.  _x000D_
_x000D_
_x000D_
Strength of Department Letter:_x000D_
Letter certifies the PI is eligible for the CRII program._x000D_
_x000D_
_x000D_
Summary Statement_x000D_
_x000D_
Justification of your rating, including a brief statement of the proposal's key strengths and/or critical weaknesses_x000D_
This proposal addresses the important and exciting problem of principled reasoning about appropriate representations for robot tasks. While some questions marks remain, especially the connection to the rich literature of estimation, this proposal may pave the way to a fresh look at this problem. _x000D_
_x000D_
_x000D_
</t>
  </si>
  <si>
    <t>PH1007107</t>
  </si>
  <si>
    <t>Kuindersma</t>
  </si>
  <si>
    <t>scottk@seas.harvard.edu</t>
  </si>
  <si>
    <t xml:space="preserve">In the context of the five review elements, please _x000D_
evaluate the strengths and weaknesses of the proposal with respect to intellectual merit._x000D_
_x000D_
The proposed work aims to harness and extend results from the streaming algorithms literature to derive new approaches for establishing memory requirements for robotics tasks. This work is motivated by robotics applications with constrained memory resources (e.g., small scale MAVs), where the system must maintain a parsimonious representation of the problem (i.e. a 'sketch') that is sufficient to achieve the task. In addition to developing new efficient algorithms for search and rescue tasks, the proposed work aims to use insights from communication complexity to develop a formal framework in which to rank the difficulty of robot tasks. _x000D_
_x000D_
--Strengths:_x000D_
_x000D_
- The proposed work is theoretically well-motivated, novel, and the PI has the right background to successfully carry it out. _x000D_
- The work would fit well into the PI's long-term research agenda. _x000D_
- If successful, this work would lead a new set of theoretical tools to compare and solve a broad set of robotics tasks. _x000D_
- The PI has ample resources available to carry out the proposed work. _x000D_
_x000D_
--Weaknesses:_x000D_
_x000D_
- The PI is proposing to cover a lot of ground in two years. For example, in the timeline year 0.5-1.5 will involve carrying out 3 research threads simultaneously. This may prove difficult given the limited size of the grant. _x000D_
- The experimental agenda is lacking in detail. What experiments will be done on the physical testbeds? Will the proposed algorithms allow more difficult/memory-intensive problems to be solved on these systems?_x000D_
_x000D_
_x000D_
In the context of the five review elements, please _x000D_
evaluate the strengths and weaknesses of the proposal with respect to broader impacts._x000D_
_x000D_
--Strengths:_x000D_
_x000D_
- This work would have implications for a wide variety of robotic and embedded systems. _x000D_
- The PI will make use of an existing K-12 outreach program at Princeton that introduces students to robotics concepts using LEGO Mindstorms kits. _x000D_
- Efforts will be made to include women and undergraduates in this research. _x000D_
_x000D_
--Weaknesses:_x000D_
_x000D_
- No significant weaknesses identified._x000D_
_x000D_
Please evaluate the strengths and _x000D_
weaknesses of the proposal with respect to any additional solicitation-specific review criteria, if _x000D_
applicable_x000D_
_x000D_
Is the research appropriate for the proposed duration?_x000D_
_x000D_
- The proposed research timeline is aggressive, but achievable._x000D_
_x000D_
_x000D_
Does the project have potential to produce sufficient preliminary results to serve as the basis for future competitive research proposals?_x000D_
_x000D_
Yes._x000D_
_x000D_
_x000D_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theoretical insights to inform algorithm design._x000D_
_x000D_
_x000D_
Strength of Department Letter_x000D_
_x000D_
The department letter is satisfactory._x000D_
_x000D_
Summary Statement_x000D_
_x000D_
The proposal is very well written and aims to break new theoretical ground by building on insights from communication complexity and streaming algorithms to understand the storage complexity of robotics tasks. If successful, this work could have impact on a wide variety of systems. The primary weaknesses of the proposal are the lack of detail in the experimental agenda (e.g., what specific tasks will be solved, hypotheses, evaluation methodology?) and a relatively ambitious research timeline. _x000D_
_x000D_
_x000D_
</t>
  </si>
  <si>
    <t>HH1007103</t>
  </si>
  <si>
    <t>Rathinam</t>
  </si>
  <si>
    <t>srathinam@tamu.edu</t>
  </si>
  <si>
    <t xml:space="preserve">In the context of the five review elements, please _x000D_
evaluate the strengths and weaknesses of the proposal with respect to intellectual merit._x000D_
_x000D_
The proposal is about developing fundamental tradeoffs between memory requirements and the amount of time required to accomplish robotics tasks. The work mainly wants to use the results from streaming algorithms theory to answer the fundamental questions._x000D_
_x000D_
--Strengths:_x000D_
The proposal is well written and the proposed approach is explained clearly._x000D_
_x000D_
--Weaknesses:_x000D_
The main drawback of this proposed work lies in the relation between the theoretical problem the PI wants to solve and the actual sensing problem a robot encounters in practice. In a practical application, a robot collects huge amount of data with errors\outliers and a lot of work has to be spent in extracting useful information from this data. Identifying landmarks and labelling them is not easy. The problem of representing this processed data may not directly reduce to the theoretical problem the PI wants to solve. The PI has to further choose a concrete example and a sensor and show how the data collection process reduces to the theoretical problem as proposed in the project._x000D_
_x000D_
Also, the order, O(.), of the computations of some of the algorithms is mentioned. It is important to note that this is a theoretical result and depends on the value of n. For example, even though there are polynomial time algorithms for solving linear programs, we still use implementations of simplex method (that are not polynomial time) in practice._x000D_
_x000D_
In the context of the five review elements, please _x000D_
evaluate the strengths and weaknesses of the proposal with respect to broader impacts._x000D_
_x000D_
--Strengths:_x000D_
The PI plans to involve middle school, high school and undergraduate students through several programs available in his school such as PEEK, PSURE etc. Women and under-represented students will also be involved in small robotic projects advised by the PI._x000D_
_x000D_
--Weaknesses:_x000D_
None._x000D_
_x000D_
Adequacy of Data Management Plan:_x000D_
The PI will publish all the code in github and will make it open source. The data management plan seems adequate._x000D_
_x000D_
Please evaluate the strengths and _x000D_
weaknesses of the proposal with respect to any additional solicitation-specific review criteria, if _x000D_
applicable_x000D_
_x000D_
Is the research appropriate for the proposed duration?_x000D_
Yes._x000D_
_x000D_
_x000D_
Does the project have potential to produce sufficient preliminary results to serve as the basis for future competitive research proposals?_x000D_
Yes._x000D_
_x000D_
Are the activities necessary and critical steps for the PI to achieve research independence?_x000D_
Yes._x000D_
_x000D_
_x000D_
Strength of Department Letter:_x000D_
The letter verifies the eligibility of the PI._x000D_
_x000D_
Summary Statement_x000D_
_x000D_
The proposal deals with tradeoffs between memory requirements and the completion time of the tasks. The theoretical aspects of the algorithms as such is interesting. It is not clear how the problems considered applies to robots in a practical setting._x000D_
_x000D_
</t>
  </si>
  <si>
    <t>What is the minimal representation a robot must create of its environment in order to achieve its task? Are there fundamental tradeoffs between how memory-efficient the representation is and how efficiently the robot can accomplish the task? Unfortunately, even a basic understanding of such fundamental questions concerning the memory requirements for robots is beyond our current grasp. The vast majority of strategies resort either to entirely reactive and memoryless approaches (e.g., reactive obstacle avoidance controllers) or memory-inefficient approaches that build and store accurate geometric representations (e.g., a map of the environment). Motivated by the need for micro aerial vehicles (MAVs) with highly rich perceptual inputs (e.g., vision or laser scans) to conduct long-duration search and rescue missions using limited computational resources, our goal is to develop principled and general techniques for establishing the memory resources required by a robot in order to perform its task. Specifically, this CRII project will investigate: (i) techniques for establishing lower bounds on memory requirements, and (ii) algorithms for creating memory-efficient and task-centric representations for robot tasks. Taken together, these results will form the necessary and critical steps for the PI to pursue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applications.The key insight of this project is to leverage and extend ideas from the theory of streaming algorithms and communication complexity. Originally developed by the theoretical computer science community, these areas have seen a recent explosion in interest due to their ability to elegantly handle and reason about massive data sets in applications such as machine learning, networking, and database search. We establish a connection between streaming problems and robot perception by viewing a robot's sensory inputs as constituting the data stream. This analogy allows us to leverage the powerful techniques for proving lower bounds on memory requirements and also the vast suite of memory-efficient algorithms from the streaming algorithms literature. While the streaming model provides an important starting point, it does not capture a robot's ability to actively influence the appearance of elements in the stream with its actions. We will extend the standard streaming model and also propose models based on communication complexity theory that provide the right abstractions for capturing the memory resources required for robot tasks. We will apply the resulting tools to MAVs with limited computation performing various tasks such as search, exploration, and navigation in search-and-rescue contexts. The proposed project thus brings together a diverse range of ideas in order to propose new models, prove new theorems, develop new algorithms, and enable new applications.This project aims to contribute to the fundamental science of memory-efficient representations for robotics. As such, our goals are well aligned with the NSF RI program's broader goals of enabling and understanding intelligent behavior that addresses progressively richer environments (e.g., large-scale environments such as cities), larger-scale data (e.g., high spatial and temporal resolution sensory inputs), more diverse computing platforms (e.g., lightweight platforms on MAVs), and more sophisticated computation approaches (e.g., streaming algorithms). Beyond robotics, we expect that our advances will be broadly applicable towards the control of large-scale cyberphysical systems (e.g., Smart Cities), where extremely rich sensory data makes memory a precious resource. This project also provides a natural avenue for outreach; specifically, we will partner with the Princeton Engineering Education for Kids program to organize outreach events for K-12 students where students design LEGO robots that perform basic versions of the tasks considered here. Further, the simulation and hardware implementation for this project will be largely driven through undergraduate research participation.</t>
  </si>
  <si>
    <t>1755471</t>
  </si>
  <si>
    <t>Tong</t>
  </si>
  <si>
    <t xml:space="preserve"> Panel Summary       
 Description: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smoothed complexity to create efficient algorithms which have differential privacy guarantees, especially for linear programming and similar problems._x000D_
_x000D_
_x000D_
Intellectual Merit:_x000D_
_x000D_
Strengths:_x000D_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 _x000D_
_x000D_
+ The problems being proposed are about right for the time-frame. _x000D_
_x000D_
Weaknesses_x000D_
_x000D_
- The PI does not give much detail about the specific problems they intend to study, their ideas on how to approach them, any preliminary work, or why this PI specifically is qualified to work on such problems. 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 _x000D_
_x000D_
Broader Impact:_x000D_
_x000D_
The proposed research will be conducted with both undergraduate and graduate students, which will be exposed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Strengths:_x000D_
_x000D_
+ Graduate courses, privacy is a hot and useful field _x000D_
_x000D_
+ Graduate and undergraduate students _x000D_
_x000D_
+ More efficient differential privacy algorithms would certainly be useful _x000D_
_x000D_
+ Advising and training at a minority serving institution will enable outreach to under represented groups._x000D_
_x000D_
Weaknesses_x000D_
_x000D_
- It is difficult to tie results to specific broader impacts as there is insufficient detail about the type / form of research results that will be obtained._x000D_
_x000D_
Solicitation-specific criteria: CRII specific criteria are not addressed directly._x000D_
_x000D_
Data Management Plan: Adequate._x000D_
_x000D_
Suggestions to PI: There is insufficient detail on the methods of attack for the work.  While we found the proposal interesting there is not enough supporting publications or enough intuition on how the problems will be attacked._x000D_
_x000D_
Justification for Panel Rating:  An interesting high level idea but insufficient prior work on this topic and insufficient details about what type of results will be obtained._x000D_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</si>
  <si>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 complexity to create efficient algorithms which have differential privacy guarantees, especially for linear programming and similar problems._x000D_
_x000D_
Strengths:_x000D_
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try._x000D_
_x000D_
+ The problems being proposed are about right for the timeframe._x000D_
_x000D_
Weaknesses:_x000D_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unacceptable._x000D_
_x000D_
- The PI does not give much detail about the specific problems they intend to study, their ideas on how to approach them, any preliminary work, or why this PI specifically is qualified to work on such problems._x000D_
_x000D_
_x000D_
_x000D_
In the context of the five review elements, please _x000D_
evaluate the strengths and weaknesses of the proposal with respect to broader impacts._x000D_
_x000D_
Strengths:_x000D_
_x000D_
+ Graduate courses, privacy is a hot and useful field_x000D_
_x000D_
+ Graduate and undergraduate students_x000D_
_x000D_
+ More efficient differential privacy algorithms would certainly be useful_x000D_
_x000D_
Please evaluate the strengths and _x000D_
weaknesses of the proposal with respect to any additional solicitation-specific review criteria, if _x000D_
applicable_x000D_
_x000D_
_x000D_
_x000D_
Summary Statement_x000D_
_x000D_
A proposal on an interesting topic with some nice ideas, but the PI does not give much detail about the specific problems they intend to study, their ideas on how to approach them, any preliminary work, or why this PI specifically is qualified to work on such problems._x000D_
_x000D_
_x000D_
</t>
  </si>
  <si>
    <t xml:space="preserve">In the context of the five review elements, please _x000D_
evaluate the strengths and weaknesses of the proposal with respect to intellectual merit._x000D_
_x000D_
This proposal aims to investigate the development of differential private algorithms under the  smoothed analysis model. This model assumes that the input instances are subject to certain random perturbations before the actual computation takes place --- this is reasonable as input instances usually subject to some random uncertainty of low magnitude, for example due to  measurement errors. This project will initiate the research of combining differential privacy and smoothed analysis, and try to design efficient privacy-preserving algorithms with acceptable service quality in a variety of applications._x000D_
_x000D_
The PI identifies four specific research directions:_x000D_
(i) depicting the natural noise of different data under the smoothed analysis model; _x000D_
(ii) utilizing the natural noise to avoid overprotecting query results, which in turn improves service utility; _x000D_
(iii) investigating big high-dimensional data and employing the smoothed analysis model to design computationally efficient algorithms while preserving consumers' privacy; _x000D_
(iv) applying the techniques to integer/linear programming and tensor decomposition, which are two powerful tools to model and solve_x000D_
plenty of problems in real application._x000D_
_x000D_
Both the specific directions identified by the PI and and the high level idea of the research  is very  interesting in principle. However, the PI does not have supporting prior work on this topic and does not provide sufficient details about what type of results (algorithms, theorems) he will aim to obtain. Some supporting prior work and/or  and a concrete plan of attack would make the proposal much more convincing._x000D_
_x000D_
In the context of the five review elements, please _x000D_
evaluate the strengths and weaknesses of the proposal with respect to broader impacts._x000D_
_x000D_
The proposed research will be conducted with both undergraduate and graduate students, which will be exposed to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_x000D_
Please evaluate the strengths and _x000D_
weaknesses of the proposal with respect to any additional solicitation-specific review criteria, if _x000D_
applicable_x000D_
_x000D_
_x000D_
_x000D_
Summary Statement_x000D_
_x000D_
This proposal aims to investigate the development of differential private algorithms under the  smoothed analysis model._x000D_
_x000D_
The proposed direction is very  interesting and timely. However, the PI does not have supporting prior work on this topic and does not provide sufficient details about what type of results (algorithms, theorems) he will aim to obtain._x000D_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</si>
  <si>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addresses interesting problems at the intersection of big data, algorithms and privacy.  The PI has identified three interesting questions that cross theory and practice and has outlined an ambitious research plan to address these issues._x000D_
_x000D_
2. To what extent do the proposed activities suggest and explore creative, original, or potentially transformative concepts?_x000D_
_x000D_
The three main thrusts of the proposal, describing input data noise, avoiding over protection, and designing computationally efficient algorithms under privacy guarantees are interesting and creative.  The second and third one, especially, have the potential to be transformative._x000D_
_x000D_
3. Is the plan for carrying out the proposed activities well-reasoned, well-organized, and based on a sound rationale? Does the plan incorporate a mechanism to assess success?_x000D_
_x000D_
The plan in Section 4 is well reasoned and the PI has established a reasonable plan.  The main issue that I see currently is that no datasets for Part 1 are clearly identified.  Additionally there is not a good explanation of the methods that will be potentially employed for each of the main areas suggested to study.  It would be good to understand the areas or data that would be used as it would help ground the work in the next sections.  the concern is that failure in part 1 will disconnect the work in parts 2 and 3 from real world application._x000D_
_x000D_
4. How well qualified is the individual, team, or institution to conduct the proposed activities?_x000D_
_x000D_
The PI is well qualified and has a track record of high quality publications in the fields for which the proposal is central to.  One concern is a lack of some kind of implementation or code sharing plan to ensure that the results are available to as many people as possible._x000D_
_x000D_
5. Are there adequate resources available to the PI (either at the home institution or through collaborations) to carry out the proposed activities?_x000D_
_x000D_
The PI has requested adequate resources to perform the tasks in the proposal.  The university has access to additional resources necessary to aid success._x000D_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questions in the proposal could have broad and transformative impact across a number of disciplines and real world applications.  Big data and privacy preserving algorithms may have wide application in bio-sciences and recommender systems to name a few areas.  Calling these areas out with particular datasets would strengthen the proposals._x000D_
_x000D_
2. To what extent do the proposed activities suggest and explore creative, original, or potentially transformative concepts?_x000D_
_x000D_
The ideas and research thrusts in the proposal are good and original.  the teaching plan include developing course materials for general use within the confines of the ideas outlined in the proposals -- this would be novel and help bring attention to the areas._x000D_
_x000D_
3. Is the plan for carrying out the proposed activities well-reasoned, well-organized, and based on a sound rationale? Does the plan incorporate a mechanism to assess success?_x000D_
_x000D_
The plan for broader impacts is well defined and has clear metrics for success._x000D_
_x000D_
4. How well qualified is the individual, team, or institution to conduct the proposed activities?_x000D_
_x000D_
In addition to the research the institution serves traditionally undeserved populations which puts the PI and the research program in a particularly strong position to have broad impact in education as well as the research application itself._x000D_
_x000D_
5. Are there adequate resources available to the PI (either at the home institution or through collaborations) to carry out the proposed activities?_x000D_
_x000D_
There are adequate resources available between the proposal and the university to address the broader impacts._x000D_
_x000D_
_x000D_
Please evaluate the strengths and _x000D_
weaknesses of the proposal with respect to any additional solicitation-specific review criteria, if _x000D_
applicable_x000D_
_x000D_
CRII specific issues are not directly addressed._x000D_
_x000D_
Summary Statement_x000D_
_x000D_
An interesting and well structured proposal that identifies good questions at the intersection of big data, privacy preserving analytics, and theoretical computer science / algorithms.  The proposal would be strengthened by calling out specific application areas and datasets but overall the questions are of high quality and well formulated with potential for broad impacts within CS and beyond._x000D_
_x000D_
_x000D_
</t>
  </si>
  <si>
    <t>The operation of emerging large-scale monitoring and control system, such as smart grid, intelligent transportation, and health care system, relies heavily on the growing volume of data continuously provided by and about the users. Usually, the original data contains sensitive information about the participants. How to mine these sensitive big data sets to deliver welfare enhancing goods to our society while avoiding the leakage of participants' privacy is becoming an urgent problem. Differential privacy is a framework for providing a strong privacy guarantee by injecting an appropriate amount of noise into data sets. However, it is reported to provide poor utility or service quality on numerical databases with possible missing values or error items. Besides, computationally efficient privacy-preserving algorithms haven't been proposed for many essential problems, such as linear programming, which is only known to be privately solvable. The PI will investigate the differential privacy under a realistic algorithm analysis and design model, the smoothed analysis model. The main idea of this model is to mimic the real-world instances by considering the natural noise of the input instance. This is reasonable as input instances usually subject to some random uncertainty of low magnitude, due to the measurement or computation imprecision. Smoothed analysis helps us to look deep into the problem and the insight gained from the results could inspire us with new ideas in algorithm design for real applications, which in turn could produce more practical algorithms. This project will initiate the research of combining differential privacy and smoothed analysis, and try to design efficient privacy-preserving algorithms with acceptable service quality in a variety of applications.This project aims at developing more computationally efficient and strong privacy-preserving algorithms or mechanisms by bringing differential privacy closer to reality. The project initiates the study of seamlessly integrating the smoothed analysis and differential privacy. The specific research thrusts include (i) depicting the natural noise of different data under the smoothed analysis model; (ii) utilizing the natural noise to avoid overprotecting query results, which in turn improves service utility; (iii) investigating big high-dimensional data and employing the smoothed analysis model to design computationally efficient algorithms while preserving consumers' privacy; (iv) applying the techniques to integer/linear programming and tensor decomposition, which are two powerful tools to model and solve plenty of problems in real application.The outcomes of this project can provide valuable materials and resources for the private data analysis society. In particular, the methods and ideas developed in this project have broad impacts on designing efficient privacy-preserving algorithms in private data analysis, and can even initiate a brand-new research field of privacy-preserving algorithms design. Besides, the solutions from this project will dramatically improve the usability of pervasive applications that adopt differential privacy as their protection criterion, which will stimulate the wide development and adoption of many other applications. The proposed research is also a starting point in the integration of research and education with the intent of attracting both undergraduate and graduate students to the area of efficient algorithm design and solving privacy issues in our real world. Both undergraduate and graduate students, especially the female and minority students, are encouraged to participate in the project to gain research experiences of algorithm design and privacy issues. Thus, the outcomes of this project can be incorporated into both undergraduate and graduate courses. Furthermore, practical benefits may be utilized by the general public since the practical algorithms are designed for the problems in our daily lives. The PI will host a workshop on the design of practical privacy-preserving mechanisms. The research results and education modules will be published in conferences, journals, and on the Internet.</t>
  </si>
  <si>
    <t>1755481</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</si>
  <si>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</si>
  <si>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</si>
  <si>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</si>
  <si>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</si>
  <si>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</si>
  <si>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1755548</t>
  </si>
  <si>
    <t>Zhou</t>
  </si>
  <si>
    <t xml:space="preserve"> Panel Summary       
 Description: This proposal investigates two research directions in multi-armed bandit (MAB) problems: 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(2) Design efficient algorithms for the Bayesian MAB problems: Prior work have proposed dynamic programming algorithms that take exponential time. This research proposes to design polynomial time algorithms. Further, it proposes _x000D_
deep reinforcement learning algorithms that can do well in practice. _x000D_
_x000D_
_x000D_
Intellectual Merit: _x000D_
Strengths_x000D_
  + The proposal has clear directions (especially the first direction) and is technically well-written. Both directions propose problems that are important and whose solutions will improve state of the art. _x000D_
+ The PI has done good prior research in this area and is capable of making progress to address the problems proposed. _x000D_
+ Multi-arm bandits is a crowded and challenging area and the panel appreciates the research proposed._x000D_
_x000D_
Weaknesses_x000D_
- The proposal can be written better, especially with regard to English. _x000D_
- The technical difficulty of the approaches proposed is not well-fleshed out. _x000D_
- The PI, somewhat surprisingly, does not talk about his recent ICML paper on MAB that looks very related. The concern is if there is  relation to the problems proposed in the first research direction._x000D_
_x000D_
Broader Impact: _x000D_
Strengths_x000D_
  + MAB problems are important with wide applications and any theoretical or practical improvements to existing algorithms will be very useful. _x000D_
 + The educational component is nicely laid out: it includes curriculum development, outreach events to high school students, co-organizing workshops (e.g., mid-west Theory Day) _x000D_
  + Outreach for high school students._x000D_
Weaknesses_x000D_
  - None._x000D_
  _x000D_
_x000D_
Solicitation-specific criteria: _x000D_
The proposal does not explicitly mention how this project will help in future career goals of the PI. _x000D_
_x000D_
Data Management Plan: _x000D_
Adequate._x000D_
_x000D_
Suggestions to PI: _x000D_
Please mention how this project will help in your future goals and career as it is part of the solicitation criteria. It will be  good to improve the writing._x000D_
_x000D_
Justification for Panel Rating:  This proposal addresses multi-arm bandit (MAB) problems, an important class of problems with wide applications. It addresses two research directions which are well-motivated and important. Progress made in addressing these will improve the state of the art in MAB literature. _x000D_
The proposal could have been written better._x000D_
The educational component is good.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</si>
  <si>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goal of this proposal is to provide new data dependent guarantees and algorithms for multi-armed bandit (MAB) problems. The PI identifies two main research directions:_x000D_
_x000D_
(1) Novel data-dependent algorithms that enjoy better sample complexity on easy data. Past research on this topic was focused on  bandit algorithms that exploit quality gaps between arms. This proposal aims to design algorithms that are sensitive to and exploit the variances of the rewards of the respective arms. _x000D_
_x000D_
(2) Learning optimal Bayesian bandit policies from simulation data. Past research was focused on dynamic programming algorithms that take exponential time. This proposal aims design polynomial time algorithms. It also proposes using  deep reinforcement learning to provide more practical algorithms. _x000D_
_x000D_
The proposed work is very interesting and the PI outlines good possible approaches for attacking them. _x000D_
_x000D_
_x000D_
In the context of the five review elements, please _x000D_
evaluate the strengths and weaknesses of the proposal with respect to broader impacts._x000D_
_x000D_
_x000D_
The educational component is nicely laid out: it includes curriculum development, outreach events to high school students, co-organizing workshops (e.g., Mid-West Theory Day)_x000D_
_x000D_
_x000D_
Please evaluate the strengths and _x000D_
weaknesses of the proposal with respect to any additional solicitation-specific review criteria, if _x000D_
applicable_x000D_
_x000D_
_x000D_
_x000D_
Summary Statement_x000D_
_x000D_
_x000D_
This proposal aims to provide new data dependent results for multi-arm bandit problems, an important class of problems with wide range of applications. It is well written and interesting._x000D_
_x000D_
_x000D_
</t>
  </si>
  <si>
    <t xml:space="preserve">In the context of the five review elements, please _x000D_
evaluate the strengths and weaknesses of the proposal with respect to intellectual merit._x000D_
_x000D_
This proposal aims to develop MAB algorithms that are data dependent. It has two direction:_x000D_
1. Variance-sensitive MAB: The PI aims to develop algorithms with good sample complexity when the variances of the arms are small. The sample complexity now depends on the variance of arms. This can potentially allow an algorithm to  perform much better when the data are 'e-asy.'_x000D_
2. Develop polynomial-time approximate algorithms for Bayesian MAB and learn approximate policies from simulation data. The latter will adopt a Q-learning framework to design a practically efficient algorithm. _x000D_
_x000D_
+The two research directions are interesting. _x000D_
+The PI is qualified to carry out this research. (Publications in the area, preliminary results.)_x000D_
- The mid-term proposed research questions for the first direction could be quite technically challenging and the PI didn't provide enough information on how to tackle them. _x000D_
_x000D_
_x000D_
In the context of the five review elements, please _x000D_
evaluate the strengths and weaknesses of the proposal with respect to broader impacts._x000D_
_x000D_
+ Curriculum development, including a course on theoretical tools for optimization. _x000D_
+ Work with a high school student and will do more outreach to high school students.  _x000D_
+ Organize theory day_x000D_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 _x000D_
_x000D_
_x000D_
</t>
  </si>
  <si>
    <t xml:space="preserve">In the context of the five review elements, please _x000D_
evaluate the strengths and weaknesses of the proposal with respect to intellectual merit._x000D_
_x000D_
This proposal investigates two research directions in multi-armed bandit (MAB) problems:_x000D_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_x000D_
(2)  Design efficient algorithms for the Bayesian MAB problems:  Prior work have proposed dynamic programming algorithms that take exponential time. This research proposes to design polynomial time algorithms. Further, it proposes_x000D_
deep reinforcement learning algorithms that can do well in practice._x000D_
_x000D_
Strengths:_x000D_
_x000D_
1.	The proposal has clear directions and technically well-written. Especially, the first research direction of finding variance-sensitive algorithms is well-explained with short-term and mid-term goals, each with concrete open problems and possible approaches to tackle them. They look credible and reasonable. Both directions propose problems that are important  and whose solutions will improve state of the art._x000D_
In particular, having algorithms that are variance sensitive can improve over prior MAB algorithms that only look at quality gaps (when the variances are small)._x000D_
_x000D_
2.	The PI has done prior research in this area and is capable of making good progress to address the problems proposed._x000D_
_x000D_
Weaknesses:_x000D_
1.  The technical difficulty of the approaches proposed is not clear, or at least not well-fleshed out.      For example, Section 2.1 describes a fairly-straightforward variance-sensitive algorithm for solving the 2-arm case. Proving this is stated as conjecture. What is the difficulty in this? What is the difficulty in extending this to the multi-arm case? What are the difficulties in proving lower bounds? Lower bounds proposed look essentially tight and seem hard to show. It might be good to elaborate a bit more on this. Also the novelty of turning a DP algorithm into a PTAS is not clear. Why is this difficult?_x000D_
_x000D_
2.	The PI, somewhat surprisingly, does not talk about his recent ICML paper on MAB that looks very related. _x000D_
_x000D_
3.	The proposal at some places is slightly hard to read, can do better with English grammar._x000D_
_x000D_
_x000D_
_x000D_
In the context of the five review elements, please _x000D_
evaluate the strengths and weaknesses of the proposal with respect to broader impacts._x000D_
_x000D_
Strengths:_x000D_
_x000D_
1.	MAB problems are important with wide applications and any theoretical or practical improvements to existing algorithms will be very useful._x000D_
2.	The educational plan is good._x000D_
_x000D_
Weaknesses: _x000D_
_x000D_
None._x000D_
_x000D_
_x000D_
Please evaluate the strengths and _x000D_
weaknesses of the proposal with respect to any additional solicitation-specific review criteria, if _x000D_
applicable_x000D_
_x000D_
The proposal does not mention how this project will help in future career goals of the PI._x000D_
_x000D_
Summary Statement_x000D_
_x000D_
This proposal addresses multi-arm bandit (MAB) problems, an important class of problems with wide applications. In particular, it addresses two research directions which are well-motivated and important. Progress made in addressing these will improve the state of the art in MAB literature._x000D_
_x000D_
</t>
  </si>
  <si>
    <t xml:space="preserve">In the context of the five review elements, please _x000D_
evaluate the strengths and weaknesses of the proposal with respect to intellectual merit._x000D_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has adequate broad impact._x000D_
_x000D_
Please evaluate the strengths and _x000D_
weaknesses of the proposal with respect to any additional solicitation-specific review criteria, if _x000D_
applicable_x000D_
_x000D_
_x000D_
_x000D_
Summary Statement_x000D_
_x000D_
I will wait to see other reviews before I make up my mind about this proposal._x000D_
_x000D_
</t>
  </si>
  <si>
    <t>Multi-armed bandit (MAB) problems are most basic instances of decision making with limited information and address the fundamental trade-off between exploration and exploitation in sequential experiments which abstracts many practical settings. Bandit problems find wide applications in clinical trials, online advertisement, recommendation systems, routing, optimization, reinforcement learning, and many more._x000D_
_x000D_
The goal of this proposed research is to initiate a principled study of data oriented multi-arm bandit algorithms to advance both bandit theory and practice. To this end, in the proposal we outline two novel directions with concrete research questions for the first two years supported by this grant._x000D_
_x000D_
1.Novel data-dependent algorithms. The paradigm of data-dependent algorithms for MAB originates from the idea ``to learn faster from easy data''. While the overwhelming majority of past research studied bandit algorithms those are dependent on quality gaps, we propose to design novel MAB algorithms to explore more characteristics of data and improve sample complexity using this information. More concretely, we propose the notion of variance-sensitive bandit algorithms, and to develop such algorithms those are practically efficient with theoretical guarantee._x000D_
_x000D_
2. Learning optimal Bayesian bandit policies from simulation data._x000D_
While only exponential-time dynamic programming algorithms are known for the optimal Bayesian bandit policies, we propose to design algorithms to arbitrarily well approximate the optimal policy in polynomial time. To make our theoretical algorithm practically effective, we also propose to leverage the recent advances in deep reinforcement learning and design a neural network-based algorithm to learn the almost optimal policy from simulation data.Our proposal to study variance-sensitive bandit algorithms will not only enrich the popular concept of data-dependent algorithms, but also develop technical tools to address new exploration versus exploitation challenges, extend the bandit theory, and benefit the practice of related fields such as simulation optimization._x000D_
_x000D_
Our proposed method for the Bayesian bandit problems will be the first in literature that leads to polynomial-time algorithms with arbitrarily good approximation guarantee. Our proposed learning-from-simulation-data algorithm will also novelly bridge theoretical algorithms and empirically powerful deep reinforcement learning techniques.The proposed research directions address the MAB problems with a wide range of objectives. Any improvement we would make towards these directions could have immediate impacts in application areas where bandit algorithms are already in use (e.g. clinical trials, simulation optimization, and many more mentioned at the very beginning of this proposal)._x000D_
_x000D_
Our planned research lies at the intersection of theoretical computer science, machine learning, and operations research.  This proposal includes a plan on disseminating our research results to the broader community, as well as promoting education and outreach activities on computational theory, stochastic optimization and decision science.</t>
  </si>
  <si>
    <t>1755619</t>
  </si>
  <si>
    <t xml:space="preserve"> Panel Summary       
 Description: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 In particular, the PI wants to develop strongly polynomial algorithms for linear exchange markets, and for Fisher markets with utility and earning caps._x000D_
_x000D_
_x000D_
Intellectual Merit:_x000D_
_x000D_
Strengths_x000D_
+ Forming strongly-polynomial time algorithms for market equilibrium computation is a worthwhile goal, and in fact is a long-standing open question. Such efficient algorithms would be useful in many settings. While the questions themselves are not extremely novel, the approaches proposed for solving them are novel._x000D_
_x000D_
+ The PI is very well-qualified. For example, the PI was one of the people who formed the currently most efficient algorithm for computing market equilibrium for Linear Exchange Markets. The PI has a large amount of preliminary work in the area, published in top venues. Moreover, the PI is collaborating with other experts in the area._x000D_
_x000D_
+ The PI proposes detailed and well-considered plans for how to tackle these important problems; it is likely that even if these plans do not work out, some very nice insights would be obtained. This also makes it likely that many of these questions will be resolved by the PI in a relatively short time-frame, as is appropriate for this type of proposal._x000D_
_x000D_
+ If the PI is able to form strongly-polynomial algorithms for computing market equilibrium, this could be potentially transformative for market equilibrium research, as it would solve a long-standing open problem._x000D_
_x000D_
_x000D_
Weaknesses_x000D_
-	none  _x000D_
_x000D_
Broader Impact:_x000D_
_x000D_
Strengths_x000D_
+ The problems studied have broad impact in multiple areas including economics, networking, algorithms etc. _x000D_
_x000D_
+ Several PhD students (one female) and undergrads will contribute to this project. The PI has a long record of mentoring undergrads. _x000D_
_x000D_
+ The PI has won awards for teaching, and will design courses related to this project. The support will positively influence development of curriculum at UIUC._x000D_
_x000D_
+ The PI plans to organize tutorials for a more general theory audience._x000D_
  _x000D_
Weaknesses_x000D_
- The educational and outreach plan is relatively standard._x000D_
_x000D_
Solicitation-specific criteria: The PI has already done some amazing work in market equilibrium computation. If the PI is able to obtain new results on efficient algorithms for general market equilibrium problems, this will form a great foundation for their future research career, and would make them extremely competitive in their field. Obtaining such results due to this proposal being funded would mark the PI as one of the absolute top in their subfield._x000D_
_x000D_
Data Management Plan: adequate_x000D_
_x000D_
What is bold, exciting, high risk/reward, or potentially transformative? Forming strongly poly-time algorithms for exchange markets is exciting and high-risk high-reward, as this is a long-standing open question and would yield great insights into market equilibrium. That said, the PI is definitely the correct person to tackle this question._x000D_
_x000D_
Suggestions to PI: Perhaps talk more about the potential impact this work would have on other areas of research._x000D_
_x000D_
Justification for Panel Rating:  The panel was positive and enthusiastic about this proposal. The PI is proposing to work on important and useful open problems. The PI is very qualified, and has a nice plan on how to approach these problems. This work is likely to lead to a nice research program, and the PI is working with a female graduate student who will be supported by this award._x000D_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</si>
  <si>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question._x000D_
_x000D_
Strengths:_x000D_
_x000D_
+ Forming strongly-polynomial time algorithms for market equilibrium computation is a worthwhile goal, and in fact is a long-standing open question. Such efficient algorithms would be useful in many settings._x000D_
_x000D_
+ Forming such an efficient algorithm for linear-exchange markets would be impressive. The PI is well-qualified (they formed the currently best algorithm for this problem). The PI proposes a relatively concrete plan for how to tackle this important problem; it is likely that even if this plan does not work out, some very nice insights would be obtained._x000D_
_x000D_
+ Strongly poly-time algorithms are already known for Fisher markets, but the PI will consider important generalizations._x000D_
_x000D_
+ The PI has extremely detailed and well-considered plans on how to tackle each research direction. This makes it possible (although certainly not guaranteed) that many of these questions will be solved in a relatively short time-frame._x000D_
_x000D_
In the context of the five review elements, please _x000D_
evaluate the strengths and weaknesses of the proposal with respect to broader impacts._x000D_
_x000D_
Strengths:_x000D_
_x000D_
+ This work may have impact in more general Optimization and Economics._x000D_
_x000D_
+ PhD students (female) and undergrads will contribute to this project. The PI has a long record of mentoring undergrads._x000D_
_x000D_
+ The PI has won awards for teaching, and will design courses related to this project_x000D_
_x000D_
Please evaluate the strengths and _x000D_
weaknesses of the proposal with respect to any additional solicitation-specific review criteria, if _x000D_
applicable_x000D_
_x000D_
_x000D_
_x000D_
Summary Statement_x000D_
_x000D_
A qualified PI, working on important and useful open problems, with concrete plans for how to tackle them, and likely to lead to a nice research program._x000D_
_x000D_
_x000D_
</t>
  </si>
  <si>
    <t xml:space="preserve">In the context of the five review elements, please _x000D_
evaluate the strengths and weaknesses of the proposal with respect to intellectual merit._x000D_
_x000D_
This proposal aims to investigate the possibility of designing strongly polynomial time algorithms for several market equilibrium problems. This is an important topic in algorithmic game theory.   Market equilibrium is known to be poly-time computable for many important settings (via convex programming). The main goal of this proposal is to provide strongly poly-time algorithms for market settings which would only depend on the number of participants and the number of goods. Strongly poly-time algorithms are already known for certain types of markets (Fisher markets), but the PI will consider important generalizations of these markets as well as other types of markets, e.g., linear exchange markets. The PI provides a reasonably detailed plan to attack these specific questions. _x000D_
_x000D_
_x000D_
Pros_x000D_
The proposed research is interesting. _x000D_
The PI is highly qualified to perform the proposed research._x000D_
_x000D_
Cons_x000D_
The PI does say that this work will likely develop new algorithmic techniques to break the barrier of obtaining strongly polynomial algorithms for a number of classical network flow problems and that it will have significant positive impact on the applications of both markets and network flows such as scheduling, auctions, mechanism design, cloud computing, transportation, etc. It would have been good to see more details in these directions._x000D_
_x000D_
In the context of the five review elements, please _x000D_
evaluate the strengths and weaknesses of the proposal with respect to broader impacts._x000D_
_x000D_
The broader impact component is short and contains standard parts: (1) potential impact in multiple areas including economics, networking, algorithms etc; (2) PI has mentored students and has been teaching courses in algorithmic game theory_x000D_
_x000D_
Please evaluate the strengths and _x000D_
weaknesses of the proposal with respect to any additional solicitation-specific review criteria, if _x000D_
applicable_x000D_
_x000D_
_x000D_
_x000D_
Summary Statement_x000D_
_x000D_
This proposal aims to investigate the possibility of designing strongly polynomial time algorithms for several market equilibrium problems. _x000D_
A good proposal on an interesting topic._x000D_
_x000D_
</t>
  </si>
  <si>
    <t xml:space="preserve">In the context of the five review elements, please _x000D_
evaluate the strengths and weaknesses of the proposal with respect to intellectual merit._x000D_
_x000D_
The PI has identified important open problems in the area. These problems are fundamental for various resource allocation problems._x000D_
Specifically, PI wants to develop strongly polynomial algorithm for linear exchange markets. He also considers generalization of these markets when there are utility caps._x000D_
He has also identified various approaches based on network-flows that may solve these problems._x000D_
_x000D_
THe PI has made many important contributions to the_x000D_
area and is uniquely qualified to work on these important problems._x000D_
He is collaborating with other experts in the area (such as Laszlo Vegh) increasing the chances of success._x000D_
_x000D_
The proposal is very thorough and is very well-written._x000D_
_x000D_
_x000D_
_x000D_
In the context of the five review elements, please _x000D_
evaluate the strengths and weaknesses of the proposal with respect to broader impacts._x000D_
_x000D_
The problems have broad impact in multiple areas including economics, networking, algorithms etc._x000D_
_x000D_
The PI teaches courses in algorithmic game theory and the support will positively influence development of curriculum at UIUC._x000D_
_x000D_
The PI has identified a female Ph.D. student to work on this topic._x000D_
_x000D_
_x000D_
Please evaluate the strengths and _x000D_
weaknesses of the proposal with respect to any additional solicitation-specific review criteria, if _x000D_
applicable_x000D_
_x000D_
_x000D_
_x000D_
Summary Statement_x000D_
_x000D_
The proposal is outstanding with broad impact to the community of algorithms, economics and game theory._x000D_
_x000D_
</t>
  </si>
  <si>
    <t>Market equilibrium is a central solution concept in economics with applications in a variety of domains. Exchange and Fisher are the two most fundamental and extensively studied market models, for which many novel algorithmic techniques have been developed. Due to their connections with network flows, some of these algorithms also led to breakthrough results on the flow problems. Recent work on fair division of scarce resources crucially uses various extensions of the Fisher model for which connections with flow problems have been obtained. We propose to study these markets and the corresponding network flow problems for which designing strongly polynomial algorithms remain important open questions. In particular, the main thrusts of the proposed work are:_x000D_
_x000D_
- Obtain a strongly polynomial algorithm for the linear exchange markets which reduce to a class of convex non-separable minimum cost flow problems. This is a long-standing open question in equilibrium computation._x000D_
- Models relevant for recent applications are the linear Fisher markets with utility and/or earning caps. For these, equilibrium computation reduces to either concave generalized flow or convex separable minimum cost flow problems. The objective is to obtain strongly polynomial algorithms for these._x000D_
- Obtain a constant-factor approximation algorithm for allocating indivisible items to agents that maximize the Nash social welfare when agents are asymmetric and have additive valuations. A relaxation of this problem is closely related to linear Fisher markets.The proposed problems are of fundamental importance in algorithmic game theory, network flows, and fair division. The first objective, in fact, aims to settle a long-standing open problem. New algorithmic techniques/tools and structural insights need to be developed to solve them, which could further lead to significant insights into designing strongly polynomial time algorithms for concave generalized flows, minimum cost generalized flows, and certain special cases of linear programming, all of which have defied efforts for many decades.The impact of the proposed work is two fold: firstly it will give provably fast algorithms for important market models with applications to fair division, and secondly, it will develop new algorithmic techniques to break the barrier of obtaining strongly polynomial algorithms for a number of classical network flow problems. Additionally, it will have significant positive impact on the applications of both markets and network flows such as scheduling, auctions, mechanism design, cloud computing, transportation, etc._x000D_
_x000D_
The PI and co-authors plan to disseminate the results through conferences, workshops, and tutorials. The PI plans to engage two PhD students, one full-time and one half-time, and also an undergraduate student on this project to get the designed algorithms implemented and tested for their practical efficiency. The new algorithmic techniques developed in this project will be incorporated into a graduate course on Games and Markets that the PI teaches. All the educational and implementation material will be made freely available online.</t>
  </si>
  <si>
    <t>1755791</t>
  </si>
  <si>
    <t>Goswami</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</si>
  <si>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</si>
  <si>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</si>
  <si>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</si>
  <si>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</si>
  <si>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</si>
  <si>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</si>
  <si>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1755801</t>
  </si>
  <si>
    <t>Zhao</t>
  </si>
  <si>
    <t xml:space="preserve"> Panel Summary       
 Description: _x000D_
The project proposes to work on new nonconvex optimization for data mining and knowledge discovery on large-scale scientific data. The project is motivated by three scientific applications (genomic data analysis, brain image data analysis, and social media data analysis).  _x000D_
_x000D_
There are two main directions, (1) to develop a new area of model-based nonconvex optimization using knowledge of statistical data generation to avoid worst case convergence rate, and (2) to improve the efficiency of well-known nonconvex optimization problems. The proposal will study learning sparse representation, and learning low rank representation with the above two goals. _x000D_
_x000D_
From the perspective of optimization, the global solutions of nonconvex minimization problems are generally intractable to obtain. Hence the goal is to converge to a unique local solution with desirable statistical properties in polynomial time. Moreover, cost per iteration needs to be low. Both of these can be achieved if data satisfies certain model assumptions. The project proposes to develop new model-based coordinate optimization framework, Newton-type coordinate optimization with better iteration complexity and new non-convex loss functions that are efficient to handle etc. _x000D_
_x000D_
For low rank representation learning, instead of considering a convex relaxation and then solving the relaxed problem, the project proposes to reformulate the underlying problem as a factorization minimization problem which will help in efficiency. _x000D_
_x000D_
Intellectual Merit: _x000D_
Strengths _x000D_
+ Studying nonconvex optimization is a very important topic._x000D_
+ The PI is well-qualified to conduct the aforementioned research._x000D_
+ The empirical approaches are well laid out._x000D_
_x000D_
Weaknesses _x000D_
- The PI does not propose any specific research direction to pursue in the application areas, say, genomic data analysis._x000D_
_x000D_
-From a theoretical perspective, the proposal is somewhat lacking. For example, the project wants to focus on low-rank representation learning by designing algorithms that avoid to compute, say, the SVD of a large matrix at each step. However, no concrete approach is provided to achieve that. Some problems are also considered notoriously difficult problems in TCS, and again no plausible approach was given._x000D_
_x000D_
_x000D_
Broader Impact: _x000D_
Strengths _x000D_
_x000D_
+ The broader impacts of the proposed research could be significant. He has significant prior applied work (including a second author Nature paper)._x000D_
_x000D_
Weakness_x000D_
- The PI fails to discuss in more detail future applied research directions. _x000D_
_x000D_
Data Management Plan: Adequate _x000D_
_x000D_
Suggestions to PI: _x000D_
_x000D_
The proposal could be significantly strengthened by a more detailed description of the applications and the collaborations that the PI has in place in order to get access to real data. The theoretical part of the proposal also needs to be discussed in more details in order to understand the type of contributions that the PI hopes to make. It does not explicitly address how this fits into the PIs longer term research goals. _x000D_
_x000D_
_x000D_
_x000D_
Justification for Panel Rating: _x000D_
_x000D_
The theoretical questions in the proposal are not well developed and the proposal was considered to be not a strong fit for Algorithmic Foundations._x000D_
_x000D_
_x000D_
_x000D_
Panel Rating: _x000D_
_ Highly Competitive _x000D_
_ Competitive _x000D_
X Low Competitive _x000D_
_ Not Competitive _x000D_
_x000D_
The summary was read to the panel and the panel concurred that the summary accurately reflects the panel discussion. 
</t>
  </si>
  <si>
    <t>P180190</t>
  </si>
  <si>
    <t xml:space="preserve"> CRII- Weng-keen</t>
  </si>
  <si>
    <t xml:space="preserve"> Panel Summary       
  The proposal seeks to develop new algorithms for nonconvex optimization models arising from statistical estimation problems and to leverage geometric properties that hold with high probability. The nonconvexity arises from sparsity- and low-rank-inducing regularization. The proposal seeks to combine insights both from inferential and computational understanding of the problem and to leverage properties guaranteed by random designs so to guarantee a combination of statistical and computational guarantees, whereas some other work may focus on one and not the other. The tools employed include homotopy methods and active set approaches. The PI is motivated by three scientific applications (genomic data analysis, brain image data analysis, and social media data analysis). _x000D_
_x000D_
INTELLECTUAL MERIT_x000D_
_x000D_
--Strengths_x000D_
+ The research is notable for combining optimization algorithmic approaches with statistical inferential approaches to successfully attack some very hard problems._x000D_
+ The research work has many domain-specific scientific applications. _x000D_
+ The problems are very well motivated._x000D_
+ If successful, this project could result in the efficient and scalable nonconvex optimization algorithms for large scale data analysis. _x000D_
+ Aim B raises some very novel ideas on how to address symmetries when using stochastic optimization._x000D_
+ The PI has a record of successful work in nonconvex optimization, and is qualified to conduct the proposed activity. _x000D_
+ The research tasks outlined are appropriate. _x000D_
_x000D_
--Weaknesses_x000D_
- Some of the proposed work in Aim A appears consists mostly of perturbations around existing work of the PI rather than developing a groundbreaking "new area" in nonconvex optimization promised in the beginning._x000D_
- The proposal does not say what metrics will be used for assessing success, nor is there a plan for empirical validation of the technique. _x000D_
- It is not clear why the applications mentioned will specifically benefit from the innovations in the proposal. In particular, looking at the Nature paper mentioned, the connections to the developments in the proposal are not clear at all._x000D_
- The number of references cited is very large but at the same time uninformative, being not all completely relevant and making it very hard to follow the contextualization of the work in the existing literature. In addition, the reference numbering is wrong, e.g., Nature paper is cited as 416, but it is 414 in the reference._x000D_
_x000D_
BROADER IMPACTS, INCLUDING ENHANCING DIVERSITY_x000D_
--Strengths_x000D_
+ The ability to solve non-convex optimization problems efficiently is important in many applications, including the bio-medical ones highlighted in this proposal._x000D_
+ The research will produce software that can be used to solve large estimation problems in practice. _x000D_
+ The PI has a history of open source contributions._x000D_
+ PI will incorporate application domain data into courses. _x000D_
+ The PI has some prior history of working with practitioners on important problems._x000D_
_x000D_
--Weaknesses_x000D_
- It is not clear how the advances from the research, which are mostly theoretical, will actually have significant impact on the applications or how the PI will evaluate success in these cases._x000D_
- In particular, the role in the Nature paper is not clear as is the relevance of the research proposed._x000D_
- There is nothing to corroborate the collaborations planned as part of the research._x000D_
- There is nothing to corroborate access to the application data. Medical data, in particular, is painstaking to obtain access to and it may not be possible for the PI to get access to this data within the duration of the project._x000D_
- There is no specific educational plan on how to incorporate undergraduate students into the research or how to do any sort of outreach to minority students. _x000D_
_x000D_
ADDITIONAL REVIEW CRITERIA:_x000D_
_x000D_
-- Is the research appropriate for the proposed duration?_x000D_
Mostly appropriate, but it is definitely not clear that the research will start a "new area" within the proposed duration and with the research proposed._x000D_
_x000D_
-- Does the project have potential to produce sufficient preliminary results to serve as the basis for future competitive research proposals?_x000D_
Some of the research consists only of tweaks to existing methods which may not produce preliminary result for future, new research. The rest, however, does propose new ideas on how to address symmetries and on using momentum, and this could very well generate the results that could support a future proposal expanding on these ideas. Moreover, investigation into the application in different domains could generate strong results on the relevance of the research to applications, but unfortunately it is only mentioned in passing with no concrete details._x000D_
_x000D_
-- Are the activities necessary and critical steps for the PI to achieve research independence?_x000D_
Only in part. Again, some research activities involve heuristic tweaks to existing work of the PI done under the supervision of an advisor, and this work will not necessarily lead to research independence. The work on more novel ideas as presented in Aim B could certainly lead to research independence. On the negative side, the PI would need to demonstrate the usefulness of the proposed research to build up this research program but this is not sufficiently fleshed out in the proposal. While it is clear there is strong potential since the PI has participated in application-driven collaborations, there is nothing specific tied to the present proposal or any letters of collaboration._x000D_
_x000D_
DEPARTMENT SUPPORT LETTER: _x000D_
The letter only verified eligibility but it does not sufficiently describe the support that the department will provide to ensure that the project will be successful. In particular, there is no mention of the necessary mentoring._x000D_
_x000D_
DATA MANAGEMENT PLAN:_x000D_
Mostly adequate. However, the plan does not explain how the sensitive medical data (brain imaging and genomics) will be handled in an appropriate way._x000D_
_x000D_
POST-DOCTORAL MENTORING PLAN (if applicable): _x000D_
N/A_x000D_
_x000D_
COLLABORATIONS (if applicable): _x000D_
No letters provided to support the collaborations planned._x000D_
_x000D_
ADDITIONAL SUGGESTIONS: _x000D_
The PI would do well to better demonstrate the practical relevance of the research products to the applications used to motivate the research. Moreover, the PI should better demonstrate the they have access to the data necessary to conduct the planned research as well as corroborate the planned collaborations. The PI would do well to make the references cited more focused and relevant to the proposal. The PI should also be more clear and concrete on their education plan and also explain how they will increase the participation of groups underrepresented in CISE._x000D_
_x000D_
PANEL RECOMMENDATION AND JUSTIFICATION, INCLUDING BRIEF STATEMENT OF KEY STRENGTHS AND/OR CRITICAL WEAKNESSES	_x000D_
_x000D_
The project tackles some very important problems and is notable for combining statistical analysis with computational analysis, in particular using the randomness of the design to ensure both statistical and computational guarantees for the methods proposed. The project proposes some truly new ideas in the realm of low-rank learning but also some merely incremental ideas in the realm of sparse learning. The applications that motivate the research are very important as are the corresponding optimization problems addressed. But on the negative side it is not sufficiently clear what the impact of the research products will actually be on these applications. In addition, the proposal does not do a sufficiently good job of positioning itself clearly in the state of the art today. The project could have wide ranging impacts, especially since a software package will be a product on the project. The PI has a strong track record both in the research area and in application-driven collaborations. However, there is no documentation corroborating the collaborations or access to the sensitive data needed to conduct the research._x000D_
_x000D_
Ranking (check one)_x000D_
__ Highly Competitive_x000D_
_X_ Competitive_x000D_
__ Low Competitive_x000D_
__ Not Competitive_x000D_
_x000D_
The summary was read by the panel, and the panel concurred that the summary accurately reflects the panel discussion._x000D_
_x000D_
  _x000D_
</t>
  </si>
  <si>
    <t>D</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</si>
  <si>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directions._x000D_
_x000D_
</t>
  </si>
  <si>
    <t xml:space="preserve">In the context of the five review elements, please _x000D_
evaluate the strengths and weaknesses of the proposal with respect to intellectual merit._x000D_
_x000D_
The PI proposes to work on model-based non-convex optimization for data mining and knowledge discovery on large-scale scientific data. The PI is motivated by three scientific applications (genomic data analysis, brain image data analysis, and social media data analysis). In the first domain, the PI actually has a Nature paper (as a second author), so it's obvious that he has significant relevant background and contributions in the domain. However, the proposal does not describe any specific research direction that the PI proposes to pursue in, say, genomic data analysis; the proposal could be significantly strengthened by a more detailed description of the applications and the collaborations that the PI has in place in order to get access to real data._x000D_
_x000D_
From a theoretical perspective, the proposal is somewhat lacking. For example, the PI wants to focus on low-rank representation learning, by designing algorithms that avoid to compute, say, the SVD of a large matrix at each step. He wants to take into account statistical model properties in order to prove that worst-case case instances for the underlying problems do not arise. The PI does not offer a concrete lamppost explaining how he will do that: e.g., the proposed research B in page 9 talks about leveraging the weak convergence of discrete_x000D_
Markov chains to their continuous time limits, hoping to use such tools to understand the convergence of optimization algorithms. These are notoriously difficult problems in TCS and without further details I don't see why there is any hope for progress in this domain._x000D_
_x000D_
In the context of the five review elements, please _x000D_
evaluate the strengths and weaknesses of the proposal with respect to broader impacts._x000D_
_x000D_
The broader impacts of the proposed research could be significant, but the PI fails to discuss in more detail future applied research directions. He has significant prior applied work (including a second author Nature paper), but future plans are lacking._x000D_
_x000D_
Please evaluate the strengths and _x000D_
weaknesses of the proposal with respect to any additional solicitation-specific review criteria, if _x000D_
applicable_x000D_
_x000D_
See discussion above._x000D_
_x000D_
Summary Statement_x000D_
_x000D_
A good proposal, which could be improved by better outlining connections to practical applications and real data. The theoretical part of the proposal also needs to be discussed in more details in order to understand the type of contributions that the PI hopes to make._x000D_
_x000D_
</t>
  </si>
  <si>
    <t>QY1007388</t>
  </si>
  <si>
    <t>Ji</t>
  </si>
  <si>
    <t>sji@cs.gsu.edu</t>
  </si>
  <si>
    <t xml:space="preserve">In the context of the five review elements, please _x000D_
evaluate the strengths and weaknesses of the proposal with respect to intellectual merit._x000D_
_x000D_
Summary:_x000D_
_x000D_
This proposal aims to develop new nonconvex optimization frameworks to address the convergence and scalability issues of large scale machine learning problems, such as nonconvex sparse learning and nonconvex low rank representation learning._x000D_
_x000D_
Strengths:_x000D_
+ Aim A: model-based coordinate optimization for nonconvex sparse learning is new, and could potentially covers a wide range of problems and algorithms._x000D_
+ Aim B: nonconvex stochastic optimization is a highly valuable and challenging research area, and could potentially advance many ML/DL applications._x000D_
+ The research tasks outlined are appropriate._x000D_
+ The PI has a record of successful work in nonconvex optimization, and is qualified to conduct the proposed activity. _x000D_
_x000D_
Weaknesses:_x000D_
- The proposal refers to over 400 papers. It's hard for the reviewer to follow all of them. It might be better to cite the most relevant and seminal ones._x000D_
- The proposal does not say what metrics will be used for assessing success, nor is there a plan for empirical validation of the technique._x000D_
_x000D_
_x000D_
In the context of the five review elements, please _x000D_
evaluate the strengths and weaknesses of the proposal with respect to broader impacts._x000D_
_x000D_
Strengths:_x000D_
+ If successful, this project could result in the efficient and scalable nonconvex optimization algorithms for large scale data analysis._x000D_
+ The innovations in nonconvex stochastic optimization have potential applications in many other fields, including deep learning._x000D_
+ Software will be released as open source._x000D_
_x000D_
Weaknesses:_x000D_
- No specific execution plan (resource and timelines) on how the proposed research will be conducted._x000D_
- No specific educational plan on how to incorporate undergraduate students and minority students into the research. _x000D_
_x000D_
_x000D_
Please evaluate the strengths and _x000D_
weaknesses of the proposal with respect to any additional solicitation-specific review criteria, if _x000D_
applicable_x000D_
_x000D_
_x000D_
_x000D_
Summary Statement_x000D_
_x000D_
I think this is a good project. Nonconvex optimization is emerging as one of the most important and challenging problems in ML and DL research nowadays, and the PI has a record of successful work in related areas. Although the PI's previous work is a good indication of potential success of the proposed work, limited preliminary work (without data support) is a concern._x000D_
_x000D_
</t>
  </si>
  <si>
    <t>PC1007389</t>
  </si>
  <si>
    <t>Kallus</t>
  </si>
  <si>
    <t>kallus@cornell.edu</t>
  </si>
  <si>
    <t xml:space="preserve">In the context of the five review elements, please _x000D_
evaluate the strengths and weaknesses of the proposal with respect to intellectual merit._x000D_
_x000D_
A brief statement of what the proposal is about:_x000D_
* The proposal seeks to develop new algorithms for nonconvex optimization models arising from statistical estimation problems and to leverage geometric properties that hold with high probability._x000D_
_x000D_
--Strengths:_x000D_
* The research is notable for combining optimization algorithmic approaches with statistical inferential approaches to successfully attack some very hard problems._x000D_
* The PI seems to have a good track record of working in this area._x000D_
* The research work has many domain-specific scientific applications._x000D_
* Developed algorithm can solve important statistical problems and be certified with both computational and statistical guarantees._x000D_
_x000D_
--Weaknesses:_x000D_
* Some of the research seems like small perturbations to the existing work by the PI, just adding dressing to work that was already completed. _x000D_
_x000D_
_x000D_
In the context of the five review elements, please _x000D_
evaluate the strengths and weaknesses of the proposal with respect to broader impacts._x000D_
_x000D_
--Strengths:_x000D_
* Research will produce software that can be used to solve large estimation problems in practice._x000D_
* Will incorporate application domain data into courses._x000D_
_x000D_
--Weaknesses:_x000D_
* No letters of collaboration to corroborate the collaboration with medical scientists._x000D_
* No letters of collaboration to corroborate access to the data needed to conduct the domain-specific applications._x000D_
* The project does nothing to improve outreach to groups underrepresented in CISE._x000D_
_x000D_
_x000D_
Please evaluate the strengths and _x000D_
weaknesses of the proposal with respect to any additional solicitation-specific review criteria, if _x000D_
applicable_x000D_
_x000D_
Is the research appropriate for the proposed duration?_x000D_
* Appropriate_x000D_
_x000D_
Does the project have potential to produce sufficient preliminary results to serve as the basis for future competitive research proposals?_x000D_
* Yes._x000D_
_x000D_
Are the activities necessary and critical steps for the PI to achieve research independence?_x000D_
* Yes._x000D_
_x000D_
Strength of Department Letter_x000D_
* Generic. Nothing specific about the PI's achievements or abilities._x000D_
_x000D_
_x000D_
_x000D_
Summary Statement_x000D_
_x000D_
The proposal combines statistical and computational thinking in a novel way to address difficult nonconvex estimation problems that are important in several application domains. The proposal is well developed, well documented, and well researched. There is sufficient preliminary results and a successful track record to suggest the proposal will be successful. The project, however, could do more to ensure that the research will improve education and outreach to underrepresented groups._x000D_
_x000D_
_x000D_
</t>
  </si>
  <si>
    <t xml:space="preserve">In the context of the five review elements, please _x000D_
evaluate the strengths and weaknesses of the proposal with respect to intellectual merit._x000D_
_x000D_
In this proposal the PI suggests studying Multi-Armed Bandits towards understanding how to tune performance based on the variance of the experts and the gap between the best experts on the rest. 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contains ideas for integrating education with the goals of the proposal._x000D_
_x000D_
Please evaluate the strengths and _x000D_
weaknesses of the proposal with respect to any additional solicitation-specific review criteria, if _x000D_
applicable_x000D_
_x000D_
_x000D_
_x000D_
Summary Statement_x000D_
_x000D_
This proposal meets the requirements for CRII funding._x000D_
_x000D_
</t>
  </si>
  <si>
    <t>XP0898285</t>
  </si>
  <si>
    <t>Roy-Chowdhury</t>
  </si>
  <si>
    <t>amitrc@ee.ucr.edu</t>
  </si>
  <si>
    <t xml:space="preserve">In the context of the five review elements, please _x000D_
evaluate the strengths and weaknesses of the proposal with respect to intellectual merit._x000D_
_x000D_
The proposal aims to develop novel non-convex optimization frameworks to address challenges in data mining and knowledge discovery. Applications in genomic data analysis and brain imaging are considered. _x000D_
_x000D_
Strengths: The need for efficient non-convex optimization methods is clear given the amount and complexity of data that is being collected. The proposal correctly identifies this to be a relevant problem. Certain specific approaches are also highlighted. The application domains of brain imaging and genomic data analysis are relevant. The PI has strong publications in top venues._x000D_
_x000D_
Weaknesses: The proposal suffers from a lack of clarity as to what it will achieve. A claim is made that a "new area" of model-based non-convex optimization will be developed. However, for both aims the specific approaches outlined are heuristics that would allow one to overcome some limitations that currently hinder performance. As one example, the screening rules mentioned in A.3 are a simple pre-processing step. This is true for each of the subaims. Overall, the proposal fails to provide a clear idea of what its contributions will be._x000D_
_x000D_
In the context of the five review elements, please _x000D_
evaluate the strengths and weaknesses of the proposal with respect to broader impacts._x000D_
_x000D_
Strengths: _x000D_
The ability to solve non-convex optimization problems efficiently is important in many applications, including the bio-medical ones highlighted in this proposal. The PI has collaborations with other researchers that will enable this. Some integration of the research into the courses is also mentioned. _x000D_
_x000D_
Weaknesses:_x000D_
No specific approaches for applying the methods, or convincing results on existing data, are mentioned. This raises concerns about how the proposed method will proposed methods will be applied, and indeed their applicability in the first place. The integration with education is also minimally described._x000D_
_x000D_
Adequacy of Data Management Plan: I found this lacking. Although brain imaging and genomic data is mentioned, the DMP does not state how these will be handled. Maybe they are already addressed by the collaborators, but it would be good to know how the PI will handle the data._x000D_
_x000D_
_x000D_
Adequacy of Postdoctoral Mentoring Plan (if applicable): N/A_x000D_
_x000D_
_x000D_
_x000D_
Please evaluate the strengths and _x000D_
weaknesses of the proposal with respect to any additional solicitation-specific review criteria, if _x000D_
applicable_x000D_
_x000D_
Is the research appropriate for the proposed duration?_x000D_
Given the weaknesses in the technical merit mentioned above, it is not clear to me. The claim to start a "new area" withing the limits of this grant seem exaggerated. _x000D_
_x000D_
_x000D_
Does the project have potential to produce sufficient preliminary results to serve as the basis for future competitive research proposals?_x000D_
Unsure. There may be some theoretical insights. Applicability in different domains is only mentioned with no details. _x000D_
_x000D_
Are the activities necessary and critical steps for the PI to achieve research independence?_x000D_
The PI needs to extend beyond the scope outlined here and demonstrate the usefulness of the approaches. Theoretically, it is not evident to me that the contributions are unique enough to stand out on their own, without being tied to an application. _x000D_
_x000D_
_x000D_
Strength of Department Letter: The letter does not mention what kind of support the department will provide, nor is there any mention of mentoring._x000D_
_x000D_
Summary Statement_x000D_
_x000D_
The proposal addresses an important problem of non-convex optimization. However, it is seriously lacking is multiple aspects. The methods claimed as novel theory are essentially heuristics to overcome some shortcomings of existing methods. Although applications are mentioned, there are no details, and no letters of support provided that would prove that the PI has access to the kind of data needed to succeed in the research._x000D_
_x000D_
</t>
  </si>
  <si>
    <t xml:space="preserve">In the context of the five review elements, please _x000D_
evaluate the strengths and weaknesses of the proposal with respect to intellectual merit._x000D_
_x000D_
The objective of the proposal is to develop new nonconvex optimization frameworks for various machine learning tasks. _x000D_
_x000D_
There are two main directions, (1) to develop a new area of model-based nonconvex optimization using knowledge of statistical data generation to avoid worst case convergence rate, and (2) to improve the efficiency of well-known nonconvex optimization problems. _x000D_
_x000D_
PI will study nonconvex optimization for learning sparse representation, and learning low rank representation with the goal of (1) and (2). PI proposes several new ideas based on PI's prior works. From the perspective of optimization, the global solutions of nonconvex minimization problems are generally intractable to obtain, and hence the goal is to converge to unique local solution with desirable statistical properties in polynomial time. Moreover, cost per iteration needs to be low. Both of these can be achieved if data satisfies certain model assumptions. The PI proposes to develop new model-based coordinate optimization framework , newton-type coordinate optimization with better iteration complexity, new loss functions that are efficient to handle etc. For low rank representation learning that are mostly formed as low rank matrix or tensor optimization problems. For these problems, standard approach is to consider a convex relaxation and then solve the relaxed problem. PI proposes new way to gain scalability and efficiency by reformulating the underlying problem as a factorization minimization problem. _x000D_
_x000D_
Summary of strength and weakness: The proposal is on an important topic of machine learning and the PI has solid background there. However, I am not quite sure how this proposal fits into AF._x000D_
_x000D_
In the context of the five review elements, please _x000D_
evaluate the strengths and weaknesses of the proposal with respect to broader impacts._x000D_
_x000D_
PI is involved in various interdisciplinary activities, specifically he has active collaboration with biomedical researchers and this research can be have direct impact there.  The algorithms from this research will be implemented and softwares will be released._x000D_
_x000D_
Please evaluate the strengths and _x000D_
weaknesses of the proposal with respect to any additional solicitation-specific review criteria, if _x000D_
applicable_x000D_
_x000D_
_x000D_
_x000D_
Summary Statement_x000D_
_x000D_
It is a good proposal on a very important topic but AF may not be the appropriate division for it._x000D_
_x000D_
</t>
  </si>
  <si>
    <t>HZ1007762</t>
  </si>
  <si>
    <t>katyas@lehigh.edu</t>
  </si>
  <si>
    <t xml:space="preserve">In the context of the five review elements, please _x000D_
evaluate the strengths and weaknesses of the proposal with respect to intellectual merit._x000D_
_x000D_
This proposal describes several settings of nonconvex optimization arising in machine learning that the PI intends to address. Specifically, there are two parts to the proposal. The first part addressed large scale problems for sparse learning with possibly nonconvex penalty functions to induce sparsity, and the second part _x000D_
addresses nonconvex specially structured problems such as low rank matrix factorization. _x000D_
_x000D_
The earlier part of the proposal describes the aims in very general terms and gives a somewhat misleading impression that very general and transformative methodologies will be proposed. The "current" optimization methods that are described are mainly optimization methods developed in the last decade or so for convex problems. However, nonconvex optimization has very long history with many methods. While these methods do not always apply directly to the new ML settings, in the last several years there has been a surge of work in that area as well by adapting these classical methods in appropriate ways. _x000D_
_x000D_
Once the PI gets to describing the proposed methods and ideas - they turn out to be fairly specific and based on his prior work. The first type of problems are addressed by coordinate optimization schemes with active set selection. I have some concerns about this part of the proposal. I assume that the only type of nonconvexity the PI considers here is a nonconvex (separable) penalty, because otherwise the coordinate approach is unlikely to work. However, such problems have been addressed before by many authors, and I am not sure how novel the proposed algorithms are in comparison. Similarly, proximal Newton methods based on coordinate optimization have been proposed and analyzed in depths, ans so have been active set methods of various kinds. The active set method described in Aim A.3 seems to be one of the classical methods, however, it needs careful consideration and implementation and is not guaranteed to work without full scan of coordinates. _x000D_
Finally, linear convergence rates under milder assumptions than strong convexity is also a well researched topics with multiple new results._x000D_
_x000D_
I find Aim B to be somewhat more novel compared to the existing work, if I understood it correctly. It appears that the PI has identified some  modification for the matrix factorization problem which leads to good properties for optimization. The plan to develop these ideas further and turn them into efficient algorithms. It is unclear to me if this work can go beyond low rank matrix representation. _x000D_
_x000D_
The number of citations is on the one hand extremely long and on the other hand is not as informative and as relevant to the proposal as would be desirable. _x000D_
_x000D_
_x000D_
_x000D_
In the context of the five review elements, please _x000D_
evaluate the strengths and weaknesses of the proposal with respect to broader impacts._x000D_
_x000D_
The broader impacts of this research seem to be overstated in the introduction. The PI lists several important applications of the ML models that he is planning to address, however, it is unclear why some of the advances, which are mainly theoretical, will have a significant impact on these applications. On the other hand, the PI has some prior history of working with practitioners on important problems (he cites a publication in Nature magazine, but it is unclear what his role was in this work). _x000D_
His prior history of open source software is an advantage, as long as the software is being used._x000D_
_x000D_
Please evaluate the strengths and _x000D_
weaknesses of the proposal with respect to any additional solicitation-specific review criteria, if _x000D_
applicable_x000D_
_x000D_
_x000D_
_x000D_
Summary Statement_x000D_
_x000D_
This proposal contains good ideas and specific methods, but does not do a very good job of positioning these ideas clearly in the current state-of-the-art._x000D_
_x000D_
</t>
  </si>
  <si>
    <t xml:space="preserve">In the context of the five review elements, please _x000D_
evaluate the strengths and weaknesses of the proposal with respect to intellectual merit._x000D_
_x000D_
This proposal will begin work on a more systematic approach to non-convex optimization in the sparse and law rank regimes.  _x000D_
_x000D_
In the first thrust, we consider a sparse regime.  Prior work from the PI shows that things can be greatly sped up by maintaining a list of important coordinates.  The proposed research will build on this by exploiting geometric properties such as restricted strong convexity, restricted strong smoothness, and restricted self-concordance.  (The proposal does not specifically state how rife these properties are in real-life instances).  The first approach will use newton-typo methods.  Then they will be generalized to non-smooth loss functions.  Finally, the algorithms will screen based on KKT-conditions.  The evaluation of this section is largely empirical.  _x000D_
_x000D_
The second thrust is to study low rank solutions.  The proposed solution is non-convex and found to have many saddle points, however, all the local minimum are global minimum.  The goal then is to quickly escape from the saddle points.  The proposed solutions are to better model the situation as a stochastic differential equation.  Using this to more rigorously analyze momentum models, and finally extend these results to cases with additional constraints.  It is not clear how this approach relates to prior work, e.g. citation 342.  _x000D_
_x000D_
The proposal studies interesting questions.  The empirical approaches are well laid out.  The theoretical approaches are a little vague, especially as it relates to previous research.  _x000D_
_x000D_
The PI is qualified and has access to adequate resources.  _x000D_
_x000D_
_x000D_
In the context of the five review elements, please _x000D_
evaluate the strengths and weaknesses of the proposal with respect to broader impacts._x000D_
_x000D_
This proposal, if successful with have applications to non-convex optimization, which is widely used in machine learning applications.  The research will produce software that is disseminated.  Additionally, the PI will incorporate the research into two of his courses._x000D_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It is not hard to guess an outline of what this might be, but details would be very helpful._x000D_
_x000D_
Summary Statement_x000D_
_x000D_
The proposal is well-scoped.  The proposal studies interesting questions.  The empirical approaches are well laid out.  The theoretical approaches are a little vague, especially as it relates to previous research.  It does not explicitly address how this fits into the PIs longer term research goals._x000D_
_x000D_
</t>
  </si>
  <si>
    <t>The objective of this proposal is to develop new nonconvex optimization frameworks to address the challenges of data mining and  knowledge discovery on large-scale scientific data. To break several crucial bottlenecks {in applying} optimization techniques {to} modern representation learning problems, this project will develop (i) {a new area named model-based nonconvex optimization}, which leverages sophisticated statistical thinking in modern optimization and naturally bridges research from different areas{, such as} machine learning, optimization, statistics and stochastic analysis; (ii) {novel nonconvex optimization frameworks and theories}, {leading to more} efficient and scalable algorithms with strong theoretical guarantees that {would} help scientists solve various representation learning problems in {many} sophisticated data analysis.This proposal is built upon earlier works of the PI, which leverage statistical thinking in modern optimization to attack nonconvex problems in machine learning. Due to the availability of massive data, nonconvex optimization has become more and more important in machine learning over the past decade. The proposed research aims to strengthen classic optimization to open up new possibilities for cutting-edge nonconvex optimization problems in representation learning. Moreover, the proposed research will not only focuses on deeper theoretical understanding of the_x000D_
challenging issues in nonconvex optimization, but also develop new algorithmic frameworks leading to more efficient and scalable representation learning. The proposed research is promising in leading to innovation not only in theory, but also in practical applications.We see three main aspects in which the proposed research will have broad impacts. (1) We see an urgent need for powerful optimization algorithms to handle massive datasets. However, the usage of large-scale optimization techniques is currently limited --- we still lack adequate methodology, theory, and computational techniques. By simultaneously addressing all these aspects, this project is expected to deliver useful nonconvex optimization algorithms that benefit all relevant scientific areas; (2) The deliverables of this project include easy-to-use software for representation learning.  Such software directly helps scientists to explore and analyze complex datasets. (3) The PI is collaborating with biomedical researchers and medical imaging scientists from Georgia Tech and University of Pennsylvania on analyzing scientific data. These collaborations will ensure the more direct impact of this project to the targeted scientific communities. Moreover, the PI will offer classes to teach modern nonconvex optimization techniques for analyzing massive data at Georgia Tech.</t>
  </si>
  <si>
    <t>1755885</t>
  </si>
  <si>
    <t>Hosseini</t>
  </si>
  <si>
    <t xml:space="preserve"> Panel Summary       
 Description:_x000D_
This proposal looks at one-sided matching problems in which the agents being matched have preferences over who they are matched with, and act in their own self-interest. It focuses on a setting where agent preferences change over time (according to some random process), and the online setting where the items agents can be matched with change over time. The goal is to form efficient, fair, and truthful matching mechanisms._x000D_
_x000D_
_x000D_
Intellectual Merit:_x000D_
Strengths_x000D_
  + The matching problems have wide applicability. The PI has identified some important problems in this area._x000D_
_x000D_
  + The PI is well-qualified to study these topics, and has preliminary work in the area._x000D_
_x000D_
  + The proposed research on online settings and existence of EF1 (envyfree up to one item) in these settings seems promising. _x000D_
_x000D_
Weaknesses_x000D_
_x000D_
   - The PI does not give enough details about the proposed research, and neither the preliminary work nor other discussion give an indication about how the PI plans to proceed in order to solve the problems they are proposing._x000D_
_x000D_
  - There is no evaluation plan for the project._x000D_
_x000D_
_x000D_
Broader Impact:_x000D_
Strengths_x000D_
  + The PI has identified a domain (course registration at RIT) where he can apply his algorithms.   _x000D_
_x000D_
  + Mentoring graduate and undergraduate students; the PI has a history of working with undergrads and organizing seminars._x000D_
_x000D_
  + Interactive workshops and improving CS education and its accessibility._x000D_
_x000D_
_x000D_
_x000D_
_x000D_
Data Management Plan:_x000D_
Adequate_x000D_
_x000D_
Justification for Panel Rating:  _x000D_
The proposal needs more preliminary work and more details on the proposed research._x000D_
_x000D_
_x000D_
Panel Rating:_x000D_
_ Highly Competitive_x000D_
_ Competitive_x000D_
X Low Competitive_x000D_
- Not Competitive_x000D_
_x000D_
The summary was read 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</si>
  <si>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looks at one-sided matching problems in which the agents being matched have preferences over who they are matched with, and act in their own self-interest. This is a gigantic field with lots of existing work; this proposal specifically focuses on a setting where agent preferences change over time (according to some random process), and the online setting where the items agents can be matched with change over time. The goal is to form efficient (usually Pareto-efficient, since this is an ordinal setting), fair (for example, envy-free), and truthful matching mechanisms._x000D_
_x000D_
Strengths:_x000D_
_x000D_
+ The PI is well-qualified to study these topics, and has preliminary work in the area._x000D_
_x000D_
+ The scope of the proposal is about right: these questions will likely lead to some very nice papers, and will lead to some nice insights in the long-term, but the questions are solvable in approximately two years. Matching with self-interested agents is an important topic with many real applications, and looking at dynamic and online matching is an important and useful direction._x000D_
_x000D_
+ Looking at EF1 fairness makes sense, and as far as I know has not been done for online settings._x000D_
_x000D_
Weaknesses:_x000D_
_x000D_
- The PI does not give enough details about the proposed research, and neither the preliminary work nor other discussion give an indication about how the PI plans to proceed in order to solve the problems they are proposing. For research challenge 1, the proposal does not explain what it means to be "truthful for dynamic settings" instead of for static ones, or what it means to be "near-optimal" when the only measure of efficiency that is being considered is Pareto-efficiency. After Research Challenge 1 the PI mentions "Our approach", but it is not clear what this approach refers to, and would need a lot more detail. For Research Challenge 3, the preliminary work only seems to indicate that maximizing NSW is not the right thing to do, but gives no indication for how one would go about proving the existence of or computing an EF1 allocation._x000D_
_x000D_
Suggestions for Improvement: Talk more about the research directions and possible approaches to solving them. If more space is needed, it is probably OK to reduce the amount of space devoted to precisely explaining the preliminary work (unless that explanation also tells the reader how you plan to approach the proposed research), or the broader impact section._x000D_
_x000D_
_x000D_
In the context of the five review elements, please _x000D_
evaluate the strengths and weaknesses of the proposal with respect to broader impacts._x000D_
_x000D_
Strengths:_x000D_
_x000D_
+ Matching algorithms are used in a variety of real-world settings, and many of them are dynamic or online. This work would likely yield nice insights and useful algorithms for such settings._x000D_
_x000D_
+ The PI is building a tool for matching students with classes at RIT; this tool may be adjusted for other applications in the future._x000D_
_x000D_
+ Mentoring graduate and undergraduate students; the PI has a history of working with undergrads and organizing seminars_x000D_
_x000D_
+ Interactive workshops and improving CS education and its accessibility_x000D_
_x000D_
Please evaluate the strengths and _x000D_
weaknesses of the proposal with respect to any additional solicitation-specific review criteria, if _x000D_
applicable_x000D_
_x000D_
_x000D_
_x000D_
Summary Statement_x000D_
_x000D_
A proposal on interesting topics from a qualified PI, but the proposal does not explain the proposed research in enough detail._x000D_
_x000D_
</t>
  </si>
  <si>
    <t xml:space="preserve">In the context of the five review elements, please _x000D_
evaluate the strengths and weaknesses of the proposal with respect to intellectual merit._x000D_
_x000D_
I think this is a great CRII proposal in terms of research questions, approaches and scope. It focuses on matching in sequential settings and brings two perspectives together to study the problems. The first is the economic perspective that concerns truthfulness and fairness of matching, but often in a static matching setting. The second approach is the AI/algorithmic approach that considers the dynamic setting. This proposed research studies fair and truthful mechanisms for sequential matching. It will advance the status quo on dynamic mechanism design without money. _x000D_
_x000D_
_x000D_
In the context of the five review elements, please _x000D_
evaluate the strengths and weaknesses of the proposal with respect to broader impacts._x000D_
_x000D_
Nice spillover effects to education and society:_x000D_
+curriculum development_x000D_
+student advising_x000D_
+implementation of a new matching market for course registration_x000D_
+novel pedagogical techniques_x000D_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</si>
  <si>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Strengths:_x000D_
_x000D_
The matching problems have wide applicability.  The PI has identified some important problems in this area:_x000D_
matching with dynamic settings, fairness guarantees, price of fairness etc._x000D_
_x000D_
The proposed research on online settings and existence of EF1 (envyfree upto one item) in these settings seems promising. The PI is already working with two undergraduate students on these problems._x000D_
_x000D_
The PI is well-qualified to conduct the proposed activity._x000D_
There are adequate resources available to the PI to carry out the proposed activities_x000D_
_x000D_
Weaknesses:_x000D_
_x000D_
There is no clear statement of the new insights that will help the PI solve the problems._x000D_
Consider research challenge 1: Devise approximate mechanisms that compute near-optimal allocations under truthfulness constraints while scaling well with the number of agents and alternatives.  The proposal mentions that efficient solutions can be obtained through linear programming. Presumably, the goal is to find a mechanism that is truthful. There is no mention of preliminary work in that direction. Moreover, the notion of "scaling well" is not defined in the proposal._x000D_
_x000D_
In the context of the five review elements, please _x000D_
evaluate the strengths and weaknesses of the proposal with respect to broader impacts._x000D_
_x000D_
Strengths:_x000D_
_x000D_
The PI has identifed a domain (course registration at RIT) where he can apply his algorithms._x000D_
_x000D_
Weaknesses:_x000D_
Even though there is mention of many fields such as robotics and planning, it is not clear if the proposed research will have significant impact in these areas._x000D_
_x000D_
_x000D_
Please evaluate the strengths and _x000D_
weaknesses of the proposal with respect to any additional solicitation-specific review criteria, if _x000D_
applicable_x000D_
_x000D_
_x000D_
_x000D_
Summary Statement_x000D_
_x000D_
The project advances the state of the art but does not propose potentially transformative concepts. This explains the overall rating of this proposal as "Good"._x000D_
_x000D_
</t>
  </si>
  <si>
    <t>One of the most fundamental problems at the intersection of computer science, artificial intelligence, and economics is allocating a set of indivisible resources to self-interested agents. Numerous practical applications prohibit the use of monetary transfers to incentivize truthfulness or compensate loss: allocating courses to students, shifts to nurses, equipment to researchers, and organ exchange are a few of the myriad examples, which are generally known as matching problems._x000D_
_x000D_
While Artificial Intelligence (AI) researchers and economists have studied this domain in the past few years, the interaction between the core AI paradigms and the desirable economic and societal properties has been surprisingly limited, particularly in dynamic and uncertain settings. The overarching theme of this proposal is that the advent of online platforms gives rise to novel algorithmic and computational challenges in designing efficient, truthful, and fair allocations, which require subtle practical, applicable, and scalable mechanisms. Findings of this research will lead to new and improved allocation models and further span theoretical, empirical, and algorithmic aspects of sequential matching under uncertainty._x000D_
_x000D_
Specifically, the proposed research aims to study two interconnected problems: (i) sequential matching under uncertainty, by synthesizing models studied in AI with matching theory to investigate, analyze, and create new mechanisms that discourage strategic manipulation in environments where preferences are dynamically changing, e.g. nurse scheduling; (ii) online matching mechanisms, by employing insights from algorithm design and AI to study fairness and efficiency of matching decisions, in order to design algorithms for sequential settings, when the availability of items is unknown, e.g. food bank organizations.This proposal tackles a set of fundamental problems from different subfields of AI while enriching the algorithmic and computational understanding of matching and resource allocation in practical settings. The goal is to answer questions such as the following:_x000D_
_x000D_
- What are the efficiency guarantees of truthful mechanisms in dynamic settings?_x000D_
- Are there alternative truthful mechanisms (from the set of possible mechanisms) that compute near-optimal allocations while scaling well with the size of the problem?_x000D_
- Are there deterministic or randomized mechanisms with desirable fairness guarantees, such as envyfreeness up to one item, when indivisible alternatives arrive over time?_x000D_
- What is the price of fairness (efficiency loss) of matching mechanisms in online settings? _x000D_
_x000D_
Taking a broader point of view, this proposal promotes the interwoven connection between AI and economics for socially desirable decisions by spanning a diverse collection of AI techniques and providing deeper insights of economic theory and its applications to other areas, such as robotics and planning.This proposal promises an elaborate education, dissemination, and outreach plan, which consists of interconnected components. First, a new matching framework, which enhances the assignment process for various domains such as course registration and online systems for task allocation, and provides new insights about dynamic environments to the research community. The proposal includes a plan for deployment and testing of new matching models for course registration at the institutional level at RIT. Second, educational impact by creative curriculum development and introducing novel pedagogical techniques, which improves STEM education, and in a broader sense, encourages underrepresented groups to pursue AI-related fields.</t>
  </si>
  <si>
    <t>1755921</t>
  </si>
  <si>
    <t>Forbes</t>
  </si>
  <si>
    <t xml:space="preserve"> Panel Summary       
 Description:  The PI proposes to push the theory of linear-algebraic pseudo randomness.  The PI will consider new constructions and new applications of combinatorial objects that are motivated by linear algebra.     The PI will also study deterministic algorithms for factoring polynomials._x000D_
_x000D_
Intellectual Merit: The PI has presented an interesting direction with a rich set of questions, and compelling plan for making progress.   The PI has a good track record in the area._x000D_
Strengths_x000D_
  +  compelling area and good set of questions_x000D_
  + Good track record_x000D_
Weaknesses_x000D_
_x000D_
Broader Impact: PI will develop a new course on algebraic pseudorandomness, organize workshops and train graduate students._x000D_
Strengths_x000D_
  +  Has already organized a workshop in the area with 70 participants and a boot camp._x000D_
  +  Course in an emerging topic that has never been previously taught._x000D_
Weaknesses_x000D_
_x000D_
Solicitation-specific criteria:  The PI outlines research in an emerging area that will put him at the center of action._x000D_
_x000D_
Data Management Plan: adequate_x000D_
_x000D_
_x000D_
_x000D_
Justification for Panel Rating:  The proposal outlines a compelling area and the PI has a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</si>
  <si>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suggests a very detailed plan on pushing the field of linear algebraic pseudorandom objects.  This is an emerging direction that is promising. The plan is quite innovative, focusing on such objects as subspace evasive sets, rank extractors and dimension expanders.   The PI proposes to find new constructions for these objects as well as to develop applications that are inspired by the analogous combinatorial objects.  The PI also proposes to study deterministic algorithms for the least non-residue problem which would lead to deterministic algorithms for factoring univariate polynomials.  The PI has given experimental evidence for the ability to make progress._x000D_
The PI has made nice progress in these directions and has a good track record._x000D_
_x000D_
In the context of the five review elements, please _x000D_
evaluate the strengths and weaknesses of the proposal with respect to broader impacts._x000D_
_x000D_
The PI will design a new course on algebraic complexity theory that will be very important for student training.  The PI will continue to organize workshops, and has previously co-organized a very involved workshop._x000D_
_x000D_
_x000D_
Please evaluate the strengths and _x000D_
weaknesses of the proposal with respect to any additional solicitation-specific review criteria, if _x000D_
applicable_x000D_
_x000D_
_x000D_
_x000D_
Summary Statement_x000D_
_x000D_
Very well thought out research plan.   Good Broader impacts._x000D_
_x000D_
</t>
  </si>
  <si>
    <t xml:space="preserve">In the context of the five review elements, please _x000D_
evaluate the strengths and weaknesses of the proposal with respect to intellectual merit._x000D_
_x000D_
The proposal aims to significantly extend the emerging theory of linear-algebraic pseudo randomness, with the goal of explicitly constructing linear-algebraic pseudorandom objects achieving optimal parameters. _x000D_
_x000D_
The first major goal of the proposal is  to obtain optimal constructions for objects such as rank extractors, dimension expanders and subspace evasive sets. PI provides many exciting ideas connecting min-entrpy extractors to rank extractors, use of Ramsey graph construction to obtain better subspace evasive sets etc._x000D_
_x000D_
The second major goal of the proposal is to study factorization of polynomials and developing unconditionally deterministic efficient algorithms for it. As a step towards that, PI proposes to develop unconditional deterministic algorithm for finding non-residues in finite fields and give a concrete approach based on polynomial method._x000D_
_x000D_
Summary of strength and weaknesses: It is an extremely well-written proposal on a very important topic. Questions and approaches are very well laid out and the proposal could lead to significant progress in out understanding of linear algebraic pseudorandomness._x000D_
_x000D_
In the context of the five review elements, please _x000D_
evaluate the strengths and weaknesses of the proposal with respect to broader impacts._x000D_
_x000D_
Broader impact section is adequate. The PI will develop new course, organize workshop on relevant topic and train graduate students._x000D_
_x000D_
Please evaluate the strengths and _x000D_
weaknesses of the proposal with respect to any additional solicitation-specific review criteria, if _x000D_
applicable_x000D_
_x000D_
_x000D_
_x000D_
Summary Statement_x000D_
_x000D_
Excellent proposal--must be funded._x000D_
_x000D_
</t>
  </si>
  <si>
    <t xml:space="preserve">In the context of the five review elements, please _x000D_
evaluate the strengths and weaknesses of the proposal with respect to intellectual merit._x000D_
_x000D_
The PI proposes to develop the emerging field of linear-algebraic pseudorandomness.  The combinatorial theory of pseudorandomness is fairly well developed, and there are linear-algebraic analogues of key objects like extractors and expanders.  The PI proposes to improve constructions of various key objects, including rank extractors, subspace evasive sets, and dimension expanders.   The PI has done some nice related work, and has a good track record._x000D_
_x000D_
The PI also proposes to improve the bound on the size of the least quadratic nonresidue, which would have implications for derandomizing certain algorithms.  The PI suggests an interesting approach via the polynomial method, but given that number theorists haven't improved the bound in a long time, I'm not that optimistic._x000D_
_x000D_
In the context of the five review elements, please _x000D_
evaluate the strengths and weaknesses of the proposal with respect to broader impacts._x000D_
_x000D_
The PI already co-organized the 4th Workshop on Algebraic Complexity Theory (WACT), and plans to co-organize the next one.  He also will train students and design a new course._x000D_
_x000D_
Please evaluate the strengths and _x000D_
weaknesses of the proposal with respect to any additional solicitation-specific review criteria, if _x000D_
applicable_x000D_
_x000D_
_x000D_
_x000D_
Summary Statement_x000D_
_x000D_
A strong proposal about the emerging area of linear-algebraic pseudorandomness by a well-qualified PI._x000D_
_x000D_
</t>
  </si>
  <si>
    <t>The use of randomness is pervasive in computing, from its usage in cryptography to hide secrets to how it can be leveraged in the design of efficient algorithms, and it is a fundamental question to  understand how randomness relates to other computational resources such as time or memory. This question naturally arises for computation of a linear-algebraic nature. This type of computation is surprisingly pervasive, often arising where linear-algebra seems at first not relevant. Further, in this setting randomized algorithms are very natural but efficient deterministic algorithms are often scarce. Transforming such a randomized algorithm into a deterministic one can be done through explicit construction of pseudorandom objects. This project explores the theory of such linear-algebraic pseudorandom objects, and develops a connection with the least non-residue problem from number theory.Understanding the relationships between different computational resources, such as time, space, and randomness, is the fundamental goal in theoretical computer science, as exemplified by the P versus NP question. A long line of research has shown that the existence of computationally intractable problems can be used to efficiently derandomize any randomized algorithm. While such intractability is a plausible assumption, these techniques have led to only a few instances where randomized algorithms can be unconditionally derandomized._x000D_
_x000D_
This proposal identities a subclass of computation, linear-algebraic computation, that has received notable recent derandomizations. It proposes to bring these results to their logical fruition by constructing in complete optimality various notions of linear-algebraic pseudorandom objects. These objects have been directly be used to derandomize algorithms, construct more efficient schemes for error-resilient communication, and are related to recent breakthroughs in more combinatorially-oriented pseudorandom regimes. Finally, these objects have a surprising connection to the challenging least non-residue problem from number theory, which if resolved would derandomize the (non-linear) algebraic problem of factoring polynomials.One cannot overstate the importance of results dictating the limits of efficient computation. This proposed project studies these limits by studying the (non-trivially) equivalent question of how to efficiently derandomize algorithms. The primary setting of our investigation is that of linear-algebraic computation, which lies at the intersection of mathematics and computer science, increasingly attracting interdisciplinary attention due to the mathematical richness of the questions about computation. The proposal also identifies connections with boolean computation, highlighting the similarities between these two regimes. The PI is committed to developing the connections between linear-algebraic computation and mathematics. They will promote these connections through public presentations, training of students, and organization of workshops._x000D_
_x000D_
This project will support the PI in the training of his graduate students. The PI, an experts in linear-algebraic computation, has been part of the emerging theory of linear-algebraic pseudorandomness that has occurred in the past decade. The PI is eager to train students, including underrepresented minorities and women, in this area. The PI will also develop and teach a course at University of Illinois on algebraic pseudorandomness, whose course materials will be made publicly available. Finally, the PI recently successfully organized a workshop in algebraic complexity theory, and is planning to help organize the next iteration.</t>
  </si>
  <si>
    <t>1755950</t>
  </si>
  <si>
    <t>Escobedo</t>
  </si>
  <si>
    <t xml:space="preserve"> Panel Summary       
 Description: _x000D_
_x000D_
The proposal shows that current rank-aggregation functions do not properly handle incomplete rankings because the aggregation should be agnostic to which items are ranked.  This proposal has two thrusts.  The first is to identify a list of possible criteria to achieve desiderata for fair ranking aggregation.  The second is to study the computational complexity of (approximately) achieving the criteria._x000D_
_x000D_
 _x000D_
Intellectual Merit: _x000D_
_x000D_
Strengths_x000D_
  + The problems are well-scoped within each of these areas.  The concrete paths forward are proposed._x000D_
 + PI has some prior work in the area_x000D_
_x000D_
Weaknesses_x000D_
  - The problem is already computationally hard in the full ranking case, so this seems like a difficult problem.  Very unclear that the paths forward suggested will be sufficient to succeed. _x000D_
  - The proposal is unclear what the axioms for approximation scheme can or should be.   _x000D_
 -  Many ideas are related to game-theoretic concepts such as strategy-proofness, but this is not  mentioned in the proposal.  This is especially the case when discussing the axioms that approximations should satisfy.  There is a body of computer science literature on these topics which are not mentioned in the proposal._x000D_
  - Some members of the panel thought that the proposals description of PIs prior work did not look sufficient to show that tackling these hard problems would have impact. _x000D_
_x000D_
Broader Impact: _x000D_
_x000D_
Strengths_x000D_
  + Expanding the research in social choice theory to handle incomplete and incomparability in preference relations has the opportunity for impact in a number of data driven decision making applications. _x000D_
  +  The PI has also outlined a number of avenues to include minority student in the proposal._x000D_
  + The PI will mentor two PhD students._x000D_
_x000D_
_x000D_
_x000D_
Solicitation-specific criteria: _x000D_
+ The proposal mentions how this will be connected to the PIs future CAREER  proposal submission on "detection and elimination of algorithmic biases in automated decision-making and crowdsourcing" . However, the tightness of this connection is not illuminated._x000D_
_x000D_
_x000D_
Data Management Plan: adequate._x000D_
_x000D_
Suggestions to PI: Better relate to the algorithmic game theory literature on computational social choice.  This is especially needed in the approximation section.  What axioms should the approximation satisfy?_x000D_
_x000D_
Any partial work you could include, would be very helpful.  Better selling/integrating your current (published/submitted) work would also be nice._x000D_
_x000D_
If you could strengthen connection to future work, that would help as well.  _x000D_
_x000D_
_x000D_
_x000D_
Justification for Panel Rating:  Proposal was well scoped and well written.  However, did not sufficiently relate to current literature.  Unclear if the paths forward will be sufficient.  _x000D_
_x000D_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</si>
  <si>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PI has developed new notions of distance between ranking vectors and has some past work on defining a set of axioms for deriving consensus rankings._x000D_
_x000D_
The PI has strong background in ranking aggregation to work on research objective 1 and also in approximation algorithms to accomplish research objective 2._x000D_
_x000D_
_x000D_
Weaknesses: In research objective 1, it is not clear how different the proposed research will be from Kemeny's aggregation scheme.  The idea is to extend it for incomplete data. Extensions for incomplete data in schemes close to Kemeny's aggregation scheme may be computationally hard._x000D_
_x000D_
In research objective 2, the goal is to develop computationally expedient properties.  It is not clear what the completed work is and how it relates to the proposed work.  For the task of Research Objective 2, the PI does not list any completed work._x000D_
_x000D_
Many ideas are related to game-theoretic concepts such as strategy-proofness. These are not mentioned in the proposal._x000D_
_x000D_
In the context of the five review elements, please _x000D_
evaluate the strengths and weaknesses of the proposal with respect to broader impacts._x000D_
_x000D_
Strengths:_x000D_
Rank aggregation has applications in many areas.  The PI plans to work with a female student._x000D_
_x000D_
_x000D_
_x000D_
Please evaluate the strengths and _x000D_
weaknesses of the proposal with respect to any additional solicitation-specific review criteria, if _x000D_
applicable_x000D_
_x000D_
Not applicable._x000D_
_x000D_
Summary Statement_x000D_
_x000D_
The proposal requires more preliminary work for research objective 2._x000D_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</si>
  <si>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the fundamental problem of extending existing social choice research into the domain of preferences that are incomplete or contain incompatibilities.  The PI has identified several key issues with the existing literature and a comprehensive set of research questions to address these.  The ideas are novel though I was curious to not see any references to the large literature in Computational Social Choice especially the work of people like Aziz, Prococcia, Regenwetter, Rossi, Walsh and anything related to PrefLib which contains large amounts of data of the type needed to undertake the research stated._x000D_
_x000D_
2. To what extent do the proposed activities suggest and explore creative, original, or potentially transformative concepts?_x000D_
_x000D_
The research questions identified build on a fundamental issue with existing social choice research in interesting and meaningful ways.  The questions are well aligned and interesting and answering them in positive ways would expand the state of the art in the area of preference reasoning and aggregation._x000D_
_x000D_
3. Is the plan for carrying out the proposed activities well-reasoned, well-organized, and based on a sound rationale? Does the plan incorporate a mechanism to assess success?_x000D_
_x000D_
The plan is extremely well organized and there is a clear methodology for evaluating success.  The PI has outlined ambitious goals and measurements to assess the progress of the proposal._x000D_
_x000D_
4. How well qualified is the individual, team, or institution to conduct the proposed activities?_x000D_
_x000D_
The proposed questions build on the PIs work in preference aggregation and he is well situated to attack the questions outlined in the proposal._x000D_
_x000D_
5. Are there adequate resources available to the PI (either at the home institution or through collaborations) to carry out the proposed activities?_x000D_
_x000D_
There are adequate resources and collaborators to attack the proposed questions._x000D_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Expanding the research in social choice theory to handle incomplete and incomparability in preference relations has the opportunity for impact in a number of data drive decision making applications.  The PI has also outlined a number of avenues to include minority student in the proposal._x000D_
_x000D_
2. To what extent do the proposed activities suggest and explore creative, original, or potentially transformative concepts?_x000D_
_x000D_
The broader impacts are well described and are original though fairly straightforward in where they could be applied.  This is not a problem for this proposal._x000D_
_x000D_
3. Is the plan for carrying out the proposed activities well-reasoned, well-organized, and based on a sound rationale? Does the plan incorporate a mechanism to assess success?_x000D_
_x000D_
There is a clear plan to disseminate the work and recruit diverse populations to the research._x000D_
_x000D_
4. How well qualified is the individual, team, or institution to conduct the proposed activities?_x000D_
_x000D_
The PI does not have extensive experience in outreach however he does have experience in translating theoretical research into practical algorithms.  Therefore he is well positioned and qualified to undertake the broader impacts portion of the proposal._x000D_
_x000D_
5. Are there adequate resources available to the PI (either at the home institution or through collaborations) to carry out the proposed activities?_x000D_
_x000D_
The PI has identified several resources at his home institution to help with the educational outreach activities.  There is not a clear connection for translating the research into broader impacts through any particular mechanism but the resources requested are adequate._x000D_
_x000D_
_x000D_
Please evaluate the strengths and _x000D_
weaknesses of the proposal with respect to any additional solicitation-specific review criteria, if _x000D_
applicable_x000D_
_x000D_
_x000D_
_x000D_
Summary Statement_x000D_
_x000D_
A good proposal with a clear and concise plan to address fundamental gaps in the social choice literature.  The PI is well positioned to attack these problems that have broad impact within the OR/CS communities and across a number of sub disciplines.  There are nicely identified opportunities for broader impacts and resource on campus have been contacted and identified._x000D_
_x000D_
_x000D_
</t>
  </si>
  <si>
    <t xml:space="preserve">In the context of the five review elements, please _x000D_
evaluate the strengths and weaknesses of the proposal with respect to intellectual merit._x000D_
_x000D_
The author argues that current rank-aggregation functions do not properly handle incorrect ratings.  The argument is that the aggregation should be agnostic to which items are ranked.  As such, it seems like current aggregation messes up pretty badly when aggregating partial ranks.   _x000D_
_x000D_
This proposal has two thrusts.  The first is to figure out a list of possible to achieve desiderata for fair ranking aggregation. Of course, Arrow's theorem makes this difficult, but in the complete raking since, one can still do a slightly weaker version of independence of irrelevant alternatives.  _x000D_
The second is to study the computational complexity of (approximately) achieving the criterial._x000D_
_x000D_
The author has RAF technique that he believes will satisfy the first goal if proven.  For the second ranking, he argues that current techniques in use are gravely inadequate (this appears very true), and proposes three alterative approaches: 1) a greedy algorithm; 2) to extend Borda rankings to a computable version of the scaled-footrule distance 3) a R-ECC decomposition algorithm.   Another part of thrust 2 is to improve exact calculations (at least for medium sized inputs).  _x000D_
_x000D_
_x000D_
The proposed methods are creative and original (as far as I know).  They are not transformative, but are useful. _x000D_
_x000D_
The PI has limited prior work on this area.  It seems like the part of the work that is done already is noticing that some terms should be normalized.  However, the proposal does layout a clear path forward.  _x000D_
_x000D_
_x000D_
Some notes: _x000D_
_x000D_
While I mostly agree with the author's main premise, I think the proposal would be even stronger if it were more clearly argued.  WHY should we be agnostic to unranked items?  There are certainly cases when this fails, so when is that?  Also, right now there is just one little counter intuitive example.   It would be great if there were more evidence of systematic bias.  _x000D_
_x000D_
Additionally, it would have been very helpful to spell out a specific case or two where incomplete rankings are aggregated.  Currently there is a laundry list, but it would be more compelling if a stronger connection were made.  _x000D_
_x000D_
It would have been really helpful to have a more clear definition of Kemeny aggregation in the proposal itself.  (I looked it up on Wikipedia.  I should not have to).  _x000D_
_x000D_
_x000D_
In the context of the five review elements, please _x000D_
evaluate the strengths and weaknesses of the proposal with respect to broader impacts._x000D_
_x000D_
This proposal fits in the "algorithmic fairness" literature.  We must have a good theoretical understanding of what are algorithms are doing to insure fairness.  _x000D_
The PI will also mentor two PhD students, and involve undergraduates from diverse backgrounds (this is a good project to on-board people)._x000D_
_x000D_
_x000D_
Please evaluate the strengths and _x000D_
weaknesses of the proposal with respect to any additional solicitation-specific review criteria, if _x000D_
applicable_x000D_
_x000D_
It is not very clear how completing this research would lead to a stronger Career proposal on "detection and elimination of algorithmic biases in automated decision-making and crowdsourcing" .  It is great that the author has a plan of the future, but it should be better connected to the current proposal._x000D_
_x000D_
Summary Statement_x000D_
_x000D_
The proposal presents a well-thought out and scoped project.  The author does not have a great deal of experience in this area (I guess that is, in part, the point of CRII).    A few items would make the broader impacts and impact on the PI career more clear._x000D_
_x000D_
</t>
  </si>
  <si>
    <t>The objective of this CRII proposal is to establish firm theoretical and algorithmic foundations that enable the impartial aggregation of incomplete rankings, which constitute a general data format that is prevalent across a wide array of modern applications. Most prominently, these data are routinely collected--both explicitly and implicitly--to combine, classify, or predict user preferences for the common purpose of automating decision-making tasks. Within these human-centered contexts, data incompleteness generally arises from users' limitations to evaluate only a few of the numerous alternatives involved; this means that no inferences should generally be made from an individual's preference data regarding the alternatives he/she does not evaluate. Hence, it is disquieting to learn that the ranking aggregation algorithms associated with the aforementioned tasks for processing preference data inadvertently introduce assumptions regarding users' unspecified preferences that are invalid for most situations. This inappropriate usage is highly problematic in that it creates algorithmic biases that may lead to arbitrary and/or unfair real-world outcomes. Thus, due to the growing emphasis on algorithmic neutrality and transparency, the development of more rigorous frameworks for dealing with incomplete ranking data impartially is both essential and timely. More generally, due to the inherent subjectivity of preference data, extra attention must be paid to curtailing the deleterious effects of human biases, especially when there is a finite set of benefits that is to be allocated commensurate with the resulting aggregate ranking. Hence, implementing efficient frameworks that are less prone to individual manipulation and outlier opinions and whose underlying assumptions can be directly tied to a set of formal properties is essential. Moreover, their associated ranking measures should properly account for the presence of ties and incomplete evaluations, which are the rule rather than the exception in most cases, and for contemporary situations where the evaluation of a large object set is performed through the allocation of smaller subsets of differing sizes. Failing to do so would implicitly force arbitrary and/or careless choices and thereby introduce noise and bias. Thus, robustness, flexibility, and computational viability are three vital ingredients for aggregating preference data impartially in modern contexts.The fundamental challenge addressed in this proposal is the design of a robust aggregation framework that supports an impartial treatment of incomplete rankings for practical applications. To this end, the research plan consists of a set of theoretical and algorithmic contributions that cumulatively describe a novel impartial treatment of preference data. Expressly, establishing the targeted design requires original theoretical advances:  defining a set of social-choice related axioms and properties that any impartial incomplete-ranking measure should satisfy; constructing robust measures to fulfill them from a precise mathematical standpoint; and exploring the validity and pragmatic implications of these measures via formal statistical methods. Moreover, owing to the inability/inadequacy of extant ranking aggregation algorithms to handle incomplete rankings efficiently/impartially, enabling the practical implementation of the resultant measures requires major algorithmic breakthroughs. These include the development of new exact implicit-enumeration techniques and approximation algorithms with provable guarantees.Due to the rising usage growth of automated decision-making technologies, preference ranking aggregation algorithms have quickly come to permeate numerous spheres of daily life. In fact, their byproducts play direct roles in determining business reputations, credit scores, hiring decisions, and other high-stake matters. Thus, the outputs of the proposed line of research and their subsequent progression into effective tools for detecting and eliminating algorithmic biases--which the academic community fervently demands--would have widespread impacts on aggregation. What is more, due to the pivotal roles of robust ranking aggregation frameworks in other fields including biostatistics and ethnography, the successful execution of this proposal could bring a series of multidisciplinary advances. Educational benefits include the training of two PhD students, the creation of cross-disciplinary course modules, and the dissemination of results via presentations at leading conferences and publications in high-quality journals.</t>
  </si>
  <si>
    <t>1755955</t>
  </si>
  <si>
    <t xml:space="preserve"> Panel Summary       
 Description: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Intellectual Merit:_x000D_
_x000D_
Strengths_x000D_
+ Studying deferred-acceptance auctions is a good thing to do: they have nice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 The proposal brings techniques in mechanism design and approximation algorithms together to tackle the challenges. The proposal is full of ideas, for example, it will extend DA to combinatorial auction settings, to allow randomization, and to multi-parameter domains._x000D_
_x000D_
Weaknesses_x000D_
- The proposal could be clearer in terms of attack plan._x000D_
- The questions being asked are natural next steps, and therefore not incredibly novel._x000D_
_x000D_
Broader Impact:_x000D_
_x000D_
Strengths_x000D_
+ The design of practical auctions which are easier to get people to use is extremely important; DA auctions have been used in practice, for example the gigantic FCC incentive auction. The developed mechanisms may have practical implications on real-world large-scale auctions._x000D_
+ This will likely be of interest to Economists, and foster further collaboration between Economists and Computer Scientists._x000D_
  _x000D_
Weaknesses_x000D_
- No specific avenues are identified in translating this work to form  broader impact (e.g., forming software, implementing real-world auctions)._x000D_
- The PI did not describe enough broader impact, education, students advising, etc._x000D_
_x000D_
Solicitation-specific criteria: The panel agrees that funding this research will help the PI to gain competitiveness in developing his career, and to form an excellent research program._x000D_
_x000D_
Data Management Plan: adequate_x000D_
_x000D_
What is bold, exciting, high risk/reward, or potentially transformative? Deferred-acceptance auctions have great potential to be used in practice, and is one of the most important exports at the intersection of Economics and Computation. Thus forming theoretical foundations for these auctions and forming new auctions of this type is very exciting._x000D_
_x000D_
Suggestions to PI: Greatly expand the broader impacts section of this proposal. For example, describe specifics of the educational plan, like advising students or developing courses._x000D_
_x000D_
Justification for Panel Rating: The panel agreed this is an extremely good proposal, by a very qualified PI, asking concrete, useful, and important questions._x000D_
_x000D_
Panel Rating:_x000D_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</si>
  <si>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Strengths:_x000D_
_x000D_
+ Studying deferred-acceptance auctions is a good thing to do: they have nice important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trend._x000D_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_x000D_
Weaknesses:_x000D_
_x000D_
- Section 3.2 (Bayesian setting) is not as well thought-out as the other research directions. In a Bayesian setting, it is not even clear why DA should be used instead of posted pricing._x000D_
_x000D_
_x000D_
In the context of the five review elements, please _x000D_
evaluate the strengths and weaknesses of the proposal with respect to broader impacts._x000D_
_x000D_
Strengths:_x000D_
_x000D_
+ The design of practical auctions which are easier to get people to use is extremely important; DA auctions have been used in practice, for example the gigantic incentive auction._x000D_
_x000D_
+ This will likely be of interest to Economists._x000D_
_x000D_
Please evaluate the strengths and _x000D_
weaknesses of the proposal with respect to any additional solicitation-specific review criteria, if _x000D_
applicable_x000D_
_x000D_
_x000D_
_x000D_
Summary Statement_x000D_
_x000D_
Very nice concrete research directions from a well-qualified PI, likely to provide both fundamental insights and practical impact, and lead to a further research program._x000D_
_x000D_
_x000D_
</t>
  </si>
  <si>
    <t xml:space="preserve">In the context of the five review elements, please _x000D_
evaluate the strengths and weaknesses of the proposal with respect to intellectual merit._x000D_
_x000D_
This is a nice CRII proposal focusing on designing more practical auctions by extending the well known deferred acceptance (DA) framework for simple settings.  It brings techniques in mechanism design and approximation algorithms together to tackle the challenges. The proposal is full of ideas, for example, it will extend DA to combinatorial auction settings, to allow randomization and to multi-parameter domains. I think the PI has an interesting agenda to pursue._x000D_
_x000D_
In the context of the five review elements, please _x000D_
evaluate the strengths and weaknesses of the proposal with respect to broader impacts._x000D_
_x000D_
+The developed mechanisms may have practical implications on real-world large-scale auctions. _x000D_
+Further foster collaboration of computer scientists and economists. _x000D_
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</si>
  <si>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outlines a number of interesting questions surrounding the task of generalizing the deferred acceptance auction mechanism to a number of settings including obviously strategyproof, settings without money, Bayesian and randomized settings.  The questions, if answered would advance the state of the art in the area of mechanism design and auction design._x000D_
_x000D_
2. To what extent do the proposed activities suggest and explore creative, original, or potentially transformative concepts?_x000D_
_x000D_
Advances in DA auctions, which is a recent advance, may have important impacts in the areas that the PI has identified.  The proposal itself does a good job of drawing out application areas for these mechanisms._x000D_
_x000D_
3. Is the plan for carrying out the proposed activities well-reasoned, well-organized, and based on a sound rationale? Does the plan incorporate a mechanism to assess success?_x000D_
_x000D_
The plan is not clear in terms of time-lines or attack plan but the questions themselves are somewhat orthogonal to each other.  The questions are coherent in terms of being related to a single topic but it is not clear how they interconnect or how results in one would or could be leveraged to attack others._x000D_
_x000D_
4. How well qualified is the individual, team, or institution to conduct the proposed activities?_x000D_
_x000D_
The PI is very well qualified for the proposal and has a track record of obtaining good results and publishing in top quality venues._x000D_
_x000D_
5. Are there adequate resources available to the PI (either at the home institution or through collaborations) to carry out the proposed activities?_x000D_
_x000D_
There are ample resources and the PI has a strong network of collaborators to attack the technical questions addressed in the proposal._x000D_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general space of auction and mechanism design has clear and broad impact across computer science, economics, and various real world applications.  Advancements in these areas could advance a number of beneficial societal outcomes.  However, outside of publishing research results, there is no mechanism described in the current proposal to translate the theoretical results to broad impact._x000D_
_x000D_
2. To what extent do the proposed activities suggest and explore creative, original, or potentially transformative concepts?_x000D_
_x000D_
The broader impacts of the research could be realized through a number of avenues including application to specific problems like spectrum auctions or ad auctions on various platforms.  The specific questions in the proposal would help with these broad impacts if addressed._x000D_
_x000D_
3. Is the plan for carrying out the proposed activities well-reasoned, well-organized, and based on a sound rationale? Does the plan incorporate a mechanism to assess success?_x000D_
_x000D_
While the key questions have the potential for broad impact, no specific mechanisms or avenues are addressed in the current proposal w.r.t. broader impacts.  Additionally almost no mention of teaching or mentoring is made in this proposal._x000D_
_x000D_
4. How well qualified is the individual, team, or institution to conduct the proposed activities?_x000D_
_x000D_
No specific avenues were identified.  However, the PI has a strong track record of success in research and publishing papers on this topic._x000D_
_x000D_
5. Are there adequate resources available to the PI (either at the home institution or through collaborations) to carry out the proposed activities?_x000D_
_x000D_
Yes there are adequate resources for the proposal, however, no specific broader impacts are addressed / funding requested._x000D_
_x000D_
_x000D_
Please evaluate the strengths and _x000D_
weaknesses of the proposal with respect to any additional solicitation-specific review criteria, if _x000D_
applicable_x000D_
_x000D_
_x000D_
_x000D_
Summary Statement_x000D_
_x000D_
An interesting proposal with a good research question centered on extending the deferred acceptance auction framework to a number of important and interesting directions.  The proposal lacks clear time-lines for the particular research thrusts and also does not include clear mechanisms for translating the theoretical research into broader impacts through the proposal activities._x000D_
_x000D_
_x000D_
</t>
  </si>
  <si>
    <t>As the world becomes increasingly interconnected, an unprecedented number of auctions needs to take place to ensure the efficient utilization of its scarce resources. On a daily basis, human and software agents compete for an extremely diverse set of resources, ranging from the advertising space on a website and the goods sold on Ebay, to the electrical power supply that supports big cities and the landing slots of the world's busiest airports. Were it not for the auctions that regulate these resource allocation processes, massive amounts of social utility would be wasted; hence, it is imperative that these auctions are designed to the highest standard. Some of the optimization problems involved in designing such resource allocation mechanisms can be highly demanding from a computational standpoint. In reality, the design process is even more challenging, as the agents competing for these resources may be strategic and have their own interests at heart. _x000D_
_x000D_
This proposal approaches such resource allocation problems from the perspective of the designer who chooses the rules of the auction aiming to maximize her own objectives, such as efficiency, revenue, or fairness, despite the strategic behavior of the participants. The long literature on game theory and mechanism design has produced several celebrated auctions that maximize these objectives while, at the same time, providing attractive theoretical guarantees regarding the incentives of the participating agents, but many of these auctions are rarely used in practice. Two important drawbacks that render these auctions impractical are that: i) it may be non-trivial for the bidders to verify these auctions' incentive guarantees, and ii) they often require that the bidders reveal too much of their private data._x000D_
_x000D_
The long-term goal of this project is to develop a deeper understanding of the performance guarantees that an auction designer can achieve using practical auctions that avoid these drawbacks. Recent work by economists has proposed refined incentive properties that non-experts can verify, as well as a framework for designing auctions that satisfy these incentive properties. The proposed research problems aim to evaluate the performance of these auctions from the standpoint of approximation algorithms, and to extend the auction design framework to capture a much wider family of problem instances.The proposed research combines techniques from approximation algorithms and mechanism design to lay the foundations for the design of practical auctions that approximate well-studied economic objectives. The main thrust of this project aims to generalize the deferred-acceptance framework, proposed by economists, thus significantly expanding its applicability. These generalizations will then be used to design novel auctions for canonical resource allocation problems.This project will develop a deeper understanding of the power and limitations of auctions that guarantee highly desired incentive properties. Furthermore, it will provide a set of algorithmic tools that an auction designer can use in order to produce high-performance auctions that provide a simple interface and clear incentives to the participating bidders. This work combines ideas recently proposed within the economics literature with the computer science perspective of approximation algorithms, and it is thus likely to generate collaborations at the interface of computer science and economics.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t>
  </si>
  <si>
    <t>1756014</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</si>
  <si>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</si>
  <si>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</si>
  <si>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</si>
  <si>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</si>
  <si>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Michael</t>
  </si>
  <si>
    <t>E/V,V,V</t>
  </si>
  <si>
    <t>Johns Hopkins University</t>
  </si>
  <si>
    <t>MT</t>
  </si>
  <si>
    <t>DC</t>
  </si>
  <si>
    <t>Georgetown University</t>
  </si>
  <si>
    <t>Stanford University</t>
  </si>
  <si>
    <t>Indiana University</t>
  </si>
  <si>
    <t>Brown University</t>
  </si>
  <si>
    <t>V,V/G,G</t>
  </si>
  <si>
    <t>University of Utah</t>
  </si>
  <si>
    <t>Montana State University</t>
  </si>
  <si>
    <t>NJ</t>
  </si>
  <si>
    <t>Princeton University</t>
  </si>
  <si>
    <t>G,G/F,F</t>
  </si>
  <si>
    <t>V,G,G</t>
  </si>
  <si>
    <t>E,E,E/V</t>
  </si>
  <si>
    <t>Rutgers Univ New Brunswick</t>
  </si>
  <si>
    <t>Boston University</t>
  </si>
  <si>
    <t>AZ</t>
  </si>
  <si>
    <t>05020000</t>
  </si>
  <si>
    <t>IIS</t>
  </si>
  <si>
    <t>E,E/V,V,G,G</t>
  </si>
  <si>
    <t>CAREER: Scaling Computation via Massively Distributed Algorithms</t>
  </si>
  <si>
    <t>bmoseley@seas.wustl.edu</t>
  </si>
  <si>
    <t>Sungjin</t>
  </si>
  <si>
    <t>U of Cal - Merced</t>
  </si>
  <si>
    <t>CAREER: New Algorithmic Foundations for Online Scheduling</t>
  </si>
  <si>
    <t>sim3@ucmerced.edu</t>
  </si>
  <si>
    <t>Aaron</t>
  </si>
  <si>
    <t>CAREER: Theory of Fast Graph Optimization</t>
  </si>
  <si>
    <t>sidford@stanford.edu</t>
  </si>
  <si>
    <t>1045 7927</t>
  </si>
  <si>
    <t>Omri</t>
  </si>
  <si>
    <t>E,V,V,G</t>
  </si>
  <si>
    <t>CAREER: Information Theoretic Methods for Understanding Computation</t>
  </si>
  <si>
    <t>omri@cs.columbia.edu</t>
  </si>
  <si>
    <t>CAREER: The Polynomial Method in Complexity and Cryptography</t>
  </si>
  <si>
    <t>jt1157@georgetown.edu</t>
  </si>
  <si>
    <t>Meisam</t>
  </si>
  <si>
    <t>V,G,G,G,G,G/F,G/F,G/F,F</t>
  </si>
  <si>
    <t>CAREER: Large Scale Mixture Models: Theory, Algorithms, and Applications in Computational Biology</t>
  </si>
  <si>
    <t>razaviya@usc.edu</t>
  </si>
  <si>
    <t>Shi</t>
  </si>
  <si>
    <t>CAREER: CCF: Approximate Scheduling Algorithms via Mathematical Relaxations</t>
  </si>
  <si>
    <t>shil@buffalo.edu</t>
  </si>
  <si>
    <t>Viswanath</t>
  </si>
  <si>
    <t>CAREER: New Mathematical Programming Techniques in Approximation and Online Algorithms</t>
  </si>
  <si>
    <t>viswa@umich.edu</t>
  </si>
  <si>
    <t>Debmalya</t>
  </si>
  <si>
    <t>E,E/V,V,V</t>
  </si>
  <si>
    <t>CAREER: New Directions in Graph Algorithms</t>
  </si>
  <si>
    <t>debmalya.panigrahi@gmail.com</t>
  </si>
  <si>
    <t>CAREER: Optimizing Distances: Compression and Network Design</t>
  </si>
  <si>
    <t>mdinitz@cs.jhu.edu</t>
  </si>
  <si>
    <t>Alina</t>
  </si>
  <si>
    <t>E,E/V,E/V,G</t>
  </si>
  <si>
    <t>CAREER: New Algorithms for Submodular Optimization</t>
  </si>
  <si>
    <t>aene@bu.edu</t>
  </si>
  <si>
    <t>1045 7926 9150</t>
  </si>
  <si>
    <t>V,G,G/F,G/F</t>
  </si>
  <si>
    <t>CAREER: Sublinear Algorithms on Flaky Data</t>
  </si>
  <si>
    <t>pvaliant@gmail.com</t>
  </si>
  <si>
    <t>1045 7932</t>
  </si>
  <si>
    <t>Ruta</t>
  </si>
  <si>
    <t>E,V,V,V/G</t>
  </si>
  <si>
    <t>CAREER: Equilibrium Computation and Other Total Search Problems</t>
  </si>
  <si>
    <t>rutameht@illinois.edu</t>
  </si>
  <si>
    <t>Gillat</t>
  </si>
  <si>
    <t>E,V,V,V,V/G,G,G,G,G</t>
  </si>
  <si>
    <t>CAREER: Communication, Information, and Interactive Compression</t>
  </si>
  <si>
    <t>gillat.kol@gmail.com</t>
  </si>
  <si>
    <t>Sharath</t>
  </si>
  <si>
    <t>E/V,V,V/G,G</t>
  </si>
  <si>
    <t>CAREER:Robust and Optimal Algorithms for Real-Time Pick-Up and Delivery Problems</t>
  </si>
  <si>
    <t>sharathr@vt.edu</t>
  </si>
  <si>
    <t>Moritz</t>
  </si>
  <si>
    <t>E,E,E,E/V</t>
  </si>
  <si>
    <t>CAREER: Stable Foundations for Reliable Machine Learning</t>
  </si>
  <si>
    <t xml:space="preserve"> hardt@eecs.berkeley.edu</t>
  </si>
  <si>
    <t>Jonathan</t>
  </si>
  <si>
    <t>Northeastern University</t>
  </si>
  <si>
    <t>E,E,E/V,E/V</t>
  </si>
  <si>
    <t>CAREER:A Stable Foundation for Trustworthy Data Analysis</t>
  </si>
  <si>
    <t>jullman@ccs.neu.edu</t>
  </si>
  <si>
    <t>Pranjal</t>
  </si>
  <si>
    <t>CAREER: Towards provably robust algorithms for unsupervised learning: A distribution-free approach</t>
  </si>
  <si>
    <t>pranjal.iitm@gmail.com</t>
  </si>
  <si>
    <t>Huy</t>
  </si>
  <si>
    <t>E,E/V,V,V/G</t>
  </si>
  <si>
    <t>CAREER: Faster and Smaller Sketches for Bigger Data</t>
  </si>
  <si>
    <t>hu.nguyen@neu.edu</t>
  </si>
  <si>
    <t>Bernhard</t>
  </si>
  <si>
    <t>E,E,E,E/V,E/V,V,V,G</t>
  </si>
  <si>
    <t>CAREER: A Theory of Error Correction for Interactive Communication</t>
  </si>
  <si>
    <t>haeupler@cs.cmu.edu</t>
  </si>
  <si>
    <t>Ning</t>
  </si>
  <si>
    <t>Florida International Univ</t>
  </si>
  <si>
    <t>G,F,F,F</t>
  </si>
  <si>
    <t>CAREER: A Study of Some Problems in Boolean Function Analysis</t>
  </si>
  <si>
    <t>nxie@cs.fiu.edu</t>
  </si>
  <si>
    <t>Eric</t>
  </si>
  <si>
    <t>CAREER:Fundamental algorithms for data-limited problems</t>
  </si>
  <si>
    <t>ecprice@cs.utexas.edu</t>
  </si>
  <si>
    <t>Periklis</t>
  </si>
  <si>
    <t>Rutgers U Newark</t>
  </si>
  <si>
    <t>V/G,G,G/F,F</t>
  </si>
  <si>
    <t>CAREER: New directions in the foundations of heuristics in machine learning and constraint satisfaction</t>
  </si>
  <si>
    <t>periklis.research@gmail.com</t>
  </si>
  <si>
    <t>Vasilis</t>
  </si>
  <si>
    <t>Drexel University</t>
  </si>
  <si>
    <t>CAREER: Optimal Mechanism Design without Monetary Transfers</t>
  </si>
  <si>
    <t>gkatz@drexel.edu</t>
  </si>
  <si>
    <t>1045 7934 9150</t>
  </si>
  <si>
    <t>Maxwell</t>
  </si>
  <si>
    <t>Mississippi State Univ</t>
  </si>
  <si>
    <t>E,G,G,G/F</t>
  </si>
  <si>
    <t>CAREER: How to Share a Channel with Friends and Foes: Algorithm Design and Validation for Contention Resolution</t>
  </si>
  <si>
    <t>maxwelly@outlook.com</t>
  </si>
  <si>
    <t>Aditya</t>
  </si>
  <si>
    <t>CAREER: Theoretical Machine Learning: Algorithms and Complexity</t>
  </si>
  <si>
    <t>bhaskara@cs.utah.edu</t>
  </si>
  <si>
    <t>1045 7929 9150</t>
  </si>
  <si>
    <t>Brittany</t>
  </si>
  <si>
    <t>CAREER: Foundations and Applications of Statistics in TDA</t>
  </si>
  <si>
    <t>brittany@cs.montana.edu</t>
  </si>
  <si>
    <t>Nodari</t>
  </si>
  <si>
    <t>CAREER: Locality-Conscious Parallel Algorithms</t>
  </si>
  <si>
    <t>nodari@hawaii.edu</t>
  </si>
  <si>
    <t>CRII FY18</t>
  </si>
  <si>
    <t>7495 8228</t>
  </si>
  <si>
    <t>Anirudha</t>
  </si>
  <si>
    <t>E/V,E/V,E/V,G,G,G/F,F</t>
  </si>
  <si>
    <t>CRII: RI: Memory-efficient Representations for Robot Tasks: Lower Bounds and Scalable Algorithms</t>
  </si>
  <si>
    <t>ani.majumdar@princeton.edu</t>
  </si>
  <si>
    <t>Weitian</t>
  </si>
  <si>
    <t>Ga. Southern Univ. R&amp;S Fdn</t>
  </si>
  <si>
    <t>CRII: AF: Practical Privacy-preserving Mechanisms under Differential Privacy and Smoothed Analysis</t>
  </si>
  <si>
    <t>wtong@georgiasouthern.edu</t>
  </si>
  <si>
    <t>Kai</t>
  </si>
  <si>
    <t>CRII: AF: fast maximum edge-weight clique solvers and their applications</t>
  </si>
  <si>
    <t>kwang@georgiasouthern.edu</t>
  </si>
  <si>
    <t>CRII:AF: Data Oriented Multi-Arm Bandit Algorithms</t>
  </si>
  <si>
    <t>yzhoucs@indiana.edu</t>
  </si>
  <si>
    <t>7932 8228</t>
  </si>
  <si>
    <t>Jugal</t>
  </si>
  <si>
    <t>CRII: AF: Strongly Polynomial Algorithms for Market Equilibria with Applications to Network Flows and Nash Social Welfare</t>
  </si>
  <si>
    <t>jugal@illinois.edu</t>
  </si>
  <si>
    <t>Mayank</t>
  </si>
  <si>
    <t>CUNY Queens College</t>
  </si>
  <si>
    <t>V,V,V</t>
  </si>
  <si>
    <t>CRII: AF: RUI: Faster and Cache-Efficient Similarity Filters and Searches for Big Data</t>
  </si>
  <si>
    <t>Mayank.Goswami@qc.cuny.edu</t>
  </si>
  <si>
    <t>Tuo</t>
  </si>
  <si>
    <t>V,G,G,G,G,G,F</t>
  </si>
  <si>
    <t>CRII:RI Model-based Nonconvex Optimization for Efficient and Scalable Representation Learning from Massive Data</t>
  </si>
  <si>
    <t>tzhao80@gatech.edu</t>
  </si>
  <si>
    <t>Rochester Inst of Tech</t>
  </si>
  <si>
    <t>CRII: AF: Fair and Truthful Mechanisms for Sequential Matching Under Uncertainty</t>
  </si>
  <si>
    <t>hhvcs@rit.edu</t>
  </si>
  <si>
    <t>7927 8228</t>
  </si>
  <si>
    <t>CRII:AF:Linear-Algebraic Pseudorandomness</t>
  </si>
  <si>
    <t>miforbes@illinois.edu</t>
  </si>
  <si>
    <t>Adolfo</t>
  </si>
  <si>
    <t>Arizona State University</t>
  </si>
  <si>
    <t>V/G,G,G/F</t>
  </si>
  <si>
    <t>CRII: AF: Robust Algorithmic Foundations for the Impartial Aggregation of Incomplete Ranking Data</t>
  </si>
  <si>
    <t>adres@asu.edu</t>
  </si>
  <si>
    <t>CRII: AF: Practical Auction Design using the Deferred-Acceptance Framework</t>
  </si>
  <si>
    <t>U of Houston</t>
  </si>
  <si>
    <t>CRII: AF: Polynomial Time Approximation Schemes Subexponential in the Parameter</t>
  </si>
  <si>
    <t>lchen49@central.uh.edu</t>
  </si>
  <si>
    <t xml:space="preserve"> E/V,V,V</t>
  </si>
  <si>
    <t xml:space="preserve"> G,F,F</t>
  </si>
  <si>
    <t xml:space="preserve"> V,V/G,G</t>
  </si>
  <si>
    <t xml:space="preserve"> G,G/F,F</t>
  </si>
  <si>
    <t xml:space="preserve"> V,G,G</t>
  </si>
  <si>
    <t xml:space="preserve"> E,E,E/V</t>
  </si>
  <si>
    <t>Div Of Information &amp; Intelligent Systems</t>
  </si>
  <si>
    <t>Weng-keen Wong</t>
  </si>
  <si>
    <t xml:space="preserve"> E,E/V,V,G,G</t>
  </si>
  <si>
    <t>Rahul Shah</t>
  </si>
  <si>
    <t xml:space="preserve">bmoseley@seas.wustl.edu      </t>
  </si>
  <si>
    <t xml:space="preserve">sim3@ucmerced.edu      </t>
  </si>
  <si>
    <t xml:space="preserve">sidford@stanford.edu      </t>
  </si>
  <si>
    <t xml:space="preserve"> E,V,V,G</t>
  </si>
  <si>
    <t xml:space="preserve">omri@cs.columbia.edu      </t>
  </si>
  <si>
    <t xml:space="preserve">jt1157@georgetown.edu      </t>
  </si>
  <si>
    <t xml:space="preserve"> G</t>
  </si>
  <si>
    <t xml:space="preserve"> G,G,G   ,F</t>
  </si>
  <si>
    <t>Comp Bio Career Virtual Panel</t>
  </si>
  <si>
    <t xml:space="preserve"> V    ,G/F,G/F,G/F</t>
  </si>
  <si>
    <t>5 rated projects: 1 HC, 2 C, 2 LC</t>
  </si>
  <si>
    <t xml:space="preserve">razaviya@usc.edu      </t>
  </si>
  <si>
    <t xml:space="preserve">shil@buffalo.edu      </t>
  </si>
  <si>
    <t xml:space="preserve">viswa@umich.edu      </t>
  </si>
  <si>
    <t xml:space="preserve"> E,E/V,V,V</t>
  </si>
  <si>
    <t xml:space="preserve">debmalya.panigrahi@gmail.com      </t>
  </si>
  <si>
    <t xml:space="preserve">mdinitz@cs.jhu.edu      </t>
  </si>
  <si>
    <t xml:space="preserve"> E,E/V,E/V,G</t>
  </si>
  <si>
    <t xml:space="preserve">aene@bu.edu      </t>
  </si>
  <si>
    <t xml:space="preserve"> V,G,G/F,G/F</t>
  </si>
  <si>
    <t xml:space="preserve">pvaliant@gmail.com      </t>
  </si>
  <si>
    <t xml:space="preserve"> E,V,V,V/G</t>
  </si>
  <si>
    <t xml:space="preserve">rutameht@illinois.edu      </t>
  </si>
  <si>
    <t>CIF CAREER IT-COMM Panel</t>
  </si>
  <si>
    <t xml:space="preserve"> V/G,G,G,G,G</t>
  </si>
  <si>
    <t>17 rated projects: 3 HC, 3 C, 7 LC, 4 NC</t>
  </si>
  <si>
    <t xml:space="preserve">gillat.kol@gmail.com      </t>
  </si>
  <si>
    <t xml:space="preserve"> E/V,V,V/G,G</t>
  </si>
  <si>
    <t xml:space="preserve">sharathr@vt.edu      </t>
  </si>
  <si>
    <t xml:space="preserve"> E,E,E,E/V</t>
  </si>
  <si>
    <t xml:space="preserve"> hardt@eecs.berkeley.edu      </t>
  </si>
  <si>
    <t xml:space="preserve"> E,E,E/V,E/V</t>
  </si>
  <si>
    <t xml:space="preserve">jullman@ccs.neu.edu      </t>
  </si>
  <si>
    <t xml:space="preserve">pranjal.iitm@gmail.com      </t>
  </si>
  <si>
    <t xml:space="preserve"> E,E/V,V,V/G</t>
  </si>
  <si>
    <t xml:space="preserve">hu.nguyen@neu.edu      </t>
  </si>
  <si>
    <t xml:space="preserve"> E,E  ,V,V</t>
  </si>
  <si>
    <t xml:space="preserve"> E  ,E/V,E/V  ,G</t>
  </si>
  <si>
    <t xml:space="preserve">haeupler@cs.cmu.edu      </t>
  </si>
  <si>
    <t xml:space="preserve"> F</t>
  </si>
  <si>
    <t xml:space="preserve">nxie@cs.fiu.edu      </t>
  </si>
  <si>
    <t xml:space="preserve">ecprice@cs.utexas.edu      </t>
  </si>
  <si>
    <t xml:space="preserve"> V/G,G,G/F,F</t>
  </si>
  <si>
    <t xml:space="preserve">periklis.research@gmail.com      </t>
  </si>
  <si>
    <t xml:space="preserve">gkatz@drexel.edu      </t>
  </si>
  <si>
    <t xml:space="preserve"> E,G,G,G/F</t>
  </si>
  <si>
    <t xml:space="preserve">maxwelly@outlook.com      </t>
  </si>
  <si>
    <t xml:space="preserve">bhaskara@cs.utah.edu      </t>
  </si>
  <si>
    <t xml:space="preserve">brittany@cs.montana.edu      </t>
  </si>
  <si>
    <t xml:space="preserve">nodari@hawaii.edu      </t>
  </si>
  <si>
    <t>CRII Robotics: Reid</t>
  </si>
  <si>
    <t xml:space="preserve"> E/V,E/V,E/V,G</t>
  </si>
  <si>
    <t>15 rated projects: 2 HC, 3 C, 10 LC</t>
  </si>
  <si>
    <t>Reid Simmons</t>
  </si>
  <si>
    <t xml:space="preserve">ani.majumdar@princeton.edu      </t>
  </si>
  <si>
    <t xml:space="preserve">wtong@georgiasouthern.edu      </t>
  </si>
  <si>
    <t xml:space="preserve">kwang@georgiasouthern.edu      </t>
  </si>
  <si>
    <t xml:space="preserve">yzhoucs@indiana.edu      </t>
  </si>
  <si>
    <t xml:space="preserve">jugal@illinois.edu      </t>
  </si>
  <si>
    <t xml:space="preserve"> V,V,V</t>
  </si>
  <si>
    <t xml:space="preserve">Mayank.Goswami@qc.cuny.edu      </t>
  </si>
  <si>
    <t>CRII- Weng-keen</t>
  </si>
  <si>
    <t xml:space="preserve"> V   ,G ,F</t>
  </si>
  <si>
    <t>21 rated projects , 7 C, 14 LC</t>
  </si>
  <si>
    <t xml:space="preserve"> G,G  ,G</t>
  </si>
  <si>
    <t xml:space="preserve">tzhao80@gatech.edu      </t>
  </si>
  <si>
    <t xml:space="preserve">hhvcs@rit.edu      </t>
  </si>
  <si>
    <t xml:space="preserve">miforbes@illinois.edu      </t>
  </si>
  <si>
    <t xml:space="preserve"> V/G,G,G/F</t>
  </si>
  <si>
    <t xml:space="preserve">adres@asu.edu      </t>
  </si>
  <si>
    <t xml:space="preserve">lchen49@central.uh.edu      </t>
  </si>
  <si>
    <t xml:space="preserve">Finland; Hungary      </t>
  </si>
  <si>
    <t xml:space="preserve">Czech Republic; Finland; Swaziland     </t>
  </si>
  <si>
    <t xml:space="preserve">France; Germany; Netherlands; United Kingdom    </t>
  </si>
  <si>
    <t xml:space="preserve">Israel; Japan      </t>
  </si>
  <si>
    <t xml:space="preserve">Hong Kong; United Kingdom; Western Europe     </t>
  </si>
  <si>
    <t xml:space="preserve">Czech Republic; France; Italy; Japan    </t>
  </si>
  <si>
    <t xml:space="preserve">Worldwide       </t>
  </si>
  <si>
    <t>Reviews&amp;panel sums released</t>
  </si>
  <si>
    <t xml:space="preserve">SELECT DISTINCT prop.prop_id, prop.lead_prop_id, prop.pi_id, prop.inst_id, prop.pm_ibm_logn_id as PO, _x000D_
</t>
  </si>
  <si>
    <t>(blank)</t>
  </si>
  <si>
    <t>F:\RAtemplates</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</si>
  <si>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</si>
  <si>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</si>
  <si>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</si>
  <si>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</si>
  <si>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</si>
  <si>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&amp; Make Indicated RA Drafts, as necessary.</t>
  </si>
  <si>
    <t>4. Visit RAData to select Awd/Decl/Std Decl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</si>
</sst>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sz val="11"/>
      <name val="Calibri"/>
    </font>
    <font>
      <b/>
      <sz val="11"/>
      <color rgb="FFFF0000"/>
      <name val="Calibri"/>
      <family val="2"/>
      <scheme val="minor"/>
    </font>
    <font>
      <sz val="12"/>
      <color theme="1"/>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3">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31" fillId="0" borderId="0" xfId="1" applyFont="1"/>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2"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3"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24" fillId="3" borderId="0" xfId="0" applyFont="1" applyFill="1" applyAlignment="1">
      <alignment horizontal="center" vertical="center"/>
    </xf>
    <xf numFmtId="0" fontId="0" fillId="0" borderId="0" xfId="0" applyFill="1" applyAlignment="1">
      <alignment horizontal="center"/>
    </xf>
    <xf numFmtId="0" fontId="32" fillId="0" borderId="0" xfId="1" applyFont="1"/>
  </cellXfs>
  <cellStyles count="6">
    <cellStyle name="Currency" xfId="2" builtinId="4"/>
    <cellStyle name="Hyperlink" xfId="1" builtinId="8"/>
    <cellStyle name="Normal" xfId="0" builtinId="0"/>
    <cellStyle name="Percent" xfId="5" builtinId="5"/>
    <cellStyle name="Subtotal" xfId="4"/>
    <cellStyle name="Subtotal Label" xfId="3"/>
  </cellStyles>
  <dxfs count="277">
    <dxf>
      <fill>
        <patternFill>
          <bgColor rgb="FFFEEFE2"/>
        </patternFill>
      </fill>
    </dxf>
    <dxf>
      <fill>
        <patternFill>
          <bgColor theme="6" tint="0.79998168889431442"/>
        </patternFill>
      </fill>
    </dxf>
    <dxf>
      <border>
        <top style="thin">
          <color auto="1"/>
        </top>
        <vertical/>
        <horizontal/>
      </border>
    </dxf>
    <dxf>
      <fill>
        <patternFill>
          <bgColor theme="5" tint="0.79998168889431442"/>
        </patternFill>
      </fill>
    </dxf>
    <dxf>
      <font>
        <b val="0"/>
        <i/>
        <strike val="0"/>
        <color theme="0" tint="-0.34998626667073579"/>
      </font>
    </dxf>
    <dxf>
      <fill>
        <patternFill>
          <bgColor theme="6" tint="0.79998168889431442"/>
        </patternFill>
      </fill>
    </dxf>
    <dxf>
      <fill>
        <patternFill>
          <bgColor rgb="FFFEFECE"/>
        </patternFill>
      </fill>
    </dxf>
    <dxf>
      <border>
        <top style="thin">
          <color auto="1"/>
        </top>
        <bottom style="thin">
          <color auto="1"/>
        </bottom>
        <vertical/>
        <horizontal/>
      </border>
    </dxf>
    <dxf>
      <fill>
        <patternFill>
          <bgColor rgb="FFFFFCF3"/>
        </patternFill>
      </fill>
    </dxf>
    <dxf>
      <fill>
        <patternFill>
          <bgColor rgb="FFFCF1C8"/>
        </patternFill>
      </fill>
    </dxf>
    <dxf>
      <fill>
        <patternFill>
          <bgColor rgb="FFFFF3D1"/>
        </patternFill>
      </fill>
    </dxf>
    <dxf>
      <fill>
        <patternFill>
          <bgColor theme="5" tint="0.79998168889431442"/>
        </patternFill>
      </fill>
    </dxf>
    <dxf>
      <fill>
        <patternFill>
          <bgColor theme="5" tint="0.79998168889431442"/>
        </patternFill>
      </fill>
    </dxf>
    <dxf>
      <fill>
        <patternFill>
          <bgColor rgb="FFE1FCC8"/>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27" formatCode="m/d/yyyy\ h:mm"/>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strike val="0"/>
        <outline val="0"/>
        <shadow val="0"/>
        <u val="none"/>
        <vertAlign val="baseline"/>
        <sz val="11"/>
        <color rgb="FFFF0000"/>
        <name val="Calibri"/>
        <family val="2"/>
        <scheme val="minor"/>
      </font>
    </dxf>
    <dxf>
      <font>
        <b/>
        <strike val="0"/>
        <outline val="0"/>
        <shadow val="0"/>
        <u val="none"/>
        <vertAlign val="baseline"/>
        <sz val="11"/>
        <color rgb="FFFF0000"/>
        <name val="Calibri"/>
        <family val="2"/>
        <scheme val="minor"/>
      </font>
    </dxf>
    <dxf>
      <font>
        <b/>
        <strike val="0"/>
        <outline val="0"/>
        <shadow val="0"/>
        <u val="none"/>
        <vertAlign val="baseline"/>
        <sz val="11"/>
        <color rgb="FFFF0000"/>
        <name val="Calibri"/>
        <family val="2"/>
        <scheme val="minor"/>
      </font>
    </dxf>
    <dxf>
      <font>
        <b/>
        <strike val="0"/>
        <outline val="0"/>
        <shadow val="0"/>
        <u val="none"/>
        <vertAlign val="baseline"/>
        <sz val="11"/>
        <color rgb="FFFF0000"/>
        <name val="Calibri"/>
        <family val="2"/>
        <scheme val="minor"/>
      </font>
    </dxf>
    <dxf>
      <numFmt numFmtId="168" formatCode="mm/dd/yy\ hh:mm"/>
    </dxf>
    <dxf>
      <numFmt numFmtId="168" formatCode="mm/dd/yy\ hh:mm"/>
    </dxf>
    <dxf>
      <numFmt numFmtId="2" formatCode="0.00"/>
    </dxf>
    <dxf>
      <font>
        <b/>
        <strike val="0"/>
        <outline val="0"/>
        <shadow val="0"/>
        <u val="none"/>
        <vertAlign val="baseline"/>
        <sz val="11"/>
        <color rgb="FFFF0000"/>
        <name val="Calibri"/>
        <family val="2"/>
        <scheme val="minor"/>
      </font>
    </dxf>
    <dxf>
      <numFmt numFmtId="165" formatCode="mm/dd/yy;@"/>
    </dxf>
    <dxf>
      <numFmt numFmtId="0" formatCode="General"/>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76"/>
      <tableStyleElement type="headerRow" dxfId="275"/>
      <tableStyleElement type="totalRow" dxfId="274"/>
      <tableStyleElement type="firstRowStripe" dxfId="273"/>
    </tableStyle>
    <tableStyle name="OmitTableStyle" pivot="0" count="6">
      <tableStyleElement type="wholeTable" dxfId="272"/>
      <tableStyleElement type="headerRow" dxfId="271"/>
      <tableStyleElement type="totalRow" dxfId="270"/>
      <tableStyleElement type="firstColumn" dxfId="269"/>
      <tableStyleElement type="lastColumn" dxfId="268"/>
      <tableStyleElement type="firstRowStripe" dxfId="267"/>
    </tableStyle>
    <tableStyle name="TableFall" pivot="0" count="4">
      <tableStyleElement type="wholeTable" dxfId="266"/>
      <tableStyleElement type="headerRow" dxfId="265"/>
      <tableStyleElement type="totalRow" dxfId="264"/>
      <tableStyleElement type="firstRowStripe" dxfId="263"/>
    </tableStyle>
    <tableStyle name="TableStyleMedium3 2" pivot="0" count="7">
      <tableStyleElement type="wholeTable" dxfId="262"/>
      <tableStyleElement type="headerRow" dxfId="261"/>
      <tableStyleElement type="totalRow" dxfId="260"/>
      <tableStyleElement type="firstColumn" dxfId="259"/>
      <tableStyleElement type="lastColumn" dxfId="258"/>
      <tableStyleElement type="firstRowStripe" dxfId="257"/>
      <tableStyleElement type="firstColumnStripe" dxfId="256"/>
    </tableStyle>
    <tableStyle name="TableStyleMedium7 2" pivot="0" count="7">
      <tableStyleElement type="wholeTable" dxfId="255"/>
      <tableStyleElement type="headerRow" dxfId="254"/>
      <tableStyleElement type="totalRow" dxfId="253"/>
      <tableStyleElement type="firstColumn" dxfId="252"/>
      <tableStyleElement type="lastColumn" dxfId="251"/>
      <tableStyleElement type="firstRowStripe" dxfId="250"/>
      <tableStyleElement type="firstColumnStripe" dxfId="249"/>
    </tableStyle>
  </tableStyles>
  <colors>
    <mruColors>
      <color rgb="FFFBC3AF"/>
      <color rgb="FFFBCEAF"/>
      <color rgb="FFE1FCC8"/>
      <color rgb="FFE0FBB3"/>
      <color rgb="FFEBF9ED"/>
      <color rgb="FFFFF3D1"/>
      <color rgb="FFFFF9E7"/>
      <color rgb="FFFFF9E5"/>
      <color rgb="FFF8DCDD"/>
      <color rgb="FFFBFD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3" lockText="1"/>
</file>

<file path=xl/ctrlProps/ctrlProp5.xml><?xml version="1.0" encoding="utf-8"?>
<formControlPr xmlns="http://schemas.microsoft.com/office/spreadsheetml/2009/9/main" objectType="Radio" firstButton="1" fmlaLink="J2" lockText="1"/>
</file>

<file path=xl/ctrlProps/ctrlProp6.xml><?xml version="1.0" encoding="utf-8"?>
<formControlPr xmlns="http://schemas.microsoft.com/office/spreadsheetml/2009/9/main" objectType="Radio" checked="Checked"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5" dropStyle="combo" dx="35" fmlaLink="HiddenSettings!$E$6" fmlaRange="HiddenSettings!$D$7:$D$11" sel="2"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2"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2</xdr:row>
          <xdr:rowOff>21771</xdr:rowOff>
        </xdr:from>
        <xdr:to>
          <xdr:col>5</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7</xdr:col>
      <xdr:colOff>219075</xdr:colOff>
      <xdr:row>0</xdr:row>
      <xdr:rowOff>0</xdr:rowOff>
    </xdr:from>
    <xdr:to>
      <xdr:col>10</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4590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168729</xdr:colOff>
          <xdr:row>2</xdr:row>
          <xdr:rowOff>87086</xdr:rowOff>
        </xdr:from>
        <xdr:to>
          <xdr:col>12</xdr:col>
          <xdr:colOff>1883229</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108857</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16</xdr:col>
      <xdr:colOff>949723</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152401</xdr:colOff>
          <xdr:row>0</xdr:row>
          <xdr:rowOff>70757</xdr:rowOff>
        </xdr:from>
        <xdr:to>
          <xdr:col>16</xdr:col>
          <xdr:colOff>898072</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10</xdr:col>
          <xdr:colOff>10886</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954141</xdr:colOff>
      <xdr:row>0</xdr:row>
      <xdr:rowOff>0</xdr:rowOff>
    </xdr:from>
    <xdr:to>
      <xdr:col>6</xdr:col>
      <xdr:colOff>251732</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076855"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440063</xdr:colOff>
      <xdr:row>24</xdr:row>
      <xdr:rowOff>82276</xdr:rowOff>
    </xdr:from>
    <xdr:to>
      <xdr:col>4</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3</xdr:col>
      <xdr:colOff>508472</xdr:colOff>
      <xdr:row>24</xdr:row>
      <xdr:rowOff>46421</xdr:rowOff>
    </xdr:from>
    <xdr:to>
      <xdr:col>4</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1</xdr:col>
      <xdr:colOff>615834</xdr:colOff>
      <xdr:row>24</xdr:row>
      <xdr:rowOff>748</xdr:rowOff>
    </xdr:from>
    <xdr:to>
      <xdr:col>3</xdr:col>
      <xdr:colOff>302342</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223157</xdr:colOff>
          <xdr:row>22</xdr:row>
          <xdr:rowOff>10886</xdr:rowOff>
        </xdr:from>
        <xdr:to>
          <xdr:col>5</xdr:col>
          <xdr:colOff>261257</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97971</xdr:colOff>
          <xdr:row>4</xdr:row>
          <xdr:rowOff>195943</xdr:rowOff>
        </xdr:from>
        <xdr:to>
          <xdr:col>2</xdr:col>
          <xdr:colOff>163286</xdr:colOff>
          <xdr:row>6</xdr:row>
          <xdr:rowOff>21772</xdr:rowOff>
        </xdr:to>
        <xdr:sp macro="" textlink="">
          <xdr:nvSpPr>
            <xdr:cNvPr id="1058" name="Button 34" hidden="1">
              <a:extLst>
                <a:ext uri="{63B3BB69-23CF-44E3-9099-C40C66FF867C}">
                  <a14:compatExt spid="_x0000_s1058"/>
                </a:ext>
                <a:ext uri="{FF2B5EF4-FFF2-40B4-BE49-F238E27FC236}">
                  <a16:creationId xmlns:a16="http://schemas.microsoft.com/office/drawing/2014/main" id="{DD9C0706-E3F6-4F38-9C36-40E0D499A7C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75.410476157405" createdVersion="6" refreshedVersion="6" minRefreshableVersion="3" recordCount="52">
  <cacheSource type="worksheet">
    <worksheetSource name="RADataTable"/>
  </cacheSource>
  <cacheFields count="133">
    <cacheField name="dd_rcom_date" numFmtId="165">
      <sharedItems containsNonDate="0" containsDate="1" containsString="0" containsBlank="1" minDate="2000-01-01T00:00:00" maxDate="2017-11-27T08:33:00"/>
    </cacheField>
    <cacheField name="nsf_rcvd_date" numFmtId="168">
      <sharedItems containsSemiMixedTypes="0" containsNonDate="0" containsDate="1" containsString="0" minDate="2000-01-01T00:00:00" maxDate="2017-08-23T17:29: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17-12-06T08:16:42"/>
    </cacheField>
    <cacheField name="nPanl" numFmtId="0">
      <sharedItems containsSemiMixedTypes="0" containsString="0" containsNumber="1" containsInteger="1" minValue="0" maxValue="3"/>
    </cacheField>
    <cacheField name="RecRkMin" numFmtId="2">
      <sharedItems containsSemiMixedTypes="0" containsString="0" containsNumber="1" minValue="-0.99999998999999995" maxValue="4"/>
    </cacheField>
    <cacheField name="rec0" numFmtId="0">
      <sharedItems containsBlank="1"/>
    </cacheField>
    <cacheField name="rec1" numFmtId="0">
      <sharedItems containsBlank="1"/>
    </cacheField>
    <cacheField name="rec2" numFmtId="0">
      <sharedItems containsBlank="1"/>
    </cacheField>
    <cacheField name="RAtemplate" numFmtId="49">
      <sharedItems count="6">
        <s v="zztemplateFname RAt.docx"/>
        <s v=" "/>
        <s v="Awd RAt.docx"/>
        <s v="Decline RAt.docx"/>
        <s v="Std Decline RAt.docx"/>
        <s v="templateFilename_RAt.docx"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11"/>
    </cacheField>
    <cacheField name="Nunmkd" numFmtId="0">
      <sharedItems containsString="0" containsBlank="1" containsNumber="1" containsInteger="1" minValue="0" maxValue="11"/>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9"/>
    </cacheField>
    <cacheField name="avg_score" numFmtId="2">
      <sharedItems containsSemiMixedTypes="0" containsString="0" containsNumber="1" minValue="2" maxValue="9"/>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03T12:14:00"/>
    </cacheField>
    <cacheField name="rqst_tot" numFmtId="166">
      <sharedItems containsSemiMixedTypes="0" containsString="0" containsNumber="1" containsInteger="1" minValue="269021" maxValue="99999999"/>
    </cacheField>
    <cacheField name="budg_tot" numFmtId="166">
      <sharedItems containsSemiMixedTypes="0" containsString="0" containsNumber="1" containsInteger="1" minValue="269021" maxValue="99999999"/>
    </cacheField>
    <cacheField name="budRevnMax" numFmtId="0">
      <sharedItems containsSemiMixedTypes="0" containsString="0" containsNumber="1" containsInteger="1" minValue="0" maxValue="1"/>
    </cacheField>
    <cacheField name="rqst_eff_date" numFmtId="165">
      <sharedItems containsSemiMixedTypes="0" containsNonDate="0" containsDate="1" containsString="0" minDate="2000-01-01T00:00:00" maxDate="2018-09-16T00:00:00"/>
    </cacheField>
    <cacheField name="rqst_mnth_cnt" numFmtId="0">
      <sharedItems containsSemiMixedTypes="0" containsString="0" containsNumber="1" containsInteger="1" minValue="36" maxValue="60"/>
    </cacheField>
    <cacheField name="prop_titl_txt" numFmtId="0">
      <sharedItems/>
    </cacheField>
    <cacheField name="AhNrev" numFmtId="0">
      <sharedItems containsString="0" containsBlank="1" containsNumber="1" containsInteger="1" minValue="0" maxValue="0"/>
    </cacheField>
    <cacheField name="AhRevs" numFmtId="0">
      <sharedItems containsBlank="1"/>
    </cacheField>
    <cacheField name="AhLast" numFmtId="165">
      <sharedItems containsNonDate="0" containsDate="1" containsString="0" containsBlank="1" minDate="2000-01-01T00:00:00" maxDate="2000-01-02T00:00:00"/>
    </cacheField>
    <cacheField name="panl_id0" numFmtId="0">
      <sharedItems/>
    </cacheField>
    <cacheField name="RCOM_TXT0" numFmtId="0">
      <sharedItems containsBlank="1"/>
    </cacheField>
    <cacheField name="rank0" numFmtId="0">
      <sharedItems containsString="0" containsBlank="1" containsNumber="1" containsInteger="1" minValue="2" maxValue="99"/>
    </cacheField>
    <cacheField name="panl_name0" numFmtId="0">
      <sharedItems/>
    </cacheField>
    <cacheField name="panl_end0" numFmtId="165">
      <sharedItems containsSemiMixedTypes="0" containsNonDate="0" containsDate="1" containsString="0" minDate="2000-01-01T00:00:00" maxDate="2017-11-04T00:00:00"/>
    </cacheField>
    <cacheField name="revs0" numFmtId="0">
      <sharedItems/>
    </cacheField>
    <cacheField name="PanlString0" numFmtId="0">
      <sharedItems/>
    </cacheField>
    <cacheField name="pnlst0" numFmtId="0">
      <sharedItems containsSemiMixedTypes="0" containsString="0" containsNumber="1" containsInteger="1" minValue="0" maxValue="13"/>
    </cacheField>
    <cacheField name="confl0" numFmtId="0">
      <sharedItems containsSemiMixedTypes="0" containsString="0" containsNumber="1" containsInteger="1" minValue="0" maxValue="3"/>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17-11-04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13"/>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1" maxValue="99"/>
    </cacheField>
    <cacheField name="panl_name2" numFmtId="0">
      <sharedItems containsBlank="1"/>
    </cacheField>
    <cacheField name="panl_end2" numFmtId="165">
      <sharedItems containsNonDate="0" containsDate="1" containsString="0" containsBlank="1" minDate="2000-01-01T00:00:00" maxDate="2017-11-04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13"/>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69021" maxValue="99999999"/>
    </cacheField>
    <cacheField name="b0tot" numFmtId="166">
      <sharedItems containsSemiMixedTypes="0" containsString="0" containsNumber="1" containsInteger="1" minValue="269021" maxValue="99999999"/>
    </cacheField>
    <cacheField name="PRC0" numFmtId="0">
      <sharedItems containsBlank="1"/>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604262" maxValue="99999999"/>
    </cacheField>
    <cacheField name="b1tot" numFmtId="166">
      <sharedItems containsString="0" containsBlank="1" containsNumber="1" containsInteger="1" minValue="60426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200189" maxValue="99999999"/>
    </cacheField>
    <cacheField name="b2tot" numFmtId="166">
      <sharedItems containsString="0" containsBlank="1" containsNumber="1" containsInteger="1" minValue="200189"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450000" maxValue="99999999"/>
    </cacheField>
    <cacheField name="b3tot" numFmtId="166">
      <sharedItems containsString="0" containsBlank="1" containsNumber="1" containsInteger="1" minValue="450000"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460230" maxValue="99999999"/>
    </cacheField>
    <cacheField name="b4tot" numFmtId="166">
      <sharedItems containsString="0" containsBlank="1" containsNumber="1" containsInteger="1" minValue="460230"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06T09:38:42"/>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76.559600694447" createdVersion="6" refreshedVersion="6" minRefreshableVersion="3" recordCount="1">
  <cacheSource type="worksheet">
    <worksheetSource name="ckSplit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041Y" u="1"/>
        <s v="1139" u="1"/>
        <s v="7796" u="1"/>
        <s v="1253" u="1"/>
        <s v="9150" u="1"/>
        <s v="8078"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5" u="1"/>
        <n v="2020" u="1"/>
        <n v="2018" u="1"/>
        <n v="2021" u="1"/>
        <n v="2019"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2">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s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7-19T11:10:00"/>
    <s v="NSF 17-537"/>
    <s v="05050000"/>
    <s v="7918"/>
    <s v="NEW"/>
    <s v="PEND"/>
    <s v="4110"/>
    <s v="CARCSFY18"/>
    <s v="DCORMAN"/>
    <d v="2017-11-09T14:50:12"/>
    <n v="2"/>
    <n v="0"/>
    <m/>
    <s v="NC"/>
    <m/>
    <x v="1"/>
    <s v="RA 1750279 Jin"/>
    <m/>
    <m/>
    <s v="David Corman"/>
    <s v="Cognisant Program Director"/>
    <s v="eJ"/>
    <s v="jran5@vt.edu"/>
    <s v="PIs@"/>
    <s v="CNS"/>
    <s v="1750279"/>
    <n v="8"/>
    <n v="8"/>
    <m/>
    <s v=""/>
    <n v="3"/>
    <n v="4.25"/>
    <n v="7"/>
    <s v="V,G,G,G,F,F,F,F"/>
    <d v="2017-11-02T00:14:00"/>
    <n v="500000"/>
    <n v="500000"/>
    <n v="0"/>
    <d v="2018-05-15T00:00:00"/>
    <n v="60"/>
    <s v="CAREER: Cognitive Smart Manufacturing Autonomy"/>
    <m/>
    <m/>
    <m/>
    <s v="P180195"/>
    <m/>
    <m/>
    <s v="006Y/018Y OE/CM CAREER Proposal Review - Manufacturing"/>
    <d v="2017-10-11T00:00:00"/>
    <s v=" G ,F ,F,F"/>
    <s v="9 rated projects"/>
    <n v="5"/>
    <n v="1"/>
    <s v="P180067"/>
    <s v="Not Competitive"/>
    <m/>
    <s v="CPS CAREER"/>
    <d v="2017-11-03T00:00:00"/>
    <s v=" V,G ,G ,F"/>
    <s v="25 rated projects: 1 HC, 6 C, 11 LC, 7 NC"/>
    <n v="13"/>
    <n v="0"/>
    <m/>
    <m/>
    <m/>
    <m/>
    <m/>
    <m/>
    <m/>
    <m/>
    <m/>
    <s v="1750279"/>
    <s v="Jin"/>
    <s v="Ran"/>
    <s v="VA Polytechnic Inst &amp; St U"/>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jran5@vt.edu"/>
    <s v="jran5@vt.edu      "/>
  </r>
  <r>
    <m/>
    <d v="2017-07-20T09:02:00"/>
    <s v="NSF 17-537"/>
    <s v="05050000"/>
    <s v="7918"/>
    <s v="NEW"/>
    <s v="PEND"/>
    <s v="4110"/>
    <s v="17-537FY18"/>
    <s v="DCORMAN"/>
    <m/>
    <n v="3"/>
    <n v="0.01"/>
    <m/>
    <m/>
    <s v="HC"/>
    <x v="1"/>
    <s v="RA 1751454 Sun"/>
    <m/>
    <m/>
    <s v="David Corman"/>
    <s v="Cognisant Program Director"/>
    <s v="eJ"/>
    <s v="yes@mtu.edu"/>
    <s v="PIs@"/>
    <s v="CNS"/>
    <s v="1751454"/>
    <n v="11"/>
    <n v="11"/>
    <m/>
    <s v="Y"/>
    <n v="3"/>
    <n v="6"/>
    <n v="9"/>
    <s v="E,V,V,V,V/G,V/G,V/G,G,G,G,F"/>
    <d v="2017-11-02T10:12:00"/>
    <n v="508934"/>
    <n v="508934"/>
    <n v="0"/>
    <d v="2018-05-01T00:00:00"/>
    <n v="60"/>
    <s v="CAREER: System-on-Cloth: A Cloud Manufacturing Framework for Embroidered Wearable Electronics"/>
    <m/>
    <m/>
    <m/>
    <s v="P172373"/>
    <m/>
    <m/>
    <s v="1468 MME CAREER Proposal Review Panel 1"/>
    <d v="2017-09-18T00:00:00"/>
    <s v=" V/G ,G,G"/>
    <s v="16 rated projects"/>
    <n v="7"/>
    <n v="0"/>
    <s v="P180195"/>
    <m/>
    <m/>
    <s v="006Y/018Y OE/CM CAREER Proposal Review - Manufacturing"/>
    <d v="2017-10-11T00:00:00"/>
    <s v=" V  ,V/G ,G  ,F"/>
    <s v="9 rated projects"/>
    <n v="5"/>
    <n v="0"/>
    <s v="P180067"/>
    <s v="Highly Competitive"/>
    <n v="1"/>
    <s v="CPS CAREER"/>
    <d v="2017-11-03T00:00:00"/>
    <s v=" E,V ,V,V/G"/>
    <s v="25 rated projects: 1 HC, 6 C, 11 LC, 7 NC"/>
    <n v="13"/>
    <n v="0"/>
    <s v="1751454"/>
    <s v="Sun"/>
    <s v="Ye (Sarah)"/>
    <s v="Mich Technological Univ"/>
    <n v="508934"/>
    <n v="508934"/>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yes@mtu.edu"/>
    <s v="yes@mtu.edu      "/>
  </r>
  <r>
    <m/>
    <d v="2017-08-23T15:36:00"/>
    <s v="NSF 13-542"/>
    <s v="05050000"/>
    <s v="1139"/>
    <s v="NEW"/>
    <s v="PEND"/>
    <s v="4110"/>
    <s v="REUSITE18"/>
    <s v="JSPRINK"/>
    <d v="2017-12-06T08:16:42"/>
    <n v="1"/>
    <n v="1"/>
    <s v="HC"/>
    <m/>
    <m/>
    <x v="1"/>
    <s v="RA 1757781 Yuan"/>
    <m/>
    <m/>
    <s v="Jonathan Sprinkle"/>
    <s v="Cognisant Program Director"/>
    <s v="eJ"/>
    <s v="yuanj@erau.edu"/>
    <s v="PIs@"/>
    <s v="CNS"/>
    <s v="1757781"/>
    <n v="4"/>
    <m/>
    <m/>
    <s v=""/>
    <n v="7"/>
    <n v="7"/>
    <n v="7"/>
    <s v="V,V,V,V"/>
    <d v="2017-10-26T07:30:00"/>
    <n v="357969"/>
    <n v="287959"/>
    <n v="1"/>
    <d v="2018-06-01T00:00:00"/>
    <n v="36"/>
    <s v="REU Site: Cybersecurity Research of Unmanned Aerial Vehicles"/>
    <m/>
    <m/>
    <m/>
    <s v="P180116"/>
    <s v="Highly Competitive"/>
    <m/>
    <s v="REU SITE - CIS"/>
    <d v="2017-10-27T00:00:00"/>
    <s v=" V,V,V,V"/>
    <s v="15 rated projects: 3 HC, 3 C, 7 LC, 2 NC"/>
    <n v="8"/>
    <n v="0"/>
    <m/>
    <m/>
    <m/>
    <m/>
    <m/>
    <m/>
    <m/>
    <m/>
    <m/>
    <m/>
    <m/>
    <m/>
    <m/>
    <m/>
    <m/>
    <m/>
    <m/>
    <m/>
    <s v="1757781"/>
    <s v="Yuan"/>
    <s v="Jiawei"/>
    <s v="Embry Riddle Aero Univ"/>
    <n v="357969"/>
    <n v="287959"/>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yuanj@erau.edu"/>
    <s v="yuanj@erau.edu      "/>
  </r>
  <r>
    <m/>
    <d v="2017-08-23T16:35:00"/>
    <s v="NSF 13-542"/>
    <s v="05050000"/>
    <s v="1139"/>
    <s v="NEW"/>
    <s v="PEND"/>
    <s v="4110"/>
    <s v="REUSITE18"/>
    <s v="JSPRINK"/>
    <m/>
    <n v="1"/>
    <n v="1"/>
    <s v="HC"/>
    <m/>
    <m/>
    <x v="2"/>
    <s v="Awd  1757884 Wilson"/>
    <m/>
    <m/>
    <s v="Jonathan Sprinkle"/>
    <s v="Cognisant Program Director"/>
    <s v="eJ"/>
    <s v="davils@uncc.edu"/>
    <s v="PIs@"/>
    <s v="CNS"/>
    <s v="1757884"/>
    <n v="4"/>
    <n v="4"/>
    <m/>
    <s v=""/>
    <n v="9"/>
    <n v="9"/>
    <n v="9"/>
    <s v="E,E,E,E"/>
    <d v="2017-10-26T23:43:00"/>
    <n v="360182"/>
    <n v="360182"/>
    <n v="0"/>
    <d v="2018-02-01T00:00:00"/>
    <n v="36"/>
    <s v="REU Site:  Making Future Communities: Infrastructure and Interaction Design for Cyber-Physical Systems"/>
    <m/>
    <m/>
    <m/>
    <s v="P180116"/>
    <s v="Highly Competitive"/>
    <m/>
    <s v="REU SITE - CIS"/>
    <d v="2017-10-27T00:00:00"/>
    <s v=" E,E,E,E"/>
    <s v="15 rated projects: 3 HC, 3 C, 7 LC, 2 NC"/>
    <n v="8"/>
    <n v="1"/>
    <m/>
    <m/>
    <m/>
    <m/>
    <m/>
    <m/>
    <m/>
    <m/>
    <m/>
    <m/>
    <m/>
    <m/>
    <m/>
    <m/>
    <m/>
    <m/>
    <m/>
    <m/>
    <s v="1757884"/>
    <s v="Wilson"/>
    <s v="David"/>
    <s v="U of NC Charlotte"/>
    <n v="360182"/>
    <n v="360182"/>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davils@uncc.edu"/>
    <s v="davils@uncc.edu      "/>
  </r>
  <r>
    <m/>
    <d v="2017-08-23T17:02:00"/>
    <s v="NSF 13-542"/>
    <s v="05050000"/>
    <s v="1139"/>
    <s v="NEW"/>
    <s v="PEND"/>
    <s v="4110"/>
    <s v="REUSITE18"/>
    <s v="JSPRINK"/>
    <m/>
    <n v="1"/>
    <n v="1"/>
    <s v="HC"/>
    <m/>
    <m/>
    <x v="2"/>
    <s v="Awd  1757940 Kar"/>
    <m/>
    <m/>
    <s v="Jonathan Sprinkle"/>
    <s v="Cognisant Program Director"/>
    <s v="eJ"/>
    <s v="dulal.kar@tamucc.edu"/>
    <s v="PIs@"/>
    <s v="CNS"/>
    <s v="1757940"/>
    <n v="4"/>
    <n v="4"/>
    <m/>
    <s v=""/>
    <n v="5"/>
    <n v="6.5"/>
    <n v="7"/>
    <s v="V,V,V,G"/>
    <d v="2017-10-26T16:12:00"/>
    <n v="357018"/>
    <n v="357018"/>
    <n v="0"/>
    <d v="2018-06-01T00:00:00"/>
    <n v="36"/>
    <s v="REU Site: Applied Computing Research in Unmanned Aerial Systems"/>
    <m/>
    <m/>
    <m/>
    <s v="P180116"/>
    <s v="Highly Competitive"/>
    <m/>
    <s v="REU SITE - CIS"/>
    <d v="2017-10-27T00:00:00"/>
    <s v=" V,V,V,G"/>
    <s v="15 rated projects: 3 HC, 3 C, 7 LC, 2 NC"/>
    <n v="8"/>
    <n v="0"/>
    <m/>
    <m/>
    <m/>
    <m/>
    <m/>
    <m/>
    <m/>
    <m/>
    <m/>
    <m/>
    <m/>
    <m/>
    <m/>
    <m/>
    <m/>
    <m/>
    <m/>
    <m/>
    <s v="1757940"/>
    <s v="Kar"/>
    <s v="Dulal"/>
    <s v="TX A&amp;M U Corpus Christi"/>
    <n v="357018"/>
    <n v="357018"/>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dulal.kar@tamucc.edu"/>
    <s v="dulal.kar@tamucc.edu      "/>
  </r>
  <r>
    <m/>
    <d v="2017-03-03T16:18:00"/>
    <s v="NSF 17-529"/>
    <s v="05050000"/>
    <s v="7918"/>
    <s v="NEW"/>
    <s v="PEND"/>
    <s v="4110"/>
    <s v="CPSFRT2017"/>
    <s v="DCORMAN"/>
    <m/>
    <n v="1"/>
    <n v="2"/>
    <s v="C"/>
    <m/>
    <m/>
    <x v="1"/>
    <s v="RA 1739204 Stojanovic"/>
    <m/>
    <m/>
    <s v="David Corman"/>
    <s v="Cognisant Program Director"/>
    <s v="eJ"/>
    <s v="mns18@columbia.edu"/>
    <s v="PIs@"/>
    <s v="CNS"/>
    <s v="1739204"/>
    <n v="4"/>
    <n v="4"/>
    <m/>
    <s v=""/>
    <n v="6"/>
    <n v="6.5"/>
    <n v="8"/>
    <s v="E/V,V/G,V/G,V/G"/>
    <d v="2017-10-20T08:34:00"/>
    <n v="6646096"/>
    <n v="6646096"/>
    <n v="0"/>
    <d v="2018-01-01T00:00:00"/>
    <n v="60"/>
    <s v="CPS: Frontier: Collaborative Research: Interfacing Molecular Sensing, Computing, and Actuation with Humanized Animal Models"/>
    <m/>
    <m/>
    <m/>
    <s v="P180038"/>
    <s v="Competitive"/>
    <m/>
    <s v="CPS Frontiers (2017)"/>
    <d v="2017-10-20T00:00:00"/>
    <s v=" E/V,V/G,V/G,V/G"/>
    <s v="11 rated projects , 3 C, 6 LC, 2 NC"/>
    <n v="8"/>
    <n v="0"/>
    <m/>
    <m/>
    <m/>
    <m/>
    <m/>
    <m/>
    <m/>
    <m/>
    <m/>
    <m/>
    <m/>
    <m/>
    <m/>
    <m/>
    <m/>
    <m/>
    <m/>
    <m/>
    <s v="1739204"/>
    <s v="Stojanovic"/>
    <s v="Milan"/>
    <s v="Columbia University"/>
    <n v="4613676"/>
    <n v="4613676"/>
    <s v="8236"/>
    <s v="1739054"/>
    <s v="Rudchenko"/>
    <s v="Sergei"/>
    <s v="Hospital For Spec Surgery"/>
    <n v="1028304"/>
    <n v="1028304"/>
    <s v="8236"/>
    <s v="1739194"/>
    <s v="Stefanovic"/>
    <s v="Darko"/>
    <s v="University of New Mexico"/>
    <n v="1004116"/>
    <n v="1004116"/>
    <s v="8236"/>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mns18@columbia.edu"/>
    <s v="mns18@columbia.edu;Rudchenkos@hss.edu;darko@cs.unm.edu    "/>
  </r>
  <r>
    <m/>
    <d v="2017-03-06T14:50:00"/>
    <s v="NSF 17-529"/>
    <s v="05050000"/>
    <s v="7918"/>
    <s v="NEW"/>
    <s v="PEND"/>
    <s v="4110"/>
    <s v="CPSFRT2017"/>
    <s v="DCORMAN"/>
    <m/>
    <n v="1"/>
    <n v="2"/>
    <s v="C"/>
    <m/>
    <m/>
    <x v="1"/>
    <s v="RA 1739570 Sanyal"/>
    <m/>
    <m/>
    <s v="David Corman"/>
    <s v="Cognisant Program Director"/>
    <s v="eJ"/>
    <s v="aksanyal@syr.edu"/>
    <s v="PIs@"/>
    <s v="CNS"/>
    <s v="1739570"/>
    <n v="4"/>
    <n v="4"/>
    <m/>
    <s v=""/>
    <n v="5"/>
    <n v="6.25"/>
    <n v="7"/>
    <s v="V,V,V/G,G"/>
    <d v="2017-10-20T12:04:00"/>
    <n v="5940800"/>
    <n v="5940800"/>
    <n v="0"/>
    <d v="2017-09-01T00:00:00"/>
    <n v="48"/>
    <s v="CPS: Frontier: Collaborative Research: TAURUAS - Trusted, Autonomous and Resilient Unmanned Aerial Systems"/>
    <m/>
    <m/>
    <m/>
    <s v="P180038"/>
    <s v="Competitive"/>
    <m/>
    <s v="CPS Frontiers (2017)"/>
    <d v="2017-10-20T00:00:00"/>
    <s v=" V,V,V/G,G"/>
    <s v="11 rated projects , 3 C, 6 LC, 2 NC"/>
    <n v="8"/>
    <n v="3"/>
    <m/>
    <m/>
    <m/>
    <m/>
    <m/>
    <m/>
    <m/>
    <m/>
    <m/>
    <m/>
    <m/>
    <m/>
    <m/>
    <m/>
    <m/>
    <m/>
    <m/>
    <m/>
    <s v="1739570"/>
    <s v="Sanyal"/>
    <s v="Amit"/>
    <s v="Syracuse University"/>
    <n v="2230900"/>
    <n v="2230900"/>
    <s v="8236"/>
    <s v="1739133"/>
    <s v="Cummings"/>
    <s v="Mary"/>
    <s v="Duke University"/>
    <n v="800000"/>
    <n v="800000"/>
    <s v="8236"/>
    <s v="1739169"/>
    <s v="Clark"/>
    <s v="Andrew"/>
    <s v="Worcester Polytech Inst"/>
    <n v="449670"/>
    <n v="449670"/>
    <s v="8236"/>
    <s v="1739227"/>
    <s v="Poovendran"/>
    <s v="Radha"/>
    <s v="U of Washington"/>
    <n v="2000000"/>
    <n v="2000000"/>
    <s v="8236"/>
    <s v="1739256"/>
    <s v="Kolmanovsky"/>
    <s v="Ilya V."/>
    <s v="University of Michigan"/>
    <n v="460230"/>
    <n v="460230"/>
    <s v="8236"/>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aksanyal@syr.edu"/>
    <s v="aksanyal@syr.edu;m.cummings@duke.edu;aclark@wpi.edu;rp3@uw.edu;ilya@umich.edu  "/>
  </r>
  <r>
    <m/>
    <d v="2017-03-06T14:56:00"/>
    <s v="NSF 17-529"/>
    <s v="05050000"/>
    <s v="7918"/>
    <s v="NEW"/>
    <s v="PEND"/>
    <s v="4110"/>
    <s v="CPSFRT2017"/>
    <s v="DCORMAN"/>
    <m/>
    <n v="1"/>
    <n v="2"/>
    <s v="C"/>
    <m/>
    <m/>
    <x v="1"/>
    <s v="RA 1739586 Lee"/>
    <m/>
    <m/>
    <s v="David Corman"/>
    <s v="Cognisant Program Director"/>
    <s v="eJ"/>
    <s v="lee@cis.upenn.edu"/>
    <s v="PIs@"/>
    <s v="CNS"/>
    <s v="1739586"/>
    <n v="4"/>
    <n v="4"/>
    <m/>
    <s v=""/>
    <n v="6"/>
    <n v="6.75"/>
    <n v="8"/>
    <s v="E/V,V,V/G,V/G"/>
    <d v="2017-10-20T12:00:00"/>
    <n v="6882281"/>
    <n v="6882281"/>
    <n v="0"/>
    <d v="2017-09-01T00:00:00"/>
    <n v="60"/>
    <s v="CPS: Frontier: Collaborative Research: Rigorous Design and Analysis of Closed-Loop Medical CPS"/>
    <m/>
    <m/>
    <m/>
    <s v="P180038"/>
    <s v="Competitive"/>
    <m/>
    <s v="CPS Frontiers (2017)"/>
    <d v="2017-10-20T00:00:00"/>
    <s v=" E/V,V,V/G,V/G"/>
    <s v="11 rated projects , 3 C, 6 LC, 2 NC"/>
    <n v="8"/>
    <n v="2"/>
    <m/>
    <m/>
    <m/>
    <m/>
    <m/>
    <m/>
    <m/>
    <m/>
    <m/>
    <m/>
    <m/>
    <m/>
    <m/>
    <m/>
    <m/>
    <m/>
    <m/>
    <m/>
    <s v="1739586"/>
    <s v="Lee"/>
    <s v="Insup"/>
    <s v="U of Pennsylvania"/>
    <n v="4667281"/>
    <n v="4667281"/>
    <m/>
    <s v="1739127"/>
    <s v="Pajic"/>
    <s v="Miroslav"/>
    <s v="Duke University"/>
    <n v="1000000"/>
    <n v="1000000"/>
    <m/>
    <s v="1739198"/>
    <s v="Hahn"/>
    <s v="Jin-Oh"/>
    <s v="U of MD College Park"/>
    <n v="765000"/>
    <n v="765000"/>
    <m/>
    <s v="1739274"/>
    <s v="Feng"/>
    <s v="Lu"/>
    <s v="University of Virginia"/>
    <n v="450000"/>
    <n v="450000"/>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lee@cis.upenn.edu"/>
    <s v="lee@cis.upenn.edu;miroslav.pajic@duke.edu;jhahn12@umd.edu;lf9u@virginia.edu   "/>
  </r>
  <r>
    <m/>
    <d v="2017-08-23T12:52:00"/>
    <s v="NSF 13-542"/>
    <s v="05050000"/>
    <s v="1139"/>
    <s v="RNEW"/>
    <s v="PEND"/>
    <s v="4110"/>
    <s v="REUSITE18"/>
    <s v="JSPRINK"/>
    <m/>
    <n v="1"/>
    <n v="2"/>
    <s v="C"/>
    <m/>
    <m/>
    <x v="3"/>
    <s v="Decline  1757632 Holder"/>
    <m/>
    <m/>
    <s v="Jonathan Sprinkle"/>
    <s v="Cognisant Program Director"/>
    <s v="eJ"/>
    <s v="holder@eecs.wsu.edu"/>
    <s v="PIs@"/>
    <s v="CNS"/>
    <s v="1757632"/>
    <n v="4"/>
    <n v="4"/>
    <m/>
    <s v="Y"/>
    <n v="4"/>
    <n v="6.75"/>
    <n v="9"/>
    <s v="E,V,V,G/F"/>
    <d v="2017-10-25T23:52:00"/>
    <n v="410400"/>
    <n v="410400"/>
    <n v="0"/>
    <d v="2018-03-01T00:00:00"/>
    <n v="36"/>
    <s v="REU Site: Undergraduate Research in Smart Environments"/>
    <m/>
    <m/>
    <m/>
    <s v="P180116"/>
    <s v="Competitive"/>
    <m/>
    <s v="REU SITE - CIS"/>
    <d v="2017-10-27T00:00:00"/>
    <s v=" E,V,V,G/F"/>
    <s v="15 rated projects: 3 HC, 3 C, 7 LC, 2 NC"/>
    <n v="8"/>
    <n v="0"/>
    <m/>
    <m/>
    <m/>
    <m/>
    <m/>
    <m/>
    <m/>
    <m/>
    <m/>
    <m/>
    <m/>
    <m/>
    <m/>
    <m/>
    <m/>
    <m/>
    <m/>
    <m/>
    <s v="1757632"/>
    <s v="Holder"/>
    <s v="Lawrence"/>
    <s v="Washington State Univ"/>
    <n v="410400"/>
    <n v="410400"/>
    <s v="9250"/>
    <m/>
    <m/>
    <m/>
    <m/>
    <m/>
    <m/>
    <m/>
    <m/>
    <m/>
    <m/>
    <m/>
    <m/>
    <m/>
    <m/>
    <m/>
    <m/>
    <m/>
    <m/>
    <m/>
    <m/>
    <m/>
    <m/>
    <m/>
    <m/>
    <m/>
    <m/>
    <m/>
    <m/>
    <m/>
    <m/>
    <m/>
    <m/>
    <m/>
    <m/>
    <m/>
    <m/>
    <m/>
    <m/>
    <m/>
    <m/>
    <m/>
    <m/>
    <s v="Research Experiences for Undergraduates"/>
    <s v="Division Of Computer and Network Systems"/>
    <s v="RSCH EXPER FOR UNDERGRAD SITES"/>
    <s v="Jonathan Sprinkle"/>
    <s v="Pending, Review Package Produced"/>
    <s v="Renewal"/>
    <s v="Research Grants-Not Elsewh Cla"/>
    <s v="CSE"/>
    <s v="Direct For Computer &amp; Info Scie &amp; Enginr"/>
    <d v="2017-12-06T09:38:42"/>
    <s v="holder@eecs.wsu.edu"/>
    <s v="holder@eecs.wsu.edu      "/>
  </r>
  <r>
    <m/>
    <d v="2017-08-23T15:39:00"/>
    <s v="NSF 13-542"/>
    <s v="05050000"/>
    <s v="1139"/>
    <s v="NEW"/>
    <s v="PEND"/>
    <s v="4110"/>
    <s v="REUSITE18"/>
    <s v="JSPRINK"/>
    <m/>
    <n v="1"/>
    <n v="2"/>
    <s v="C"/>
    <m/>
    <m/>
    <x v="3"/>
    <s v="Decline  1757787 Davison"/>
    <m/>
    <m/>
    <s v="Jonathan Sprinkle"/>
    <s v="Cognisant Program Director"/>
    <s v="eJ"/>
    <s v="brian@cse.lehigh.edu"/>
    <s v="PIs@"/>
    <s v="CNS"/>
    <s v="1757787"/>
    <n v="5"/>
    <n v="5"/>
    <m/>
    <s v=""/>
    <n v="4"/>
    <n v="5.6"/>
    <n v="7"/>
    <s v="V,V,G,G,G/F"/>
    <d v="2017-10-27T08:39:00"/>
    <n v="359969"/>
    <n v="359969"/>
    <n v="0"/>
    <d v="2018-05-01T00:00:00"/>
    <n v="36"/>
    <s v="REU Site: Intelligent and Scalable Systems"/>
    <m/>
    <m/>
    <m/>
    <s v="P180116"/>
    <s v="Competitive"/>
    <m/>
    <s v="REU SITE - CIS"/>
    <d v="2017-10-27T00:00:00"/>
    <s v=" V,V,G,G,G/F"/>
    <s v="15 rated projects: 3 HC, 3 C, 7 LC, 2 NC"/>
    <n v="8"/>
    <n v="0"/>
    <m/>
    <m/>
    <m/>
    <m/>
    <m/>
    <m/>
    <m/>
    <m/>
    <m/>
    <m/>
    <m/>
    <m/>
    <m/>
    <m/>
    <m/>
    <m/>
    <m/>
    <m/>
    <s v="1757787"/>
    <s v="Davison"/>
    <s v="Brian"/>
    <s v="Lehigh University"/>
    <n v="359969"/>
    <n v="359969"/>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brian@cse.lehigh.edu"/>
    <s v="brian@cse.lehigh.edu      "/>
  </r>
  <r>
    <m/>
    <d v="2017-08-23T16:46:00"/>
    <s v="NSF 13-542"/>
    <s v="05050000"/>
    <s v="1139"/>
    <s v="NEW"/>
    <s v="PEND"/>
    <s v="4110"/>
    <s v="REUSITE18"/>
    <s v="JSPRINK"/>
    <m/>
    <n v="1"/>
    <n v="2"/>
    <s v="C"/>
    <m/>
    <m/>
    <x v="3"/>
    <s v="Decline  1757908 Elbaum"/>
    <m/>
    <m/>
    <s v="Jonathan Sprinkle"/>
    <s v="Cognisant Program Director"/>
    <s v="eJ"/>
    <s v="elbaum@cse.unl.edu"/>
    <s v="PIs@"/>
    <s v="CNS"/>
    <s v="1757908"/>
    <n v="4"/>
    <n v="4"/>
    <m/>
    <s v=""/>
    <n v="5"/>
    <n v="6.5"/>
    <n v="7"/>
    <s v="V,V,V,G"/>
    <d v="2017-10-26T16:18:00"/>
    <n v="344650"/>
    <n v="344650"/>
    <n v="0"/>
    <d v="2018-03-01T00:00:00"/>
    <n v="36"/>
    <s v="REU SITE: UNDERGRADUATE RESEARCH OPPORTUNITIES IN UNMANNED SYSTEMS FOUNDATIONS AND APPLICATIONS"/>
    <m/>
    <m/>
    <m/>
    <s v="P180116"/>
    <s v="Competitive"/>
    <m/>
    <s v="REU SITE - CIS"/>
    <d v="2017-10-27T00:00:00"/>
    <s v=" V,V,V,G"/>
    <s v="15 rated projects: 3 HC, 3 C, 7 LC, 2 NC"/>
    <n v="8"/>
    <n v="0"/>
    <m/>
    <m/>
    <m/>
    <m/>
    <m/>
    <m/>
    <m/>
    <m/>
    <m/>
    <m/>
    <m/>
    <m/>
    <m/>
    <m/>
    <m/>
    <m/>
    <m/>
    <m/>
    <s v="1757908"/>
    <s v="Elbaum"/>
    <s v="Sebastian"/>
    <s v="U of Nebraska-Lincoln"/>
    <n v="344650"/>
    <n v="344650"/>
    <s v="9150 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elbaum@cse.unl.edu"/>
    <s v="elbaum@cse.unl.edu      "/>
  </r>
  <r>
    <m/>
    <d v="2017-07-19T07:48:00"/>
    <s v="NSF 17-537"/>
    <s v="05050000"/>
    <s v="7918"/>
    <s v="NEW"/>
    <s v="PEND"/>
    <s v="4110"/>
    <s v="CARCSFY18"/>
    <s v="DCORMAN"/>
    <m/>
    <n v="1"/>
    <n v="2.02"/>
    <s v="C"/>
    <m/>
    <m/>
    <x v="1"/>
    <s v="RA 1750102 Frias-Martinez"/>
    <m/>
    <m/>
    <s v="David Corman"/>
    <s v="Cognisant Program Director"/>
    <s v="eJ"/>
    <s v="vfrias@umd.edu"/>
    <s v="PIs@"/>
    <s v="CNS"/>
    <s v="1750102"/>
    <n v="4"/>
    <n v="4"/>
    <m/>
    <s v=""/>
    <n v="5"/>
    <n v="6"/>
    <n v="8"/>
    <s v="E/V,V/G,G,G"/>
    <d v="2017-11-03T08:44:00"/>
    <n v="634696"/>
    <n v="634696"/>
    <n v="0"/>
    <d v="2018-09-01T00:00:00"/>
    <n v="60"/>
    <s v="CAREER: Data-driven Models of Human Mobility and Resilience for Decision Making"/>
    <m/>
    <m/>
    <m/>
    <s v="P180067"/>
    <s v="Competitive"/>
    <n v="2"/>
    <s v="CPS CAREER"/>
    <d v="2017-11-03T00:00:00"/>
    <s v=" E/V,V/G,G,G"/>
    <s v="25 rated projects: 1 HC, 6 C, 11 LC, 7 NC"/>
    <n v="13"/>
    <n v="0"/>
    <m/>
    <m/>
    <m/>
    <m/>
    <m/>
    <m/>
    <m/>
    <m/>
    <m/>
    <m/>
    <m/>
    <m/>
    <m/>
    <m/>
    <m/>
    <m/>
    <m/>
    <m/>
    <s v="1750102"/>
    <s v="Frias-Martinez"/>
    <s v="Vanessa"/>
    <s v="U of MD College Park"/>
    <n v="634696"/>
    <n v="634696"/>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vfrias@umd.edu"/>
    <s v="vfrias@umd.edu      "/>
  </r>
  <r>
    <m/>
    <d v="2017-07-19T15:14:00"/>
    <s v="NSF 17-537"/>
    <s v="05050000"/>
    <s v="7918"/>
    <s v="NEW"/>
    <s v="PEND"/>
    <s v="4110"/>
    <s v="CARCSFY18"/>
    <s v="DCORMAN"/>
    <m/>
    <n v="1"/>
    <n v="2.0299999999999998"/>
    <s v="C"/>
    <m/>
    <m/>
    <x v="1"/>
    <s v="RA 1750789 Vamvoudakis"/>
    <m/>
    <m/>
    <s v="David Corman"/>
    <s v="Cognisant Program Director"/>
    <s v="eJ"/>
    <s v="kyriakos@vt.edu"/>
    <s v="PIs@"/>
    <s v="CNS"/>
    <s v="1750789"/>
    <n v="4"/>
    <n v="4"/>
    <m/>
    <s v=""/>
    <n v="5"/>
    <n v="6.25"/>
    <n v="8"/>
    <s v="E/V,V/G,V/G,G"/>
    <d v="2017-11-02T16:42:00"/>
    <n v="645910"/>
    <n v="645910"/>
    <n v="0"/>
    <d v="2018-01-01T00:00:00"/>
    <n v="60"/>
    <s v="CAREER:Towards an Intermittent Learning Framework for Smart and Efficient Cyber-Physical Autonomy"/>
    <m/>
    <m/>
    <m/>
    <s v="P180067"/>
    <s v="Competitive"/>
    <n v="3"/>
    <s v="CPS CAREER"/>
    <d v="2017-11-03T00:00:00"/>
    <s v=" E/V,V/G,V/G,G"/>
    <s v="25 rated projects: 1 HC, 6 C, 11 LC, 7 NC"/>
    <n v="13"/>
    <n v="1"/>
    <m/>
    <m/>
    <m/>
    <m/>
    <m/>
    <m/>
    <m/>
    <m/>
    <m/>
    <m/>
    <m/>
    <m/>
    <m/>
    <m/>
    <m/>
    <m/>
    <m/>
    <m/>
    <s v="1750789"/>
    <s v="Vamvoudakis"/>
    <s v="Kyriakos G."/>
    <s v="VA Polytechnic Inst &amp; St U"/>
    <n v="645910"/>
    <n v="64591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kyriakos@vt.edu"/>
    <s v="kyriakos@vt.edu      "/>
  </r>
  <r>
    <m/>
    <d v="2017-07-19T13:41:00"/>
    <s v="NSF 17-537"/>
    <s v="05050000"/>
    <s v="7918"/>
    <s v="NEW"/>
    <s v="PEND"/>
    <s v="4110"/>
    <s v="CARCSFY18"/>
    <s v="DCORMAN"/>
    <m/>
    <n v="1"/>
    <n v="2.04"/>
    <s v="C"/>
    <m/>
    <m/>
    <x v="1"/>
    <s v="RA 1750533 Wang"/>
    <m/>
    <m/>
    <s v="David Corman"/>
    <s v="Cognisant Program Director"/>
    <s v="eJ"/>
    <s v="dwang5@nd.edu"/>
    <s v="PIs@"/>
    <s v="CNS"/>
    <s v="1750533"/>
    <n v="4"/>
    <n v="4"/>
    <m/>
    <s v=""/>
    <n v="5"/>
    <n v="5.75"/>
    <n v="7"/>
    <s v="V,V/G,G,G"/>
    <d v="2017-11-03T08:55:00"/>
    <n v="533683"/>
    <n v="533683"/>
    <n v="0"/>
    <d v="2018-09-01T00:00:00"/>
    <n v="60"/>
    <s v="CAREER: Towards Reliable and Optimized Data-driven Cyber-Physical Systems using Crowdsensing"/>
    <m/>
    <m/>
    <m/>
    <s v="P180067"/>
    <s v="Competitive"/>
    <n v="4"/>
    <s v="CPS CAREER"/>
    <d v="2017-11-03T00:00:00"/>
    <s v=" V,V/G,G,G"/>
    <s v="25 rated projects: 1 HC, 6 C, 11 LC, 7 NC"/>
    <n v="13"/>
    <n v="0"/>
    <m/>
    <m/>
    <m/>
    <m/>
    <m/>
    <m/>
    <m/>
    <m/>
    <m/>
    <m/>
    <m/>
    <m/>
    <m/>
    <m/>
    <m/>
    <m/>
    <m/>
    <m/>
    <s v="1750533"/>
    <s v="Wang"/>
    <s v="Dong"/>
    <s v="University of Notre Dame"/>
    <n v="533683"/>
    <n v="53368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dwang5@nd.edu"/>
    <s v="dwang5@nd.edu      "/>
  </r>
  <r>
    <m/>
    <d v="2017-07-19T15:33:00"/>
    <s v="NSF 17-537"/>
    <s v="05050000"/>
    <s v="7918"/>
    <s v="NEW"/>
    <s v="PEND"/>
    <s v="4110"/>
    <s v="CARCSFY18"/>
    <s v="DCORMAN"/>
    <m/>
    <n v="1"/>
    <n v="2.0499999999999998"/>
    <s v="C"/>
    <m/>
    <m/>
    <x v="1"/>
    <s v="RA 1750864 Gao"/>
    <m/>
    <m/>
    <s v="David Corman"/>
    <s v="Cognisant Program Director"/>
    <s v="eJ"/>
    <s v="gracegao@illinois.edu"/>
    <s v="PIs@"/>
    <s v="CNS"/>
    <s v="1750864"/>
    <n v="4"/>
    <n v="4"/>
    <m/>
    <s v=""/>
    <n v="5"/>
    <n v="6.5"/>
    <n v="9"/>
    <s v="E,V/G,V/G,G"/>
    <d v="2017-11-03T08:58:00"/>
    <n v="517473"/>
    <n v="517473"/>
    <n v="0"/>
    <d v="2018-05-16T00:00:00"/>
    <n v="60"/>
    <s v="CAREER: High Integrity Navigation for Autonomous Vehicles"/>
    <m/>
    <m/>
    <m/>
    <s v="P180067"/>
    <s v="Competitive"/>
    <n v="5"/>
    <s v="CPS CAREER"/>
    <d v="2017-11-03T00:00:00"/>
    <s v=" E,V/G,V/G,G"/>
    <s v="25 rated projects: 1 HC, 6 C, 11 LC, 7 NC"/>
    <n v="13"/>
    <n v="1"/>
    <m/>
    <m/>
    <m/>
    <m/>
    <m/>
    <m/>
    <m/>
    <m/>
    <m/>
    <m/>
    <m/>
    <m/>
    <m/>
    <m/>
    <m/>
    <m/>
    <m/>
    <m/>
    <s v="1750864"/>
    <s v="Gao"/>
    <s v="Grace Xingxin"/>
    <s v="U of Ill Urbana-Champaign"/>
    <n v="517473"/>
    <n v="51747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gracegao@illinois.edu"/>
    <s v="gracegao@illinois.edu      "/>
  </r>
  <r>
    <m/>
    <d v="2017-07-10T16:42:00"/>
    <s v="NSF 17-537"/>
    <s v="05050000"/>
    <s v="7918"/>
    <s v="NEW"/>
    <s v="PEND"/>
    <s v="4110"/>
    <s v="CARCSFY18"/>
    <s v="DCORMAN"/>
    <m/>
    <n v="1"/>
    <n v="2.06"/>
    <s v="C"/>
    <m/>
    <m/>
    <x v="1"/>
    <s v="RA 1748762 Hahn"/>
    <m/>
    <m/>
    <s v="David Corman"/>
    <s v="Cognisant Program Director"/>
    <s v="eJ"/>
    <s v="jhahn12@umd.edu"/>
    <s v="PIs@"/>
    <s v="CNS"/>
    <s v="1748762"/>
    <n v="4"/>
    <n v="4"/>
    <m/>
    <s v=""/>
    <n v="4"/>
    <n v="5.75"/>
    <n v="7"/>
    <s v="V,V,G,G/F"/>
    <d v="2017-11-02T17:37:00"/>
    <n v="500409"/>
    <n v="500409"/>
    <n v="0"/>
    <d v="2018-01-01T00:00:00"/>
    <n v="60"/>
    <s v="CAREER: Enabling &quot;White-Box&quot; Autonomy in Medical Cyber-Physical Systems"/>
    <m/>
    <m/>
    <m/>
    <s v="P180067"/>
    <s v="Competitive"/>
    <n v="6"/>
    <s v="CPS CAREER"/>
    <d v="2017-11-03T00:00:00"/>
    <s v=" V,V,G,G/F"/>
    <s v="25 rated projects: 1 HC, 6 C, 11 LC, 7 NC"/>
    <n v="13"/>
    <n v="0"/>
    <m/>
    <m/>
    <m/>
    <m/>
    <m/>
    <m/>
    <m/>
    <m/>
    <m/>
    <m/>
    <m/>
    <m/>
    <m/>
    <m/>
    <m/>
    <m/>
    <m/>
    <m/>
    <s v="1748762"/>
    <s v="Hahn"/>
    <s v="Jin-Oh"/>
    <s v="U of MD College Park"/>
    <n v="500409"/>
    <n v="500409"/>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jhahn12@umd.edu"/>
    <s v="jhahn12@umd.edu      "/>
  </r>
  <r>
    <m/>
    <d v="2017-07-19T14:54:00"/>
    <s v="NSF 17-537"/>
    <s v="05050000"/>
    <s v="7918"/>
    <s v="NEW"/>
    <s v="PEND"/>
    <s v="4110"/>
    <s v="CARCSFY18"/>
    <s v="DCORMAN"/>
    <m/>
    <n v="1"/>
    <n v="2.06"/>
    <s v="C"/>
    <m/>
    <m/>
    <x v="1"/>
    <s v="RA 1750722 Liu"/>
    <m/>
    <m/>
    <s v="David Corman"/>
    <s v="Cognisant Program Director"/>
    <s v="eJ"/>
    <s v="kaikai.liu@sjsu.edu"/>
    <s v="PIs@"/>
    <s v="CNS"/>
    <s v="1750722"/>
    <n v="4"/>
    <n v="4"/>
    <m/>
    <s v="Y"/>
    <n v="4"/>
    <n v="6"/>
    <n v="9"/>
    <s v="E,V/G,G,G/F"/>
    <d v="2017-11-02T16:47:00"/>
    <n v="486820"/>
    <n v="486820"/>
    <n v="0"/>
    <d v="2018-03-01T00:00:00"/>
    <n v="60"/>
    <s v="CAREER: Intelligent Localization and Navigation Systems for Autonomous Scooters"/>
    <m/>
    <m/>
    <m/>
    <s v="P180067"/>
    <s v="Competitive"/>
    <n v="6"/>
    <s v="CPS CAREER"/>
    <d v="2017-11-03T00:00:00"/>
    <s v=" E,V/G,G,G/F"/>
    <s v="25 rated projects: 1 HC, 6 C, 11 LC, 7 NC"/>
    <n v="13"/>
    <n v="1"/>
    <m/>
    <m/>
    <m/>
    <m/>
    <m/>
    <m/>
    <m/>
    <m/>
    <m/>
    <m/>
    <m/>
    <m/>
    <m/>
    <m/>
    <m/>
    <m/>
    <m/>
    <m/>
    <s v="1750722"/>
    <s v="Liu"/>
    <s v="Kaikai"/>
    <s v="San Jose State Univ Fdn"/>
    <n v="486820"/>
    <n v="48682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kaikai.liu@sjsu.edu"/>
    <s v="kaikai.liu@sjsu.edu      "/>
  </r>
  <r>
    <m/>
    <d v="2017-03-06T15:51:00"/>
    <s v="NSF 17-529"/>
    <s v="05050000"/>
    <s v="7918"/>
    <s v="NEW"/>
    <s v="PEND"/>
    <s v="4110"/>
    <s v="CPSFRT2017"/>
    <s v="DCORMAN"/>
    <m/>
    <n v="1"/>
    <n v="3"/>
    <s v="LC"/>
    <m/>
    <m/>
    <x v="1"/>
    <s v="RA 1739733 Sztipanovits"/>
    <m/>
    <m/>
    <s v="David Corman"/>
    <s v="Cognisant Program Director"/>
    <s v="eJ"/>
    <s v="Janos.Sztipanovits@Vanderbilt.edu"/>
    <s v="PIs@"/>
    <s v="CNS"/>
    <s v="1739733"/>
    <n v="4"/>
    <n v="4"/>
    <m/>
    <s v=""/>
    <n v="3"/>
    <n v="4.25"/>
    <n v="6"/>
    <s v="V/G,G,F,F"/>
    <d v="2017-10-20T14:26:00"/>
    <n v="6999505"/>
    <n v="6999505"/>
    <n v="0"/>
    <d v="2017-10-01T00:00:00"/>
    <n v="60"/>
    <s v="CPS:Frontier:Collaborative Research: Design of High Confidence Learning and Adaptive Systems for CPS (HiCLAS-CPS)"/>
    <m/>
    <m/>
    <m/>
    <s v="P180038"/>
    <s v="Low Competitive"/>
    <m/>
    <s v="CPS Frontiers (2017)"/>
    <d v="2017-10-20T00:00:00"/>
    <s v=" V/G,G,F,F"/>
    <s v="11 rated projects , 3 C, 6 LC, 2 NC"/>
    <n v="8"/>
    <n v="2"/>
    <m/>
    <m/>
    <m/>
    <m/>
    <m/>
    <m/>
    <m/>
    <m/>
    <m/>
    <m/>
    <m/>
    <m/>
    <m/>
    <m/>
    <m/>
    <m/>
    <m/>
    <m/>
    <s v="1739733"/>
    <s v="Sztipanovits"/>
    <s v="Janos"/>
    <s v="Vanderbilt University"/>
    <n v="3499505"/>
    <n v="3499505"/>
    <m/>
    <s v="1739376"/>
    <s v="Tomlin"/>
    <s v="Claire"/>
    <s v="U of Cal Berkeley"/>
    <n v="3500000"/>
    <n v="3500000"/>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Janos.Sztipanovits@Vanderbilt.edu"/>
    <s v="Janos.Sztipanovits@Vanderbilt.edu;tomlin@eecs.berkeley.edu     "/>
  </r>
  <r>
    <m/>
    <d v="2017-03-06T16:25:00"/>
    <s v="NSF 17-529"/>
    <s v="05050000"/>
    <s v="7918"/>
    <s v="NEW"/>
    <s v="PEND"/>
    <s v="4110"/>
    <s v="CPSFRT2017"/>
    <s v="DCORMAN"/>
    <m/>
    <n v="1"/>
    <n v="3"/>
    <s v="LC"/>
    <m/>
    <m/>
    <x v="1"/>
    <s v="RA 1739830 Guvenc"/>
    <m/>
    <m/>
    <s v="David Corman"/>
    <s v="Cognisant Program Director"/>
    <s v="eJ"/>
    <s v="iguvenc@ncsu.edu"/>
    <s v="PIs@"/>
    <s v="CNS"/>
    <s v="1739830"/>
    <n v="4"/>
    <n v="4"/>
    <m/>
    <s v=""/>
    <n v="5"/>
    <n v="5.25"/>
    <n v="6"/>
    <s v="V/G,G,G,G"/>
    <d v="2017-10-20T11:55:00"/>
    <n v="5127095"/>
    <n v="5127095"/>
    <n v="0"/>
    <d v="2017-12-15T00:00:00"/>
    <n v="60"/>
    <s v="CPS: Frontier: Collaborative Research: Data-Driven Disaster and Energy Management for the Electric Power Grid"/>
    <m/>
    <m/>
    <m/>
    <s v="P180038"/>
    <s v="Low Competitive"/>
    <m/>
    <s v="CPS Frontiers (2017)"/>
    <d v="2017-10-20T00:00:00"/>
    <s v=" V/G,G,G,G"/>
    <s v="11 rated projects , 3 C, 6 LC, 2 NC"/>
    <n v="8"/>
    <n v="1"/>
    <m/>
    <m/>
    <m/>
    <m/>
    <m/>
    <m/>
    <m/>
    <m/>
    <m/>
    <m/>
    <m/>
    <m/>
    <m/>
    <m/>
    <m/>
    <m/>
    <m/>
    <m/>
    <s v="1739830"/>
    <s v="Guvenc"/>
    <s v="Ismail"/>
    <s v="North Carolina State U"/>
    <n v="1817030"/>
    <n v="1817030"/>
    <m/>
    <s v="1739359"/>
    <s v="Demir"/>
    <s v="Ibrahim"/>
    <s v="University of Iowa"/>
    <n v="604262"/>
    <n v="604262"/>
    <m/>
    <s v="1739527"/>
    <s v="Cali"/>
    <s v="Umit"/>
    <s v="U of NC Charlotte"/>
    <n v="1298699"/>
    <n v="1298699"/>
    <m/>
    <s v="1739877"/>
    <s v="Saad"/>
    <s v="Walid"/>
    <s v="VA Polytechnic Inst &amp; St U"/>
    <n v="1407104"/>
    <n v="1407104"/>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iguvenc@ncsu.edu"/>
    <s v="iguvenc@ncsu.edu;ibrahim-demir@uiowa.edu;ucali@uncc.edu;walids@vt.edu   "/>
  </r>
  <r>
    <m/>
    <d v="2017-03-06T16:44:00"/>
    <s v="NSF 17-529"/>
    <s v="05050000"/>
    <s v="7918"/>
    <s v="NEW"/>
    <s v="PEND"/>
    <s v="4110"/>
    <s v="CPSFRT2017"/>
    <s v="DCORMAN"/>
    <m/>
    <n v="1"/>
    <n v="3"/>
    <s v="LC"/>
    <m/>
    <m/>
    <x v="1"/>
    <s v="RA 1739887 Baras"/>
    <m/>
    <m/>
    <s v="David Corman"/>
    <s v="Cognisant Program Director"/>
    <s v="eJ"/>
    <s v="baras@umd.edu"/>
    <s v="PIs@"/>
    <s v="CNS"/>
    <s v="1739887"/>
    <n v="4"/>
    <n v="4"/>
    <m/>
    <s v=""/>
    <n v="4"/>
    <n v="4.75"/>
    <n v="5"/>
    <s v="G,G,G,G/F"/>
    <d v="2017-10-20T09:57:00"/>
    <n v="6999568"/>
    <n v="6999568"/>
    <n v="0"/>
    <d v="2017-09-01T00:00:00"/>
    <n v="60"/>
    <s v="CPS: Frontier: Collaborative Research: Networked HCPS: Models, Architectures and Performance Evaluation"/>
    <m/>
    <m/>
    <m/>
    <s v="P180038"/>
    <s v="Low Competitive"/>
    <m/>
    <s v="CPS Frontiers (2017)"/>
    <d v="2017-10-20T00:00:00"/>
    <s v=" G,G,G,G/F"/>
    <s v="11 rated projects , 3 C, 6 LC, 2 NC"/>
    <n v="8"/>
    <n v="1"/>
    <m/>
    <m/>
    <m/>
    <m/>
    <m/>
    <m/>
    <m/>
    <m/>
    <m/>
    <m/>
    <m/>
    <m/>
    <m/>
    <m/>
    <m/>
    <m/>
    <m/>
    <m/>
    <s v="1739887"/>
    <s v="Baras"/>
    <s v="John"/>
    <s v="U of MD College Park"/>
    <n v="5999568"/>
    <n v="5999568"/>
    <m/>
    <s v="1739754"/>
    <s v="Javidi"/>
    <s v="Tara"/>
    <s v="U of Cal San Diego"/>
    <n v="1000000"/>
    <n v="1000000"/>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baras@umd.edu"/>
    <s v="baras@umd.edu;tara@ece.ucsd.edu     "/>
  </r>
  <r>
    <m/>
    <d v="2017-03-06T16:54:00"/>
    <s v="NSF 17-529"/>
    <s v="05050000"/>
    <s v="7918"/>
    <s v="NEW"/>
    <s v="PEND"/>
    <s v="4110"/>
    <s v="CPSFRT2017"/>
    <s v="DCORMAN"/>
    <m/>
    <n v="1"/>
    <n v="3"/>
    <s v="LC"/>
    <m/>
    <m/>
    <x v="1"/>
    <s v="RA 1739922 Roy"/>
    <m/>
    <m/>
    <s v="David Corman"/>
    <s v="Cognisant Program Director"/>
    <s v="eJ"/>
    <s v="sroy@eecs.wsu.edu"/>
    <s v="PIs@"/>
    <s v="CNS"/>
    <s v="1739922"/>
    <n v="4"/>
    <n v="4"/>
    <m/>
    <s v=""/>
    <n v="3"/>
    <n v="5.25"/>
    <n v="7"/>
    <s v="V,V/G,G,F"/>
    <d v="2017-10-20T14:28:00"/>
    <n v="6099131"/>
    <n v="6099131"/>
    <n v="0"/>
    <d v="2018-01-01T00:00:00"/>
    <n v="60"/>
    <s v="CPS: Frontier: Collaborative Research: Wide-Area Monitoring and Control of Hidden Dynamic Cascades in Cyber-Physical Infrastructures"/>
    <m/>
    <m/>
    <m/>
    <s v="P180038"/>
    <s v="Low Competitive"/>
    <m/>
    <s v="CPS Frontiers (2017)"/>
    <d v="2017-10-20T00:00:00"/>
    <s v=" V,V/G,G,F"/>
    <s v="11 rated projects , 3 C, 6 LC, 2 NC"/>
    <n v="8"/>
    <n v="1"/>
    <m/>
    <m/>
    <m/>
    <m/>
    <m/>
    <m/>
    <m/>
    <m/>
    <m/>
    <m/>
    <m/>
    <m/>
    <m/>
    <m/>
    <m/>
    <m/>
    <m/>
    <m/>
    <s v="1739922"/>
    <s v="Roy"/>
    <s v="Sandip"/>
    <s v="Washington State Univ"/>
    <n v="2414634"/>
    <n v="2414634"/>
    <m/>
    <s v="1739202"/>
    <s v="PRECIADO"/>
    <s v="VICTOR"/>
    <s v="U of Pennsylvania"/>
    <n v="1500000"/>
    <n v="1500000"/>
    <m/>
    <s v="1739463"/>
    <s v="Lesieutre"/>
    <s v="Bernard"/>
    <s v="U of Wisconsin Madison"/>
    <n v="1267898"/>
    <n v="1267898"/>
    <m/>
    <s v="1740027"/>
    <s v="Pasqualetti"/>
    <s v="Fabio"/>
    <s v="U of Cal Riverside"/>
    <n v="916599"/>
    <n v="916599"/>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sroy@eecs.wsu.edu"/>
    <s v="sroy@eecs.wsu.edu;preciado@seas.upenn.edu;lesieutre@wisc.edu;fabio.pasqualetti@ucr.edu   "/>
  </r>
  <r>
    <m/>
    <d v="2017-03-06T16:55:00"/>
    <s v="NSF 17-529"/>
    <s v="05050000"/>
    <s v="7918"/>
    <s v="NEW"/>
    <s v="PEND"/>
    <s v="4110"/>
    <s v="CPSFRT2017"/>
    <s v="DCORMAN"/>
    <m/>
    <n v="1"/>
    <n v="3"/>
    <s v="LC"/>
    <m/>
    <m/>
    <x v="1"/>
    <s v="RA 1739927 Gerdes"/>
    <m/>
    <m/>
    <s v="David Corman"/>
    <s v="Cognisant Program Director"/>
    <s v="eJ"/>
    <s v="rgerdes@vt.edu"/>
    <s v="PIs@"/>
    <s v="CNS"/>
    <s v="1739927"/>
    <n v="4"/>
    <n v="4"/>
    <m/>
    <s v=""/>
    <n v="3"/>
    <n v="5"/>
    <n v="7"/>
    <s v="V,G,G,F"/>
    <d v="2017-10-19T14:19:00"/>
    <n v="4974830"/>
    <n v="4974830"/>
    <n v="0"/>
    <d v="2017-07-01T00:00:00"/>
    <n v="60"/>
    <s v="CPS: Frontier: Collaborative Research: Assurance in Aviation CPS"/>
    <m/>
    <m/>
    <m/>
    <s v="P180038"/>
    <s v="Low Competitive"/>
    <m/>
    <s v="CPS Frontiers (2017)"/>
    <d v="2017-10-20T00:00:00"/>
    <s v=" V,G,G,F"/>
    <s v="11 rated projects , 3 C, 6 LC, 2 NC"/>
    <n v="8"/>
    <n v="1"/>
    <m/>
    <m/>
    <m/>
    <m/>
    <m/>
    <m/>
    <m/>
    <m/>
    <m/>
    <m/>
    <m/>
    <m/>
    <m/>
    <m/>
    <m/>
    <m/>
    <m/>
    <m/>
    <s v="1739927"/>
    <s v="Gerdes"/>
    <s v="Ryan"/>
    <s v="VA Polytechnic Inst &amp; St U"/>
    <n v="2296997"/>
    <n v="2296997"/>
    <m/>
    <s v="1739079"/>
    <s v="Kohno"/>
    <s v="Tadayoshi"/>
    <s v="U of Washington"/>
    <n v="1000000"/>
    <n v="1000000"/>
    <m/>
    <s v="1739237"/>
    <s v="Wang"/>
    <s v="Chao"/>
    <s v="U of Southern California"/>
    <n v="200189"/>
    <n v="200189"/>
    <m/>
    <s v="1739786"/>
    <s v="Beckman"/>
    <s v="Wendy"/>
    <s v="Middle Tennessee St Univ"/>
    <n v="1477644"/>
    <n v="1477644"/>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rgerdes@vt.edu"/>
    <s v="rgerdes@vt.edu;yoshi@cs.washington.edu;wang626@usc.edu;wbeckman@mtsu.edu   "/>
  </r>
  <r>
    <m/>
    <d v="2017-03-06T19:59:00"/>
    <s v="NSF 17-529"/>
    <s v="05050000"/>
    <s v="7918"/>
    <s v="NEW"/>
    <s v="PEND"/>
    <s v="4110"/>
    <s v="CPSFRT2017"/>
    <s v="DCORMAN"/>
    <m/>
    <n v="1"/>
    <n v="3"/>
    <s v="LC"/>
    <m/>
    <m/>
    <x v="1"/>
    <s v="RA 1740088 Venkatasubramanian"/>
    <m/>
    <m/>
    <s v="David Corman"/>
    <s v="Cognisant Program Director"/>
    <s v="eJ"/>
    <s v="nalini@ics.uci.edu"/>
    <s v="PIs@"/>
    <s v="CNS"/>
    <s v="1740088"/>
    <n v="4"/>
    <n v="4"/>
    <m/>
    <s v=""/>
    <n v="4"/>
    <n v="4.75"/>
    <n v="5"/>
    <s v="G,G,G,G/F"/>
    <d v="2017-10-20T12:54:00"/>
    <n v="6995030"/>
    <n v="6995030"/>
    <n v="0"/>
    <d v="2017-10-01T00:00:00"/>
    <n v="48"/>
    <s v="CPS:Frontier:Collaborative Research:CISTERN: Community Based Intelligent Stormwater Networks"/>
    <m/>
    <m/>
    <m/>
    <s v="P180038"/>
    <s v="Low Competitive"/>
    <m/>
    <s v="CPS Frontiers (2017)"/>
    <d v="2017-10-20T00:00:00"/>
    <s v=" G,G,G,G/F"/>
    <s v="11 rated projects , 3 C, 6 LC, 2 NC"/>
    <n v="8"/>
    <n v="0"/>
    <m/>
    <m/>
    <m/>
    <m/>
    <m/>
    <m/>
    <m/>
    <m/>
    <m/>
    <m/>
    <m/>
    <m/>
    <m/>
    <m/>
    <m/>
    <m/>
    <m/>
    <m/>
    <s v="1740088"/>
    <s v="Venkatasubramanian"/>
    <s v="Nalini"/>
    <s v="U of Cal Irvine"/>
    <n v="5296730"/>
    <n v="5296730"/>
    <m/>
    <s v="1739367"/>
    <s v="Low"/>
    <s v="Steven"/>
    <s v="California Inst of Tech"/>
    <n v="900000"/>
    <n v="900000"/>
    <m/>
    <s v="1739749"/>
    <s v="Talcott"/>
    <s v="Carolyn"/>
    <s v="SRI International"/>
    <n v="798300"/>
    <n v="798300"/>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nalini@ics.uci.edu"/>
    <s v="nalini@ics.uci.edu;slow@caltech.edu;clt@cs.stanford.edu    "/>
  </r>
  <r>
    <m/>
    <d v="2017-07-14T10:33:00"/>
    <s v="NSF 17-537"/>
    <s v="05050000"/>
    <s v="7918"/>
    <s v="NEW"/>
    <s v="PEND"/>
    <s v="4110"/>
    <s v="CARCSFY18"/>
    <s v="DCORMAN"/>
    <m/>
    <n v="1"/>
    <n v="3"/>
    <s v="LC"/>
    <m/>
    <m/>
    <x v="1"/>
    <s v="RA 1749118 Dawn"/>
    <m/>
    <m/>
    <s v="David Corman"/>
    <s v="Cognisant Program Director"/>
    <s v="eJ"/>
    <s v="debasis.dawn@ndsu.edu"/>
    <s v="PIs@"/>
    <s v="CNS"/>
    <s v="1749118"/>
    <n v="4"/>
    <n v="4"/>
    <m/>
    <s v=""/>
    <n v="4"/>
    <n v="5.5"/>
    <n v="7"/>
    <s v="V,V/G,G,G/F"/>
    <d v="2017-11-02T14:21:00"/>
    <n v="504542"/>
    <n v="504542"/>
    <n v="0"/>
    <d v="2018-02-01T00:00:00"/>
    <n v="60"/>
    <s v="CAREER:Wireless Body Area Network Sensors: A New Pathway for Ultra-Low-Power, Security and Adaptability to Dynamic Changes"/>
    <m/>
    <m/>
    <m/>
    <s v="P180067"/>
    <s v="Low Competitive"/>
    <m/>
    <s v="CPS CAREER"/>
    <d v="2017-11-03T00:00:00"/>
    <s v=" V,V/G,G,G/F"/>
    <s v="25 rated projects: 1 HC, 6 C, 11 LC, 7 NC"/>
    <n v="13"/>
    <n v="0"/>
    <m/>
    <m/>
    <m/>
    <m/>
    <m/>
    <m/>
    <m/>
    <m/>
    <m/>
    <m/>
    <m/>
    <m/>
    <m/>
    <m/>
    <m/>
    <m/>
    <m/>
    <m/>
    <s v="1749118"/>
    <s v="Dawn"/>
    <s v="Debasis"/>
    <s v="North Dakota State U Fargo"/>
    <n v="504542"/>
    <n v="504542"/>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debasis.dawn@ndsu.edu"/>
    <s v="debasis.dawn@ndsu.edu      "/>
  </r>
  <r>
    <m/>
    <d v="2017-07-19T12:40:00"/>
    <s v="NSF 17-537"/>
    <s v="05050000"/>
    <s v="7918"/>
    <s v="NEW"/>
    <s v="PEND"/>
    <s v="4110"/>
    <s v="CARCSFY18"/>
    <s v="DCORMAN"/>
    <m/>
    <n v="1"/>
    <n v="3"/>
    <s v="LC"/>
    <m/>
    <m/>
    <x v="1"/>
    <s v="RA 1750414 Zeng"/>
    <m/>
    <m/>
    <s v="David Corman"/>
    <s v="Cognisant Program Director"/>
    <s v="eJ"/>
    <s v="hbzeng@vt.edu"/>
    <s v="PIs@"/>
    <s v="CNS"/>
    <s v="1750414"/>
    <n v="4"/>
    <n v="4"/>
    <m/>
    <s v=""/>
    <n v="3"/>
    <n v="4.75"/>
    <n v="7"/>
    <s v="V,G,G/F,F"/>
    <d v="2017-11-03T10:31:00"/>
    <n v="499449"/>
    <n v="499449"/>
    <n v="0"/>
    <d v="2018-01-01T00:00:00"/>
    <n v="60"/>
    <s v="CAREER: Revolutionizing Optimization Techniques for Time-Critical CPS"/>
    <m/>
    <m/>
    <m/>
    <s v="P180067"/>
    <s v="Low Competitive"/>
    <m/>
    <s v="CPS CAREER"/>
    <d v="2017-11-03T00:00:00"/>
    <s v=" V,G,G/F,F"/>
    <s v="25 rated projects: 1 HC, 6 C, 11 LC, 7 NC"/>
    <n v="13"/>
    <n v="0"/>
    <m/>
    <m/>
    <m/>
    <m/>
    <m/>
    <m/>
    <m/>
    <m/>
    <m/>
    <m/>
    <m/>
    <m/>
    <m/>
    <m/>
    <m/>
    <m/>
    <m/>
    <m/>
    <s v="1750414"/>
    <s v="Zeng"/>
    <s v="Haibo"/>
    <s v="VA Polytechnic Inst &amp; St U"/>
    <n v="499449"/>
    <n v="499449"/>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hbzeng@vt.edu"/>
    <s v="hbzeng@vt.edu      "/>
  </r>
  <r>
    <m/>
    <d v="2017-07-19T12:46:00"/>
    <s v="NSF 17-537"/>
    <s v="05050000"/>
    <s v="7918"/>
    <s v="NEW"/>
    <s v="PEND"/>
    <s v="4110"/>
    <s v="CARCSFY18"/>
    <s v="DCORMAN"/>
    <m/>
    <n v="1"/>
    <n v="3"/>
    <s v="LC"/>
    <m/>
    <m/>
    <x v="1"/>
    <s v="RA 1750426 Li"/>
    <m/>
    <m/>
    <s v="David Corman"/>
    <s v="Cognisant Program Director"/>
    <s v="eJ"/>
    <s v="yli15@wpi.edu"/>
    <s v="PIs@"/>
    <s v="CNS"/>
    <s v="1750426"/>
    <n v="4"/>
    <n v="4"/>
    <m/>
    <s v=""/>
    <n v="4"/>
    <n v="5.25"/>
    <n v="7"/>
    <s v="V,G,G,G/F"/>
    <d v="2017-11-02T10:23:00"/>
    <n v="499714"/>
    <n v="499714"/>
    <n v="0"/>
    <d v="2018-07-01T00:00:00"/>
    <n v="60"/>
    <s v="CAREER: CityMind: Spatial-Temporal-Human Knowledge Transfer for Urban Transportation Evolution Planning"/>
    <m/>
    <m/>
    <m/>
    <s v="P180067"/>
    <s v="Low Competitive"/>
    <m/>
    <s v="CPS CAREER"/>
    <d v="2017-11-03T00:00:00"/>
    <s v=" V,G,G,G/F"/>
    <s v="25 rated projects: 1 HC, 6 C, 11 LC, 7 NC"/>
    <n v="13"/>
    <n v="0"/>
    <m/>
    <m/>
    <m/>
    <m/>
    <m/>
    <m/>
    <m/>
    <m/>
    <m/>
    <m/>
    <m/>
    <m/>
    <m/>
    <m/>
    <m/>
    <m/>
    <m/>
    <m/>
    <s v="1750426"/>
    <s v="Li"/>
    <s v="Yanhua"/>
    <s v="Worcester Polytech Inst"/>
    <n v="499714"/>
    <n v="499714"/>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yli15@wpi.edu"/>
    <s v="yli15@wpi.edu      "/>
  </r>
  <r>
    <m/>
    <d v="2017-07-19T13:11:00"/>
    <s v="NSF 17-537"/>
    <s v="05050000"/>
    <s v="7918"/>
    <s v="NEW"/>
    <s v="PEND"/>
    <s v="4110"/>
    <s v="CARCSFY18"/>
    <s v="DCORMAN"/>
    <m/>
    <n v="1"/>
    <n v="3"/>
    <s v="LC"/>
    <m/>
    <m/>
    <x v="1"/>
    <s v="RA 1750477 Xu"/>
    <m/>
    <m/>
    <s v="David Corman"/>
    <s v="Cognisant Program Director"/>
    <s v="eJ"/>
    <s v="mumu@umd.edu"/>
    <s v="PIs@"/>
    <s v="CNS"/>
    <s v="1750477"/>
    <n v="4"/>
    <n v="4"/>
    <m/>
    <s v=""/>
    <n v="3"/>
    <n v="4.25"/>
    <n v="5"/>
    <s v="G,G,G/F,F"/>
    <d v="2017-11-03T10:22:00"/>
    <n v="500000"/>
    <n v="500000"/>
    <n v="0"/>
    <d v="2018-01-01T00:00:00"/>
    <n v="60"/>
    <s v="CAREER: Autonomous Mission Planning for UAS in Unstructured Environments"/>
    <m/>
    <m/>
    <m/>
    <s v="P180067"/>
    <s v="Low Competitive"/>
    <m/>
    <s v="CPS CAREER"/>
    <d v="2017-11-03T00:00:00"/>
    <s v=" G,G,G/F,F"/>
    <s v="25 rated projects: 1 HC, 6 C, 11 LC, 7 NC"/>
    <n v="13"/>
    <n v="0"/>
    <m/>
    <m/>
    <m/>
    <m/>
    <m/>
    <m/>
    <m/>
    <m/>
    <m/>
    <m/>
    <m/>
    <m/>
    <m/>
    <m/>
    <m/>
    <m/>
    <m/>
    <m/>
    <s v="1750477"/>
    <s v="Xu"/>
    <s v="Huan"/>
    <s v="U of MD College Park"/>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mumu@umd.edu"/>
    <s v="mumu@umd.edu      "/>
  </r>
  <r>
    <m/>
    <d v="2017-07-19T13:44:00"/>
    <s v="NSF 17-537"/>
    <s v="05050000"/>
    <s v="7918"/>
    <s v="NEW"/>
    <s v="PEND"/>
    <s v="4110"/>
    <s v="CARCSFY18"/>
    <s v="DCORMAN"/>
    <m/>
    <n v="1"/>
    <n v="3"/>
    <s v="LC"/>
    <m/>
    <m/>
    <x v="1"/>
    <s v="RA 1750541 Kong"/>
    <m/>
    <m/>
    <s v="David Corman"/>
    <s v="Cognisant Program Director"/>
    <s v="eJ"/>
    <s v="zdkong@ucdavis.edu"/>
    <s v="PIs@"/>
    <s v="CNS"/>
    <s v="1750541"/>
    <n v="4"/>
    <n v="4"/>
    <m/>
    <s v=""/>
    <n v="4"/>
    <n v="4.75"/>
    <n v="5"/>
    <s v="G,G,G,G/F"/>
    <d v="2017-11-02T08:57:00"/>
    <n v="588632"/>
    <n v="588632"/>
    <n v="0"/>
    <d v="2018-03-01T00:00:00"/>
    <n v="60"/>
    <s v="CAREER: Foundations for Safe and Cognitive-Aware Human-Cyber-Physical Systems"/>
    <m/>
    <m/>
    <m/>
    <s v="P180067"/>
    <s v="Low Competitive"/>
    <m/>
    <s v="CPS CAREER"/>
    <d v="2017-11-03T00:00:00"/>
    <s v=" G,G,G,G/F"/>
    <s v="25 rated projects: 1 HC, 6 C, 11 LC, 7 NC"/>
    <n v="13"/>
    <n v="1"/>
    <m/>
    <m/>
    <m/>
    <m/>
    <m/>
    <m/>
    <m/>
    <m/>
    <m/>
    <m/>
    <m/>
    <m/>
    <m/>
    <m/>
    <m/>
    <m/>
    <m/>
    <m/>
    <s v="1750541"/>
    <s v="Kong"/>
    <s v="Zhaodan"/>
    <s v="U of Cal Davis"/>
    <n v="588632"/>
    <n v="588632"/>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zdkong@ucdavis.edu"/>
    <s v="zdkong@ucdavis.edu      "/>
  </r>
  <r>
    <m/>
    <d v="2017-07-19T15:21:00"/>
    <s v="NSF 17-537"/>
    <s v="05050000"/>
    <s v="7918"/>
    <s v="NEW"/>
    <s v="PEND"/>
    <s v="4110"/>
    <s v="CARCSFY18"/>
    <s v="DCORMAN"/>
    <m/>
    <n v="1"/>
    <n v="3"/>
    <s v="LC"/>
    <m/>
    <m/>
    <x v="1"/>
    <s v="RA 1750811 Duggirala"/>
    <m/>
    <m/>
    <s v="David Corman"/>
    <s v="Cognisant Program Director"/>
    <s v="eJ"/>
    <s v="psd@engr.uconn.edu"/>
    <s v="PIs@"/>
    <s v="CNS"/>
    <s v="1750811"/>
    <n v="4"/>
    <n v="4"/>
    <m/>
    <s v=""/>
    <n v="5"/>
    <n v="5.5"/>
    <n v="7"/>
    <s v="V,G,G,G"/>
    <d v="2017-11-02T15:12:00"/>
    <n v="508393"/>
    <n v="508393"/>
    <n v="0"/>
    <d v="2018-01-01T00:00:00"/>
    <n v="60"/>
    <s v="CAREER: A Rigorous Framework for End-To-End Certification of Autonomous Vehicles"/>
    <m/>
    <m/>
    <m/>
    <s v="P180067"/>
    <s v="Low Competitive"/>
    <m/>
    <s v="CPS CAREER"/>
    <d v="2017-11-03T00:00:00"/>
    <s v=" V,G,G,G"/>
    <s v="25 rated projects: 1 HC, 6 C, 11 LC, 7 NC"/>
    <n v="13"/>
    <n v="1"/>
    <m/>
    <m/>
    <m/>
    <m/>
    <m/>
    <m/>
    <m/>
    <m/>
    <m/>
    <m/>
    <m/>
    <m/>
    <m/>
    <m/>
    <m/>
    <m/>
    <m/>
    <m/>
    <s v="1750811"/>
    <s v="Duggirala"/>
    <s v="Parasara"/>
    <s v="Univ of Connecticut"/>
    <n v="508393"/>
    <n v="50839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psd@engr.uconn.edu"/>
    <s v="psd@engr.uconn.edu      "/>
  </r>
  <r>
    <m/>
    <d v="2017-07-19T16:24:00"/>
    <s v="NSF 17-537"/>
    <s v="05050000"/>
    <s v="7918"/>
    <s v="NEW"/>
    <s v="PEND"/>
    <s v="4110"/>
    <s v="CARCSFY18"/>
    <s v="DCORMAN"/>
    <m/>
    <n v="1"/>
    <n v="3"/>
    <s v="LC"/>
    <m/>
    <m/>
    <x v="1"/>
    <s v="RA 1751068 Lauf"/>
    <m/>
    <m/>
    <s v="David Corman"/>
    <s v="Cognisant Program Director"/>
    <s v="eJ"/>
    <s v="adrian.lauf@louisville.edu"/>
    <s v="PIs@"/>
    <s v="CNS"/>
    <s v="1751068"/>
    <n v="4"/>
    <n v="4"/>
    <m/>
    <s v=""/>
    <n v="4"/>
    <n v="5.25"/>
    <n v="7"/>
    <s v="V,V/G,G/F,G/F"/>
    <d v="2017-11-03T08:44:00"/>
    <n v="519006"/>
    <n v="519006"/>
    <n v="0"/>
    <d v="2018-01-01T00:00:00"/>
    <n v="60"/>
    <s v="CAREER: CyclONE: Synoptic-Scale Real-Time Sensing with Unmanned Aerial Systems"/>
    <m/>
    <m/>
    <m/>
    <s v="P180067"/>
    <s v="Low Competitive"/>
    <m/>
    <s v="CPS CAREER"/>
    <d v="2017-11-03T00:00:00"/>
    <s v=" V,V/G,G/F,G/F"/>
    <s v="25 rated projects: 1 HC, 6 C, 11 LC, 7 NC"/>
    <n v="13"/>
    <n v="0"/>
    <m/>
    <m/>
    <m/>
    <m/>
    <m/>
    <m/>
    <m/>
    <m/>
    <m/>
    <m/>
    <m/>
    <m/>
    <m/>
    <m/>
    <m/>
    <m/>
    <m/>
    <m/>
    <s v="1751068"/>
    <s v="Lauf"/>
    <s v="Adrian"/>
    <s v="U of Louisville Res Fdn"/>
    <n v="519006"/>
    <n v="519006"/>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adrian.lauf@louisville.edu"/>
    <s v="adrian.lauf@louisville.edu      "/>
  </r>
  <r>
    <m/>
    <d v="2017-07-19T17:00:00"/>
    <s v="NSF 17-537"/>
    <s v="05050000"/>
    <s v="7918"/>
    <s v="NEW"/>
    <s v="PEND"/>
    <s v="4110"/>
    <s v="CARCSFY18"/>
    <s v="DCORMAN"/>
    <m/>
    <n v="1"/>
    <n v="3"/>
    <s v="LC"/>
    <m/>
    <m/>
    <x v="1"/>
    <s v="RA 1751205 Kassas"/>
    <m/>
    <m/>
    <s v="David Corman"/>
    <s v="Cognisant Program Director"/>
    <s v="eJ"/>
    <s v="zak.kassas@ucr.edu"/>
    <s v="PIs@"/>
    <s v="CNS"/>
    <s v="1751205"/>
    <n v="4"/>
    <n v="4"/>
    <m/>
    <s v=""/>
    <n v="5"/>
    <n v="6"/>
    <n v="7"/>
    <s v="V,V,G,G"/>
    <d v="2017-11-03T12:14:00"/>
    <n v="500000"/>
    <n v="500000"/>
    <n v="0"/>
    <d v="2018-04-01T00:00:00"/>
    <n v="60"/>
    <s v="CAREER: Situational Awareness Strategies for Autonomous Systems in Dynamic Uncertain Environments"/>
    <m/>
    <m/>
    <m/>
    <s v="P180067"/>
    <s v="Low Competitive"/>
    <m/>
    <s v="CPS CAREER"/>
    <d v="2017-11-03T00:00:00"/>
    <s v=" V,V,G,G"/>
    <s v="25 rated projects: 1 HC, 6 C, 11 LC, 7 NC"/>
    <n v="13"/>
    <n v="0"/>
    <m/>
    <m/>
    <m/>
    <m/>
    <m/>
    <m/>
    <m/>
    <m/>
    <m/>
    <m/>
    <m/>
    <m/>
    <m/>
    <m/>
    <m/>
    <m/>
    <m/>
    <m/>
    <s v="1751205"/>
    <s v="Kassas"/>
    <s v="Zak"/>
    <s v="U of Cal Riverside"/>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zak.kassas@ucr.edu"/>
    <s v="zak.kassas@ucr.edu      "/>
  </r>
  <r>
    <m/>
    <d v="2017-07-19T17:35:00"/>
    <s v="NSF 17-537"/>
    <s v="05050000"/>
    <s v="7918"/>
    <s v="NEW"/>
    <s v="PEND"/>
    <s v="4110"/>
    <s v="CARCSFY18"/>
    <s v="DCORMAN"/>
    <m/>
    <n v="1"/>
    <n v="3"/>
    <s v="LC"/>
    <m/>
    <m/>
    <x v="1"/>
    <s v="RA 1751276 Johnson"/>
    <m/>
    <m/>
    <s v="David Corman"/>
    <s v="Cognisant Program Director"/>
    <s v="eJ"/>
    <s v="taylor.johnson@gmail.com"/>
    <s v="PIs@"/>
    <s v="CNS"/>
    <s v="1751276"/>
    <n v="4"/>
    <n v="4"/>
    <m/>
    <s v=""/>
    <n v="3"/>
    <n v="5.25"/>
    <n v="7"/>
    <s v="V,V/G,G,F"/>
    <d v="2017-11-03T09:00:00"/>
    <n v="557308"/>
    <n v="557308"/>
    <n v="0"/>
    <d v="2018-01-01T00:00:00"/>
    <n v="60"/>
    <s v="CAREER: Provable Cyber-Physical Safety and Security in Intra and Inter-Vehicular Networks"/>
    <m/>
    <m/>
    <m/>
    <s v="P180067"/>
    <s v="Low Competitive"/>
    <m/>
    <s v="CPS CAREER"/>
    <d v="2017-11-03T00:00:00"/>
    <s v=" V,V/G,G,F"/>
    <s v="25 rated projects: 1 HC, 6 C, 11 LC, 7 NC"/>
    <n v="13"/>
    <n v="2"/>
    <m/>
    <m/>
    <m/>
    <m/>
    <m/>
    <m/>
    <m/>
    <m/>
    <m/>
    <m/>
    <m/>
    <m/>
    <m/>
    <m/>
    <m/>
    <m/>
    <m/>
    <m/>
    <s v="1751276"/>
    <s v="Johnson"/>
    <s v="Taylor"/>
    <s v="Vanderbilt University"/>
    <n v="557308"/>
    <n v="557308"/>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taylor.johnson@gmail.com"/>
    <s v="taylor.johnson@gmail.com      "/>
  </r>
  <r>
    <m/>
    <d v="2017-07-19T17:51:00"/>
    <s v="NSF 17-537"/>
    <s v="05050000"/>
    <s v="7918"/>
    <s v="NEW"/>
    <s v="PEND"/>
    <s v="4110"/>
    <s v="CARCSFY18"/>
    <s v="DCORMAN"/>
    <m/>
    <n v="1"/>
    <n v="3"/>
    <s v="LC"/>
    <m/>
    <m/>
    <x v="1"/>
    <s v="RA 1751307 Chao"/>
    <m/>
    <m/>
    <s v="David Corman"/>
    <s v="Cognisant Program Director"/>
    <s v="eJ"/>
    <s v="chaohaiyang@ku.edu"/>
    <s v="PIs@"/>
    <s v="CNS"/>
    <s v="1751307"/>
    <n v="4"/>
    <n v="4"/>
    <m/>
    <s v=""/>
    <n v="3"/>
    <n v="4"/>
    <n v="5"/>
    <s v="G,G,F,F"/>
    <d v="2017-11-02T18:01:00"/>
    <n v="500000"/>
    <n v="500000"/>
    <n v="0"/>
    <d v="2018-01-01T00:00:00"/>
    <n v="60"/>
    <s v="CAREER: CPS: Collaborative Sensing and Surfing of Spatio-Temporal Wind for Improved Safety and Increased Autonomy of Next Generation UAS Networks"/>
    <m/>
    <m/>
    <m/>
    <s v="P180067"/>
    <s v="Low Competitive"/>
    <m/>
    <s v="CPS CAREER"/>
    <d v="2017-11-03T00:00:00"/>
    <s v=" G,G,F,F"/>
    <s v="25 rated projects: 1 HC, 6 C, 11 LC, 7 NC"/>
    <n v="13"/>
    <n v="0"/>
    <m/>
    <m/>
    <m/>
    <m/>
    <m/>
    <m/>
    <m/>
    <m/>
    <m/>
    <m/>
    <m/>
    <m/>
    <m/>
    <m/>
    <m/>
    <m/>
    <m/>
    <m/>
    <s v="1751307"/>
    <s v="Chao"/>
    <s v="Haiyang"/>
    <s v="U of Kansas Ctr for Res In"/>
    <n v="500000"/>
    <n v="500000"/>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chaohaiyang@ku.edu"/>
    <s v="chaohaiyang@ku.edu      "/>
  </r>
  <r>
    <m/>
    <d v="2017-07-19T18:23:00"/>
    <s v="NSF 17-537"/>
    <s v="05050000"/>
    <s v="7918"/>
    <s v="NEW"/>
    <s v="PEND"/>
    <s v="4110"/>
    <s v="CARCSFY18"/>
    <s v="DCORMAN"/>
    <m/>
    <n v="1"/>
    <n v="3"/>
    <s v="LC"/>
    <m/>
    <m/>
    <x v="1"/>
    <s v="RA 1751346 Rrushi"/>
    <m/>
    <m/>
    <s v="David Corman"/>
    <s v="Cognisant Program Director"/>
    <s v="eJ"/>
    <s v="julian.rrushi@wwu.edu"/>
    <s v="PIs@"/>
    <s v="CNS"/>
    <s v="1751346"/>
    <n v="4"/>
    <n v="4"/>
    <m/>
    <s v=""/>
    <n v="3"/>
    <n v="3.5"/>
    <n v="4"/>
    <s v="G/F,G/F,F,F"/>
    <d v="2017-11-03T08:01:00"/>
    <n v="630787"/>
    <n v="630787"/>
    <n v="0"/>
    <d v="2018-09-15T00:00:00"/>
    <n v="60"/>
    <s v="CAREER: INDUSTRIAL MIRAGE IN CYBER SPACE"/>
    <m/>
    <m/>
    <m/>
    <s v="P180067"/>
    <s v="Low Competitive"/>
    <m/>
    <s v="CPS CAREER"/>
    <d v="2017-11-03T00:00:00"/>
    <s v=" G/F,G/F,F,F"/>
    <s v="25 rated projects: 1 HC, 6 C, 11 LC, 7 NC"/>
    <n v="13"/>
    <n v="1"/>
    <m/>
    <m/>
    <m/>
    <m/>
    <m/>
    <m/>
    <m/>
    <m/>
    <m/>
    <m/>
    <m/>
    <m/>
    <m/>
    <m/>
    <m/>
    <m/>
    <m/>
    <m/>
    <s v="1751346"/>
    <s v="Rrushi"/>
    <s v="Julian"/>
    <s v="Western Washington Univ"/>
    <n v="630787"/>
    <n v="630787"/>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julian.rrushi@wwu.edu"/>
    <s v="julian.rrushi@wwu.edu      "/>
  </r>
  <r>
    <m/>
    <d v="2017-08-21T17:14:00"/>
    <s v="NSF 13-542"/>
    <s v="05050000"/>
    <s v="1139"/>
    <s v="NEW"/>
    <s v="PEND"/>
    <s v="4110"/>
    <s v="REUSITE18"/>
    <s v="JSPRINK"/>
    <d v="2017-11-09T12:05:14"/>
    <n v="1"/>
    <n v="3"/>
    <s v="LC"/>
    <m/>
    <m/>
    <x v="1"/>
    <s v="RA 1757384 Fu"/>
    <m/>
    <m/>
    <s v="Jonathan Sprinkle"/>
    <s v="Cognisant Program Director"/>
    <s v="eJ"/>
    <s v="song.fu@unt.edu"/>
    <s v="PIs@"/>
    <s v="CNS"/>
    <s v="1757384"/>
    <n v="4"/>
    <m/>
    <m/>
    <s v=""/>
    <n v="3"/>
    <n v="5"/>
    <n v="7"/>
    <s v="V,G,G,F"/>
    <d v="2017-10-26T15:43:00"/>
    <n v="365510"/>
    <n v="357120"/>
    <n v="0"/>
    <d v="2018-03-01T00:00:00"/>
    <n v="36"/>
    <s v="REU Site: Research in Autonomous Vehicular Information Technology and Automotive Smart Things"/>
    <m/>
    <m/>
    <m/>
    <s v="P180116"/>
    <s v="Low Competitive"/>
    <m/>
    <s v="REU SITE - CIS"/>
    <d v="2017-10-27T00:00:00"/>
    <s v=" V,G,G,F"/>
    <s v="15 rated projects: 3 HC, 3 C, 7 LC, 2 NC"/>
    <n v="8"/>
    <n v="0"/>
    <m/>
    <m/>
    <m/>
    <m/>
    <m/>
    <m/>
    <m/>
    <m/>
    <m/>
    <m/>
    <m/>
    <m/>
    <m/>
    <m/>
    <m/>
    <m/>
    <m/>
    <m/>
    <s v="1757384"/>
    <s v="Fu"/>
    <s v="Song"/>
    <s v="University of North Texas"/>
    <n v="365510"/>
    <n v="357120"/>
    <s v="9250"/>
    <m/>
    <m/>
    <m/>
    <m/>
    <m/>
    <m/>
    <m/>
    <m/>
    <m/>
    <m/>
    <m/>
    <m/>
    <m/>
    <m/>
    <m/>
    <m/>
    <m/>
    <m/>
    <m/>
    <m/>
    <m/>
    <m/>
    <m/>
    <m/>
    <m/>
    <m/>
    <m/>
    <m/>
    <m/>
    <m/>
    <m/>
    <m/>
    <m/>
    <m/>
    <m/>
    <m/>
    <m/>
    <m/>
    <m/>
    <m/>
    <m/>
    <m/>
    <s v="Research Experiences for Undergraduates"/>
    <s v="Division Of Computer and Network Systems"/>
    <s v="RSCH EXPER FOR UNDERGRAD SITES"/>
    <s v="Jonathan Sprinkle"/>
    <s v="Pending, De-recommended"/>
    <s v="New Project"/>
    <s v="Research Grants-Not Elsewh Cla"/>
    <s v="CSE"/>
    <s v="Direct For Computer &amp; Info Scie &amp; Enginr"/>
    <d v="2017-12-06T09:38:42"/>
    <s v="song.fu@unt.edu"/>
    <s v="song.fu@unt.edu      "/>
  </r>
  <r>
    <d v="2017-11-24T23:21:31"/>
    <d v="2017-08-23T09:05:00"/>
    <s v="NSF 13-542"/>
    <s v="05050000"/>
    <s v="1139"/>
    <s v="NEW"/>
    <s v="DECL"/>
    <s v="4110"/>
    <s v="REUSITE18"/>
    <s v="JSPRINK"/>
    <d v="2017-11-02T11:25:01"/>
    <n v="1"/>
    <n v="3"/>
    <s v="LC"/>
    <m/>
    <m/>
    <x v="1"/>
    <s v="RA 1757535 Zhang"/>
    <m/>
    <m/>
    <s v="Jonathan Sprinkle"/>
    <s v="Cognisant Program Director"/>
    <s v="eJ"/>
    <s v="wzhang4@vcu.edu"/>
    <s v="PIs@"/>
    <s v="CNS"/>
    <s v="1757535"/>
    <n v="5"/>
    <m/>
    <m/>
    <s v=""/>
    <n v="3"/>
    <n v="3.6"/>
    <n v="5"/>
    <s v="G,G/F,F,F,F"/>
    <d v="2017-10-27T12:19:00"/>
    <n v="447942"/>
    <n v="447942"/>
    <n v="0"/>
    <d v="2018-03-01T00:00:00"/>
    <n v="36"/>
    <s v="REU Site: Undergraduate Research in Cyber-Physical Systems"/>
    <m/>
    <m/>
    <m/>
    <s v="P180116"/>
    <s v="Low Competitive"/>
    <m/>
    <s v="REU SITE - CIS"/>
    <d v="2017-10-27T00:00:00"/>
    <s v=" G,G/F,F,F,F"/>
    <s v="15 rated projects: 3 HC, 3 C, 7 LC, 2 NC"/>
    <n v="8"/>
    <n v="0"/>
    <m/>
    <m/>
    <m/>
    <m/>
    <m/>
    <m/>
    <m/>
    <m/>
    <m/>
    <m/>
    <m/>
    <m/>
    <m/>
    <m/>
    <m/>
    <m/>
    <m/>
    <m/>
    <s v="1757535"/>
    <s v="Zhang"/>
    <s v="Wei"/>
    <s v="Virginia Commonwealth Univ"/>
    <n v="447942"/>
    <n v="447942"/>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wzhang4@vcu.edu"/>
    <s v="wzhang4@vcu.edu      "/>
  </r>
  <r>
    <d v="2017-11-27T08:23:03"/>
    <d v="2017-08-23T16:20:00"/>
    <s v="NSF 13-542"/>
    <s v="05050000"/>
    <s v="1139"/>
    <s v="NEW"/>
    <s v="DECL"/>
    <s v="4110"/>
    <s v="REUSITE18"/>
    <s v="JSPRINK"/>
    <d v="2017-11-09T12:04:40"/>
    <n v="1"/>
    <n v="3"/>
    <s v="LC"/>
    <m/>
    <m/>
    <x v="1"/>
    <s v="RA 1757853 Jung"/>
    <m/>
    <m/>
    <s v="Jonathan Sprinkle"/>
    <s v="Cognisant Program Director"/>
    <s v="eJ"/>
    <s v="jung@uta.edu"/>
    <s v="PIs@"/>
    <s v="CNS"/>
    <s v="1757853"/>
    <n v="4"/>
    <m/>
    <m/>
    <s v=""/>
    <n v="3"/>
    <n v="3"/>
    <n v="3"/>
    <s v="F,F,F,F"/>
    <d v="2017-10-26T15:13:00"/>
    <n v="339491"/>
    <n v="339491"/>
    <n v="0"/>
    <d v="2018-01-01T00:00:00"/>
    <n v="36"/>
    <s v="REU Site: Smart Distributed Data Sensing and Processing Systems"/>
    <m/>
    <m/>
    <m/>
    <s v="P180116"/>
    <s v="Low Competitive"/>
    <m/>
    <s v="REU SITE - CIS"/>
    <d v="2017-10-27T00:00:00"/>
    <s v=" F,F,F,F"/>
    <s v="15 rated projects: 3 HC, 3 C, 7 LC, 2 NC"/>
    <n v="8"/>
    <n v="0"/>
    <m/>
    <m/>
    <m/>
    <m/>
    <m/>
    <m/>
    <m/>
    <m/>
    <m/>
    <m/>
    <m/>
    <m/>
    <m/>
    <m/>
    <m/>
    <m/>
    <m/>
    <m/>
    <s v="1757853"/>
    <s v="Jung"/>
    <s v="Sungyong"/>
    <s v="U of Texas Arlington"/>
    <n v="339491"/>
    <n v="339491"/>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jung@uta.edu"/>
    <s v="jung@uta.edu      "/>
  </r>
  <r>
    <m/>
    <d v="2017-08-23T16:38:00"/>
    <s v="NSF 13-542"/>
    <s v="05050000"/>
    <s v="1139"/>
    <s v="NEW"/>
    <s v="PEND"/>
    <s v="4110"/>
    <s v="REUSITE18"/>
    <s v="JSPRINK"/>
    <d v="2017-11-09T12:03:28"/>
    <n v="1"/>
    <n v="3"/>
    <s v="LC"/>
    <m/>
    <m/>
    <x v="1"/>
    <s v="RA 1757893 Metsis"/>
    <m/>
    <m/>
    <s v="Jonathan Sprinkle"/>
    <s v="Cognisant Program Director"/>
    <s v="eJ"/>
    <s v="vmetsis@txstate.edu"/>
    <s v="PIs@"/>
    <s v="CNS"/>
    <s v="1757893"/>
    <n v="4"/>
    <m/>
    <m/>
    <s v=""/>
    <n v="4"/>
    <n v="6"/>
    <n v="7"/>
    <s v="V,V,V/G,G/F"/>
    <d v="2017-10-26T16:15:00"/>
    <n v="359812"/>
    <n v="359812"/>
    <n v="0"/>
    <d v="2018-01-01T00:00:00"/>
    <n v="36"/>
    <s v="REU Site: Research Experiences for Undergraduates in Smart &amp; Connected Communities"/>
    <m/>
    <m/>
    <m/>
    <s v="P180116"/>
    <s v="Low Competitive"/>
    <m/>
    <s v="REU SITE - CIS"/>
    <d v="2017-10-27T00:00:00"/>
    <s v=" V,V,V/G,G/F"/>
    <s v="15 rated projects: 3 HC, 3 C, 7 LC, 2 NC"/>
    <n v="8"/>
    <n v="0"/>
    <m/>
    <m/>
    <m/>
    <m/>
    <m/>
    <m/>
    <m/>
    <m/>
    <m/>
    <m/>
    <m/>
    <m/>
    <m/>
    <m/>
    <m/>
    <m/>
    <m/>
    <m/>
    <s v="1757893"/>
    <s v="Metsis"/>
    <s v="Vangelis"/>
    <s v="Texas State U - San Marcos"/>
    <n v="359812"/>
    <n v="359812"/>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vmetsis@txstate.edu"/>
    <s v="vmetsis@txstate.edu      "/>
  </r>
  <r>
    <m/>
    <d v="2017-08-23T16:51:00"/>
    <s v="NSF 13-542"/>
    <s v="05050000"/>
    <s v="1139"/>
    <s v="NEW"/>
    <s v="PEND"/>
    <s v="4110"/>
    <s v="REUSITE18"/>
    <s v="JSPRINK"/>
    <d v="2017-11-09T12:02:59"/>
    <n v="1"/>
    <n v="3"/>
    <s v="LC"/>
    <m/>
    <m/>
    <x v="1"/>
    <s v="RA 1757919 Odumosu"/>
    <m/>
    <m/>
    <s v="Jonathan Sprinkle"/>
    <s v="Cognisant Program Director"/>
    <s v="eJ"/>
    <s v="tbo4z@virginia.edu"/>
    <s v="PIs@"/>
    <s v="CNS"/>
    <s v="1757919"/>
    <n v="4"/>
    <m/>
    <m/>
    <s v=""/>
    <n v="4"/>
    <n v="5"/>
    <n v="6"/>
    <s v="V/G,G,G,G/F"/>
    <d v="2017-10-27T09:31:00"/>
    <n v="299333"/>
    <n v="299333"/>
    <n v="0"/>
    <d v="2018-06-01T00:00:00"/>
    <n v="36"/>
    <s v="Designing the Future through Integrative Research in Cyber-Physical Systems"/>
    <m/>
    <m/>
    <m/>
    <s v="P180116"/>
    <s v="Low Competitive"/>
    <m/>
    <s v="REU SITE - CIS"/>
    <d v="2017-10-27T00:00:00"/>
    <s v=" V/G,G,G,G/F"/>
    <s v="15 rated projects: 3 HC, 3 C, 7 LC, 2 NC"/>
    <n v="8"/>
    <n v="0"/>
    <m/>
    <m/>
    <m/>
    <m/>
    <m/>
    <m/>
    <m/>
    <m/>
    <m/>
    <m/>
    <m/>
    <m/>
    <m/>
    <m/>
    <m/>
    <m/>
    <m/>
    <m/>
    <s v="1757919"/>
    <s v="Odumosu"/>
    <s v="Toluwalogo"/>
    <s v="University of Virginia"/>
    <n v="299333"/>
    <n v="299333"/>
    <s v="9250"/>
    <m/>
    <m/>
    <m/>
    <m/>
    <m/>
    <m/>
    <m/>
    <m/>
    <m/>
    <m/>
    <m/>
    <m/>
    <m/>
    <m/>
    <m/>
    <m/>
    <m/>
    <m/>
    <m/>
    <m/>
    <m/>
    <m/>
    <m/>
    <m/>
    <m/>
    <m/>
    <m/>
    <m/>
    <m/>
    <m/>
    <m/>
    <m/>
    <m/>
    <m/>
    <m/>
    <m/>
    <m/>
    <m/>
    <m/>
    <m/>
    <m/>
    <m/>
    <s v="Research Experiences for Undergraduates"/>
    <s v="Division Of Computer and Network Systems"/>
    <s v="RSCH EXPER FOR UNDERGRAD SITES"/>
    <s v="Jonathan Sprinkle"/>
    <s v="Pending, PM recommends decline"/>
    <s v="New Project"/>
    <s v="Research Grants-Not Elsewh Cla"/>
    <s v="CSE"/>
    <s v="Direct For Computer &amp; Info Scie &amp; Enginr"/>
    <d v="2017-12-06T09:38:42"/>
    <s v="tbo4z@virginia.edu"/>
    <s v="tbo4z@virginia.edu      "/>
  </r>
  <r>
    <d v="2017-11-24T23:25:05"/>
    <d v="2017-08-23T16:51:00"/>
    <s v="NSF 13-542"/>
    <s v="05050000"/>
    <s v="1139"/>
    <s v="NEW"/>
    <s v="DECL"/>
    <s v="4110"/>
    <s v="REUSITE18"/>
    <s v="JSPRINK"/>
    <d v="2017-11-09T12:06:23"/>
    <n v="1"/>
    <n v="3"/>
    <s v="LC"/>
    <m/>
    <m/>
    <x v="1"/>
    <s v="RA 1757921 Ashok"/>
    <m/>
    <m/>
    <s v="Jonathan Sprinkle"/>
    <s v="Cognisant Program Director"/>
    <s v="eJ"/>
    <s v="aashok@gsu.edu"/>
    <s v="PIs@"/>
    <s v="CNS"/>
    <s v="1757921"/>
    <n v="4"/>
    <m/>
    <m/>
    <s v=""/>
    <n v="3"/>
    <n v="4.5"/>
    <n v="7"/>
    <s v="V,G,F,F"/>
    <d v="2017-10-27T10:04:00"/>
    <n v="358313"/>
    <n v="358313"/>
    <n v="0"/>
    <d v="2018-01-30T00:00:00"/>
    <n v="36"/>
    <s v="REU Site: Developing Smart and Autonomous Internet-of-Things Systems"/>
    <m/>
    <m/>
    <m/>
    <s v="P180116"/>
    <s v="Low Competitive"/>
    <m/>
    <s v="REU SITE - CIS"/>
    <d v="2017-10-27T00:00:00"/>
    <s v=" V,G,F,F"/>
    <s v="15 rated projects: 3 HC, 3 C, 7 LC, 2 NC"/>
    <n v="8"/>
    <n v="0"/>
    <m/>
    <m/>
    <m/>
    <m/>
    <m/>
    <m/>
    <m/>
    <m/>
    <m/>
    <m/>
    <m/>
    <m/>
    <m/>
    <m/>
    <m/>
    <m/>
    <m/>
    <m/>
    <s v="1757921"/>
    <s v="Ashok"/>
    <s v="Ashwin"/>
    <s v="Ga State U Res Fdn, Inc."/>
    <n v="358313"/>
    <n v="358313"/>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aashok@gsu.edu"/>
    <s v="aashok@gsu.edu      "/>
  </r>
  <r>
    <d v="2017-11-27T08:33:00"/>
    <d v="2017-08-23T17:29:00"/>
    <s v="NSF 13-542"/>
    <s v="05050000"/>
    <s v="1139"/>
    <s v="NEW"/>
    <s v="DECL"/>
    <s v="4110"/>
    <s v="REUSITE18"/>
    <s v="JSPRINK"/>
    <d v="2017-11-09T12:05:59"/>
    <n v="1"/>
    <n v="3"/>
    <s v="LC"/>
    <m/>
    <m/>
    <x v="1"/>
    <s v="RA 1757956 Bobda"/>
    <m/>
    <m/>
    <s v="Jonathan Sprinkle"/>
    <s v="Cognisant Program Director"/>
    <s v="eJ"/>
    <s v="cbobda@uark.edu"/>
    <s v="PIs@"/>
    <s v="CNS"/>
    <s v="1757956"/>
    <n v="4"/>
    <m/>
    <m/>
    <s v=""/>
    <n v="2"/>
    <n v="2.75"/>
    <n v="3"/>
    <s v="F,F,F,F/P"/>
    <d v="2017-10-27T10:26:00"/>
    <n v="399415"/>
    <n v="399415"/>
    <n v="0"/>
    <d v="2018-01-01T00:00:00"/>
    <n v="36"/>
    <s v="REU Site:Reliable and Secure Autonomous Systems"/>
    <m/>
    <m/>
    <m/>
    <s v="P180116"/>
    <s v="Low Competitive"/>
    <m/>
    <s v="REU SITE - CIS"/>
    <d v="2017-10-27T00:00:00"/>
    <s v=" F,F,F,F/P"/>
    <s v="15 rated projects: 3 HC, 3 C, 7 LC, 2 NC"/>
    <n v="8"/>
    <n v="0"/>
    <m/>
    <m/>
    <m/>
    <m/>
    <m/>
    <m/>
    <m/>
    <m/>
    <m/>
    <m/>
    <m/>
    <m/>
    <m/>
    <m/>
    <m/>
    <m/>
    <m/>
    <m/>
    <s v="1757956"/>
    <s v="Bobda"/>
    <s v="Christophe"/>
    <s v="U of Arkansas"/>
    <n v="399415"/>
    <n v="399415"/>
    <s v="9150 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cbobda@uark.edu"/>
    <s v="cbobda@uark.edu      "/>
  </r>
  <r>
    <m/>
    <d v="2017-03-06T15:41:00"/>
    <s v="NSF 17-529"/>
    <s v="05050000"/>
    <s v="7918"/>
    <s v="NEW"/>
    <s v="PEND"/>
    <s v="4110"/>
    <s v="CPSFRT2017"/>
    <s v="DCORMAN"/>
    <m/>
    <n v="1"/>
    <n v="4"/>
    <s v="NC"/>
    <m/>
    <m/>
    <x v="1"/>
    <s v="RA 1739710 Mankoff"/>
    <m/>
    <m/>
    <s v="David Corman"/>
    <s v="Cognisant Program Director"/>
    <s v="eJ"/>
    <s v="jmanoff@uw.edu"/>
    <s v="PIs@"/>
    <s v="CNS"/>
    <s v="1739710"/>
    <n v="4"/>
    <n v="4"/>
    <m/>
    <s v=""/>
    <n v="3"/>
    <n v="3.25"/>
    <n v="4"/>
    <s v="G/F,F,F,F"/>
    <d v="2017-10-20T11:31:00"/>
    <n v="7000000"/>
    <n v="7000000"/>
    <n v="0"/>
    <d v="2018-01-01T00:00:00"/>
    <n v="60"/>
    <s v="CPS: Frontier: Collaborative Research: Revolutionizing Cyberphysical Design with Semi-Autonomous, Data-Driven Optimization Techniques"/>
    <m/>
    <m/>
    <m/>
    <s v="P180038"/>
    <s v="Not Competitive"/>
    <m/>
    <s v="CPS Frontiers (2017)"/>
    <d v="2017-10-20T00:00:00"/>
    <s v=" G/F,F,F,F"/>
    <s v="11 rated projects , 3 C, 6 LC, 2 NC"/>
    <n v="8"/>
    <n v="1"/>
    <m/>
    <m/>
    <m/>
    <m/>
    <m/>
    <m/>
    <m/>
    <m/>
    <m/>
    <m/>
    <m/>
    <m/>
    <m/>
    <m/>
    <m/>
    <m/>
    <m/>
    <m/>
    <s v="1739710"/>
    <s v="Mankoff"/>
    <s v="Jennifer"/>
    <s v="Carnegie Mellon University"/>
    <n v="7000000"/>
    <n v="7000000"/>
    <m/>
    <m/>
    <m/>
    <m/>
    <m/>
    <m/>
    <m/>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jmanoff@uw.edu"/>
    <s v="jmanoff@uw.edu      "/>
  </r>
  <r>
    <m/>
    <d v="2017-03-06T16:07:00"/>
    <s v="NSF 17-529"/>
    <s v="05050000"/>
    <s v="7918"/>
    <s v="NEW"/>
    <s v="PEND"/>
    <s v="4110"/>
    <s v="CPSFRT2017"/>
    <s v="DCORMAN"/>
    <m/>
    <n v="1"/>
    <n v="4"/>
    <s v="NC"/>
    <m/>
    <m/>
    <x v="1"/>
    <s v="RA 1739782 Akyildiz"/>
    <m/>
    <m/>
    <s v="David Corman"/>
    <s v="Cognisant Program Director"/>
    <s v="eJ"/>
    <s v="ian@ece.gatech.edu"/>
    <s v="PIs@"/>
    <s v="CNS"/>
    <s v="1739782"/>
    <n v="4"/>
    <n v="4"/>
    <m/>
    <s v="Y"/>
    <n v="1"/>
    <n v="4"/>
    <n v="7"/>
    <s v="V,G,F,P"/>
    <d v="2017-10-19T02:03:00"/>
    <n v="7000000"/>
    <n v="7000000"/>
    <n v="0"/>
    <d v="2017-10-01T00:00:00"/>
    <n v="60"/>
    <s v="CPS: Frontier: Collaborative Research: Internet of Bio-Nano Things for Early Detection of Infections"/>
    <m/>
    <m/>
    <m/>
    <s v="P180038"/>
    <s v="Not Competitive"/>
    <m/>
    <s v="CPS Frontiers (2017)"/>
    <d v="2017-10-20T00:00:00"/>
    <s v=" V,G,F,P"/>
    <s v="11 rated projects , 3 C, 6 LC, 2 NC"/>
    <n v="8"/>
    <n v="0"/>
    <m/>
    <m/>
    <m/>
    <m/>
    <m/>
    <m/>
    <m/>
    <m/>
    <m/>
    <m/>
    <m/>
    <m/>
    <m/>
    <m/>
    <m/>
    <m/>
    <m/>
    <m/>
    <s v="1739782"/>
    <s v="Akyildiz"/>
    <s v="Ian"/>
    <s v="Georgia Tech Research Corp"/>
    <n v="3883266"/>
    <n v="3883266"/>
    <m/>
    <s v="1739814"/>
    <s v="Bilen"/>
    <s v="Mehmet"/>
    <s v="Emory University"/>
    <n v="3116734"/>
    <n v="3116734"/>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ian@ece.gatech.edu"/>
    <s v="ian@ece.gatech.edu;mehmet.a.bilen@emory.edu     "/>
  </r>
  <r>
    <m/>
    <d v="2017-07-19T10:48:00"/>
    <s v="NSF 17-537"/>
    <s v="05050000"/>
    <s v="7918"/>
    <s v="NEW"/>
    <s v="PEND"/>
    <s v="4110"/>
    <s v="CARCSFY18"/>
    <s v="DCORMAN"/>
    <m/>
    <n v="1"/>
    <n v="4"/>
    <s v="NC"/>
    <m/>
    <m/>
    <x v="1"/>
    <s v="RA 1750246 Zhang"/>
    <m/>
    <m/>
    <s v="David Corman"/>
    <s v="Cognisant Program Director"/>
    <s v="eJ"/>
    <s v="zhangs@cs.fit.edu"/>
    <s v="PIs@"/>
    <s v="CNS"/>
    <s v="1750246"/>
    <n v="4"/>
    <n v="4"/>
    <m/>
    <s v=""/>
    <n v="1"/>
    <n v="2.5"/>
    <n v="3"/>
    <s v="F,F,F,P"/>
    <d v="2017-11-02T11:04:00"/>
    <n v="792792"/>
    <n v="792792"/>
    <n v="0"/>
    <d v="2018-01-01T00:00:00"/>
    <n v="60"/>
    <s v="CAREER: Securing Autonomous Driving Vehicles Using ARM TrustZone"/>
    <m/>
    <m/>
    <m/>
    <s v="P180067"/>
    <s v="Not Competitive"/>
    <m/>
    <s v="CPS CAREER"/>
    <d v="2017-11-03T00:00:00"/>
    <s v=" F,F,F,P"/>
    <s v="25 rated projects: 1 HC, 6 C, 11 LC, 7 NC"/>
    <n v="13"/>
    <n v="0"/>
    <m/>
    <m/>
    <m/>
    <m/>
    <m/>
    <m/>
    <m/>
    <m/>
    <m/>
    <m/>
    <m/>
    <m/>
    <m/>
    <m/>
    <m/>
    <m/>
    <m/>
    <m/>
    <s v="1750246"/>
    <s v="Zhang"/>
    <s v="Shengzhi"/>
    <s v="Florida Institute of Tech"/>
    <n v="792792"/>
    <n v="792792"/>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zhangs@cs.fit.edu"/>
    <s v="zhangs@cs.fit.edu      "/>
  </r>
  <r>
    <m/>
    <d v="2017-07-19T13:07:00"/>
    <s v="NSF 17-537"/>
    <s v="05050000"/>
    <s v="7918"/>
    <s v="NEW"/>
    <s v="PEND"/>
    <s v="4110"/>
    <s v="CARCSFY18"/>
    <s v="DCORMAN"/>
    <m/>
    <n v="1"/>
    <n v="4"/>
    <s v="NC"/>
    <m/>
    <m/>
    <x v="1"/>
    <s v="RA 1750466 Zhu"/>
    <m/>
    <m/>
    <s v="David Corman"/>
    <s v="Cognisant Program Director"/>
    <s v="eJ"/>
    <s v="quanyan.zhu@nyu.edu"/>
    <s v="PIs@"/>
    <s v="CNS"/>
    <s v="1750466"/>
    <n v="4"/>
    <n v="4"/>
    <m/>
    <s v=""/>
    <n v="2"/>
    <n v="3.5"/>
    <n v="5"/>
    <s v="G,G/F,F,F/P"/>
    <d v="2017-11-03T09:00:00"/>
    <n v="499953"/>
    <n v="499953"/>
    <n v="0"/>
    <d v="2018-09-01T00:00:00"/>
    <n v="60"/>
    <s v="CAREER: Systemic Game-Theoretic Analysis and Design for Cross-Layer Cyber-Physical System Security and Resilience"/>
    <m/>
    <m/>
    <m/>
    <s v="P180067"/>
    <s v="Not Competitive"/>
    <m/>
    <s v="CPS CAREER"/>
    <d v="2017-11-03T00:00:00"/>
    <s v=" G,G/F,F,F/P"/>
    <s v="25 rated projects: 1 HC, 6 C, 11 LC, 7 NC"/>
    <n v="13"/>
    <n v="0"/>
    <m/>
    <m/>
    <m/>
    <m/>
    <m/>
    <m/>
    <m/>
    <m/>
    <m/>
    <m/>
    <m/>
    <m/>
    <m/>
    <m/>
    <m/>
    <m/>
    <m/>
    <m/>
    <s v="1750466"/>
    <s v="Zhu"/>
    <s v="Quanyan"/>
    <s v="New York University"/>
    <n v="499953"/>
    <n v="49995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quanyan.zhu@nyu.edu"/>
    <s v="quanyan.zhu@nyu.edu      "/>
  </r>
  <r>
    <m/>
    <d v="2017-07-19T16:11:00"/>
    <s v="NSF 17-537"/>
    <s v="05050000"/>
    <s v="7918"/>
    <s v="NEW"/>
    <s v="PEND"/>
    <s v="4110"/>
    <s v="CARCSFY18"/>
    <s v="JSPRINK"/>
    <m/>
    <n v="1"/>
    <n v="4"/>
    <s v="NC"/>
    <m/>
    <m/>
    <x v="4"/>
    <s v="Std Decline  1751021 Dantu"/>
    <m/>
    <m/>
    <s v="Jonathan Sprinkle"/>
    <s v="Cognisant Program Director"/>
    <s v="eJ"/>
    <s v="kdantu@buffalo.edu"/>
    <s v="PIs@"/>
    <s v="CNS"/>
    <s v="1751021"/>
    <n v="4"/>
    <n v="4"/>
    <m/>
    <s v=""/>
    <n v="1"/>
    <n v="3.5"/>
    <n v="5"/>
    <s v="G,G,F,P"/>
    <d v="2017-11-02T17:31:00"/>
    <n v="651679"/>
    <n v="651679"/>
    <n v="0"/>
    <d v="2018-05-01T00:00:00"/>
    <n v="60"/>
    <s v="CAREER: Energy-Centric Autonomy in Micro-Aerial Vehicles"/>
    <m/>
    <m/>
    <m/>
    <s v="P180067"/>
    <s v="Not Competitive"/>
    <m/>
    <s v="CPS CAREER"/>
    <d v="2017-11-03T00:00:00"/>
    <s v=" G,G,F,P"/>
    <s v="25 rated projects: 1 HC, 6 C, 11 LC, 7 NC"/>
    <n v="13"/>
    <n v="0"/>
    <m/>
    <m/>
    <m/>
    <m/>
    <m/>
    <m/>
    <m/>
    <m/>
    <m/>
    <m/>
    <m/>
    <m/>
    <m/>
    <m/>
    <m/>
    <m/>
    <m/>
    <m/>
    <s v="1751021"/>
    <s v="Dantu"/>
    <s v="Karthik"/>
    <s v="SUNY Buffalo"/>
    <n v="651679"/>
    <n v="651679"/>
    <s v="1045 7495"/>
    <m/>
    <m/>
    <m/>
    <m/>
    <m/>
    <m/>
    <m/>
    <m/>
    <m/>
    <m/>
    <m/>
    <m/>
    <m/>
    <m/>
    <m/>
    <m/>
    <m/>
    <m/>
    <m/>
    <m/>
    <m/>
    <m/>
    <m/>
    <m/>
    <m/>
    <m/>
    <m/>
    <m/>
    <m/>
    <m/>
    <m/>
    <m/>
    <m/>
    <m/>
    <m/>
    <m/>
    <m/>
    <m/>
    <m/>
    <m/>
    <m/>
    <m/>
    <s v="Faculty Early Career Development Program"/>
    <s v="Division Of Computer and Network Systems"/>
    <s v="CYBER-PHYSICAL SYSTEMS (CPS)"/>
    <s v="Jonathan Sprinkle"/>
    <s v="Pending, Review Package Produced"/>
    <s v="New Project"/>
    <s v="Research Grants-Not Elsewh Cla"/>
    <s v="CSE"/>
    <s v="Direct For Computer &amp; Info Scie &amp; Enginr"/>
    <d v="2017-12-06T09:38:42"/>
    <s v="kdantu@buffalo.edu"/>
    <s v="kdantu@buffalo.edu      "/>
  </r>
  <r>
    <m/>
    <d v="2017-07-19T17:06:00"/>
    <s v="NSF 17-537"/>
    <s v="05050000"/>
    <s v="7918"/>
    <s v="NEW"/>
    <s v="PEND"/>
    <s v="4110"/>
    <s v="CARCSFY18"/>
    <s v="DCORMAN"/>
    <m/>
    <n v="1"/>
    <n v="4"/>
    <s v="NC"/>
    <m/>
    <m/>
    <x v="1"/>
    <s v="RA 1751219 Atkison"/>
    <m/>
    <m/>
    <s v="David Corman"/>
    <s v="Cognisant Program Director"/>
    <s v="eJ"/>
    <s v="atkison@cs.ua.edu"/>
    <s v="PIs@"/>
    <s v="CNS"/>
    <s v="1751219"/>
    <n v="4"/>
    <n v="4"/>
    <m/>
    <s v=""/>
    <n v="1"/>
    <n v="2"/>
    <n v="3"/>
    <s v="F,F,P,P"/>
    <d v="2017-11-02T15:28:00"/>
    <n v="662136"/>
    <n v="662136"/>
    <n v="0"/>
    <d v="2018-08-15T00:00:00"/>
    <n v="60"/>
    <s v="CAREER: An Efficient, Safe, and Secure Traffic Infrastructure (ESSTI)"/>
    <m/>
    <m/>
    <m/>
    <s v="P180067"/>
    <s v="Not Competitive"/>
    <m/>
    <s v="CPS CAREER"/>
    <d v="2017-11-03T00:00:00"/>
    <s v=" F,F,P,P"/>
    <s v="25 rated projects: 1 HC, 6 C, 11 LC, 7 NC"/>
    <n v="13"/>
    <n v="0"/>
    <m/>
    <m/>
    <m/>
    <m/>
    <m/>
    <m/>
    <m/>
    <m/>
    <m/>
    <m/>
    <m/>
    <m/>
    <m/>
    <m/>
    <m/>
    <m/>
    <m/>
    <m/>
    <s v="1751219"/>
    <s v="Atkison"/>
    <s v="Travis"/>
    <s v="U of Alabama Tuscaloosa"/>
    <n v="662136"/>
    <n v="662136"/>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atkison@cs.ua.edu"/>
    <s v="atkison@cs.ua.edu      "/>
  </r>
  <r>
    <m/>
    <d v="2017-07-19T22:00:00"/>
    <s v="NSF 17-537"/>
    <s v="05050000"/>
    <s v="7918"/>
    <s v="NEW"/>
    <s v="PEND"/>
    <s v="4110"/>
    <s v="CARCSFY18"/>
    <s v="DCORMAN"/>
    <m/>
    <n v="1"/>
    <n v="4"/>
    <s v="NC"/>
    <m/>
    <m/>
    <x v="1"/>
    <s v="RA 1751420 Li"/>
    <m/>
    <m/>
    <s v="David Corman"/>
    <s v="Cognisant Program Director"/>
    <s v="eJ"/>
    <s v="depengli@hawaii.edu"/>
    <s v="PIs@"/>
    <s v="CNS"/>
    <s v="1751420"/>
    <n v="4"/>
    <n v="4"/>
    <m/>
    <s v=""/>
    <n v="1"/>
    <n v="2.75"/>
    <n v="4"/>
    <s v="G/F,F,F,P"/>
    <d v="2017-11-02T10:08:00"/>
    <n v="400188"/>
    <n v="400188"/>
    <n v="0"/>
    <d v="2017-09-01T00:00:00"/>
    <n v="60"/>
    <s v="CAREER: CPS: New Access Control Mechanism for Internet of Things and its  Application of Air Vehicle System"/>
    <m/>
    <m/>
    <m/>
    <s v="P180067"/>
    <s v="Not Competitive"/>
    <m/>
    <s v="CPS CAREER"/>
    <d v="2017-11-03T00:00:00"/>
    <s v=" G/F,F,F,P"/>
    <s v="25 rated projects: 1 HC, 6 C, 11 LC, 7 NC"/>
    <n v="13"/>
    <n v="0"/>
    <m/>
    <m/>
    <m/>
    <m/>
    <m/>
    <m/>
    <m/>
    <m/>
    <m/>
    <m/>
    <m/>
    <m/>
    <m/>
    <m/>
    <m/>
    <m/>
    <m/>
    <m/>
    <s v="1751420"/>
    <s v="Li"/>
    <s v="Depeng"/>
    <s v="U of Hawaii"/>
    <n v="400188"/>
    <n v="400188"/>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depengli@hawaii.edu"/>
    <s v="depengli@hawaii.edu      "/>
  </r>
  <r>
    <m/>
    <d v="2017-07-20T16:31:00"/>
    <s v="NSF 17-537"/>
    <s v="05050000"/>
    <s v="7918"/>
    <s v="NEW"/>
    <s v="PEND"/>
    <s v="4110"/>
    <s v="CARCSFY18"/>
    <s v="DCORMAN"/>
    <m/>
    <n v="1"/>
    <n v="4"/>
    <s v="NC"/>
    <m/>
    <m/>
    <x v="1"/>
    <s v="RA 1752310 Karimoddini"/>
    <m/>
    <m/>
    <s v="David Corman"/>
    <s v="Cognisant Program Director"/>
    <s v="eJ"/>
    <s v="akarimod@ncat.edu"/>
    <s v="PIs@"/>
    <s v="CNS"/>
    <s v="1752310"/>
    <n v="4"/>
    <n v="4"/>
    <m/>
    <s v="Y"/>
    <n v="1"/>
    <n v="4.25"/>
    <n v="6"/>
    <s v="V/G,G,G,P"/>
    <d v="2017-11-02T16:43:00"/>
    <n v="500000"/>
    <n v="500000"/>
    <n v="0"/>
    <d v="2018-01-15T00:00:00"/>
    <n v="60"/>
    <s v="CAREER: Resilient Distributed Cooporative Control of Autonomous Vehicles"/>
    <m/>
    <m/>
    <m/>
    <s v="P180067"/>
    <s v="Not Competitive"/>
    <m/>
    <s v="CPS CAREER"/>
    <d v="2017-11-03T00:00:00"/>
    <s v=" V/G,G,G,P"/>
    <s v="25 rated projects: 1 HC, 6 C, 11 LC, 7 NC"/>
    <n v="13"/>
    <n v="1"/>
    <m/>
    <m/>
    <m/>
    <m/>
    <m/>
    <m/>
    <m/>
    <m/>
    <m/>
    <m/>
    <m/>
    <m/>
    <m/>
    <m/>
    <m/>
    <m/>
    <m/>
    <m/>
    <s v="1752310"/>
    <s v="Karimoddini"/>
    <s v="Ali"/>
    <s v="North Carolina A&amp;T St Univ"/>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akarimod@ncat.edu"/>
    <s v="akarimod@ncat.edu      "/>
  </r>
  <r>
    <d v="2017-11-21T09:31:50"/>
    <d v="2017-08-22T10:47:00"/>
    <s v="NSF 13-542"/>
    <s v="05050000"/>
    <s v="1139"/>
    <s v="NEW"/>
    <s v="DECL"/>
    <s v="4110"/>
    <s v="REUSITE18"/>
    <s v="JSPRINK"/>
    <d v="2017-11-09T12:02:21"/>
    <n v="1"/>
    <n v="4"/>
    <s v="NC"/>
    <m/>
    <m/>
    <x v="1"/>
    <s v="RA 1757414 Shen"/>
    <m/>
    <m/>
    <s v="Jonathan Sprinkle"/>
    <s v="Cognisant Program Director"/>
    <s v="eJ"/>
    <s v="shen@umich.edu"/>
    <s v="PIs@"/>
    <s v="CNS"/>
    <s v="1757414"/>
    <n v="4"/>
    <m/>
    <m/>
    <s v=""/>
    <n v="3"/>
    <n v="4.25"/>
    <n v="5"/>
    <s v="G,G,G/F,F"/>
    <d v="2017-10-26T16:03:00"/>
    <n v="269021"/>
    <n v="269021"/>
    <n v="0"/>
    <d v="2018-03-15T00:00:00"/>
    <n v="36"/>
    <s v="REU Site: Digital and Cyber Connected and Automated Vehicles"/>
    <m/>
    <m/>
    <m/>
    <s v="P180116"/>
    <s v="Non Competitive"/>
    <m/>
    <s v="REU SITE - CIS"/>
    <d v="2017-10-27T00:00:00"/>
    <s v=" G,G,G/F,F"/>
    <s v="15 rated projects: 3 HC, 3 C, 7 LC, 2 NC"/>
    <n v="8"/>
    <n v="0"/>
    <m/>
    <m/>
    <m/>
    <m/>
    <m/>
    <m/>
    <m/>
    <m/>
    <m/>
    <m/>
    <m/>
    <m/>
    <m/>
    <m/>
    <m/>
    <m/>
    <m/>
    <m/>
    <s v="1757414"/>
    <s v="Shen"/>
    <s v="Jie"/>
    <s v="University of Michigan"/>
    <n v="269021"/>
    <n v="269021"/>
    <s v="116E 9178 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shen@umich.edu"/>
    <s v="shen@umich.edu      "/>
  </r>
  <r>
    <d v="2017-11-27T08:28:00"/>
    <d v="2017-08-23T16:31:00"/>
    <s v="NSF 13-542"/>
    <s v="05050000"/>
    <s v="1139"/>
    <s v="NEW"/>
    <s v="DECL"/>
    <s v="4110"/>
    <s v="REUSITE18"/>
    <s v="JSPRINK"/>
    <d v="2017-11-09T12:01:55"/>
    <n v="1"/>
    <n v="4"/>
    <s v="NC"/>
    <m/>
    <m/>
    <x v="1"/>
    <s v="RA 1757870 Xie"/>
    <m/>
    <m/>
    <s v="Jonathan Sprinkle"/>
    <s v="Cognisant Program Director"/>
    <s v="eJ"/>
    <s v="jiafeng.xie@wright.edu"/>
    <s v="PIs@"/>
    <s v="CNS"/>
    <s v="1757870"/>
    <n v="4"/>
    <m/>
    <m/>
    <s v=""/>
    <n v="1"/>
    <n v="2.25"/>
    <n v="4"/>
    <s v="G/F,F,P,P"/>
    <d v="2017-10-27T09:33:00"/>
    <n v="353763"/>
    <n v="353763"/>
    <n v="0"/>
    <d v="2018-02-01T00:00:00"/>
    <n v="36"/>
    <s v="REU Site: Undergraduate Research in Designing and Implementing Secure Internet-of-Things (IoT)-Related Embedded Devices"/>
    <m/>
    <m/>
    <m/>
    <s v="P180116"/>
    <s v="Non Competitive"/>
    <m/>
    <s v="REU SITE - CIS"/>
    <d v="2017-10-27T00:00:00"/>
    <s v=" G/F,F,P,P"/>
    <s v="15 rated projects: 3 HC, 3 C, 7 LC, 2 NC"/>
    <n v="8"/>
    <n v="0"/>
    <m/>
    <m/>
    <m/>
    <m/>
    <m/>
    <m/>
    <m/>
    <m/>
    <m/>
    <m/>
    <m/>
    <m/>
    <m/>
    <m/>
    <m/>
    <m/>
    <m/>
    <m/>
    <s v="1757870"/>
    <s v="Xie"/>
    <s v="Jiafeng"/>
    <s v="Wright State University"/>
    <n v="353763"/>
    <n v="353763"/>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jiafeng.xie@wright.edu"/>
    <s v="jiafeng.xie@wright.edu      "/>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1"/>
        <item m="1" x="4"/>
        <item m="1" x="3"/>
        <item m="1" x="6"/>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3"/>
        <item m="1" x="5"/>
        <item m="1" x="2"/>
        <item m="1" x="4"/>
        <item m="1" x="1"/>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234">
      <pivotArea outline="0" collapsedLevelsAreSubtotals="1" fieldPosition="0"/>
    </format>
    <format dxfId="233">
      <pivotArea outline="0" collapsedLevelsAreSubtotals="1" fieldPosition="0"/>
    </format>
    <format dxfId="2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7:E23"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7">
        <item x="1"/>
        <item x="2"/>
        <item x="3"/>
        <item x="4"/>
        <item m="1" x="5"/>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6">
    <i>
      <x/>
    </i>
    <i>
      <x v="1"/>
    </i>
    <i>
      <x v="2"/>
    </i>
    <i>
      <x v="3"/>
    </i>
    <i>
      <x v="5"/>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31" totalsRowShown="0" dataDxfId="248">
  <autoFilter ref="B12:B31"/>
  <tableColumns count="1">
    <tableColumn id="1" name="prop_id" dataDxfId="247"/>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32" totalsRowShown="0" dataDxfId="246">
  <autoFilter ref="E12:E32"/>
  <tableColumns count="1">
    <tableColumn id="1" name="prop_id" dataDxfId="245"/>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4" totalsRowShown="0" dataDxfId="244">
  <autoFilter ref="H12:H14"/>
  <tableColumns count="1">
    <tableColumn id="1" name="prop_id" dataDxfId="243"/>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59" tableType="queryTable" totalsRowShown="0">
  <autoFilter ref="A1:BL59"/>
  <tableColumns count="64">
    <tableColumn id="123" uniqueName="123" name="dd_rcom_date" queryTableFieldId="1" dataDxfId="224"/>
    <tableColumn id="124" uniqueName="124" name="nsf_rcvd_date" queryTableFieldId="2" dataDxfId="223"/>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2"/>
    <tableColumn id="131" uniqueName="131" name="bas_rsch_pct" queryTableFieldId="9" dataDxfId="221"/>
    <tableColumn id="132" uniqueName="132" name="other_pct" queryTableFieldId="10" dataDxfId="220"/>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19">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18"/>
    <tableColumn id="186" uniqueName="186" name="0" queryTableFieldId="65" dataDxfId="217">
      <calculatedColumnFormula>S1+(ckCodingTable[[#This Row],[ILN]]&lt;"M")</calculatedColumnFormula>
    </tableColumn>
    <tableColumn id="139" uniqueName="139" name="ILN" queryTableFieldId="17" dataDxfId="216"/>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15"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14"/>
    <tableColumn id="146" uniqueName="146" name="rqst_mnth_cnt" queryTableFieldId="24"/>
    <tableColumn id="147" uniqueName="147" name="nPanl" queryTableFieldId="25"/>
    <tableColumn id="149" uniqueName="149" name="nPSunrls" queryTableFieldId="27"/>
    <tableColumn id="148" uniqueName="148" name="nPSunmrkd" queryTableFieldId="26" dataDxfId="213"/>
    <tableColumn id="152" uniqueName="152" name="allReviews" queryTableFieldId="30"/>
    <tableColumn id="153" uniqueName="153" name="avg_score" queryTableFieldId="31" dataDxfId="212"/>
    <tableColumn id="154" uniqueName="154" name="last_rev_date" queryTableFieldId="32" dataDxfId="211"/>
    <tableColumn id="156" uniqueName="156" name="Nconfl" queryTableFieldId="34" dataDxfId="210"/>
    <tableColumn id="151" uniqueName="151" name="nRev" queryTableFieldId="29"/>
    <tableColumn id="157" uniqueName="157" name="Nunrlsbl" queryTableFieldId="35"/>
    <tableColumn id="155" uniqueName="155" name="Nunmkd" queryTableFieldId="33" dataDxfId="209"/>
    <tableColumn id="158" uniqueName="158" name="NrlsdCDNPS" queryTableFieldId="36" dataDxfId="208"/>
    <tableColumn id="159" uniqueName="159" name="NpendSlct" queryTableFieldId="37" dataDxfId="207"/>
    <tableColumn id="160" uniqueName="160" name="NdiffFLeJ" queryTableFieldId="38" dataDxfId="206"/>
    <tableColumn id="5" uniqueName="5" name="eJ again" queryTableFieldId="81" dataDxfId="205"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04" dataCellStyle="Currency"/>
    <tableColumn id="165" uniqueName="165" name="budg_tot" queryTableFieldId="43" dataDxfId="203" dataCellStyle="Currency"/>
    <tableColumn id="166" uniqueName="166" name="sub_ctr_tot" queryTableFieldId="44" dataDxfId="202" dataCellStyle="Currency"/>
    <tableColumn id="167" uniqueName="167" name="frgn_trav_tot" queryTableFieldId="45" dataDxfId="201" dataCellStyle="Currency"/>
    <tableColumn id="168" uniqueName="168" name="pdoc_tot" queryTableFieldId="46" dataDxfId="200" dataCellStyle="Currency"/>
    <tableColumn id="169" uniqueName="169" name="part_tot_dol" queryTableFieldId="47" dataDxfId="199"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59" tableType="queryTable" totalsRowShown="0">
  <autoFilter ref="A1:AX59"/>
  <tableColumns count="50">
    <tableColumn id="1" uniqueName="1" name="dd_rcom_date" queryTableFieldId="214" dataDxfId="71"/>
    <tableColumn id="4" uniqueName="4" name="nsf_rcvd_date" queryTableFieldId="4" dataDxfId="70"/>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69"/>
    <tableColumn id="39" uniqueName="39" name="natr_rqst_abbr" queryTableFieldId="280" dataDxfId="68"/>
    <tableColumn id="49" uniqueName="49" name="rcom_istr_abbr" queryTableFieldId="281" dataDxfId="67"/>
    <tableColumn id="19" uniqueName="19" name="obj_clas_code" queryTableFieldId="221"/>
    <tableColumn id="11" uniqueName="11" name="cntx_stmt_id" queryTableFieldId="11"/>
    <tableColumn id="32" uniqueName="32" name="RAupdate" queryTableFieldId="254" dataDxfId="66"/>
    <tableColumn id="25" uniqueName="25" name="0" queryTableFieldId="230" dataDxfId="65">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64" dataCellStyle="Hyperlink">
      <calculatedColumnFormula>HYPERLINK("https://www.ejacket.nsf.gov/ej/showProposal.do?ID="&amp;ckAwdTable[[#This Row],[prop_id]],"eJ")</calculatedColumnFormula>
    </tableColumn>
    <tableColumn id="27" uniqueName="27" name="Div" queryTableFieldId="282" dataDxfId="63"/>
    <tableColumn id="12" uniqueName="12" name="prop_id" queryTableFieldId="12"/>
    <tableColumn id="13" uniqueName="13" name="pi_last_name" queryTableFieldId="13"/>
    <tableColumn id="14" uniqueName="14" name="pi_frst_name" queryTableFieldId="14"/>
    <tableColumn id="24" uniqueName="24" name="inst" queryTableFieldId="283" dataDxfId="62"/>
    <tableColumn id="23" uniqueName="23" name="st_code" queryTableFieldId="225"/>
    <tableColumn id="206" uniqueName="206" name="@pi email" queryTableFieldId="212" dataDxfId="61"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60"/>
    <tableColumn id="17" uniqueName="17" name="rqst_mnth_cnt" queryTableFieldId="17"/>
    <tableColumn id="9" uniqueName="9" name="humn_date" queryTableFieldId="218"/>
    <tableColumn id="28" uniqueName="28" name="hum_asur" queryTableFieldId="301" dataDxfId="59"/>
    <tableColumn id="29" uniqueName="29" name="HUM_EXPT" queryTableFieldId="302" dataDxfId="58"/>
    <tableColumn id="10" uniqueName="10" name="vrtb_date" queryTableFieldId="219"/>
    <tableColumn id="37" uniqueName="37" name="vrtb_asur" queryTableFieldId="303" dataDxfId="57"/>
    <tableColumn id="30" uniqueName="30" name="Country" queryTableFieldId="250" dataDxfId="56"/>
    <tableColumn id="34" uniqueName="34" name="rqst_tot" queryTableFieldId="288" dataDxfId="55" dataCellStyle="Currency"/>
    <tableColumn id="35" uniqueName="35" name="brevn" queryTableFieldId="289" dataDxfId="54"/>
    <tableColumn id="36" uniqueName="36" name="budg_tot" queryTableFieldId="290" dataDxfId="53"/>
    <tableColumn id="40" uniqueName="40" name="sub_ctr_tot" queryTableFieldId="292" dataDxfId="52"/>
    <tableColumn id="41" uniqueName="41" name="frgn_trav_tot" queryTableFieldId="293" dataDxfId="51"/>
    <tableColumn id="42" uniqueName="42" name="pdoc_tot" queryTableFieldId="294" dataDxfId="50"/>
    <tableColumn id="43" uniqueName="43" name="part_tot_dol" queryTableFieldId="295" dataDxfId="49"/>
    <tableColumn id="44" uniqueName="44" name="grad_tot_cnt" queryTableFieldId="296" dataDxfId="48"/>
    <tableColumn id="45" uniqueName="45" name="sr_tot_cnt" queryTableFieldId="297" dataDxfId="47"/>
    <tableColumn id="46" uniqueName="46" name="sr_sumr_mnths" queryTableFieldId="298" dataDxfId="46"/>
    <tableColumn id="47" uniqueName="47" name="sr_acad_mnths" queryTableFieldId="299" dataDxfId="45"/>
    <tableColumn id="48" uniqueName="48" name="sr_cal_mnths" queryTableFieldId="300" dataDxfId="44"/>
    <tableColumn id="8" uniqueName="8" name="prop_stts_txt" queryTableFieldId="278" dataDxfId="43"/>
    <tableColumn id="54" uniqueName="54" name="OTH_AGCY_SUBM_FLAG" queryTableFieldId="287" dataDxfId="42"/>
    <tableColumn id="53" uniqueName="53" name="Abstr?marks" queryTableFieldId="320" dataDxfId="41">
      <calculatedColumnFormula>IFERROR(IF(FIND("?",#REF!),SummarizeQuestMarks(#REF!),""),"")</calculatedColumnFormula>
    </tableColumn>
    <tableColumn id="51" uniqueName="51" name="abst_narr_txt" queryTableFieldId="251" dataDxfId="40"/>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39"/>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300" tableType="queryTable" totalsRowShown="0" dataDxfId="242">
  <autoFilter ref="A3:AD300"/>
  <tableColumns count="30">
    <tableColumn id="10" uniqueName="10" name="prop_id" queryTableFieldId="10" dataDxfId="99"/>
    <tableColumn id="9" uniqueName="9" name="ILN" queryTableFieldId="89" dataDxfId="98" dataCellStyle="Hyperlink"/>
    <tableColumn id="31" uniqueName="31" name="10" queryTableFieldId="98" dataDxfId="97" dataCellStyle="Hyperlink">
      <calculatedColumnFormula>C3+(BudgetsTable[[#This Row],[lead]]&lt;&gt;K3)</calculatedColumnFormula>
    </tableColumn>
    <tableColumn id="32" uniqueName="32" name="0" queryTableFieldId="97" dataDxfId="96" dataCellStyle="Hyperlink">
      <calculatedColumnFormula>D3*(BudgetsTable[[#This Row],[lead]]=K3)+(BudgetsTable[[#This Row],[prop_id]]&lt;&gt;A3)</calculatedColumnFormula>
    </tableColumn>
    <tableColumn id="3" uniqueName="3" name="nsf_rcvd_date" queryTableFieldId="63" dataDxfId="95" dataCellStyle="Hyperlink"/>
    <tableColumn id="4" uniqueName="4" name="pgm_annc_id" queryTableFieldId="64" dataDxfId="94" dataCellStyle="Hyperlink"/>
    <tableColumn id="5" uniqueName="5" name="org_code" queryTableFieldId="65" dataDxfId="93" dataCellStyle="Hyperlink"/>
    <tableColumn id="6" uniqueName="6" name="pgm_ele_code" queryTableFieldId="66" dataDxfId="92" dataCellStyle="Hyperlink"/>
    <tableColumn id="27" uniqueName="27" name="PO" queryTableFieldId="91" dataDxfId="91" dataCellStyle="Hyperlink"/>
    <tableColumn id="28" uniqueName="28" name="pi_email" queryTableFieldId="92" dataDxfId="90" dataCellStyle="Hyperlink"/>
    <tableColumn id="8" uniqueName="8" name="lead" queryTableFieldId="68" dataDxfId="89"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88"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87"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86" dataCellStyle="Hyperlink"/>
    <tableColumn id="14" uniqueName="14" name="sr_pers_cnt" queryTableFieldId="73" dataDxfId="85" dataCellStyle="Hyperlink"/>
    <tableColumn id="15" uniqueName="15" name="sr_summ_mnth_cnt" queryTableFieldId="74" dataDxfId="84" dataCellStyle="Hyperlink"/>
    <tableColumn id="16" uniqueName="16" name="pdoc_grnt_dol" queryTableFieldId="75" dataDxfId="83" dataCellStyle="Currency"/>
    <tableColumn id="17" uniqueName="17" name="frgn_trav_dol" queryTableFieldId="76" dataDxfId="82" dataCellStyle="Currency"/>
    <tableColumn id="18" uniqueName="18" name="part_dol" queryTableFieldId="77" dataDxfId="81" dataCellStyle="Currency"/>
    <tableColumn id="19" uniqueName="19" name="budg_tot_dol" queryTableFieldId="78" dataDxfId="80" dataCellStyle="Currency"/>
    <tableColumn id="20" uniqueName="20" name="revn_num" queryTableFieldId="79" dataDxfId="79" dataCellStyle="Hyperlink"/>
    <tableColumn id="21" uniqueName="21" name="budg_seq_yr" queryTableFieldId="80" dataDxfId="78" dataCellStyle="Hyperlink"/>
    <tableColumn id="26" uniqueName="26" name="Column1" queryTableFieldId="85" dataDxfId="77" dataCellStyle="Hyperlink">
      <calculatedColumnFormula>IF(ISBLANK(BudgetsTable[[#This Row],[budg_seq_yr]]),"FY"&amp;fiscalyear,"FY"&amp;fiscalyear-1+BudgetsTable[[#This Row],[budg_seq_yr]])</calculatedColumnFormula>
    </tableColumn>
    <tableColumn id="22" uniqueName="22" name="dol" queryTableFieldId="81" dataDxfId="76" dataCellStyle="Currency"/>
    <tableColumn id="23" uniqueName="23" name="org_code2" queryTableFieldId="82" dataDxfId="75" dataCellStyle="Hyperlink"/>
    <tableColumn id="24" uniqueName="24" name="PEC" queryTableFieldId="83" dataDxfId="74" dataCellStyle="Hyperlink"/>
    <tableColumn id="7" uniqueName="7" name="Obj" queryTableFieldId="99" dataDxfId="73" dataCellStyle="Hyperlink"/>
    <tableColumn id="25" uniqueName="25" name="PRCs" queryTableFieldId="84" dataDxfId="72"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12" tableType="queryTable" totalsRowShown="0" headerRowCellStyle="Normal" dataCellStyle="Normal">
  <autoFilter ref="A2:B12"/>
  <tableColumns count="2">
    <tableColumn id="1" uniqueName="1" name="PRC" queryTableFieldId="278" dataDxfId="230"/>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5" tableType="queryTable" totalsRowShown="0" headerRowCellStyle="Normal" dataCellStyle="Normal">
  <autoFilter ref="D2:E5"/>
  <tableColumns count="2">
    <tableColumn id="1" uniqueName="1" name="PEC" queryTableFieldId="280" dataDxfId="231" dataCellStyle="Normal"/>
    <tableColumn id="2" uniqueName="2" name="PEC_Description" queryTableFieldId="281" dataCellStyle="Normal"/>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60" tableType="queryTable" totalsRowShown="0">
  <autoFilter ref="A1:EC60"/>
  <sortState ref="A2:EC60">
    <sortCondition ref="M1:M60"/>
  </sortState>
  <tableColumns count="133">
    <tableColumn id="1" uniqueName="1" name="dd_rcom_date" queryTableFieldId="1" dataDxfId="198"/>
    <tableColumn id="2" uniqueName="2" name="nsf_rcvd_date" queryTableFieldId="2" dataDxfId="197"/>
    <tableColumn id="3" uniqueName="3" name="pgm_annc_id" queryTableFieldId="3" dataDxfId="196"/>
    <tableColumn id="4" uniqueName="4" name="org_code" queryTableFieldId="4" dataDxfId="195"/>
    <tableColumn id="5" uniqueName="5" name="pgm_ele_code" queryTableFieldId="5" dataDxfId="194"/>
    <tableColumn id="6" uniqueName="6" name="natr_rqst_abbr" queryTableFieldId="6" dataDxfId="193"/>
    <tableColumn id="7" uniqueName="7" name="prop_stts_abbr" queryTableFieldId="7" dataDxfId="192"/>
    <tableColumn id="8" uniqueName="8" name="obj_clas_code" queryTableFieldId="8"/>
    <tableColumn id="9" uniqueName="9" name="cntx_stmt_id" queryTableFieldId="9"/>
    <tableColumn id="10" uniqueName="10" name="PO" queryTableFieldId="10"/>
    <tableColumn id="11" uniqueName="11" name="RAupdate" queryTableFieldId="11" dataDxfId="191"/>
    <tableColumn id="12" uniqueName="12" name="nPanl" queryTableFieldId="12"/>
    <tableColumn id="13" uniqueName="13" name="RecRkMin" queryTableFieldId="13" dataDxfId="190"/>
    <tableColumn id="14" uniqueName="14" name="rec0" queryTableFieldId="14"/>
    <tableColumn id="15" uniqueName="15" name="rec1" queryTableFieldId="15"/>
    <tableColumn id="16" uniqueName="16" name="rec2" queryTableFieldId="16"/>
    <tableColumn id="17" uniqueName="17" name="RAtemplate" queryTableFieldId="17" dataDxfId="189"/>
    <tableColumn id="133" uniqueName="133" name="Radraft_filename" queryTableFieldId="135" dataDxfId="188">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87"/>
    <tableColumn id="137" uniqueName="137" name="RAps_note" queryTableFieldId="136" dataDxfId="186"/>
    <tableColumn id="134" uniqueName="134" name="RAsigner" queryTableFieldId="134" dataDxfId="185">
      <calculatedColumnFormula>IF(signer1="PD",IF(ISBLANK(RADataTable[[#This Row],[sign_blck_name]]),"",RADataTable[[#This Row],[sign_blck_name]]),IF(ISBLANK(signer1),"",signer1))</calculatedColumnFormula>
    </tableColumn>
    <tableColumn id="135" uniqueName="135" name="RAsigner2" queryTableFieldId="133" dataDxfId="184">
      <calculatedColumnFormula>signer2</calculatedColumnFormula>
    </tableColumn>
    <tableColumn id="138" uniqueName="138" name="ej" queryTableFieldId="142" dataDxfId="183" dataCellStyle="Hyperlink">
      <calculatedColumnFormula>HYPERLINK("https://www.ejacket.nsf.gov/ej/showProposal.do?Continue=Y&amp;ID="&amp;RADataTable[[#This Row],[prop_id0]],"eJ")</calculatedColumnFormula>
    </tableColumn>
    <tableColumn id="139" uniqueName="139" name="@PI" queryTableFieldId="141" dataDxfId="182"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81"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80">
      <calculatedColumnFormula>IF(RADataTable[[#This Row],[maxScore]]-RADataTable[[#This Row],[minScore]]&gt;4,"Y","")</calculatedColumnFormula>
    </tableColumn>
    <tableColumn id="22" uniqueName="22" name="minScore" queryTableFieldId="22" dataDxfId="179"/>
    <tableColumn id="23" uniqueName="23" name="avg_score" queryTableFieldId="23" dataDxfId="178"/>
    <tableColumn id="24" uniqueName="24" name="maxScore" queryTableFieldId="24"/>
    <tableColumn id="25" uniqueName="25" name="allReviews" queryTableFieldId="25"/>
    <tableColumn id="26" uniqueName="26" name="last_rev_date" queryTableFieldId="26" dataDxfId="177"/>
    <tableColumn id="28" uniqueName="28" name="rqst_tot" queryTableFieldId="28" dataDxfId="176" dataCellStyle="Currency"/>
    <tableColumn id="29" uniqueName="29" name="budg_tot" queryTableFieldId="29" dataDxfId="175" dataCellStyle="Currency"/>
    <tableColumn id="30" uniqueName="30" name="budRevnMax" queryTableFieldId="30"/>
    <tableColumn id="31" uniqueName="31" name="rqst_eff_date" queryTableFieldId="31" dataDxfId="174"/>
    <tableColumn id="32" uniqueName="32" name="rqst_mnth_cnt" queryTableFieldId="32" dataDxfId="173"/>
    <tableColumn id="33" uniqueName="33" name="prop_titl_txt" queryTableFieldId="33" dataDxfId="172"/>
    <tableColumn id="34" uniqueName="34" name="AhNrev" queryTableFieldId="34"/>
    <tableColumn id="35" uniqueName="35" name="AhRevs" queryTableFieldId="35"/>
    <tableColumn id="36" uniqueName="36" name="AhLast" queryTableFieldId="36" dataDxfId="171"/>
    <tableColumn id="37" uniqueName="37" name="panl_id0" queryTableFieldId="37"/>
    <tableColumn id="38" uniqueName="38" name="RCOM_TXT0" queryTableFieldId="38" dataDxfId="170"/>
    <tableColumn id="39" uniqueName="39" name="rank0" queryTableFieldId="39" dataDxfId="169"/>
    <tableColumn id="40" uniqueName="40" name="panl_name0" queryTableFieldId="40" dataDxfId="168"/>
    <tableColumn id="41" uniqueName="41" name="panl_end0" queryTableFieldId="41" dataDxfId="167"/>
    <tableColumn id="42" uniqueName="42" name="revs0" queryTableFieldId="42" dataDxfId="166"/>
    <tableColumn id="43" uniqueName="43" name="PanlString0" queryTableFieldId="43" dataDxfId="165"/>
    <tableColumn id="44" uniqueName="44" name="pnlst0" queryTableFieldId="44" dataDxfId="164"/>
    <tableColumn id="45" uniqueName="45" name="confl0" queryTableFieldId="45" dataDxfId="163"/>
    <tableColumn id="46" uniqueName="46" name="panl_id1" queryTableFieldId="46" dataDxfId="162"/>
    <tableColumn id="47" uniqueName="47" name="RCOM_TXT1" queryTableFieldId="47" dataDxfId="161"/>
    <tableColumn id="48" uniqueName="48" name="rank1" queryTableFieldId="48" dataDxfId="160"/>
    <tableColumn id="49" uniqueName="49" name="panl_name1" queryTableFieldId="49" dataDxfId="159"/>
    <tableColumn id="50" uniqueName="50" name="panl_end1" queryTableFieldId="50" dataDxfId="158"/>
    <tableColumn id="51" uniqueName="51" name="revs1" queryTableFieldId="51" dataDxfId="157"/>
    <tableColumn id="52" uniqueName="52" name="PanlString1" queryTableFieldId="52" dataDxfId="156"/>
    <tableColumn id="53" uniqueName="53" name="pnlst1" queryTableFieldId="53" dataDxfId="155"/>
    <tableColumn id="54" uniqueName="54" name="confl1" queryTableFieldId="54" dataDxfId="154"/>
    <tableColumn id="55" uniqueName="55" name="panl_id2" queryTableFieldId="55" dataDxfId="153"/>
    <tableColumn id="56" uniqueName="56" name="RCOM_TXT2" queryTableFieldId="56" dataDxfId="152"/>
    <tableColumn id="57" uniqueName="57" name="rank2" queryTableFieldId="57" dataDxfId="151"/>
    <tableColumn id="58" uniqueName="58" name="panl_name2" queryTableFieldId="58" dataDxfId="150"/>
    <tableColumn id="59" uniqueName="59" name="panl_end2" queryTableFieldId="59" dataDxfId="149"/>
    <tableColumn id="60" uniqueName="60" name="revs2" queryTableFieldId="60" dataDxfId="148"/>
    <tableColumn id="61" uniqueName="61" name="PanlString2" queryTableFieldId="61" dataDxfId="147"/>
    <tableColumn id="62" uniqueName="62" name="pnlst2" queryTableFieldId="62" dataDxfId="146"/>
    <tableColumn id="63" uniqueName="63" name="confl2" queryTableFieldId="63" dataDxfId="145"/>
    <tableColumn id="64" uniqueName="64" name="prop_id0" queryTableFieldId="64"/>
    <tableColumn id="65" uniqueName="65" name="last0" queryTableFieldId="65" dataDxfId="144"/>
    <tableColumn id="66" uniqueName="66" name="frst0" queryTableFieldId="66" dataDxfId="143"/>
    <tableColumn id="67" uniqueName="67" name="inst0" queryTableFieldId="67" dataDxfId="142"/>
    <tableColumn id="68" uniqueName="68" name="rqst0" queryTableFieldId="68" dataDxfId="141"/>
    <tableColumn id="69" uniqueName="69" name="b0tot" queryTableFieldId="69" dataDxfId="140"/>
    <tableColumn id="70" uniqueName="70" name="PRC0" queryTableFieldId="70"/>
    <tableColumn id="71" uniqueName="71" name="prop_id1" queryTableFieldId="71" dataDxfId="139"/>
    <tableColumn id="72" uniqueName="72" name="last1" queryTableFieldId="72" dataDxfId="138"/>
    <tableColumn id="73" uniqueName="73" name="frst1" queryTableFieldId="73" dataDxfId="137"/>
    <tableColumn id="74" uniqueName="74" name="inst1" queryTableFieldId="74" dataDxfId="136"/>
    <tableColumn id="75" uniqueName="75" name="rqst1" queryTableFieldId="75" dataDxfId="135"/>
    <tableColumn id="76" uniqueName="76" name="b1tot" queryTableFieldId="76" dataDxfId="134"/>
    <tableColumn id="77" uniqueName="77" name="PRC1" queryTableFieldId="77"/>
    <tableColumn id="78" uniqueName="78" name="prop_id2" queryTableFieldId="78" dataDxfId="133"/>
    <tableColumn id="79" uniqueName="79" name="last2" queryTableFieldId="79" dataDxfId="132"/>
    <tableColumn id="80" uniqueName="80" name="frst2" queryTableFieldId="80" dataDxfId="131"/>
    <tableColumn id="81" uniqueName="81" name="inst2" queryTableFieldId="81" dataDxfId="130"/>
    <tableColumn id="82" uniqueName="82" name="rqst2" queryTableFieldId="82" dataDxfId="129"/>
    <tableColumn id="83" uniqueName="83" name="b2tot" queryTableFieldId="83" dataDxfId="128"/>
    <tableColumn id="84" uniqueName="84" name="PRC2" queryTableFieldId="84"/>
    <tableColumn id="85" uniqueName="85" name="prop_id3" queryTableFieldId="85" dataDxfId="127"/>
    <tableColumn id="86" uniqueName="86" name="last3" queryTableFieldId="86" dataDxfId="126"/>
    <tableColumn id="87" uniqueName="87" name="frst3" queryTableFieldId="87" dataDxfId="125"/>
    <tableColumn id="88" uniqueName="88" name="inst3" queryTableFieldId="88" dataDxfId="124"/>
    <tableColumn id="89" uniqueName="89" name="rqst3" queryTableFieldId="89" dataDxfId="123"/>
    <tableColumn id="90" uniqueName="90" name="b3tot" queryTableFieldId="90" dataDxfId="122"/>
    <tableColumn id="91" uniqueName="91" name="PRC3" queryTableFieldId="91" dataDxfId="121"/>
    <tableColumn id="92" uniqueName="92" name="prop_id4" queryTableFieldId="92" dataDxfId="120"/>
    <tableColumn id="93" uniqueName="93" name="last4" queryTableFieldId="93" dataDxfId="119"/>
    <tableColumn id="94" uniqueName="94" name="frst4" queryTableFieldId="94" dataDxfId="118"/>
    <tableColumn id="95" uniqueName="95" name="inst4" queryTableFieldId="95" dataDxfId="117"/>
    <tableColumn id="96" uniqueName="96" name="rqst4" queryTableFieldId="96" dataDxfId="116"/>
    <tableColumn id="97" uniqueName="97" name="b4tot" queryTableFieldId="97" dataDxfId="115"/>
    <tableColumn id="98" uniqueName="98" name="PRC4" queryTableFieldId="98" dataDxfId="114"/>
    <tableColumn id="99" uniqueName="99" name="prop_id5" queryTableFieldId="99" dataDxfId="113"/>
    <tableColumn id="100" uniqueName="100" name="last5" queryTableFieldId="100" dataDxfId="112"/>
    <tableColumn id="101" uniqueName="101" name="frst5" queryTableFieldId="101" dataDxfId="111"/>
    <tableColumn id="102" uniqueName="102" name="inst5" queryTableFieldId="102" dataDxfId="110"/>
    <tableColumn id="103" uniqueName="103" name="rqst5" queryTableFieldId="103" dataDxfId="109"/>
    <tableColumn id="104" uniqueName="104" name="b5tot" queryTableFieldId="104" dataDxfId="108"/>
    <tableColumn id="105" uniqueName="105" name="PRC5" queryTableFieldId="105"/>
    <tableColumn id="106" uniqueName="106" name="prop_id6" queryTableFieldId="106" dataDxfId="107"/>
    <tableColumn id="107" uniqueName="107" name="last6" queryTableFieldId="107" dataDxfId="106"/>
    <tableColumn id="108" uniqueName="108" name="frst6" queryTableFieldId="108" dataDxfId="105"/>
    <tableColumn id="109" uniqueName="109" name="inst6" queryTableFieldId="109" dataDxfId="104"/>
    <tableColumn id="110" uniqueName="110" name="rqst6" queryTableFieldId="110" dataDxfId="103"/>
    <tableColumn id="111" uniqueName="111" name="b6tot" queryTableFieldId="111" dataDxfId="102"/>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01"/>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100"/>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0:I13" totalsRowShown="0" headerRowDxfId="241" dataDxfId="240">
  <autoFilter ref="I10:I13"/>
  <tableColumns count="1">
    <tableColumn id="1" name="Available templates:" dataDxfId="239"/>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29" headerRowDxfId="238" dataDxfId="237">
  <autoFilter ref="M2:M29"/>
  <tableColumns count="1">
    <tableColumn id="1" name="Epscor" totalsRowFunction="count" dataDxfId="236" totalsRowDxfId="235"/>
  </tableColumns>
  <tableStyleInfo name="TableFall" showFirstColumn="0" showLastColumn="0" showRowStripes="1" showColumnStripes="0"/>
</table>
</file>

<file path=xl/tables/table12.xml><?xml version="1.0" encoding="utf-8"?>
<table xmlns="http://schemas.openxmlformats.org/spreadsheetml/2006/main" id="12" name="ckSplitTable" displayName="ckSplitTable" ref="A1:AH2" tableType="queryTable" insertRow="1" totalsRowShown="0">
  <autoFilter ref="A1:AH2"/>
  <tableColumns count="34">
    <tableColumn id="21" uniqueName="21" name="dd_rcom_date" queryTableFieldId="1" dataDxfId="38"/>
    <tableColumn id="22" uniqueName="22" name="nsf_rcvd_date" queryTableFieldId="2" dataDxfId="37"/>
    <tableColumn id="23" uniqueName="23" name="cntx_stmt_id" queryTableFieldId="3"/>
    <tableColumn id="24" uniqueName="24" name="pgm_annc_id" queryTableFieldId="4"/>
    <tableColumn id="60" uniqueName="60" name="pObj" queryTableFieldId="13" dataDxfId="36"/>
    <tableColumn id="61" uniqueName="61" name="bObj" queryTableFieldId="14" dataDxfId="35"/>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34"/>
    <tableColumn id="35" uniqueName="35" name="rcom_istr_abbr" queryTableFieldId="15" dataDxfId="33"/>
    <tableColumn id="57" uniqueName="57" name="budg_yr" queryTableFieldId="27" dataDxfId="32"/>
    <tableColumn id="58" uniqueName="58" name="splt_id" queryTableFieldId="28" dataDxfId="31"/>
    <tableColumn id="59" uniqueName="59" name="budg_splt_tot_dol" queryTableFieldId="29" dataDxfId="30"/>
    <tableColumn id="54" uniqueName="54" name="0" queryTableFieldId="35" dataDxfId="29">
      <calculatedColumnFormula>S1+(X2&lt;&gt;X1)</calculatedColumnFormula>
    </tableColumn>
    <tableColumn id="37" uniqueName="37" name="ILN" queryTableFieldId="17" dataDxfId="28"/>
    <tableColumn id="36" uniqueName="36" name="lead" queryTableFieldId="16" dataDxfId="27"/>
    <tableColumn id="55" uniqueName="55" name="eJ" queryTableFieldId="36" dataDxfId="26" dataCellStyle="Hyperlink">
      <calculatedColumnFormula>HYPERLINK("https://www.ejacket.nsf.gov/ej/showProposal.do?ID="&amp;ckSplitTable[[#This Row],[prop_id]],"eJ")</calculatedColumnFormula>
    </tableColumn>
    <tableColumn id="38" uniqueName="38" name="Div" queryTableFieldId="18" dataDxfId="25"/>
    <tableColumn id="39" uniqueName="39" name="prop_id" queryTableFieldId="19" dataDxfId="24"/>
    <tableColumn id="40" uniqueName="40" name="pi_last_name" queryTableFieldId="20" dataDxfId="23"/>
    <tableColumn id="41" uniqueName="41" name="pi_frst_name" queryTableFieldId="21" dataDxfId="22"/>
    <tableColumn id="42" uniqueName="42" name="inst" queryTableFieldId="22" dataDxfId="21"/>
    <tableColumn id="56" uniqueName="56" name="@ pi" queryTableFieldId="37" dataDxfId="20" dataCellStyle="Hyperlink">
      <calculatedColumnFormula>HYPERLINK("mailto:"&amp;ckSplitTable[[#This Row],[email]]&amp;"&amp;subject=Your NSF Proposal:  "&amp;ckSplitTable[[#This Row],[prop_id]],ckSplitTable[[#This Row],[email]])</calculatedColumnFormula>
    </tableColumn>
    <tableColumn id="43" uniqueName="43" name="email" queryTableFieldId="23" dataDxfId="19"/>
    <tableColumn id="44" uniqueName="44" name="propPRCs" queryTableFieldId="24" dataDxfId="18"/>
    <tableColumn id="45" uniqueName="45" name="bPRCs" queryTableFieldId="25" dataDxfId="17"/>
    <tableColumn id="46" uniqueName="46" name="awd_id" queryTableFieldId="26" dataDxfId="16"/>
    <tableColumn id="50" uniqueName="50" name="prop_stts_txt" queryTableFieldId="30" dataDxfId="15"/>
    <tableColumn id="51" uniqueName="51" name="prop_titl_txt" queryTableFieldId="31" dataDxfId="14"/>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360" tableType="queryTable" totalsRowCount="1">
  <autoFilter ref="A1:P359"/>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28" totalsRowDxfId="229"/>
    <tableColumn id="11" uniqueName="11" name="returned" queryTableFieldId="11" dataDxfId="227"/>
    <tableColumn id="14" uniqueName="14" name="nchars" queryTableFieldId="15" dataDxfId="226">
      <calculatedColumnFormula>LEN(ProjTextTable[[#This Row],[text]])</calculatedColumnFormula>
    </tableColumn>
    <tableColumn id="15" uniqueName="15" name="nwords" queryTableFieldId="14" dataDxfId="225">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7.xml"/><Relationship Id="rId7"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11" Type="http://schemas.openxmlformats.org/officeDocument/2006/relationships/comments" Target="../comments5.xml"/><Relationship Id="rId5" Type="http://schemas.openxmlformats.org/officeDocument/2006/relationships/ctrlProp" Target="../ctrlProps/ctrlProp12.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3"/>
  <sheetViews>
    <sheetView showGridLines="0" workbookViewId="0"/>
  </sheetViews>
  <sheetFormatPr defaultRowHeight="14.6"/>
  <cols>
    <col min="1" max="1" width="4.3046875" customWidth="1"/>
    <col min="2" max="2" width="12.84375" customWidth="1"/>
    <col min="3" max="3" width="10.53515625" customWidth="1"/>
    <col min="4" max="4" width="3.15234375" customWidth="1"/>
    <col min="5" max="5" width="15.3046875" customWidth="1"/>
    <col min="7" max="7" width="4.53515625" customWidth="1"/>
    <col min="8" max="8" width="14" customWidth="1"/>
    <col min="12" max="12" width="4.53515625" customWidth="1"/>
    <col min="13" max="13" width="26.69140625" customWidth="1"/>
  </cols>
  <sheetData>
    <row r="1" spans="2:14" ht="18" customHeight="1">
      <c r="B1" s="36" t="s">
        <v>228</v>
      </c>
      <c r="C1" s="36"/>
      <c r="D1" s="36"/>
      <c r="E1" s="36"/>
      <c r="F1" s="36"/>
      <c r="G1" s="36"/>
      <c r="L1" s="3" t="s">
        <v>217</v>
      </c>
    </row>
    <row r="2" spans="2:14" ht="18" customHeight="1">
      <c r="B2" s="36" t="s">
        <v>448</v>
      </c>
      <c r="C2" s="36"/>
      <c r="D2" s="36"/>
      <c r="E2" s="36"/>
      <c r="F2" s="36"/>
      <c r="G2" s="36"/>
      <c r="I2" s="33"/>
      <c r="J2">
        <v>2</v>
      </c>
      <c r="L2" s="119" t="s">
        <v>564</v>
      </c>
    </row>
    <row r="3" spans="2:14" ht="18" customHeight="1">
      <c r="B3" s="3" t="s">
        <v>219</v>
      </c>
      <c r="C3" s="3"/>
      <c r="D3" s="37" t="s">
        <v>220</v>
      </c>
      <c r="E3" s="36"/>
      <c r="F3" s="36"/>
      <c r="I3" s="33"/>
      <c r="J3" t="b">
        <v>0</v>
      </c>
    </row>
    <row r="4" spans="2:14" ht="18" customHeight="1">
      <c r="B4" s="3"/>
      <c r="C4" s="35" t="s">
        <v>226</v>
      </c>
      <c r="D4" s="38" t="s">
        <v>221</v>
      </c>
      <c r="E4" s="36" t="s">
        <v>231</v>
      </c>
      <c r="F4" s="36"/>
      <c r="I4" s="33"/>
      <c r="J4" t="b">
        <v>0</v>
      </c>
      <c r="L4" s="3" t="s">
        <v>218</v>
      </c>
    </row>
    <row r="5" spans="2:14" ht="18" customHeight="1">
      <c r="B5" s="3"/>
      <c r="C5" s="35"/>
      <c r="D5" s="38" t="s">
        <v>222</v>
      </c>
      <c r="E5" s="36" t="s">
        <v>232</v>
      </c>
      <c r="F5" s="36"/>
      <c r="I5" s="33"/>
    </row>
    <row r="6" spans="2:14" ht="18" customHeight="1">
      <c r="B6" s="3"/>
      <c r="C6" s="35" t="s">
        <v>227</v>
      </c>
      <c r="D6" s="38" t="s">
        <v>223</v>
      </c>
      <c r="E6" s="36"/>
      <c r="F6" s="36"/>
    </row>
    <row r="7" spans="2:14" ht="18" customHeight="1">
      <c r="B7" s="3"/>
      <c r="C7" s="35" t="s">
        <v>229</v>
      </c>
      <c r="D7" s="38" t="s">
        <v>224</v>
      </c>
      <c r="E7" s="36"/>
      <c r="F7" s="36"/>
    </row>
    <row r="8" spans="2:14" ht="18" customHeight="1">
      <c r="B8" s="3"/>
      <c r="C8" s="35" t="s">
        <v>230</v>
      </c>
      <c r="D8" s="38" t="s">
        <v>225</v>
      </c>
      <c r="E8" s="36"/>
      <c r="F8" s="36"/>
      <c r="L8" s="44">
        <v>50</v>
      </c>
      <c r="M8" s="45" t="s">
        <v>240</v>
      </c>
    </row>
    <row r="9" spans="2:14" ht="18" customHeight="1">
      <c r="B9" s="3"/>
      <c r="C9" s="35"/>
      <c r="D9" s="38"/>
      <c r="E9" s="36"/>
      <c r="F9" s="36"/>
    </row>
    <row r="10" spans="2:14" ht="18" customHeight="1">
      <c r="B10" s="3" t="s">
        <v>216</v>
      </c>
      <c r="C10" s="3"/>
      <c r="D10" s="34"/>
      <c r="E10" s="3" t="s">
        <v>215</v>
      </c>
      <c r="F10" s="3"/>
      <c r="G10" s="3"/>
      <c r="H10" s="3" t="s">
        <v>233</v>
      </c>
      <c r="L10" s="3" t="s">
        <v>487</v>
      </c>
    </row>
    <row r="11" spans="2:14" ht="18" customHeight="1">
      <c r="B11" t="s">
        <v>174</v>
      </c>
      <c r="E11" t="s">
        <v>175</v>
      </c>
      <c r="H11" t="s">
        <v>177</v>
      </c>
      <c r="L11" s="61" t="s">
        <v>294</v>
      </c>
      <c r="M11" s="29" t="s">
        <v>293</v>
      </c>
    </row>
    <row r="12" spans="2:14" ht="18" customHeight="1">
      <c r="B12" t="s">
        <v>0</v>
      </c>
      <c r="E12" t="s">
        <v>0</v>
      </c>
      <c r="H12" t="s">
        <v>0</v>
      </c>
      <c r="L12" s="61" t="s">
        <v>295</v>
      </c>
      <c r="M12" s="29" t="s">
        <v>563</v>
      </c>
    </row>
    <row r="13" spans="2:14">
      <c r="B13" s="25"/>
      <c r="E13" s="25"/>
      <c r="H13" s="25">
        <v>1234567</v>
      </c>
    </row>
    <row r="14" spans="2:14">
      <c r="B14" s="25"/>
      <c r="E14" s="25">
        <v>1749173</v>
      </c>
      <c r="H14" s="25">
        <v>1802840</v>
      </c>
      <c r="L14" s="3" t="s">
        <v>499</v>
      </c>
    </row>
    <row r="15" spans="2:14">
      <c r="B15" s="25">
        <v>1420750</v>
      </c>
      <c r="E15" s="25">
        <v>1749385</v>
      </c>
      <c r="M15" s="3" t="s">
        <v>495</v>
      </c>
      <c r="N15" s="7" t="s">
        <v>497</v>
      </c>
    </row>
    <row r="16" spans="2:14">
      <c r="B16" s="25">
        <v>1217462</v>
      </c>
      <c r="E16" s="25">
        <v>1749563</v>
      </c>
      <c r="M16" s="3" t="s">
        <v>509</v>
      </c>
      <c r="N16" s="7" t="s">
        <v>493</v>
      </c>
    </row>
    <row r="17" spans="2:14">
      <c r="B17" s="25">
        <v>1218620</v>
      </c>
      <c r="E17" s="25">
        <v>1749609</v>
      </c>
      <c r="M17" s="3" t="s">
        <v>504</v>
      </c>
      <c r="N17" s="7" t="s">
        <v>493</v>
      </c>
    </row>
    <row r="18" spans="2:14">
      <c r="B18" s="25">
        <v>1546098</v>
      </c>
      <c r="E18" s="25">
        <v>1749748</v>
      </c>
      <c r="M18" s="3" t="s">
        <v>1611</v>
      </c>
      <c r="N18" s="7" t="s">
        <v>493</v>
      </c>
    </row>
    <row r="19" spans="2:14">
      <c r="B19" s="25">
        <v>1320835</v>
      </c>
      <c r="E19" s="25">
        <v>1749855</v>
      </c>
      <c r="M19" s="3" t="s">
        <v>494</v>
      </c>
      <c r="N19" s="7" t="s">
        <v>493</v>
      </c>
    </row>
    <row r="20" spans="2:14">
      <c r="B20" s="25">
        <v>1423560</v>
      </c>
      <c r="E20" s="25">
        <v>1749977</v>
      </c>
      <c r="M20" s="3" t="s">
        <v>542</v>
      </c>
      <c r="N20" s="7" t="s">
        <v>491</v>
      </c>
    </row>
    <row r="21" spans="2:14">
      <c r="B21" s="25">
        <v>1421161</v>
      </c>
      <c r="C21" s="43"/>
      <c r="E21" s="25">
        <v>1750039</v>
      </c>
      <c r="M21" s="3" t="s">
        <v>508</v>
      </c>
      <c r="N21" s="7" t="s">
        <v>491</v>
      </c>
    </row>
    <row r="22" spans="2:14">
      <c r="B22" s="25">
        <v>1422102</v>
      </c>
      <c r="E22" s="25">
        <v>1750076</v>
      </c>
      <c r="M22" s="3" t="s">
        <v>505</v>
      </c>
      <c r="N22" s="7" t="s">
        <v>491</v>
      </c>
    </row>
    <row r="23" spans="2:14">
      <c r="B23" s="25">
        <v>1637564</v>
      </c>
      <c r="E23" s="25">
        <v>1750780</v>
      </c>
      <c r="M23" s="3" t="s">
        <v>547</v>
      </c>
      <c r="N23" s="7" t="s">
        <v>12</v>
      </c>
    </row>
    <row r="24" spans="2:14">
      <c r="B24" s="25">
        <v>1540634</v>
      </c>
      <c r="E24" s="25">
        <v>1751047</v>
      </c>
      <c r="M24" s="3" t="s">
        <v>513</v>
      </c>
      <c r="N24" s="7" t="s">
        <v>501</v>
      </c>
    </row>
    <row r="25" spans="2:14">
      <c r="B25" s="25">
        <v>1565641</v>
      </c>
      <c r="E25" s="25">
        <v>1751102</v>
      </c>
      <c r="M25" s="3" t="s">
        <v>514</v>
      </c>
      <c r="N25" s="7" t="s">
        <v>501</v>
      </c>
    </row>
    <row r="26" spans="2:14">
      <c r="B26" s="25">
        <v>1422668</v>
      </c>
      <c r="E26" s="25">
        <v>1751135</v>
      </c>
      <c r="M26" s="3" t="s">
        <v>512</v>
      </c>
      <c r="N26" s="7" t="s">
        <v>501</v>
      </c>
    </row>
    <row r="27" spans="2:14">
      <c r="B27" s="25">
        <v>1618657</v>
      </c>
      <c r="E27" s="25">
        <v>1755702</v>
      </c>
      <c r="M27" s="3" t="s">
        <v>544</v>
      </c>
      <c r="N27" s="7" t="s">
        <v>492</v>
      </c>
    </row>
    <row r="28" spans="2:14">
      <c r="B28" s="25">
        <v>1317143</v>
      </c>
      <c r="E28" s="25">
        <v>1755847</v>
      </c>
      <c r="M28" s="3" t="s">
        <v>519</v>
      </c>
      <c r="N28" s="7" t="s">
        <v>518</v>
      </c>
    </row>
    <row r="29" spans="2:14">
      <c r="B29" s="25">
        <v>1421163</v>
      </c>
      <c r="E29" s="25">
        <v>1755881</v>
      </c>
      <c r="M29" s="3" t="s">
        <v>502</v>
      </c>
      <c r="N29" s="7" t="s">
        <v>503</v>
      </c>
    </row>
    <row r="30" spans="2:14">
      <c r="B30" s="25">
        <v>1527822</v>
      </c>
      <c r="E30" s="25">
        <v>1755954</v>
      </c>
      <c r="M30" s="3" t="s">
        <v>500</v>
      </c>
      <c r="N30" s="7" t="s">
        <v>496</v>
      </c>
    </row>
    <row r="31" spans="2:14">
      <c r="B31" s="25">
        <v>1735569</v>
      </c>
      <c r="E31" s="25">
        <v>1755978</v>
      </c>
      <c r="M31" s="3" t="s">
        <v>507</v>
      </c>
      <c r="N31" s="7" t="s">
        <v>506</v>
      </c>
    </row>
    <row r="32" spans="2:14">
      <c r="E32" s="25">
        <v>1735569</v>
      </c>
      <c r="M32" s="3" t="s">
        <v>515</v>
      </c>
      <c r="N32" s="7" t="s">
        <v>516</v>
      </c>
    </row>
    <row r="36" spans="8:8">
      <c r="H36" s="43"/>
    </row>
    <row r="46" spans="8:8">
      <c r="H46" s="43"/>
    </row>
    <row r="47" spans="8:8">
      <c r="H47" s="43"/>
    </row>
    <row r="48" spans="8:8">
      <c r="H48" s="43"/>
    </row>
    <row r="49" spans="8:8">
      <c r="H49" s="43"/>
    </row>
    <row r="50" spans="8:8">
      <c r="H50" s="43"/>
    </row>
    <row r="51" spans="8:8">
      <c r="H51" s="43"/>
    </row>
    <row r="52" spans="8:8">
      <c r="H52" s="43"/>
    </row>
    <row r="53" spans="8:8">
      <c r="H53" s="43"/>
    </row>
    <row r="54" spans="8:8">
      <c r="H54" s="43"/>
    </row>
    <row r="55" spans="8:8">
      <c r="H55" s="43"/>
    </row>
    <row r="56" spans="8:8">
      <c r="H56" s="43"/>
    </row>
    <row r="57" spans="8:8">
      <c r="H57" s="43"/>
    </row>
    <row r="58" spans="8:8">
      <c r="H58" s="43"/>
    </row>
    <row r="59" spans="8:8">
      <c r="H59" s="43"/>
    </row>
    <row r="60" spans="8:8">
      <c r="H60" s="43"/>
    </row>
    <row r="61" spans="8:8">
      <c r="H61" s="43"/>
    </row>
    <row r="62" spans="8:8">
      <c r="H62" s="43"/>
    </row>
    <row r="63" spans="8:8">
      <c r="H63" s="43"/>
    </row>
  </sheetData>
  <sortState ref="M15:N23">
    <sortCondition ref="N15"/>
  </sortState>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0" location="ckAwd!AT1" tooltip="Filter out blanks." display="ckAwd"/>
    <hyperlink ref="N21" location="ckAwd!AE1" tooltip="See countries from cover and total frgn_trav bugdet" display="ckAwd"/>
    <hyperlink ref="N22" location="ckAwd!Z1" display="ckAwd"/>
    <hyperlink ref="N15" location="RAData!W1" display="RAData"/>
    <hyperlink ref="N28" location="ckSplits!A1" display="ckSplits"/>
    <hyperlink ref="N17" location="ckCoding!M1" display="ckCoding"/>
    <hyperlink ref="N19" location="ckCoding!C1" tooltip="Comparison throughout tab" display="ckCoding"/>
    <hyperlink ref="N18" location="ckCoding!AE1"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3</xdr:col>
                    <xdr:colOff>201386</xdr:colOff>
                    <xdr:row>2</xdr:row>
                    <xdr:rowOff>21771</xdr:rowOff>
                  </from>
                  <to>
                    <xdr:col>5</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7"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8"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9"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10"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1" name="cbConfirmActions">
              <controlPr defaultSize="0" autoFill="0" autoLine="0" autoPict="0">
                <anchor moveWithCells="1">
                  <from>
                    <xdr:col>11</xdr:col>
                    <xdr:colOff>168729</xdr:colOff>
                    <xdr:row>2</xdr:row>
                    <xdr:rowOff>87086</xdr:rowOff>
                  </from>
                  <to>
                    <xdr:col>12</xdr:col>
                    <xdr:colOff>1883229</xdr:colOff>
                    <xdr:row>3</xdr:row>
                    <xdr:rowOff>65314</xdr:rowOff>
                  </to>
                </anchor>
              </controlPr>
            </control>
          </mc:Choice>
        </mc:AlternateContent>
        <mc:AlternateContent xmlns:mc="http://schemas.openxmlformats.org/markup-compatibility/2006">
          <mc:Choice Requires="x14">
            <control shapeId="16402" r:id="rId12"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3" name="ddPropStts_RoboRA">
              <controlPr defaultSize="0" autoLine="0" autoPict="0">
                <anchor moveWithCells="1">
                  <from>
                    <xdr:col>11</xdr:col>
                    <xdr:colOff>304800</xdr:colOff>
                    <xdr:row>1</xdr:row>
                    <xdr:rowOff>141514</xdr:rowOff>
                  </from>
                  <to>
                    <xdr:col>13</xdr:col>
                    <xdr:colOff>163286</xdr:colOff>
                    <xdr:row>2</xdr:row>
                    <xdr:rowOff>108857</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59"/>
  <sheetViews>
    <sheetView tabSelected="1" zoomScale="98" zoomScaleNormal="98" workbookViewId="0">
      <selection activeCell="Q19" sqref="Q19"/>
    </sheetView>
  </sheetViews>
  <sheetFormatPr defaultRowHeight="14.6"/>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customWidth="1"/>
    <col min="16" max="16" width="6.53515625" style="21" customWidth="1"/>
    <col min="17" max="17" width="14.15234375" customWidth="1"/>
    <col min="18" max="18" width="14.3046875" style="22" customWidth="1"/>
    <col min="19" max="19" width="4.15234375" style="109" customWidth="1"/>
    <col min="20" max="20" width="2.15234375" style="90" customWidth="1"/>
    <col min="21" max="21" width="8.15234375" style="39" customWidth="1"/>
    <col min="22" max="22" width="2.69140625" style="39" customWidth="1"/>
    <col min="23" max="23" width="3.765625" customWidth="1"/>
    <col min="24" max="24" width="8.07421875" customWidth="1"/>
    <col min="25" max="25" width="11.07421875" customWidth="1"/>
    <col min="26" max="26" width="9.53515625" style="17" customWidth="1"/>
    <col min="27" max="27" width="18.4609375" customWidth="1"/>
    <col min="28" max="28" width="8.15234375" style="110"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3.3828125" style="22"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c r="A1" s="17" t="s">
        <v>87</v>
      </c>
      <c r="B1" s="30" t="s">
        <v>7</v>
      </c>
      <c r="C1" t="s">
        <v>8</v>
      </c>
      <c r="D1" t="s">
        <v>5</v>
      </c>
      <c r="E1" t="s">
        <v>4</v>
      </c>
      <c r="F1" t="s">
        <v>166</v>
      </c>
      <c r="G1" t="s">
        <v>164</v>
      </c>
      <c r="H1" s="90" t="s">
        <v>92</v>
      </c>
      <c r="I1" s="39" t="s">
        <v>126</v>
      </c>
      <c r="J1" s="39" t="s">
        <v>127</v>
      </c>
      <c r="K1" t="s">
        <v>17</v>
      </c>
      <c r="L1" t="s">
        <v>91</v>
      </c>
      <c r="M1" t="s">
        <v>93</v>
      </c>
      <c r="N1" t="s">
        <v>480</v>
      </c>
      <c r="O1" t="s">
        <v>481</v>
      </c>
      <c r="P1" s="21" t="s">
        <v>482</v>
      </c>
      <c r="Q1" t="s">
        <v>324</v>
      </c>
      <c r="R1" s="22" t="s">
        <v>16</v>
      </c>
      <c r="S1" s="109" t="s">
        <v>102</v>
      </c>
      <c r="T1" s="21" t="s">
        <v>88</v>
      </c>
      <c r="U1" t="s">
        <v>9</v>
      </c>
      <c r="V1" t="s">
        <v>1</v>
      </c>
      <c r="W1" s="14" t="s">
        <v>144</v>
      </c>
      <c r="X1" t="s">
        <v>0</v>
      </c>
      <c r="Y1" t="s">
        <v>10</v>
      </c>
      <c r="Z1" t="s">
        <v>18</v>
      </c>
      <c r="AA1" t="s">
        <v>323</v>
      </c>
      <c r="AB1" s="111" t="s">
        <v>475</v>
      </c>
      <c r="AC1" s="30" t="s">
        <v>19</v>
      </c>
      <c r="AD1" t="s">
        <v>20</v>
      </c>
      <c r="AE1" s="107" t="s">
        <v>152</v>
      </c>
      <c r="AF1" s="108" t="s">
        <v>325</v>
      </c>
      <c r="AG1" s="107" t="s">
        <v>153</v>
      </c>
      <c r="AH1" t="s">
        <v>327</v>
      </c>
      <c r="AI1" s="26" t="s">
        <v>23</v>
      </c>
      <c r="AJ1" s="22" t="s">
        <v>148</v>
      </c>
      <c r="AK1" s="107" t="s">
        <v>462</v>
      </c>
      <c r="AL1" s="107" t="s">
        <v>326</v>
      </c>
      <c r="AM1" s="107" t="s">
        <v>328</v>
      </c>
      <c r="AN1" s="107" t="s">
        <v>147</v>
      </c>
      <c r="AO1" s="107" t="s">
        <v>329</v>
      </c>
      <c r="AP1" s="107" t="s">
        <v>330</v>
      </c>
      <c r="AQ1" s="107" t="s">
        <v>331</v>
      </c>
      <c r="AR1" t="s">
        <v>551</v>
      </c>
      <c r="AS1" t="s">
        <v>167</v>
      </c>
      <c r="AT1" t="s">
        <v>36</v>
      </c>
      <c r="AU1" t="s">
        <v>483</v>
      </c>
      <c r="AV1" t="s">
        <v>332</v>
      </c>
      <c r="AW1" t="s">
        <v>21</v>
      </c>
      <c r="AX1" t="s">
        <v>22</v>
      </c>
      <c r="AY1" t="s">
        <v>333</v>
      </c>
      <c r="AZ1" t="s">
        <v>334</v>
      </c>
      <c r="BA1" t="s">
        <v>335</v>
      </c>
      <c r="BB1" t="s">
        <v>336</v>
      </c>
      <c r="BC1" t="s">
        <v>337</v>
      </c>
      <c r="BD1" t="s">
        <v>338</v>
      </c>
      <c r="BE1" t="s">
        <v>339</v>
      </c>
      <c r="BF1" t="s">
        <v>340</v>
      </c>
      <c r="BG1" t="s">
        <v>341</v>
      </c>
      <c r="BH1" t="s">
        <v>134</v>
      </c>
      <c r="BI1" t="s">
        <v>135</v>
      </c>
      <c r="BJ1" t="s">
        <v>137</v>
      </c>
      <c r="BK1" t="s">
        <v>136</v>
      </c>
      <c r="BL1" t="s">
        <v>146</v>
      </c>
    </row>
    <row r="2" spans="1:64">
      <c r="A2" s="30"/>
      <c r="B2" s="30">
        <v>42930.554166666669</v>
      </c>
      <c r="C2" t="s">
        <v>244</v>
      </c>
      <c r="D2" t="s">
        <v>780</v>
      </c>
      <c r="E2" t="s">
        <v>567</v>
      </c>
      <c r="F2" t="s">
        <v>172</v>
      </c>
      <c r="G2" t="s">
        <v>170</v>
      </c>
      <c r="H2" s="21" t="s">
        <v>94</v>
      </c>
      <c r="I2" s="86">
        <v>1</v>
      </c>
      <c r="J2" s="86">
        <v>0</v>
      </c>
      <c r="K2" t="s">
        <v>782</v>
      </c>
      <c r="L2" t="s">
        <v>579</v>
      </c>
      <c r="M2" t="s">
        <v>784</v>
      </c>
      <c r="N2" t="str">
        <f>IF(SUM(ckCodingTable[[#This Row],[NfmlPIs]:[NnonWhtAsnPIs]])&gt;0,"WMD","")</f>
        <v/>
      </c>
      <c r="O2" t="b">
        <f>_xlfn.XOR(IFERROR(MATCH(ckCodingTable[[#This Row],[st_code]],EpscorTable[],0)&gt;0,FALSE),IFERROR(FIND("9150",ckCodingTable[[#This Row],[propPRCs]])&gt;0,FALSE))</f>
        <v>0</v>
      </c>
      <c r="P2" s="21" t="b">
        <f>_xlfn.XOR(ckCodingTable[[#This Row],[wmd]]&lt;&gt;"",IFERROR(FIND("9102",ckCodingTable[[#This Row],[propPRCs]])&gt;0,FALSE))</f>
        <v>0</v>
      </c>
      <c r="Q2" t="s">
        <v>783</v>
      </c>
      <c r="S2" s="109">
        <f>S1+(ckCodingTable[[#This Row],[ILN]]&lt;"M")</f>
        <v>1</v>
      </c>
      <c r="T2" s="21" t="s">
        <v>96</v>
      </c>
      <c r="U2" t="s">
        <v>580</v>
      </c>
      <c r="V2" s="7" t="str">
        <f>HYPERLINK("https://www.ejacket.nsf.gov/ej/showProposal.do?ID="&amp;ckCodingTable[[#This Row],[prop_id]],"eJ")</f>
        <v>eJ</v>
      </c>
      <c r="W2" t="s">
        <v>781</v>
      </c>
      <c r="X2" t="s">
        <v>580</v>
      </c>
      <c r="Y2" t="s">
        <v>581</v>
      </c>
      <c r="Z2" t="s">
        <v>785</v>
      </c>
      <c r="AA2" t="s">
        <v>786</v>
      </c>
      <c r="AB2" s="112" t="str">
        <f>HYPERLINK("mailto:"&amp;ckCodingTable[[#This Row],[email]]&amp;"&amp;subject=Your NSF Proposal:  "&amp;ckCodingTable[[#This Row],[Div]]&amp;" "&amp;ckCodingTable[[#This Row],[prop_id]], ckCodingTable[[#This Row],[email]])</f>
        <v>steffen.borgwardt@ucdenver.edu</v>
      </c>
      <c r="AC2" s="30">
        <v>43101</v>
      </c>
      <c r="AD2">
        <v>60</v>
      </c>
      <c r="AE2">
        <v>1</v>
      </c>
      <c r="AG2" s="113">
        <v>1</v>
      </c>
      <c r="AH2" t="s">
        <v>787</v>
      </c>
      <c r="AI2" s="26">
        <v>3.75</v>
      </c>
      <c r="AJ2" s="22">
        <v>43031.583333333336</v>
      </c>
      <c r="AK2"/>
      <c r="AL2">
        <v>4</v>
      </c>
      <c r="AN2" s="113">
        <v>4</v>
      </c>
      <c r="AO2" s="113"/>
      <c r="AP2" s="113"/>
      <c r="AQ2" s="113"/>
      <c r="AR2" s="7" t="str">
        <f>HYPERLINK("https://www.ejacket.nsf.gov/ej/showProposal.do?ID="&amp;ckCodingTable[[#This Row],[prop_id]],"eJ")</f>
        <v>eJ</v>
      </c>
      <c r="AS2" t="s">
        <v>173</v>
      </c>
      <c r="AT2" t="s">
        <v>788</v>
      </c>
      <c r="AU2" t="b">
        <f>IF(ckCodingTable[[#This Row],[ILN]]="N",SUBSTITUTE(AT1," ","")&lt;&gt;SUBSTITUTE(ckCodingTable[[#This Row],[prop_titl_txt]]," ",""), FALSE)</f>
        <v>0</v>
      </c>
      <c r="AV2">
        <v>0</v>
      </c>
      <c r="AW2" s="13">
        <v>470400</v>
      </c>
      <c r="AX2" s="13">
        <v>470400</v>
      </c>
      <c r="AY2" s="13"/>
      <c r="AZ2" s="13">
        <v>9600</v>
      </c>
      <c r="BA2" s="13"/>
      <c r="BB2" s="13"/>
      <c r="BC2">
        <v>5</v>
      </c>
      <c r="BD2">
        <v>5</v>
      </c>
      <c r="BE2">
        <v>7.5</v>
      </c>
      <c r="BH2">
        <v>0</v>
      </c>
      <c r="BI2">
        <v>0</v>
      </c>
      <c r="BJ2">
        <v>0</v>
      </c>
      <c r="BK2">
        <v>0</v>
      </c>
      <c r="BL2" t="s">
        <v>789</v>
      </c>
    </row>
    <row r="3" spans="1:64">
      <c r="A3" s="30"/>
      <c r="B3" s="30">
        <v>42933.547222222223</v>
      </c>
      <c r="C3" t="s">
        <v>244</v>
      </c>
      <c r="D3" t="s">
        <v>780</v>
      </c>
      <c r="E3" t="s">
        <v>567</v>
      </c>
      <c r="F3" t="s">
        <v>172</v>
      </c>
      <c r="G3" t="s">
        <v>170</v>
      </c>
      <c r="H3" s="21" t="s">
        <v>94</v>
      </c>
      <c r="I3" s="86">
        <v>1</v>
      </c>
      <c r="J3" s="86">
        <v>0</v>
      </c>
      <c r="K3" t="s">
        <v>782</v>
      </c>
      <c r="L3" t="s">
        <v>579</v>
      </c>
      <c r="M3" t="s">
        <v>791</v>
      </c>
      <c r="N3" t="str">
        <f>IF(SUM(ckCodingTable[[#This Row],[NfmlPIs]:[NnonWhtAsnPIs]])&gt;0,"WMD","")</f>
        <v/>
      </c>
      <c r="O3" t="b">
        <f>_xlfn.XOR(IFERROR(MATCH(ckCodingTable[[#This Row],[st_code]],EpscorTable[],0)&gt;0,FALSE),IFERROR(FIND("9150",ckCodingTable[[#This Row],[propPRCs]])&gt;0,FALSE))</f>
        <v>0</v>
      </c>
      <c r="P3" s="21" t="b">
        <f>_xlfn.XOR(ckCodingTable[[#This Row],[wmd]]&lt;&gt;"",IFERROR(FIND("9102",ckCodingTable[[#This Row],[propPRCs]])&gt;0,FALSE))</f>
        <v>0</v>
      </c>
      <c r="Q3" t="s">
        <v>790</v>
      </c>
      <c r="S3" s="109">
        <f>S2+(ckCodingTable[[#This Row],[ILN]]&lt;"M")</f>
        <v>2</v>
      </c>
      <c r="T3" s="21" t="s">
        <v>96</v>
      </c>
      <c r="U3" t="s">
        <v>604</v>
      </c>
      <c r="V3" s="7" t="str">
        <f>HYPERLINK("https://www.ejacket.nsf.gov/ej/showProposal.do?ID="&amp;ckCodingTable[[#This Row],[prop_id]],"eJ")</f>
        <v>eJ</v>
      </c>
      <c r="W3" t="s">
        <v>781</v>
      </c>
      <c r="X3" t="s">
        <v>604</v>
      </c>
      <c r="Y3" t="s">
        <v>342</v>
      </c>
      <c r="Z3" t="s">
        <v>792</v>
      </c>
      <c r="AA3" t="s">
        <v>793</v>
      </c>
      <c r="AB3" s="112" t="str">
        <f>HYPERLINK("mailto:"&amp;ckCodingTable[[#This Row],[email]]&amp;"&amp;subject=Your NSF Proposal:  "&amp;ckCodingTable[[#This Row],[Div]]&amp;" "&amp;ckCodingTable[[#This Row],[prop_id]], ckCodingTable[[#This Row],[email]])</f>
        <v>haitao.wang@usu.edu</v>
      </c>
      <c r="AC3" s="30">
        <v>43221</v>
      </c>
      <c r="AD3">
        <v>60</v>
      </c>
      <c r="AE3">
        <v>1</v>
      </c>
      <c r="AG3" s="113">
        <v>1</v>
      </c>
      <c r="AH3" t="s">
        <v>794</v>
      </c>
      <c r="AI3" s="26">
        <v>6.25</v>
      </c>
      <c r="AJ3" s="22">
        <v>43030.179166666669</v>
      </c>
      <c r="AK3"/>
      <c r="AL3">
        <v>4</v>
      </c>
      <c r="AN3" s="113">
        <v>4</v>
      </c>
      <c r="AO3" s="113"/>
      <c r="AP3" s="113"/>
      <c r="AQ3" s="113"/>
      <c r="AR3" s="7" t="str">
        <f>HYPERLINK("https://www.ejacket.nsf.gov/ej/showProposal.do?ID="&amp;ckCodingTable[[#This Row],[prop_id]],"eJ")</f>
        <v>eJ</v>
      </c>
      <c r="AS3" t="s">
        <v>173</v>
      </c>
      <c r="AT3" t="s">
        <v>795</v>
      </c>
      <c r="AU3" t="b">
        <f>IF(ckCodingTable[[#This Row],[ILN]]="N",SUBSTITUTE(AT2," ","")&lt;&gt;SUBSTITUTE(ckCodingTable[[#This Row],[prop_titl_txt]]," ",""), FALSE)</f>
        <v>0</v>
      </c>
      <c r="AV3">
        <v>0</v>
      </c>
      <c r="AW3" s="13">
        <v>524898</v>
      </c>
      <c r="AX3" s="13">
        <v>524898</v>
      </c>
      <c r="AY3" s="13"/>
      <c r="AZ3" s="13">
        <v>15000</v>
      </c>
      <c r="BA3" s="13"/>
      <c r="BB3" s="13"/>
      <c r="BC3">
        <v>10</v>
      </c>
      <c r="BD3">
        <v>5</v>
      </c>
      <c r="BE3">
        <v>5</v>
      </c>
      <c r="BH3">
        <v>0</v>
      </c>
      <c r="BI3">
        <v>0</v>
      </c>
      <c r="BJ3">
        <v>0</v>
      </c>
      <c r="BK3">
        <v>0</v>
      </c>
      <c r="BL3" t="s">
        <v>796</v>
      </c>
    </row>
    <row r="4" spans="1:64">
      <c r="A4" s="30"/>
      <c r="B4" s="30">
        <v>42933.579861111109</v>
      </c>
      <c r="C4" t="s">
        <v>244</v>
      </c>
      <c r="D4" t="s">
        <v>780</v>
      </c>
      <c r="E4" t="s">
        <v>567</v>
      </c>
      <c r="F4" t="s">
        <v>172</v>
      </c>
      <c r="G4" t="s">
        <v>170</v>
      </c>
      <c r="H4" s="21" t="s">
        <v>94</v>
      </c>
      <c r="I4" s="86">
        <v>1</v>
      </c>
      <c r="J4" s="86">
        <v>0</v>
      </c>
      <c r="K4" t="s">
        <v>782</v>
      </c>
      <c r="L4" t="s">
        <v>944</v>
      </c>
      <c r="M4" t="s">
        <v>257</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819</v>
      </c>
      <c r="S4" s="109">
        <f>S3+(ckCodingTable[[#This Row],[ILN]]&lt;"M")</f>
        <v>3</v>
      </c>
      <c r="T4" s="21" t="s">
        <v>96</v>
      </c>
      <c r="U4" t="s">
        <v>936</v>
      </c>
      <c r="V4" s="7" t="str">
        <f>HYPERLINK("https://www.ejacket.nsf.gov/ej/showProposal.do?ID="&amp;ckCodingTable[[#This Row],[prop_id]],"eJ")</f>
        <v>eJ</v>
      </c>
      <c r="W4" t="s">
        <v>781</v>
      </c>
      <c r="X4" t="s">
        <v>936</v>
      </c>
      <c r="Y4" t="s">
        <v>937</v>
      </c>
      <c r="Z4" t="s">
        <v>829</v>
      </c>
      <c r="AA4" t="s">
        <v>343</v>
      </c>
      <c r="AB4" s="112" t="str">
        <f>HYPERLINK("mailto:"&amp;ckCodingTable[[#This Row],[email]]&amp;"&amp;subject=Your NSF Proposal:  "&amp;ckCodingTable[[#This Row],[Div]]&amp;" "&amp;ckCodingTable[[#This Row],[prop_id]], ckCodingTable[[#This Row],[email]])</f>
        <v>bmoseley@seas.wustl.edu</v>
      </c>
      <c r="AC4" s="30">
        <v>43282</v>
      </c>
      <c r="AD4">
        <v>60</v>
      </c>
      <c r="AE4">
        <v>1</v>
      </c>
      <c r="AG4" s="113">
        <v>1</v>
      </c>
      <c r="AH4" t="s">
        <v>1373</v>
      </c>
      <c r="AI4" s="26">
        <v>6.8</v>
      </c>
      <c r="AJ4" s="22">
        <v>43032.510416666664</v>
      </c>
      <c r="AK4">
        <v>1</v>
      </c>
      <c r="AL4">
        <v>5</v>
      </c>
      <c r="AN4" s="113">
        <v>5</v>
      </c>
      <c r="AO4" s="113"/>
      <c r="AP4" s="113"/>
      <c r="AQ4" s="113"/>
      <c r="AR4" s="7" t="str">
        <f>HYPERLINK("https://www.ejacket.nsf.gov/ej/showProposal.do?ID="&amp;ckCodingTable[[#This Row],[prop_id]],"eJ")</f>
        <v>eJ</v>
      </c>
      <c r="AS4" t="s">
        <v>173</v>
      </c>
      <c r="AT4" t="s">
        <v>1374</v>
      </c>
      <c r="AU4" t="b">
        <f>IF(ckCodingTable[[#This Row],[ILN]]="N",SUBSTITUTE(AT3," ","")&lt;&gt;SUBSTITUTE(ckCodingTable[[#This Row],[prop_titl_txt]]," ",""), FALSE)</f>
        <v>0</v>
      </c>
      <c r="AV4">
        <v>0</v>
      </c>
      <c r="AW4" s="13">
        <v>545000</v>
      </c>
      <c r="AX4" s="13">
        <v>545000</v>
      </c>
      <c r="AY4" s="13"/>
      <c r="AZ4" s="13"/>
      <c r="BA4" s="13"/>
      <c r="BB4" s="13">
        <v>8000</v>
      </c>
      <c r="BC4">
        <v>5</v>
      </c>
      <c r="BD4">
        <v>5</v>
      </c>
      <c r="BE4">
        <v>6.5</v>
      </c>
      <c r="BH4">
        <v>0</v>
      </c>
      <c r="BI4">
        <v>0</v>
      </c>
      <c r="BJ4">
        <v>0</v>
      </c>
      <c r="BK4">
        <v>0</v>
      </c>
      <c r="BL4" t="s">
        <v>1375</v>
      </c>
    </row>
    <row r="5" spans="1:64">
      <c r="A5" s="30"/>
      <c r="B5" s="30">
        <v>42933.713888888888</v>
      </c>
      <c r="C5" t="s">
        <v>244</v>
      </c>
      <c r="D5" t="s">
        <v>780</v>
      </c>
      <c r="E5" t="s">
        <v>567</v>
      </c>
      <c r="F5" t="s">
        <v>172</v>
      </c>
      <c r="G5" t="s">
        <v>170</v>
      </c>
      <c r="H5" s="21" t="s">
        <v>94</v>
      </c>
      <c r="I5" s="86">
        <v>1</v>
      </c>
      <c r="J5" s="86">
        <v>0</v>
      </c>
      <c r="K5" t="s">
        <v>782</v>
      </c>
      <c r="L5" t="s">
        <v>579</v>
      </c>
      <c r="M5" t="s">
        <v>258</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783</v>
      </c>
      <c r="S5" s="109">
        <f>S4+(ckCodingTable[[#This Row],[ILN]]&lt;"M")</f>
        <v>4</v>
      </c>
      <c r="T5" s="21" t="s">
        <v>96</v>
      </c>
      <c r="U5" t="s">
        <v>624</v>
      </c>
      <c r="V5" s="7" t="str">
        <f>HYPERLINK("https://www.ejacket.nsf.gov/ej/showProposal.do?ID="&amp;ckCodingTable[[#This Row],[prop_id]],"eJ")</f>
        <v>eJ</v>
      </c>
      <c r="W5" t="s">
        <v>781</v>
      </c>
      <c r="X5" t="s">
        <v>624</v>
      </c>
      <c r="Y5" t="s">
        <v>625</v>
      </c>
      <c r="Z5" t="s">
        <v>797</v>
      </c>
      <c r="AA5" t="s">
        <v>249</v>
      </c>
      <c r="AB5" s="112" t="str">
        <f>HYPERLINK("mailto:"&amp;ckCodingTable[[#This Row],[email]]&amp;"&amp;subject=Your NSF Proposal:  "&amp;ckCodingTable[[#This Row],[Div]]&amp;" "&amp;ckCodingTable[[#This Row],[prop_id]], ckCodingTable[[#This Row],[email]])</f>
        <v>delpia@wisc.edu</v>
      </c>
      <c r="AC5" s="30">
        <v>43344</v>
      </c>
      <c r="AD5">
        <v>60</v>
      </c>
      <c r="AE5">
        <v>1</v>
      </c>
      <c r="AG5" s="113">
        <v>1</v>
      </c>
      <c r="AH5" t="s">
        <v>798</v>
      </c>
      <c r="AI5" s="26">
        <v>7</v>
      </c>
      <c r="AJ5" s="22">
        <v>43031.584027777775</v>
      </c>
      <c r="AK5"/>
      <c r="AL5">
        <v>4</v>
      </c>
      <c r="AN5" s="113">
        <v>4</v>
      </c>
      <c r="AO5" s="113"/>
      <c r="AP5" s="113"/>
      <c r="AQ5" s="113"/>
      <c r="AR5" s="7" t="str">
        <f>HYPERLINK("https://www.ejacket.nsf.gov/ej/showProposal.do?ID="&amp;ckCodingTable[[#This Row],[prop_id]],"eJ")</f>
        <v>eJ</v>
      </c>
      <c r="AS5" t="s">
        <v>173</v>
      </c>
      <c r="AT5" t="s">
        <v>799</v>
      </c>
      <c r="AU5" t="b">
        <f>IF(ckCodingTable[[#This Row],[ILN]]="N",SUBSTITUTE(AT4," ","")&lt;&gt;SUBSTITUTE(ckCodingTable[[#This Row],[prop_titl_txt]]," ",""), FALSE)</f>
        <v>0</v>
      </c>
      <c r="AV5">
        <v>0</v>
      </c>
      <c r="AW5" s="13">
        <v>500000</v>
      </c>
      <c r="AX5" s="13">
        <v>500000</v>
      </c>
      <c r="AY5" s="13"/>
      <c r="AZ5" s="13">
        <v>12416</v>
      </c>
      <c r="BA5" s="13"/>
      <c r="BB5" s="13"/>
      <c r="BC5">
        <v>5</v>
      </c>
      <c r="BD5">
        <v>5</v>
      </c>
      <c r="BE5">
        <v>5</v>
      </c>
      <c r="BH5">
        <v>0</v>
      </c>
      <c r="BI5">
        <v>0</v>
      </c>
      <c r="BJ5">
        <v>0</v>
      </c>
      <c r="BK5">
        <v>0</v>
      </c>
      <c r="BL5" t="s">
        <v>800</v>
      </c>
    </row>
    <row r="6" spans="1:64">
      <c r="A6" s="30"/>
      <c r="B6" s="30">
        <v>42933.820138888892</v>
      </c>
      <c r="C6" t="s">
        <v>244</v>
      </c>
      <c r="D6" t="s">
        <v>780</v>
      </c>
      <c r="E6" t="s">
        <v>567</v>
      </c>
      <c r="F6" t="s">
        <v>172</v>
      </c>
      <c r="G6" t="s">
        <v>170</v>
      </c>
      <c r="H6" s="21" t="s">
        <v>94</v>
      </c>
      <c r="I6" s="86">
        <v>1</v>
      </c>
      <c r="J6" s="86">
        <v>0</v>
      </c>
      <c r="K6" t="s">
        <v>782</v>
      </c>
      <c r="L6" t="s">
        <v>579</v>
      </c>
      <c r="M6" t="s">
        <v>259</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783</v>
      </c>
      <c r="S6" s="109">
        <f>S5+(ckCodingTable[[#This Row],[ILN]]&lt;"M")</f>
        <v>5</v>
      </c>
      <c r="T6" s="21" t="s">
        <v>96</v>
      </c>
      <c r="U6" t="s">
        <v>635</v>
      </c>
      <c r="V6" s="7" t="str">
        <f>HYPERLINK("https://www.ejacket.nsf.gov/ej/showProposal.do?ID="&amp;ckCodingTable[[#This Row],[prop_id]],"eJ")</f>
        <v>eJ</v>
      </c>
      <c r="W6" t="s">
        <v>781</v>
      </c>
      <c r="X6" t="s">
        <v>635</v>
      </c>
      <c r="Y6" t="s">
        <v>344</v>
      </c>
      <c r="Z6" t="s">
        <v>801</v>
      </c>
      <c r="AA6" t="s">
        <v>246</v>
      </c>
      <c r="AB6" s="112" t="str">
        <f>HYPERLINK("mailto:"&amp;ckCodingTable[[#This Row],[email]]&amp;"&amp;subject=Your NSF Proposal:  "&amp;ckCodingTable[[#This Row],[Div]]&amp;" "&amp;ckCodingTable[[#This Row],[prop_id]], ckCodingTable[[#This Row],[email]])</f>
        <v>yintat@uw.edu</v>
      </c>
      <c r="AC6" s="30">
        <v>43175</v>
      </c>
      <c r="AD6">
        <v>60</v>
      </c>
      <c r="AE6">
        <v>1</v>
      </c>
      <c r="AG6" s="113">
        <v>1</v>
      </c>
      <c r="AH6" t="s">
        <v>802</v>
      </c>
      <c r="AI6" s="26">
        <v>8</v>
      </c>
      <c r="AJ6" s="22">
        <v>43031.375694444447</v>
      </c>
      <c r="AK6">
        <v>3</v>
      </c>
      <c r="AL6">
        <v>4</v>
      </c>
      <c r="AN6" s="113">
        <v>4</v>
      </c>
      <c r="AO6" s="113"/>
      <c r="AP6" s="113"/>
      <c r="AQ6" s="113"/>
      <c r="AR6" s="7" t="str">
        <f>HYPERLINK("https://www.ejacket.nsf.gov/ej/showProposal.do?ID="&amp;ckCodingTable[[#This Row],[prop_id]],"eJ")</f>
        <v>eJ</v>
      </c>
      <c r="AS6" t="s">
        <v>173</v>
      </c>
      <c r="AT6" t="s">
        <v>803</v>
      </c>
      <c r="AU6" t="b">
        <f>IF(ckCodingTable[[#This Row],[ILN]]="N",SUBSTITUTE(AT5," ","")&lt;&gt;SUBSTITUTE(ckCodingTable[[#This Row],[prop_titl_txt]]," ",""), FALSE)</f>
        <v>0</v>
      </c>
      <c r="AV6">
        <v>0</v>
      </c>
      <c r="AW6" s="13">
        <v>549841</v>
      </c>
      <c r="AX6" s="13">
        <v>549841</v>
      </c>
      <c r="AY6" s="13"/>
      <c r="AZ6" s="13"/>
      <c r="BA6" s="13"/>
      <c r="BB6" s="13"/>
      <c r="BC6">
        <v>5</v>
      </c>
      <c r="BD6">
        <v>5</v>
      </c>
      <c r="BE6">
        <v>2.5</v>
      </c>
      <c r="BG6">
        <v>2.5</v>
      </c>
      <c r="BH6">
        <v>0</v>
      </c>
      <c r="BI6">
        <v>0</v>
      </c>
      <c r="BJ6">
        <v>0</v>
      </c>
      <c r="BK6">
        <v>0</v>
      </c>
      <c r="BL6" t="s">
        <v>804</v>
      </c>
    </row>
    <row r="7" spans="1:64">
      <c r="A7" s="30"/>
      <c r="B7" s="30">
        <v>42934.453472222223</v>
      </c>
      <c r="C7" t="s">
        <v>244</v>
      </c>
      <c r="D7" t="s">
        <v>780</v>
      </c>
      <c r="E7" t="s">
        <v>567</v>
      </c>
      <c r="F7" t="s">
        <v>172</v>
      </c>
      <c r="G7" t="s">
        <v>170</v>
      </c>
      <c r="H7" s="21" t="s">
        <v>94</v>
      </c>
      <c r="I7" s="86">
        <v>1</v>
      </c>
      <c r="J7" s="86">
        <v>0</v>
      </c>
      <c r="K7" t="s">
        <v>782</v>
      </c>
      <c r="L7" t="s">
        <v>944</v>
      </c>
      <c r="M7" t="s">
        <v>260</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783</v>
      </c>
      <c r="S7" s="109">
        <f>S6+(ckCodingTable[[#This Row],[ILN]]&lt;"M")</f>
        <v>6</v>
      </c>
      <c r="T7" s="21" t="s">
        <v>96</v>
      </c>
      <c r="U7" t="s">
        <v>946</v>
      </c>
      <c r="V7" s="7" t="str">
        <f>HYPERLINK("https://www.ejacket.nsf.gov/ej/showProposal.do?ID="&amp;ckCodingTable[[#This Row],[prop_id]],"eJ")</f>
        <v>eJ</v>
      </c>
      <c r="W7" t="s">
        <v>781</v>
      </c>
      <c r="X7" t="s">
        <v>946</v>
      </c>
      <c r="Y7" t="s">
        <v>947</v>
      </c>
      <c r="Z7" t="s">
        <v>1376</v>
      </c>
      <c r="AA7" t="s">
        <v>1377</v>
      </c>
      <c r="AB7" s="112" t="str">
        <f>HYPERLINK("mailto:"&amp;ckCodingTable[[#This Row],[email]]&amp;"&amp;subject=Your NSF Proposal:  "&amp;ckCodingTable[[#This Row],[Div]]&amp;" "&amp;ckCodingTable[[#This Row],[prop_id]], ckCodingTable[[#This Row],[email]])</f>
        <v>sim3@ucmerced.edu</v>
      </c>
      <c r="AC7" s="30">
        <v>43282</v>
      </c>
      <c r="AD7">
        <v>60</v>
      </c>
      <c r="AE7">
        <v>1</v>
      </c>
      <c r="AG7" s="113">
        <v>1</v>
      </c>
      <c r="AH7" t="s">
        <v>345</v>
      </c>
      <c r="AI7" s="26">
        <v>6.5</v>
      </c>
      <c r="AJ7" s="22">
        <v>43032.518055555556</v>
      </c>
      <c r="AK7"/>
      <c r="AL7">
        <v>4</v>
      </c>
      <c r="AN7" s="113">
        <v>4</v>
      </c>
      <c r="AO7" s="113"/>
      <c r="AP7" s="113"/>
      <c r="AQ7" s="113"/>
      <c r="AR7" s="7" t="str">
        <f>HYPERLINK("https://www.ejacket.nsf.gov/ej/showProposal.do?ID="&amp;ckCodingTable[[#This Row],[prop_id]],"eJ")</f>
        <v>eJ</v>
      </c>
      <c r="AS7" t="s">
        <v>173</v>
      </c>
      <c r="AT7" t="s">
        <v>1378</v>
      </c>
      <c r="AU7" t="b">
        <f>IF(ckCodingTable[[#This Row],[ILN]]="N",SUBSTITUTE(AT6," ","")&lt;&gt;SUBSTITUTE(ckCodingTable[[#This Row],[prop_titl_txt]]," ",""), FALSE)</f>
        <v>0</v>
      </c>
      <c r="AV7">
        <v>0</v>
      </c>
      <c r="AW7" s="13">
        <v>514477</v>
      </c>
      <c r="AX7" s="13">
        <v>514477</v>
      </c>
      <c r="AY7" s="13"/>
      <c r="AZ7" s="13"/>
      <c r="BA7" s="13"/>
      <c r="BB7" s="13"/>
      <c r="BC7">
        <v>10</v>
      </c>
      <c r="BD7">
        <v>4</v>
      </c>
      <c r="BE7">
        <v>7</v>
      </c>
      <c r="BH7">
        <v>0</v>
      </c>
      <c r="BI7">
        <v>0</v>
      </c>
      <c r="BJ7">
        <v>0</v>
      </c>
      <c r="BK7">
        <v>0</v>
      </c>
      <c r="BL7" t="s">
        <v>1379</v>
      </c>
    </row>
    <row r="8" spans="1:64">
      <c r="A8" s="30"/>
      <c r="B8" s="30">
        <v>42934.507638888892</v>
      </c>
      <c r="C8" t="s">
        <v>244</v>
      </c>
      <c r="D8" t="s">
        <v>780</v>
      </c>
      <c r="E8" t="s">
        <v>567</v>
      </c>
      <c r="F8" t="s">
        <v>172</v>
      </c>
      <c r="G8" t="s">
        <v>170</v>
      </c>
      <c r="H8" s="21" t="s">
        <v>94</v>
      </c>
      <c r="I8" s="86">
        <v>0</v>
      </c>
      <c r="J8" s="86">
        <v>0</v>
      </c>
      <c r="K8" t="s">
        <v>782</v>
      </c>
      <c r="L8" t="s">
        <v>944</v>
      </c>
      <c r="M8" t="s">
        <v>260</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252</v>
      </c>
      <c r="S8" s="109">
        <f>S7+(ckCodingTable[[#This Row],[ILN]]&lt;"M")</f>
        <v>7</v>
      </c>
      <c r="T8" s="21" t="s">
        <v>96</v>
      </c>
      <c r="U8" t="s">
        <v>954</v>
      </c>
      <c r="V8" s="7" t="str">
        <f>HYPERLINK("https://www.ejacket.nsf.gov/ej/showProposal.do?ID="&amp;ckCodingTable[[#This Row],[prop_id]],"eJ")</f>
        <v>eJ</v>
      </c>
      <c r="W8" t="s">
        <v>781</v>
      </c>
      <c r="X8" t="s">
        <v>954</v>
      </c>
      <c r="Y8" t="s">
        <v>955</v>
      </c>
      <c r="Z8" t="s">
        <v>1380</v>
      </c>
      <c r="AA8" t="s">
        <v>1357</v>
      </c>
      <c r="AB8" s="112" t="str">
        <f>HYPERLINK("mailto:"&amp;ckCodingTable[[#This Row],[email]]&amp;"&amp;subject=Your NSF Proposal:  "&amp;ckCodingTable[[#This Row],[Div]]&amp;" "&amp;ckCodingTable[[#This Row],[prop_id]], ckCodingTable[[#This Row],[email]])</f>
        <v>sidford@stanford.edu</v>
      </c>
      <c r="AC8" s="30">
        <v>43009</v>
      </c>
      <c r="AD8">
        <v>60</v>
      </c>
      <c r="AE8">
        <v>1</v>
      </c>
      <c r="AG8" s="113">
        <v>1</v>
      </c>
      <c r="AH8" t="s">
        <v>831</v>
      </c>
      <c r="AI8" s="26">
        <v>7.5</v>
      </c>
      <c r="AJ8" s="22">
        <v>43032.515277777777</v>
      </c>
      <c r="AK8">
        <v>1</v>
      </c>
      <c r="AL8">
        <v>4</v>
      </c>
      <c r="AN8" s="113">
        <v>4</v>
      </c>
      <c r="AO8" s="113"/>
      <c r="AP8" s="113"/>
      <c r="AQ8" s="113"/>
      <c r="AR8" s="7" t="str">
        <f>HYPERLINK("https://www.ejacket.nsf.gov/ej/showProposal.do?ID="&amp;ckCodingTable[[#This Row],[prop_id]],"eJ")</f>
        <v>eJ</v>
      </c>
      <c r="AS8" t="s">
        <v>173</v>
      </c>
      <c r="AT8" t="s">
        <v>1381</v>
      </c>
      <c r="AU8" t="b">
        <f>IF(ckCodingTable[[#This Row],[ILN]]="N",SUBSTITUTE(AT7," ","")&lt;&gt;SUBSTITUTE(ckCodingTable[[#This Row],[prop_titl_txt]]," ",""), FALSE)</f>
        <v>0</v>
      </c>
      <c r="AV8">
        <v>0</v>
      </c>
      <c r="AW8" s="13">
        <v>500000</v>
      </c>
      <c r="AX8" s="13">
        <v>500000</v>
      </c>
      <c r="AY8" s="13"/>
      <c r="AZ8" s="13"/>
      <c r="BA8" s="13"/>
      <c r="BB8" s="13">
        <v>7500</v>
      </c>
      <c r="BC8">
        <v>5</v>
      </c>
      <c r="BD8">
        <v>5</v>
      </c>
      <c r="BE8">
        <v>6.75</v>
      </c>
      <c r="BH8">
        <v>0</v>
      </c>
      <c r="BI8">
        <v>0</v>
      </c>
      <c r="BJ8">
        <v>0</v>
      </c>
      <c r="BK8">
        <v>0</v>
      </c>
      <c r="BL8" t="s">
        <v>1382</v>
      </c>
    </row>
    <row r="9" spans="1:64">
      <c r="A9" s="30"/>
      <c r="B9" s="30">
        <v>42934.524305555555</v>
      </c>
      <c r="C9" t="s">
        <v>244</v>
      </c>
      <c r="D9" t="s">
        <v>780</v>
      </c>
      <c r="E9" t="s">
        <v>567</v>
      </c>
      <c r="F9" t="s">
        <v>172</v>
      </c>
      <c r="G9" t="s">
        <v>170</v>
      </c>
      <c r="H9" s="21" t="s">
        <v>94</v>
      </c>
      <c r="I9" s="86">
        <v>1</v>
      </c>
      <c r="J9" s="86">
        <v>0</v>
      </c>
      <c r="K9" t="s">
        <v>782</v>
      </c>
      <c r="L9" t="s">
        <v>582</v>
      </c>
      <c r="M9" t="s">
        <v>262</v>
      </c>
      <c r="N9" t="str">
        <f>IF(SUM(ckCodingTable[[#This Row],[NfmlPIs]:[NnonWhtAsnPIs]])&gt;0,"WMD","")</f>
        <v/>
      </c>
      <c r="O9" t="b">
        <f>_xlfn.XOR(IFERROR(MATCH(ckCodingTable[[#This Row],[st_code]],EpscorTable[],0)&gt;0,FALSE),IFERROR(FIND("9150",ckCodingTable[[#This Row],[propPRCs]])&gt;0,FALSE))</f>
        <v>0</v>
      </c>
      <c r="P9" s="21" t="b">
        <f>_xlfn.XOR(ckCodingTable[[#This Row],[wmd]]&lt;&gt;"",IFERROR(FIND("9102",ckCodingTable[[#This Row],[propPRCs]])&gt;0,FALSE))</f>
        <v>0</v>
      </c>
      <c r="Q9" t="s">
        <v>1383</v>
      </c>
      <c r="S9" s="109">
        <f>S8+(ckCodingTable[[#This Row],[ILN]]&lt;"M")</f>
        <v>8</v>
      </c>
      <c r="T9" s="21" t="s">
        <v>96</v>
      </c>
      <c r="U9" t="s">
        <v>961</v>
      </c>
      <c r="V9" s="7" t="str">
        <f>HYPERLINK("https://www.ejacket.nsf.gov/ej/showProposal.do?ID="&amp;ckCodingTable[[#This Row],[prop_id]],"eJ")</f>
        <v>eJ</v>
      </c>
      <c r="W9" t="s">
        <v>781</v>
      </c>
      <c r="X9" t="s">
        <v>961</v>
      </c>
      <c r="Y9" t="s">
        <v>962</v>
      </c>
      <c r="Z9" t="s">
        <v>1384</v>
      </c>
      <c r="AA9" t="s">
        <v>453</v>
      </c>
      <c r="AB9" s="112" t="str">
        <f>HYPERLINK("mailto:"&amp;ckCodingTable[[#This Row],[email]]&amp;"&amp;subject=Your NSF Proposal:  "&amp;ckCodingTable[[#This Row],[Div]]&amp;" "&amp;ckCodingTable[[#This Row],[prop_id]], ckCodingTable[[#This Row],[email]])</f>
        <v>omri@cs.columbia.edu</v>
      </c>
      <c r="AC9" s="30">
        <v>42979</v>
      </c>
      <c r="AD9">
        <v>60</v>
      </c>
      <c r="AE9">
        <v>1</v>
      </c>
      <c r="AG9" s="113">
        <v>1</v>
      </c>
      <c r="AH9" t="s">
        <v>1385</v>
      </c>
      <c r="AI9" s="26">
        <v>7</v>
      </c>
      <c r="AJ9" s="22">
        <v>43059.920138888891</v>
      </c>
      <c r="AK9"/>
      <c r="AL9">
        <v>4</v>
      </c>
      <c r="AN9" s="113">
        <v>4</v>
      </c>
      <c r="AO9" s="113"/>
      <c r="AP9" s="113"/>
      <c r="AQ9" s="113"/>
      <c r="AR9" s="7" t="str">
        <f>HYPERLINK("https://www.ejacket.nsf.gov/ej/showProposal.do?ID="&amp;ckCodingTable[[#This Row],[prop_id]],"eJ")</f>
        <v>eJ</v>
      </c>
      <c r="AS9" t="s">
        <v>173</v>
      </c>
      <c r="AT9" t="s">
        <v>1386</v>
      </c>
      <c r="AU9" t="b">
        <f>IF(ckCodingTable[[#This Row],[ILN]]="N",SUBSTITUTE(AT8," ","")&lt;&gt;SUBSTITUTE(ckCodingTable[[#This Row],[prop_titl_txt]]," ",""), FALSE)</f>
        <v>0</v>
      </c>
      <c r="AV9">
        <v>0</v>
      </c>
      <c r="AW9" s="13">
        <v>400000</v>
      </c>
      <c r="AX9" s="13">
        <v>400000</v>
      </c>
      <c r="AY9" s="13"/>
      <c r="AZ9" s="13"/>
      <c r="BA9" s="13"/>
      <c r="BB9" s="13"/>
      <c r="BC9">
        <v>3</v>
      </c>
      <c r="BD9">
        <v>5</v>
      </c>
      <c r="BE9">
        <v>1</v>
      </c>
      <c r="BG9">
        <v>3.5</v>
      </c>
      <c r="BH9">
        <v>0</v>
      </c>
      <c r="BI9">
        <v>0</v>
      </c>
      <c r="BJ9">
        <v>0</v>
      </c>
      <c r="BK9">
        <v>0</v>
      </c>
      <c r="BL9" t="s">
        <v>1387</v>
      </c>
    </row>
    <row r="10" spans="1:64">
      <c r="A10" s="30"/>
      <c r="B10" s="30">
        <v>42934.524305555555</v>
      </c>
      <c r="C10" t="s">
        <v>244</v>
      </c>
      <c r="D10" t="s">
        <v>780</v>
      </c>
      <c r="E10" t="s">
        <v>567</v>
      </c>
      <c r="F10" t="s">
        <v>172</v>
      </c>
      <c r="G10" t="s">
        <v>170</v>
      </c>
      <c r="H10" s="21" t="s">
        <v>94</v>
      </c>
      <c r="I10" s="86">
        <v>1</v>
      </c>
      <c r="J10" s="86">
        <v>0</v>
      </c>
      <c r="K10" t="s">
        <v>782</v>
      </c>
      <c r="L10" t="s">
        <v>582</v>
      </c>
      <c r="M10" t="s">
        <v>347</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783</v>
      </c>
      <c r="S10" s="109">
        <f>S9+(ckCodingTable[[#This Row],[ILN]]&lt;"M")</f>
        <v>9</v>
      </c>
      <c r="T10" s="21" t="s">
        <v>96</v>
      </c>
      <c r="U10" t="s">
        <v>642</v>
      </c>
      <c r="V10" s="7" t="str">
        <f>HYPERLINK("https://www.ejacket.nsf.gov/ej/showProposal.do?ID="&amp;ckCodingTable[[#This Row],[prop_id]],"eJ")</f>
        <v>eJ</v>
      </c>
      <c r="W10" t="s">
        <v>781</v>
      </c>
      <c r="X10" t="s">
        <v>642</v>
      </c>
      <c r="Y10" t="s">
        <v>643</v>
      </c>
      <c r="Z10" t="s">
        <v>805</v>
      </c>
      <c r="AA10" t="s">
        <v>346</v>
      </c>
      <c r="AB10" s="112" t="str">
        <f>HYPERLINK("mailto:"&amp;ckCodingTable[[#This Row],[email]]&amp;"&amp;subject=Your NSF Proposal:  "&amp;ckCodingTable[[#This Row],[Div]]&amp;" "&amp;ckCodingTable[[#This Row],[prop_id]], ckCodingTable[[#This Row],[email]])</f>
        <v>karthe@illinois.edu</v>
      </c>
      <c r="AC10" s="30">
        <v>43115</v>
      </c>
      <c r="AD10">
        <v>60</v>
      </c>
      <c r="AE10">
        <v>1</v>
      </c>
      <c r="AG10" s="113">
        <v>1</v>
      </c>
      <c r="AH10" t="s">
        <v>806</v>
      </c>
      <c r="AI10" s="26">
        <v>6.75</v>
      </c>
      <c r="AJ10" s="22">
        <v>43030.722916666666</v>
      </c>
      <c r="AK10">
        <v>2</v>
      </c>
      <c r="AL10">
        <v>4</v>
      </c>
      <c r="AN10" s="113">
        <v>4</v>
      </c>
      <c r="AO10" s="113"/>
      <c r="AP10" s="113"/>
      <c r="AQ10" s="113"/>
      <c r="AR10" s="7" t="str">
        <f>HYPERLINK("https://www.ejacket.nsf.gov/ej/showProposal.do?ID="&amp;ckCodingTable[[#This Row],[prop_id]],"eJ")</f>
        <v>eJ</v>
      </c>
      <c r="AS10" t="s">
        <v>173</v>
      </c>
      <c r="AT10" t="s">
        <v>807</v>
      </c>
      <c r="AU10" t="b">
        <f>IF(ckCodingTable[[#This Row],[ILN]]="N",SUBSTITUTE(AT9," ","")&lt;&gt;SUBSTITUTE(ckCodingTable[[#This Row],[prop_titl_txt]]," ",""), FALSE)</f>
        <v>0</v>
      </c>
      <c r="AV10">
        <v>0</v>
      </c>
      <c r="AW10" s="13">
        <v>446040</v>
      </c>
      <c r="AX10" s="13">
        <v>446040</v>
      </c>
      <c r="AY10" s="13"/>
      <c r="AZ10" s="13">
        <v>20000</v>
      </c>
      <c r="BA10" s="13"/>
      <c r="BB10" s="13"/>
      <c r="BC10">
        <v>5</v>
      </c>
      <c r="BD10">
        <v>5</v>
      </c>
      <c r="BE10">
        <v>5</v>
      </c>
      <c r="BH10">
        <v>0</v>
      </c>
      <c r="BI10">
        <v>0</v>
      </c>
      <c r="BJ10">
        <v>0</v>
      </c>
      <c r="BK10">
        <v>0</v>
      </c>
      <c r="BL10" t="s">
        <v>808</v>
      </c>
    </row>
    <row r="11" spans="1:64">
      <c r="A11" s="30"/>
      <c r="B11" s="30">
        <v>42934.625694444447</v>
      </c>
      <c r="C11" t="s">
        <v>244</v>
      </c>
      <c r="D11" t="s">
        <v>780</v>
      </c>
      <c r="E11" t="s">
        <v>567</v>
      </c>
      <c r="F11" t="s">
        <v>172</v>
      </c>
      <c r="G11" t="s">
        <v>170</v>
      </c>
      <c r="H11" s="21" t="s">
        <v>94</v>
      </c>
      <c r="I11" s="86">
        <v>1</v>
      </c>
      <c r="J11" s="86">
        <v>0</v>
      </c>
      <c r="K11" t="s">
        <v>782</v>
      </c>
      <c r="L11" t="s">
        <v>579</v>
      </c>
      <c r="M11" t="s">
        <v>262</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783</v>
      </c>
      <c r="S11" s="109">
        <f>S10+(ckCodingTable[[#This Row],[ILN]]&lt;"M")</f>
        <v>10</v>
      </c>
      <c r="T11" s="21" t="s">
        <v>96</v>
      </c>
      <c r="U11" t="s">
        <v>656</v>
      </c>
      <c r="V11" s="7" t="str">
        <f>HYPERLINK("https://www.ejacket.nsf.gov/ej/showProposal.do?ID="&amp;ckCodingTable[[#This Row],[prop_id]],"eJ")</f>
        <v>eJ</v>
      </c>
      <c r="W11" t="s">
        <v>781</v>
      </c>
      <c r="X11" t="s">
        <v>656</v>
      </c>
      <c r="Y11" t="s">
        <v>657</v>
      </c>
      <c r="Z11" t="s">
        <v>809</v>
      </c>
      <c r="AA11" t="s">
        <v>810</v>
      </c>
      <c r="AB11" s="112" t="str">
        <f>HYPERLINK("mailto:"&amp;ckCodingTable[[#This Row],[email]]&amp;"&amp;subject=Your NSF Proposal:  "&amp;ckCodingTable[[#This Row],[Div]]&amp;" "&amp;ckCodingTable[[#This Row],[prop_id]], ckCodingTable[[#This Row],[email]])</f>
        <v>francesco@cs.stonybrook.edu</v>
      </c>
      <c r="AC11" s="30">
        <v>43101</v>
      </c>
      <c r="AD11">
        <v>60</v>
      </c>
      <c r="AE11">
        <v>1</v>
      </c>
      <c r="AG11" s="113">
        <v>1</v>
      </c>
      <c r="AH11" t="s">
        <v>811</v>
      </c>
      <c r="AI11" s="26">
        <v>8</v>
      </c>
      <c r="AJ11" s="22">
        <v>43059.663888888892</v>
      </c>
      <c r="AK11"/>
      <c r="AL11">
        <v>4</v>
      </c>
      <c r="AN11" s="113">
        <v>4</v>
      </c>
      <c r="AO11" s="113"/>
      <c r="AP11" s="113"/>
      <c r="AQ11" s="113"/>
      <c r="AR11" s="7" t="str">
        <f>HYPERLINK("https://www.ejacket.nsf.gov/ej/showProposal.do?ID="&amp;ckCodingTable[[#This Row],[prop_id]],"eJ")</f>
        <v>eJ</v>
      </c>
      <c r="AS11" t="s">
        <v>173</v>
      </c>
      <c r="AT11" t="s">
        <v>812</v>
      </c>
      <c r="AU11" t="b">
        <f>IF(ckCodingTable[[#This Row],[ILN]]="N",SUBSTITUTE(AT10," ","")&lt;&gt;SUBSTITUTE(ckCodingTable[[#This Row],[prop_titl_txt]]," ",""), FALSE)</f>
        <v>0</v>
      </c>
      <c r="AV11">
        <v>0</v>
      </c>
      <c r="AW11" s="13">
        <v>516750</v>
      </c>
      <c r="AX11" s="13">
        <v>516750</v>
      </c>
      <c r="AY11" s="13"/>
      <c r="AZ11" s="13">
        <v>10000</v>
      </c>
      <c r="BA11" s="13"/>
      <c r="BB11" s="13"/>
      <c r="BC11">
        <v>9</v>
      </c>
      <c r="BD11">
        <v>5</v>
      </c>
      <c r="BE11">
        <v>5</v>
      </c>
      <c r="BH11">
        <v>0</v>
      </c>
      <c r="BI11">
        <v>0</v>
      </c>
      <c r="BJ11">
        <v>0</v>
      </c>
      <c r="BK11">
        <v>0</v>
      </c>
      <c r="BL11" t="s">
        <v>813</v>
      </c>
    </row>
    <row r="12" spans="1:64">
      <c r="A12" s="30"/>
      <c r="B12" s="30">
        <v>42934.695138888892</v>
      </c>
      <c r="C12" t="s">
        <v>244</v>
      </c>
      <c r="D12" t="s">
        <v>780</v>
      </c>
      <c r="E12" t="s">
        <v>567</v>
      </c>
      <c r="F12" t="s">
        <v>172</v>
      </c>
      <c r="G12" t="s">
        <v>170</v>
      </c>
      <c r="H12" s="21" t="s">
        <v>94</v>
      </c>
      <c r="I12" s="86">
        <v>1</v>
      </c>
      <c r="J12" s="86">
        <v>0</v>
      </c>
      <c r="K12" t="s">
        <v>782</v>
      </c>
      <c r="L12" t="s">
        <v>579</v>
      </c>
      <c r="M12" t="s">
        <v>261</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790</v>
      </c>
      <c r="S12" s="109">
        <f>S11+(ckCodingTable[[#This Row],[ILN]]&lt;"M")</f>
        <v>11</v>
      </c>
      <c r="T12" s="21" t="s">
        <v>96</v>
      </c>
      <c r="U12" t="s">
        <v>678</v>
      </c>
      <c r="V12" s="7" t="str">
        <f>HYPERLINK("https://www.ejacket.nsf.gov/ej/showProposal.do?ID="&amp;ckCodingTable[[#This Row],[prop_id]],"eJ")</f>
        <v>eJ</v>
      </c>
      <c r="W12" t="s">
        <v>781</v>
      </c>
      <c r="X12" t="s">
        <v>678</v>
      </c>
      <c r="Y12" t="s">
        <v>679</v>
      </c>
      <c r="Z12" t="s">
        <v>814</v>
      </c>
      <c r="AA12" t="s">
        <v>815</v>
      </c>
      <c r="AB12" s="112" t="str">
        <f>HYPERLINK("mailto:"&amp;ckCodingTable[[#This Row],[email]]&amp;"&amp;subject=Your NSF Proposal:  "&amp;ckCodingTable[[#This Row],[Div]]&amp;" "&amp;ckCodingTable[[#This Row],[prop_id]], ckCodingTable[[#This Row],[email]])</f>
        <v>jsolomon@mit.edu</v>
      </c>
      <c r="AC12" s="30">
        <v>43101</v>
      </c>
      <c r="AD12">
        <v>60</v>
      </c>
      <c r="AE12">
        <v>1</v>
      </c>
      <c r="AG12" s="113">
        <v>1</v>
      </c>
      <c r="AH12" t="s">
        <v>816</v>
      </c>
      <c r="AI12" s="26">
        <v>6.25</v>
      </c>
      <c r="AJ12" s="22">
        <v>43030.972222222219</v>
      </c>
      <c r="AK12">
        <v>2</v>
      </c>
      <c r="AL12">
        <v>4</v>
      </c>
      <c r="AN12" s="113">
        <v>4</v>
      </c>
      <c r="AO12" s="113"/>
      <c r="AP12" s="113"/>
      <c r="AQ12" s="113"/>
      <c r="AR12" s="7" t="str">
        <f>HYPERLINK("https://www.ejacket.nsf.gov/ej/showProposal.do?ID="&amp;ckCodingTable[[#This Row],[prop_id]],"eJ")</f>
        <v>eJ</v>
      </c>
      <c r="AS12" t="s">
        <v>173</v>
      </c>
      <c r="AT12" t="s">
        <v>817</v>
      </c>
      <c r="AU12" t="b">
        <f>IF(ckCodingTable[[#This Row],[ILN]]="N",SUBSTITUTE(AT11," ","")&lt;&gt;SUBSTITUTE(ckCodingTable[[#This Row],[prop_titl_txt]]," ",""), FALSE)</f>
        <v>0</v>
      </c>
      <c r="AV12">
        <v>0</v>
      </c>
      <c r="AW12" s="13">
        <v>550000</v>
      </c>
      <c r="AX12" s="13">
        <v>550000</v>
      </c>
      <c r="AY12" s="13"/>
      <c r="AZ12" s="13"/>
      <c r="BA12" s="13"/>
      <c r="BB12" s="13"/>
      <c r="BC12">
        <v>5</v>
      </c>
      <c r="BD12">
        <v>5</v>
      </c>
      <c r="BE12">
        <v>2.5</v>
      </c>
      <c r="BH12">
        <v>0</v>
      </c>
      <c r="BI12">
        <v>0</v>
      </c>
      <c r="BJ12">
        <v>0</v>
      </c>
      <c r="BK12">
        <v>0</v>
      </c>
      <c r="BL12" t="s">
        <v>818</v>
      </c>
    </row>
    <row r="13" spans="1:64">
      <c r="A13" s="30"/>
      <c r="B13" s="30">
        <v>42934.734722222223</v>
      </c>
      <c r="C13" t="s">
        <v>244</v>
      </c>
      <c r="D13" t="s">
        <v>780</v>
      </c>
      <c r="E13" t="s">
        <v>567</v>
      </c>
      <c r="F13" t="s">
        <v>172</v>
      </c>
      <c r="G13" t="s">
        <v>170</v>
      </c>
      <c r="H13" s="21" t="s">
        <v>94</v>
      </c>
      <c r="I13" s="86">
        <v>1</v>
      </c>
      <c r="J13" s="86">
        <v>0</v>
      </c>
      <c r="K13" t="s">
        <v>782</v>
      </c>
      <c r="L13" t="s">
        <v>582</v>
      </c>
      <c r="M13" t="s">
        <v>1355</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1383</v>
      </c>
      <c r="S13" s="109">
        <f>S12+(ckCodingTable[[#This Row],[ILN]]&lt;"M")</f>
        <v>12</v>
      </c>
      <c r="T13" s="21" t="s">
        <v>96</v>
      </c>
      <c r="U13" t="s">
        <v>974</v>
      </c>
      <c r="V13" s="7" t="str">
        <f>HYPERLINK("https://www.ejacket.nsf.gov/ej/showProposal.do?ID="&amp;ckCodingTable[[#This Row],[prop_id]],"eJ")</f>
        <v>eJ</v>
      </c>
      <c r="W13" t="s">
        <v>781</v>
      </c>
      <c r="X13" t="s">
        <v>974</v>
      </c>
      <c r="Y13" t="s">
        <v>975</v>
      </c>
      <c r="Z13" t="s">
        <v>814</v>
      </c>
      <c r="AA13" t="s">
        <v>1356</v>
      </c>
      <c r="AB13" s="112" t="str">
        <f>HYPERLINK("mailto:"&amp;ckCodingTable[[#This Row],[email]]&amp;"&amp;subject=Your NSF Proposal:  "&amp;ckCodingTable[[#This Row],[Div]]&amp;" "&amp;ckCodingTable[[#This Row],[prop_id]], ckCodingTable[[#This Row],[email]])</f>
        <v>jt1157@georgetown.edu</v>
      </c>
      <c r="AC13" s="30">
        <v>43252</v>
      </c>
      <c r="AD13">
        <v>60</v>
      </c>
      <c r="AE13">
        <v>1</v>
      </c>
      <c r="AG13" s="113">
        <v>1</v>
      </c>
      <c r="AH13" t="s">
        <v>845</v>
      </c>
      <c r="AI13" s="26">
        <v>6.75</v>
      </c>
      <c r="AJ13" s="22">
        <v>43059.936805555553</v>
      </c>
      <c r="AK13"/>
      <c r="AL13">
        <v>4</v>
      </c>
      <c r="AN13" s="113">
        <v>4</v>
      </c>
      <c r="AO13" s="113"/>
      <c r="AP13" s="113"/>
      <c r="AQ13" s="113"/>
      <c r="AR13" s="7" t="str">
        <f>HYPERLINK("https://www.ejacket.nsf.gov/ej/showProposal.do?ID="&amp;ckCodingTable[[#This Row],[prop_id]],"eJ")</f>
        <v>eJ</v>
      </c>
      <c r="AS13" t="s">
        <v>173</v>
      </c>
      <c r="AT13" t="s">
        <v>1388</v>
      </c>
      <c r="AU13" t="b">
        <f>IF(ckCodingTable[[#This Row],[ILN]]="N",SUBSTITUTE(AT12," ","")&lt;&gt;SUBSTITUTE(ckCodingTable[[#This Row],[prop_titl_txt]]," ",""), FALSE)</f>
        <v>0</v>
      </c>
      <c r="AV13">
        <v>0</v>
      </c>
      <c r="AW13" s="13">
        <v>525636</v>
      </c>
      <c r="AX13" s="13">
        <v>525636</v>
      </c>
      <c r="AY13" s="13"/>
      <c r="AZ13" s="13">
        <v>12500</v>
      </c>
      <c r="BA13" s="13"/>
      <c r="BB13" s="13"/>
      <c r="BC13">
        <v>4</v>
      </c>
      <c r="BD13">
        <v>5</v>
      </c>
      <c r="BE13">
        <v>7</v>
      </c>
      <c r="BH13">
        <v>0</v>
      </c>
      <c r="BI13">
        <v>0</v>
      </c>
      <c r="BJ13">
        <v>0</v>
      </c>
      <c r="BK13">
        <v>0</v>
      </c>
      <c r="BL13" t="s">
        <v>1389</v>
      </c>
    </row>
    <row r="14" spans="1:64">
      <c r="A14" s="30"/>
      <c r="B14" s="30">
        <v>42934.737500000003</v>
      </c>
      <c r="C14" t="s">
        <v>244</v>
      </c>
      <c r="D14" t="s">
        <v>780</v>
      </c>
      <c r="E14" t="s">
        <v>567</v>
      </c>
      <c r="F14" t="s">
        <v>172</v>
      </c>
      <c r="G14" t="s">
        <v>170</v>
      </c>
      <c r="H14" s="21" t="s">
        <v>94</v>
      </c>
      <c r="I14" s="86">
        <v>1</v>
      </c>
      <c r="J14" s="86">
        <v>0</v>
      </c>
      <c r="K14" t="s">
        <v>782</v>
      </c>
      <c r="L14" t="s">
        <v>582</v>
      </c>
      <c r="M14" t="s">
        <v>347</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819</v>
      </c>
      <c r="S14" s="109">
        <f>S13+(ckCodingTable[[#This Row],[ILN]]&lt;"M")</f>
        <v>13</v>
      </c>
      <c r="T14" s="21" t="s">
        <v>96</v>
      </c>
      <c r="U14" t="s">
        <v>686</v>
      </c>
      <c r="V14" s="7" t="str">
        <f>HYPERLINK("https://www.ejacket.nsf.gov/ej/showProposal.do?ID="&amp;ckCodingTable[[#This Row],[prop_id]],"eJ")</f>
        <v>eJ</v>
      </c>
      <c r="W14" t="s">
        <v>781</v>
      </c>
      <c r="X14" t="s">
        <v>686</v>
      </c>
      <c r="Y14" t="s">
        <v>687</v>
      </c>
      <c r="Z14" t="s">
        <v>820</v>
      </c>
      <c r="AA14" t="s">
        <v>346</v>
      </c>
      <c r="AB14" s="112" t="str">
        <f>HYPERLINK("mailto:"&amp;ckCodingTable[[#This Row],[email]]&amp;"&amp;subject=Your NSF Proposal:  "&amp;ckCodingTable[[#This Row],[Div]]&amp;" "&amp;ckCodingTable[[#This Row],[prop_id]], ckCodingTable[[#This Row],[email]])</f>
        <v>solomon2@illinois.edu</v>
      </c>
      <c r="AC14" s="30">
        <v>43132</v>
      </c>
      <c r="AD14">
        <v>60</v>
      </c>
      <c r="AE14">
        <v>1</v>
      </c>
      <c r="AG14" s="113">
        <v>1</v>
      </c>
      <c r="AH14" t="s">
        <v>821</v>
      </c>
      <c r="AI14" s="26">
        <v>4.5</v>
      </c>
      <c r="AJ14" s="22">
        <v>43031.922222222223</v>
      </c>
      <c r="AK14">
        <v>2</v>
      </c>
      <c r="AL14">
        <v>4</v>
      </c>
      <c r="AN14" s="113">
        <v>4</v>
      </c>
      <c r="AO14" s="113"/>
      <c r="AP14" s="113"/>
      <c r="AQ14" s="113"/>
      <c r="AR14" s="7" t="str">
        <f>HYPERLINK("https://www.ejacket.nsf.gov/ej/showProposal.do?ID="&amp;ckCodingTable[[#This Row],[prop_id]],"eJ")</f>
        <v>eJ</v>
      </c>
      <c r="AS14" t="s">
        <v>173</v>
      </c>
      <c r="AT14" t="s">
        <v>822</v>
      </c>
      <c r="AU14" t="b">
        <f>IF(ckCodingTable[[#This Row],[ILN]]="N",SUBSTITUTE(AT13," ","")&lt;&gt;SUBSTITUTE(ckCodingTable[[#This Row],[prop_titl_txt]]," ",""), FALSE)</f>
        <v>0</v>
      </c>
      <c r="AV14">
        <v>0</v>
      </c>
      <c r="AW14" s="13">
        <v>524117</v>
      </c>
      <c r="AX14" s="13">
        <v>524117</v>
      </c>
      <c r="AY14" s="13"/>
      <c r="AZ14" s="13">
        <v>11250</v>
      </c>
      <c r="BA14" s="13"/>
      <c r="BB14" s="13"/>
      <c r="BC14">
        <v>5</v>
      </c>
      <c r="BD14">
        <v>5</v>
      </c>
      <c r="BE14">
        <v>2.5</v>
      </c>
      <c r="BH14">
        <v>0</v>
      </c>
      <c r="BI14">
        <v>0</v>
      </c>
      <c r="BJ14">
        <v>0</v>
      </c>
      <c r="BK14">
        <v>0</v>
      </c>
      <c r="BL14" t="s">
        <v>823</v>
      </c>
    </row>
    <row r="15" spans="1:64">
      <c r="A15" s="30"/>
      <c r="B15" s="30">
        <v>42934.806944444441</v>
      </c>
      <c r="C15" t="s">
        <v>244</v>
      </c>
      <c r="D15" t="s">
        <v>780</v>
      </c>
      <c r="E15" t="s">
        <v>567</v>
      </c>
      <c r="F15" t="s">
        <v>172</v>
      </c>
      <c r="G15" t="s">
        <v>170</v>
      </c>
      <c r="H15" s="21" t="s">
        <v>94</v>
      </c>
      <c r="I15" s="86">
        <v>1</v>
      </c>
      <c r="J15" s="86">
        <v>0</v>
      </c>
      <c r="K15" t="s">
        <v>782</v>
      </c>
      <c r="L15" t="s">
        <v>944</v>
      </c>
      <c r="M15" t="s">
        <v>260</v>
      </c>
      <c r="N15" t="str">
        <f>IF(SUM(ckCodingTable[[#This Row],[NfmlPIs]:[NnonWhtAsnPIs]])&gt;0,"WMD","")</f>
        <v/>
      </c>
      <c r="O15" t="b">
        <f>_xlfn.XOR(IFERROR(MATCH(ckCodingTable[[#This Row],[st_code]],EpscorTable[],0)&gt;0,FALSE),IFERROR(FIND("9150",ckCodingTable[[#This Row],[propPRCs]])&gt;0,FALSE))</f>
        <v>0</v>
      </c>
      <c r="P15" s="21" t="b">
        <f>_xlfn.XOR(ckCodingTable[[#This Row],[wmd]]&lt;&gt;"",IFERROR(FIND("9102",ckCodingTable[[#This Row],[propPRCs]])&gt;0,FALSE))</f>
        <v>0</v>
      </c>
      <c r="Q15" t="s">
        <v>783</v>
      </c>
      <c r="S15" s="109">
        <f>S14+(ckCodingTable[[#This Row],[ILN]]&lt;"M")</f>
        <v>14</v>
      </c>
      <c r="T15" s="21" t="s">
        <v>96</v>
      </c>
      <c r="U15" t="s">
        <v>985</v>
      </c>
      <c r="V15" s="7" t="str">
        <f>HYPERLINK("https://www.ejacket.nsf.gov/ej/showProposal.do?ID="&amp;ckCodingTable[[#This Row],[prop_id]],"eJ")</f>
        <v>eJ</v>
      </c>
      <c r="W15" t="s">
        <v>781</v>
      </c>
      <c r="X15" t="s">
        <v>985</v>
      </c>
      <c r="Y15" t="s">
        <v>986</v>
      </c>
      <c r="Z15" t="s">
        <v>1390</v>
      </c>
      <c r="AA15" t="s">
        <v>452</v>
      </c>
      <c r="AB15" s="112" t="str">
        <f>HYPERLINK("mailto:"&amp;ckCodingTable[[#This Row],[email]]&amp;"&amp;subject=Your NSF Proposal:  "&amp;ckCodingTable[[#This Row],[Div]]&amp;" "&amp;ckCodingTable[[#This Row],[prop_id]], ckCodingTable[[#This Row],[email]])</f>
        <v>razaviya@usc.edu</v>
      </c>
      <c r="AC15" s="30">
        <v>43236</v>
      </c>
      <c r="AD15">
        <v>60</v>
      </c>
      <c r="AE15">
        <v>2</v>
      </c>
      <c r="AG15" s="113">
        <v>1</v>
      </c>
      <c r="AH15" t="s">
        <v>1391</v>
      </c>
      <c r="AI15" s="26">
        <v>4.666666666666667</v>
      </c>
      <c r="AJ15" s="22">
        <v>43059.886111111111</v>
      </c>
      <c r="AK15"/>
      <c r="AL15">
        <v>9</v>
      </c>
      <c r="AN15" s="113">
        <v>5</v>
      </c>
      <c r="AO15" s="113"/>
      <c r="AP15" s="113"/>
      <c r="AQ15" s="113"/>
      <c r="AR15" s="7" t="str">
        <f>HYPERLINK("https://www.ejacket.nsf.gov/ej/showProposal.do?ID="&amp;ckCodingTable[[#This Row],[prop_id]],"eJ")</f>
        <v>eJ</v>
      </c>
      <c r="AS15" t="s">
        <v>173</v>
      </c>
      <c r="AT15" t="s">
        <v>1392</v>
      </c>
      <c r="AU15" t="b">
        <f>IF(ckCodingTable[[#This Row],[ILN]]="N",SUBSTITUTE(AT14," ","")&lt;&gt;SUBSTITUTE(ckCodingTable[[#This Row],[prop_titl_txt]]," ",""), FALSE)</f>
        <v>0</v>
      </c>
      <c r="AV15">
        <v>0</v>
      </c>
      <c r="AW15" s="13">
        <v>539673</v>
      </c>
      <c r="AX15" s="13">
        <v>539673</v>
      </c>
      <c r="AY15" s="13"/>
      <c r="AZ15" s="13"/>
      <c r="BA15" s="13"/>
      <c r="BB15" s="13">
        <v>13000</v>
      </c>
      <c r="BC15">
        <v>5</v>
      </c>
      <c r="BD15">
        <v>5</v>
      </c>
      <c r="BE15">
        <v>5</v>
      </c>
      <c r="BH15">
        <v>0</v>
      </c>
      <c r="BI15">
        <v>0</v>
      </c>
      <c r="BJ15">
        <v>0</v>
      </c>
      <c r="BK15">
        <v>0</v>
      </c>
      <c r="BL15" t="s">
        <v>1393</v>
      </c>
    </row>
    <row r="16" spans="1:64">
      <c r="A16" s="30"/>
      <c r="B16" s="30">
        <v>42934.808333333334</v>
      </c>
      <c r="C16" t="s">
        <v>244</v>
      </c>
      <c r="D16" t="s">
        <v>780</v>
      </c>
      <c r="E16" t="s">
        <v>567</v>
      </c>
      <c r="F16" t="s">
        <v>172</v>
      </c>
      <c r="G16" t="s">
        <v>170</v>
      </c>
      <c r="H16" s="21" t="s">
        <v>94</v>
      </c>
      <c r="I16" s="86">
        <v>1</v>
      </c>
      <c r="J16" s="86">
        <v>0</v>
      </c>
      <c r="K16" t="s">
        <v>782</v>
      </c>
      <c r="L16" t="s">
        <v>579</v>
      </c>
      <c r="M16" t="s">
        <v>260</v>
      </c>
      <c r="N16" t="str">
        <f>IF(SUM(ckCodingTable[[#This Row],[NfmlPIs]:[NnonWhtAsnPIs]])&gt;0,"WMD","")</f>
        <v/>
      </c>
      <c r="O16" t="b">
        <f>_xlfn.XOR(IFERROR(MATCH(ckCodingTable[[#This Row],[st_code]],EpscorTable[],0)&gt;0,FALSE),IFERROR(FIND("9150",ckCodingTable[[#This Row],[propPRCs]])&gt;0,FALSE))</f>
        <v>0</v>
      </c>
      <c r="P16" s="21" t="b">
        <f>_xlfn.XOR(ckCodingTable[[#This Row],[wmd]]&lt;&gt;"",IFERROR(FIND("9102",ckCodingTable[[#This Row],[propPRCs]])&gt;0,FALSE))</f>
        <v>0</v>
      </c>
      <c r="Q16" t="s">
        <v>824</v>
      </c>
      <c r="S16" s="109">
        <f>S15+(ckCodingTable[[#This Row],[ILN]]&lt;"M")</f>
        <v>15</v>
      </c>
      <c r="T16" s="21" t="s">
        <v>96</v>
      </c>
      <c r="U16" t="s">
        <v>697</v>
      </c>
      <c r="V16" s="7" t="str">
        <f>HYPERLINK("https://www.ejacket.nsf.gov/ej/showProposal.do?ID="&amp;ckCodingTable[[#This Row],[prop_id]],"eJ")</f>
        <v>eJ</v>
      </c>
      <c r="W16" t="s">
        <v>781</v>
      </c>
      <c r="X16" t="s">
        <v>697</v>
      </c>
      <c r="Y16" t="s">
        <v>698</v>
      </c>
      <c r="Z16" t="s">
        <v>825</v>
      </c>
      <c r="AA16" t="s">
        <v>348</v>
      </c>
      <c r="AB16" s="112" t="str">
        <f>HYPERLINK("mailto:"&amp;ckCodingTable[[#This Row],[email]]&amp;"&amp;subject=Your NSF Proposal:  "&amp;ckCodingTable[[#This Row],[Div]]&amp;" "&amp;ckCodingTable[[#This Row],[prop_id]], ckCodingTable[[#This Row],[email]])</f>
        <v>craig@ucr.edu</v>
      </c>
      <c r="AC16" s="30">
        <v>43101</v>
      </c>
      <c r="AD16">
        <v>60</v>
      </c>
      <c r="AE16">
        <v>1</v>
      </c>
      <c r="AG16" s="113">
        <v>1</v>
      </c>
      <c r="AH16" t="s">
        <v>826</v>
      </c>
      <c r="AI16" s="26">
        <v>4</v>
      </c>
      <c r="AJ16" s="22">
        <v>43031.584027777775</v>
      </c>
      <c r="AK16"/>
      <c r="AL16">
        <v>4</v>
      </c>
      <c r="AN16" s="113">
        <v>4</v>
      </c>
      <c r="AO16" s="113"/>
      <c r="AP16" s="113"/>
      <c r="AQ16" s="113"/>
      <c r="AR16" s="7" t="str">
        <f>HYPERLINK("https://www.ejacket.nsf.gov/ej/showProposal.do?ID="&amp;ckCodingTable[[#This Row],[prop_id]],"eJ")</f>
        <v>eJ</v>
      </c>
      <c r="AS16" t="s">
        <v>173</v>
      </c>
      <c r="AT16" t="s">
        <v>827</v>
      </c>
      <c r="AU16" t="b">
        <f>IF(ckCodingTable[[#This Row],[ILN]]="N",SUBSTITUTE(AT15," ","")&lt;&gt;SUBSTITUTE(ckCodingTable[[#This Row],[prop_titl_txt]]," ",""), FALSE)</f>
        <v>0</v>
      </c>
      <c r="AV16">
        <v>0</v>
      </c>
      <c r="AW16" s="13">
        <v>440331</v>
      </c>
      <c r="AX16" s="13">
        <v>440331</v>
      </c>
      <c r="AY16" s="13"/>
      <c r="AZ16" s="13"/>
      <c r="BA16" s="13"/>
      <c r="BB16" s="13"/>
      <c r="BC16">
        <v>5</v>
      </c>
      <c r="BD16">
        <v>5</v>
      </c>
      <c r="BE16">
        <v>5</v>
      </c>
      <c r="BH16">
        <v>0</v>
      </c>
      <c r="BI16">
        <v>0</v>
      </c>
      <c r="BJ16">
        <v>0</v>
      </c>
      <c r="BK16">
        <v>0</v>
      </c>
      <c r="BL16" t="s">
        <v>828</v>
      </c>
    </row>
    <row r="17" spans="1:64">
      <c r="A17" s="30"/>
      <c r="B17" s="30">
        <v>42935.359027777777</v>
      </c>
      <c r="C17" t="s">
        <v>244</v>
      </c>
      <c r="D17" t="s">
        <v>780</v>
      </c>
      <c r="E17" t="s">
        <v>567</v>
      </c>
      <c r="F17" t="s">
        <v>172</v>
      </c>
      <c r="G17" t="s">
        <v>170</v>
      </c>
      <c r="H17" s="21" t="s">
        <v>94</v>
      </c>
      <c r="I17" s="86">
        <v>1</v>
      </c>
      <c r="J17" s="86">
        <v>0</v>
      </c>
      <c r="K17" t="s">
        <v>782</v>
      </c>
      <c r="L17" t="s">
        <v>944</v>
      </c>
      <c r="M17" t="s">
        <v>262</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783</v>
      </c>
      <c r="S17" s="109">
        <f>S16+(ckCodingTable[[#This Row],[ILN]]&lt;"M")</f>
        <v>16</v>
      </c>
      <c r="T17" s="21" t="s">
        <v>96</v>
      </c>
      <c r="U17" t="s">
        <v>1021</v>
      </c>
      <c r="V17" s="7" t="str">
        <f>HYPERLINK("https://www.ejacket.nsf.gov/ej/showProposal.do?ID="&amp;ckCodingTable[[#This Row],[prop_id]],"eJ")</f>
        <v>eJ</v>
      </c>
      <c r="W17" t="s">
        <v>781</v>
      </c>
      <c r="X17" t="s">
        <v>1021</v>
      </c>
      <c r="Y17" t="s">
        <v>349</v>
      </c>
      <c r="Z17" t="s">
        <v>1394</v>
      </c>
      <c r="AA17" t="s">
        <v>213</v>
      </c>
      <c r="AB17" s="112" t="str">
        <f>HYPERLINK("mailto:"&amp;ckCodingTable[[#This Row],[email]]&amp;"&amp;subject=Your NSF Proposal:  "&amp;ckCodingTable[[#This Row],[Div]]&amp;" "&amp;ckCodingTable[[#This Row],[prop_id]], ckCodingTable[[#This Row],[email]])</f>
        <v>shil@buffalo.edu</v>
      </c>
      <c r="AC17" s="30">
        <v>43344</v>
      </c>
      <c r="AD17">
        <v>60</v>
      </c>
      <c r="AE17">
        <v>1</v>
      </c>
      <c r="AG17" s="113"/>
      <c r="AH17" t="s">
        <v>350</v>
      </c>
      <c r="AI17" s="26">
        <v>5.25</v>
      </c>
      <c r="AJ17" s="22">
        <v>43031.584722222222</v>
      </c>
      <c r="AK17">
        <v>2</v>
      </c>
      <c r="AL17">
        <v>4</v>
      </c>
      <c r="AN17" s="113"/>
      <c r="AO17" s="113"/>
      <c r="AP17" s="113"/>
      <c r="AQ17" s="113"/>
      <c r="AR17" s="7" t="str">
        <f>HYPERLINK("https://www.ejacket.nsf.gov/ej/showProposal.do?ID="&amp;ckCodingTable[[#This Row],[prop_id]],"eJ")</f>
        <v>eJ</v>
      </c>
      <c r="AS17" t="s">
        <v>173</v>
      </c>
      <c r="AT17" t="s">
        <v>1395</v>
      </c>
      <c r="AU17" t="b">
        <f>IF(ckCodingTable[[#This Row],[ILN]]="N",SUBSTITUTE(AT16," ","")&lt;&gt;SUBSTITUTE(ckCodingTable[[#This Row],[prop_titl_txt]]," ",""), FALSE)</f>
        <v>0</v>
      </c>
      <c r="AV17">
        <v>0</v>
      </c>
      <c r="AW17" s="13">
        <v>530842</v>
      </c>
      <c r="AX17" s="13">
        <v>530842</v>
      </c>
      <c r="AY17" s="13"/>
      <c r="AZ17" s="13">
        <v>10000</v>
      </c>
      <c r="BA17" s="13"/>
      <c r="BB17" s="13"/>
      <c r="BC17">
        <v>5</v>
      </c>
      <c r="BD17">
        <v>5</v>
      </c>
      <c r="BE17">
        <v>5</v>
      </c>
      <c r="BH17">
        <v>0</v>
      </c>
      <c r="BI17">
        <v>0</v>
      </c>
      <c r="BJ17">
        <v>0</v>
      </c>
      <c r="BK17">
        <v>0</v>
      </c>
      <c r="BL17" t="s">
        <v>1396</v>
      </c>
    </row>
    <row r="18" spans="1:64">
      <c r="A18" s="30"/>
      <c r="B18" s="30">
        <v>42935.374305555553</v>
      </c>
      <c r="C18" t="s">
        <v>244</v>
      </c>
      <c r="D18" t="s">
        <v>780</v>
      </c>
      <c r="E18" t="s">
        <v>567</v>
      </c>
      <c r="F18" t="s">
        <v>172</v>
      </c>
      <c r="G18" t="s">
        <v>170</v>
      </c>
      <c r="H18" s="21" t="s">
        <v>94</v>
      </c>
      <c r="I18" s="86">
        <v>0</v>
      </c>
      <c r="J18" s="86">
        <v>0</v>
      </c>
      <c r="K18" t="s">
        <v>782</v>
      </c>
      <c r="L18" t="s">
        <v>944</v>
      </c>
      <c r="M18" t="s">
        <v>352</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252</v>
      </c>
      <c r="S18" s="109">
        <f>S17+(ckCodingTable[[#This Row],[ILN]]&lt;"M")</f>
        <v>17</v>
      </c>
      <c r="T18" s="21" t="s">
        <v>96</v>
      </c>
      <c r="U18" t="s">
        <v>1028</v>
      </c>
      <c r="V18" s="7" t="str">
        <f>HYPERLINK("https://www.ejacket.nsf.gov/ej/showProposal.do?ID="&amp;ckCodingTable[[#This Row],[prop_id]],"eJ")</f>
        <v>eJ</v>
      </c>
      <c r="W18" t="s">
        <v>781</v>
      </c>
      <c r="X18" t="s">
        <v>1028</v>
      </c>
      <c r="Y18" t="s">
        <v>1029</v>
      </c>
      <c r="Z18" t="s">
        <v>1397</v>
      </c>
      <c r="AA18" t="s">
        <v>351</v>
      </c>
      <c r="AB18" s="112" t="str">
        <f>HYPERLINK("mailto:"&amp;ckCodingTable[[#This Row],[email]]&amp;"&amp;subject=Your NSF Proposal:  "&amp;ckCodingTable[[#This Row],[Div]]&amp;" "&amp;ckCodingTable[[#This Row],[prop_id]], ckCodingTable[[#This Row],[email]])</f>
        <v>viswa@umich.edu</v>
      </c>
      <c r="AC18" s="30">
        <v>43221</v>
      </c>
      <c r="AD18">
        <v>60</v>
      </c>
      <c r="AE18">
        <v>1</v>
      </c>
      <c r="AG18" s="113">
        <v>1</v>
      </c>
      <c r="AH18" t="s">
        <v>1385</v>
      </c>
      <c r="AI18" s="26">
        <v>7</v>
      </c>
      <c r="AJ18" s="22">
        <v>43032.519444444442</v>
      </c>
      <c r="AK18"/>
      <c r="AL18">
        <v>4</v>
      </c>
      <c r="AN18" s="113">
        <v>4</v>
      </c>
      <c r="AO18" s="113"/>
      <c r="AP18" s="113"/>
      <c r="AQ18" s="113"/>
      <c r="AR18" s="7" t="str">
        <f>HYPERLINK("https://www.ejacket.nsf.gov/ej/showProposal.do?ID="&amp;ckCodingTable[[#This Row],[prop_id]],"eJ")</f>
        <v>eJ</v>
      </c>
      <c r="AS18" t="s">
        <v>173</v>
      </c>
      <c r="AT18" t="s">
        <v>1398</v>
      </c>
      <c r="AU18" t="b">
        <f>IF(ckCodingTable[[#This Row],[ILN]]="N",SUBSTITUTE(AT17," ","")&lt;&gt;SUBSTITUTE(ckCodingTable[[#This Row],[prop_titl_txt]]," ",""), FALSE)</f>
        <v>0</v>
      </c>
      <c r="AV18">
        <v>0</v>
      </c>
      <c r="AW18" s="13">
        <v>524840</v>
      </c>
      <c r="AX18" s="13">
        <v>524840</v>
      </c>
      <c r="AY18" s="13"/>
      <c r="AZ18" s="13"/>
      <c r="BA18" s="13"/>
      <c r="BB18" s="13">
        <v>3000</v>
      </c>
      <c r="BC18">
        <v>5</v>
      </c>
      <c r="BD18">
        <v>5</v>
      </c>
      <c r="BE18">
        <v>5</v>
      </c>
      <c r="BH18">
        <v>0</v>
      </c>
      <c r="BI18">
        <v>0</v>
      </c>
      <c r="BJ18">
        <v>0</v>
      </c>
      <c r="BK18">
        <v>0</v>
      </c>
      <c r="BL18" t="s">
        <v>1399</v>
      </c>
    </row>
    <row r="19" spans="1:64">
      <c r="A19" s="30"/>
      <c r="B19" s="30">
        <v>42935.387499999997</v>
      </c>
      <c r="C19" t="s">
        <v>244</v>
      </c>
      <c r="D19" t="s">
        <v>780</v>
      </c>
      <c r="E19" t="s">
        <v>567</v>
      </c>
      <c r="F19" t="s">
        <v>172</v>
      </c>
      <c r="G19" t="s">
        <v>170</v>
      </c>
      <c r="H19" s="21" t="s">
        <v>94</v>
      </c>
      <c r="I19" s="86">
        <v>1</v>
      </c>
      <c r="J19" s="86">
        <v>0</v>
      </c>
      <c r="K19" t="s">
        <v>782</v>
      </c>
      <c r="L19" t="s">
        <v>944</v>
      </c>
      <c r="M19" t="s">
        <v>354</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783</v>
      </c>
      <c r="S19" s="109">
        <f>S18+(ckCodingTable[[#This Row],[ILN]]&lt;"M")</f>
        <v>18</v>
      </c>
      <c r="T19" s="21" t="s">
        <v>96</v>
      </c>
      <c r="U19" t="s">
        <v>1036</v>
      </c>
      <c r="V19" s="7" t="str">
        <f>HYPERLINK("https://www.ejacket.nsf.gov/ej/showProposal.do?ID="&amp;ckCodingTable[[#This Row],[prop_id]],"eJ")</f>
        <v>eJ</v>
      </c>
      <c r="W19" t="s">
        <v>781</v>
      </c>
      <c r="X19" t="s">
        <v>1036</v>
      </c>
      <c r="Y19" t="s">
        <v>1037</v>
      </c>
      <c r="Z19" t="s">
        <v>1400</v>
      </c>
      <c r="AA19" t="s">
        <v>353</v>
      </c>
      <c r="AB19" s="112" t="str">
        <f>HYPERLINK("mailto:"&amp;ckCodingTable[[#This Row],[email]]&amp;"&amp;subject=Your NSF Proposal:  "&amp;ckCodingTable[[#This Row],[Div]]&amp;" "&amp;ckCodingTable[[#This Row],[prop_id]], ckCodingTable[[#This Row],[email]])</f>
        <v>debmalya.panigrahi@gmail.com</v>
      </c>
      <c r="AC19" s="30">
        <v>43160</v>
      </c>
      <c r="AD19">
        <v>60</v>
      </c>
      <c r="AE19">
        <v>1</v>
      </c>
      <c r="AG19" s="113">
        <v>1</v>
      </c>
      <c r="AH19" t="s">
        <v>1401</v>
      </c>
      <c r="AI19" s="26">
        <v>7.75</v>
      </c>
      <c r="AJ19" s="22">
        <v>43032.520138888889</v>
      </c>
      <c r="AK19">
        <v>2</v>
      </c>
      <c r="AL19">
        <v>4</v>
      </c>
      <c r="AN19" s="113">
        <v>4</v>
      </c>
      <c r="AO19" s="113"/>
      <c r="AP19" s="113"/>
      <c r="AQ19" s="113"/>
      <c r="AR19" s="7" t="str">
        <f>HYPERLINK("https://www.ejacket.nsf.gov/ej/showProposal.do?ID="&amp;ckCodingTable[[#This Row],[prop_id]],"eJ")</f>
        <v>eJ</v>
      </c>
      <c r="AS19" t="s">
        <v>173</v>
      </c>
      <c r="AT19" t="s">
        <v>1402</v>
      </c>
      <c r="AU19" t="b">
        <f>IF(ckCodingTable[[#This Row],[ILN]]="N",SUBSTITUTE(AT18," ","")&lt;&gt;SUBSTITUTE(ckCodingTable[[#This Row],[prop_titl_txt]]," ",""), FALSE)</f>
        <v>0</v>
      </c>
      <c r="AV19">
        <v>0</v>
      </c>
      <c r="AW19" s="13">
        <v>602288</v>
      </c>
      <c r="AX19" s="13">
        <v>602288</v>
      </c>
      <c r="AY19" s="13"/>
      <c r="AZ19" s="13">
        <v>21026</v>
      </c>
      <c r="BA19" s="13"/>
      <c r="BB19" s="13">
        <v>16000</v>
      </c>
      <c r="BC19">
        <v>5</v>
      </c>
      <c r="BD19">
        <v>5</v>
      </c>
      <c r="BE19">
        <v>7</v>
      </c>
      <c r="BH19">
        <v>0</v>
      </c>
      <c r="BI19">
        <v>0</v>
      </c>
      <c r="BJ19">
        <v>0</v>
      </c>
      <c r="BK19">
        <v>0</v>
      </c>
      <c r="BL19" t="s">
        <v>1403</v>
      </c>
    </row>
    <row r="20" spans="1:64">
      <c r="A20" s="30"/>
      <c r="B20" s="30">
        <v>42935.475694444445</v>
      </c>
      <c r="C20" t="s">
        <v>244</v>
      </c>
      <c r="D20" t="s">
        <v>780</v>
      </c>
      <c r="E20" t="s">
        <v>567</v>
      </c>
      <c r="F20" t="s">
        <v>172</v>
      </c>
      <c r="G20" t="s">
        <v>170</v>
      </c>
      <c r="H20" s="21" t="s">
        <v>94</v>
      </c>
      <c r="I20" s="86">
        <v>1</v>
      </c>
      <c r="J20" s="86">
        <v>0</v>
      </c>
      <c r="K20" t="s">
        <v>782</v>
      </c>
      <c r="L20" t="s">
        <v>944</v>
      </c>
      <c r="M20" t="s">
        <v>263</v>
      </c>
      <c r="N20" t="str">
        <f>IF(SUM(ckCodingTable[[#This Row],[NfmlPIs]:[NnonWhtAsnPIs]])&gt;0,"WMD","")</f>
        <v/>
      </c>
      <c r="O20" t="b">
        <f>_xlfn.XOR(IFERROR(MATCH(ckCodingTable[[#This Row],[st_code]],EpscorTable[],0)&gt;0,FALSE),IFERROR(FIND("9150",ckCodingTable[[#This Row],[propPRCs]])&gt;0,FALSE))</f>
        <v>0</v>
      </c>
      <c r="P20" s="21" t="b">
        <f>_xlfn.XOR(ckCodingTable[[#This Row],[wmd]]&lt;&gt;"",IFERROR(FIND("9102",ckCodingTable[[#This Row],[propPRCs]])&gt;0,FALSE))</f>
        <v>0</v>
      </c>
      <c r="Q20" t="s">
        <v>783</v>
      </c>
      <c r="S20" s="109">
        <f>S19+(ckCodingTable[[#This Row],[ILN]]&lt;"M")</f>
        <v>19</v>
      </c>
      <c r="T20" s="21" t="s">
        <v>96</v>
      </c>
      <c r="U20" t="s">
        <v>1044</v>
      </c>
      <c r="V20" s="7" t="str">
        <f>HYPERLINK("https://www.ejacket.nsf.gov/ej/showProposal.do?ID="&amp;ckCodingTable[[#This Row],[prop_id]],"eJ")</f>
        <v>eJ</v>
      </c>
      <c r="W20" t="s">
        <v>781</v>
      </c>
      <c r="X20" t="s">
        <v>1044</v>
      </c>
      <c r="Y20" t="s">
        <v>1045</v>
      </c>
      <c r="Z20" t="s">
        <v>1351</v>
      </c>
      <c r="AA20" t="s">
        <v>1353</v>
      </c>
      <c r="AB20" s="112" t="str">
        <f>HYPERLINK("mailto:"&amp;ckCodingTable[[#This Row],[email]]&amp;"&amp;subject=Your NSF Proposal:  "&amp;ckCodingTable[[#This Row],[Div]]&amp;" "&amp;ckCodingTable[[#This Row],[prop_id]], ckCodingTable[[#This Row],[email]])</f>
        <v>mdinitz@cs.jhu.edu</v>
      </c>
      <c r="AC20" s="30">
        <v>43282</v>
      </c>
      <c r="AD20">
        <v>60</v>
      </c>
      <c r="AE20">
        <v>1</v>
      </c>
      <c r="AG20" s="113">
        <v>1</v>
      </c>
      <c r="AH20" t="s">
        <v>355</v>
      </c>
      <c r="AI20" s="26">
        <v>6.75</v>
      </c>
      <c r="AJ20" s="22">
        <v>43030.96875</v>
      </c>
      <c r="AK20">
        <v>1</v>
      </c>
      <c r="AL20">
        <v>4</v>
      </c>
      <c r="AN20" s="113">
        <v>4</v>
      </c>
      <c r="AO20" s="113"/>
      <c r="AP20" s="113"/>
      <c r="AQ20" s="113"/>
      <c r="AR20" s="7" t="str">
        <f>HYPERLINK("https://www.ejacket.nsf.gov/ej/showProposal.do?ID="&amp;ckCodingTable[[#This Row],[prop_id]],"eJ")</f>
        <v>eJ</v>
      </c>
      <c r="AS20" t="s">
        <v>173</v>
      </c>
      <c r="AT20" t="s">
        <v>1404</v>
      </c>
      <c r="AU20" t="b">
        <f>IF(ckCodingTable[[#This Row],[ILN]]="N",SUBSTITUTE(AT19," ","")&lt;&gt;SUBSTITUTE(ckCodingTable[[#This Row],[prop_titl_txt]]," ",""), FALSE)</f>
        <v>0</v>
      </c>
      <c r="AV20">
        <v>0</v>
      </c>
      <c r="AW20" s="13">
        <v>507459</v>
      </c>
      <c r="AX20" s="13">
        <v>507459</v>
      </c>
      <c r="AY20" s="13"/>
      <c r="AZ20" s="13">
        <v>4200</v>
      </c>
      <c r="BA20" s="13"/>
      <c r="BB20" s="13"/>
      <c r="BC20">
        <v>5</v>
      </c>
      <c r="BD20">
        <v>5</v>
      </c>
      <c r="BG20">
        <v>5</v>
      </c>
      <c r="BH20">
        <v>0</v>
      </c>
      <c r="BI20">
        <v>0</v>
      </c>
      <c r="BJ20">
        <v>0</v>
      </c>
      <c r="BK20">
        <v>0</v>
      </c>
      <c r="BL20" t="s">
        <v>1405</v>
      </c>
    </row>
    <row r="21" spans="1:64">
      <c r="A21" s="30"/>
      <c r="B21" s="30">
        <v>42935.488888888889</v>
      </c>
      <c r="C21" t="s">
        <v>244</v>
      </c>
      <c r="D21" t="s">
        <v>780</v>
      </c>
      <c r="E21" t="s">
        <v>567</v>
      </c>
      <c r="F21" t="s">
        <v>172</v>
      </c>
      <c r="G21" t="s">
        <v>170</v>
      </c>
      <c r="H21" s="21" t="s">
        <v>94</v>
      </c>
      <c r="I21" s="86">
        <v>1</v>
      </c>
      <c r="J21" s="86">
        <v>0</v>
      </c>
      <c r="K21" t="s">
        <v>782</v>
      </c>
      <c r="L21" t="s">
        <v>944</v>
      </c>
      <c r="M21" t="s">
        <v>261</v>
      </c>
      <c r="N21" t="str">
        <f>IF(SUM(ckCodingTable[[#This Row],[NfmlPIs]:[NnonWhtAsnPIs]])&gt;0,"WMD","")</f>
        <v/>
      </c>
      <c r="O21" t="b">
        <f>_xlfn.XOR(IFERROR(MATCH(ckCodingTable[[#This Row],[st_code]],EpscorTable[],0)&gt;0,FALSE),IFERROR(FIND("9150",ckCodingTable[[#This Row],[propPRCs]])&gt;0,FALSE))</f>
        <v>0</v>
      </c>
      <c r="P21" s="21" t="b">
        <f>_xlfn.XOR(ckCodingTable[[#This Row],[wmd]]&lt;&gt;"",IFERROR(FIND("9102",ckCodingTable[[#This Row],[propPRCs]])&gt;0,FALSE))</f>
        <v>0</v>
      </c>
      <c r="Q21" t="s">
        <v>783</v>
      </c>
      <c r="S21" s="109">
        <f>S20+(ckCodingTable[[#This Row],[ILN]]&lt;"M")</f>
        <v>20</v>
      </c>
      <c r="T21" s="21" t="s">
        <v>96</v>
      </c>
      <c r="U21" t="s">
        <v>1052</v>
      </c>
      <c r="V21" s="7" t="str">
        <f>HYPERLINK("https://www.ejacket.nsf.gov/ej/showProposal.do?ID="&amp;ckCodingTable[[#This Row],[prop_id]],"eJ")</f>
        <v>eJ</v>
      </c>
      <c r="W21" t="s">
        <v>781</v>
      </c>
      <c r="X21" t="s">
        <v>1052</v>
      </c>
      <c r="Y21" t="s">
        <v>1053</v>
      </c>
      <c r="Z21" t="s">
        <v>1406</v>
      </c>
      <c r="AA21" t="s">
        <v>1369</v>
      </c>
      <c r="AB21" s="112" t="str">
        <f>HYPERLINK("mailto:"&amp;ckCodingTable[[#This Row],[email]]&amp;"&amp;subject=Your NSF Proposal:  "&amp;ckCodingTable[[#This Row],[Div]]&amp;" "&amp;ckCodingTable[[#This Row],[prop_id]], ckCodingTable[[#This Row],[email]])</f>
        <v>aene@bu.edu</v>
      </c>
      <c r="AC21" s="30">
        <v>43101</v>
      </c>
      <c r="AD21">
        <v>60</v>
      </c>
      <c r="AE21">
        <v>1</v>
      </c>
      <c r="AG21" s="113">
        <v>1</v>
      </c>
      <c r="AH21" t="s">
        <v>1407</v>
      </c>
      <c r="AI21" s="26">
        <v>7.5</v>
      </c>
      <c r="AJ21" s="22">
        <v>43032.52847222222</v>
      </c>
      <c r="AK21">
        <v>1</v>
      </c>
      <c r="AL21">
        <v>4</v>
      </c>
      <c r="AN21" s="113">
        <v>4</v>
      </c>
      <c r="AO21" s="113"/>
      <c r="AP21" s="113"/>
      <c r="AQ21" s="113"/>
      <c r="AR21" s="7" t="str">
        <f>HYPERLINK("https://www.ejacket.nsf.gov/ej/showProposal.do?ID="&amp;ckCodingTable[[#This Row],[prop_id]],"eJ")</f>
        <v>eJ</v>
      </c>
      <c r="AS21" t="s">
        <v>173</v>
      </c>
      <c r="AT21" t="s">
        <v>1408</v>
      </c>
      <c r="AU21" t="b">
        <f>IF(ckCodingTable[[#This Row],[ILN]]="N",SUBSTITUTE(AT20," ","")&lt;&gt;SUBSTITUTE(ckCodingTable[[#This Row],[prop_titl_txt]]," ",""), FALSE)</f>
        <v>0</v>
      </c>
      <c r="AV21">
        <v>0</v>
      </c>
      <c r="AW21" s="13">
        <v>507423</v>
      </c>
      <c r="AX21" s="13">
        <v>507423</v>
      </c>
      <c r="AY21" s="13"/>
      <c r="AZ21" s="13">
        <v>15000</v>
      </c>
      <c r="BA21" s="13"/>
      <c r="BB21" s="13"/>
      <c r="BC21">
        <v>5</v>
      </c>
      <c r="BD21">
        <v>5</v>
      </c>
      <c r="BE21">
        <v>5</v>
      </c>
      <c r="BH21">
        <v>0</v>
      </c>
      <c r="BI21">
        <v>0</v>
      </c>
      <c r="BJ21">
        <v>0</v>
      </c>
      <c r="BK21">
        <v>0</v>
      </c>
      <c r="BL21" t="s">
        <v>1409</v>
      </c>
    </row>
    <row r="22" spans="1:64">
      <c r="A22" s="30"/>
      <c r="B22" s="30">
        <v>42935.491666666669</v>
      </c>
      <c r="C22" t="s">
        <v>244</v>
      </c>
      <c r="D22" t="s">
        <v>780</v>
      </c>
      <c r="E22" t="s">
        <v>567</v>
      </c>
      <c r="F22" t="s">
        <v>172</v>
      </c>
      <c r="G22" t="s">
        <v>170</v>
      </c>
      <c r="H22" s="21" t="s">
        <v>94</v>
      </c>
      <c r="I22" s="86">
        <v>1</v>
      </c>
      <c r="J22" s="86">
        <v>0</v>
      </c>
      <c r="K22" t="s">
        <v>782</v>
      </c>
      <c r="L22" t="s">
        <v>944</v>
      </c>
      <c r="M22" t="s">
        <v>98</v>
      </c>
      <c r="N22" t="str">
        <f>IF(SUM(ckCodingTable[[#This Row],[NfmlPIs]:[NnonWhtAsnPIs]])&gt;0,"WMD","")</f>
        <v/>
      </c>
      <c r="O22" t="b">
        <f>_xlfn.XOR(IFERROR(MATCH(ckCodingTable[[#This Row],[st_code]],EpscorTable[],0)&gt;0,FALSE),IFERROR(FIND("9150",ckCodingTable[[#This Row],[propPRCs]])&gt;0,FALSE))</f>
        <v>0</v>
      </c>
      <c r="P22" s="21" t="b">
        <f>_xlfn.XOR(ckCodingTable[[#This Row],[wmd]]&lt;&gt;"",IFERROR(FIND("9102",ckCodingTable[[#This Row],[propPRCs]])&gt;0,FALSE))</f>
        <v>0</v>
      </c>
      <c r="Q22" t="s">
        <v>1410</v>
      </c>
      <c r="S22" s="109">
        <f>S21+(ckCodingTable[[#This Row],[ILN]]&lt;"M")</f>
        <v>21</v>
      </c>
      <c r="T22" s="21" t="s">
        <v>96</v>
      </c>
      <c r="U22" t="s">
        <v>1059</v>
      </c>
      <c r="V22" s="7" t="str">
        <f>HYPERLINK("https://www.ejacket.nsf.gov/ej/showProposal.do?ID="&amp;ckCodingTable[[#This Row],[prop_id]],"eJ")</f>
        <v>eJ</v>
      </c>
      <c r="W22" t="s">
        <v>781</v>
      </c>
      <c r="X22" t="s">
        <v>1059</v>
      </c>
      <c r="Y22" t="s">
        <v>926</v>
      </c>
      <c r="Z22" t="s">
        <v>838</v>
      </c>
      <c r="AA22" t="s">
        <v>1359</v>
      </c>
      <c r="AB22" s="112" t="str">
        <f>HYPERLINK("mailto:"&amp;ckCodingTable[[#This Row],[email]]&amp;"&amp;subject=Your NSF Proposal:  "&amp;ckCodingTable[[#This Row],[Div]]&amp;" "&amp;ckCodingTable[[#This Row],[prop_id]], ckCodingTable[[#This Row],[email]])</f>
        <v>pvaliant@gmail.com</v>
      </c>
      <c r="AC22" s="30">
        <v>43252</v>
      </c>
      <c r="AD22">
        <v>60</v>
      </c>
      <c r="AE22">
        <v>1</v>
      </c>
      <c r="AG22" s="113"/>
      <c r="AH22" t="s">
        <v>1411</v>
      </c>
      <c r="AI22" s="26">
        <v>5</v>
      </c>
      <c r="AJ22" s="22">
        <v>43059.950694444444</v>
      </c>
      <c r="AK22"/>
      <c r="AL22">
        <v>4</v>
      </c>
      <c r="AN22" s="113"/>
      <c r="AO22" s="113"/>
      <c r="AP22" s="113"/>
      <c r="AQ22" s="113"/>
      <c r="AR22" s="7" t="str">
        <f>HYPERLINK("https://www.ejacket.nsf.gov/ej/showProposal.do?ID="&amp;ckCodingTable[[#This Row],[prop_id]],"eJ")</f>
        <v>eJ</v>
      </c>
      <c r="AS22" t="s">
        <v>173</v>
      </c>
      <c r="AT22" t="s">
        <v>1412</v>
      </c>
      <c r="AU22" t="b">
        <f>IF(ckCodingTable[[#This Row],[ILN]]="N",SUBSTITUTE(AT21," ","")&lt;&gt;SUBSTITUTE(ckCodingTable[[#This Row],[prop_titl_txt]]," ",""), FALSE)</f>
        <v>0</v>
      </c>
      <c r="AV22">
        <v>0</v>
      </c>
      <c r="AW22" s="13">
        <v>666111</v>
      </c>
      <c r="AX22" s="13">
        <v>666111</v>
      </c>
      <c r="AY22" s="13"/>
      <c r="AZ22" s="13">
        <v>10618</v>
      </c>
      <c r="BA22" s="13"/>
      <c r="BB22" s="13"/>
      <c r="BC22">
        <v>5</v>
      </c>
      <c r="BD22">
        <v>5</v>
      </c>
      <c r="BE22">
        <v>5</v>
      </c>
      <c r="BH22">
        <v>0</v>
      </c>
      <c r="BI22">
        <v>0</v>
      </c>
      <c r="BJ22">
        <v>0</v>
      </c>
      <c r="BK22">
        <v>0</v>
      </c>
      <c r="BL22" t="s">
        <v>1413</v>
      </c>
    </row>
    <row r="23" spans="1:64">
      <c r="A23" s="30"/>
      <c r="B23" s="30">
        <v>42935.535416666666</v>
      </c>
      <c r="C23" t="s">
        <v>244</v>
      </c>
      <c r="D23" t="s">
        <v>780</v>
      </c>
      <c r="E23" t="s">
        <v>567</v>
      </c>
      <c r="F23" t="s">
        <v>172</v>
      </c>
      <c r="G23" t="s">
        <v>170</v>
      </c>
      <c r="H23" s="21" t="s">
        <v>94</v>
      </c>
      <c r="I23" s="86">
        <v>1</v>
      </c>
      <c r="J23" s="86">
        <v>0</v>
      </c>
      <c r="K23" t="s">
        <v>782</v>
      </c>
      <c r="L23" t="s">
        <v>582</v>
      </c>
      <c r="M23" t="s">
        <v>347</v>
      </c>
      <c r="N23" t="str">
        <f>IF(SUM(ckCodingTable[[#This Row],[NfmlPIs]:[NnonWhtAsnPIs]])&gt;0,"WMD","")</f>
        <v/>
      </c>
      <c r="O23" t="b">
        <f>_xlfn.XOR(IFERROR(MATCH(ckCodingTable[[#This Row],[st_code]],EpscorTable[],0)&gt;0,FALSE),IFERROR(FIND("9150",ckCodingTable[[#This Row],[propPRCs]])&gt;0,FALSE))</f>
        <v>0</v>
      </c>
      <c r="P23" s="21" t="b">
        <f>_xlfn.XOR(ckCodingTable[[#This Row],[wmd]]&lt;&gt;"",IFERROR(FIND("9102",ckCodingTable[[#This Row],[propPRCs]])&gt;0,FALSE))</f>
        <v>0</v>
      </c>
      <c r="Q23" t="s">
        <v>1414</v>
      </c>
      <c r="S23" s="109">
        <f>S22+(ckCodingTable[[#This Row],[ILN]]&lt;"M")</f>
        <v>22</v>
      </c>
      <c r="T23" s="21" t="s">
        <v>96</v>
      </c>
      <c r="U23" t="s">
        <v>1066</v>
      </c>
      <c r="V23" s="7" t="str">
        <f>HYPERLINK("https://www.ejacket.nsf.gov/ej/showProposal.do?ID="&amp;ckCodingTable[[#This Row],[prop_id]],"eJ")</f>
        <v>eJ</v>
      </c>
      <c r="W23" t="s">
        <v>781</v>
      </c>
      <c r="X23" t="s">
        <v>1066</v>
      </c>
      <c r="Y23" t="s">
        <v>1067</v>
      </c>
      <c r="Z23" t="s">
        <v>1415</v>
      </c>
      <c r="AA23" t="s">
        <v>346</v>
      </c>
      <c r="AB23" s="114" t="str">
        <f>HYPERLINK("mailto:"&amp;ckCodingTable[[#This Row],[email]]&amp;"&amp;subject=Your NSF Proposal:  "&amp;ckCodingTable[[#This Row],[Div]]&amp;" "&amp;ckCodingTable[[#This Row],[prop_id]], ckCodingTable[[#This Row],[email]])</f>
        <v>rutameht@illinois.edu</v>
      </c>
      <c r="AC23" s="30">
        <v>43132</v>
      </c>
      <c r="AD23">
        <v>60</v>
      </c>
      <c r="AE23">
        <v>1</v>
      </c>
      <c r="AG23" s="113">
        <v>1</v>
      </c>
      <c r="AH23" t="s">
        <v>1416</v>
      </c>
      <c r="AI23" s="26">
        <v>7.25</v>
      </c>
      <c r="AJ23" s="22">
        <v>43060.566666666666</v>
      </c>
      <c r="AK23" s="22">
        <v>1</v>
      </c>
      <c r="AL23">
        <v>4</v>
      </c>
      <c r="AN23" s="113">
        <v>4</v>
      </c>
      <c r="AO23" s="113"/>
      <c r="AP23" s="113"/>
      <c r="AQ23" s="113"/>
      <c r="AR23" s="122" t="str">
        <f>HYPERLINK("https://www.ejacket.nsf.gov/ej/showProposal.do?ID="&amp;ckCodingTable[[#This Row],[prop_id]],"eJ")</f>
        <v>eJ</v>
      </c>
      <c r="AS23" t="s">
        <v>173</v>
      </c>
      <c r="AT23" t="s">
        <v>1417</v>
      </c>
      <c r="AU23" t="b">
        <f>IF(ckCodingTable[[#This Row],[ILN]]="N",SUBSTITUTE(AT22," ","")&lt;&gt;SUBSTITUTE(ckCodingTable[[#This Row],[prop_titl_txt]]," ",""), FALSE)</f>
        <v>0</v>
      </c>
      <c r="AV23">
        <v>0</v>
      </c>
      <c r="AW23" s="13">
        <v>499906</v>
      </c>
      <c r="AX23" s="13">
        <v>499906</v>
      </c>
      <c r="AY23" s="13"/>
      <c r="AZ23" s="13">
        <v>10000</v>
      </c>
      <c r="BA23" s="13"/>
      <c r="BB23" s="13"/>
      <c r="BC23">
        <v>5</v>
      </c>
      <c r="BD23">
        <v>4</v>
      </c>
      <c r="BE23">
        <v>4</v>
      </c>
      <c r="BH23">
        <v>0</v>
      </c>
      <c r="BI23">
        <v>0</v>
      </c>
      <c r="BJ23">
        <v>0</v>
      </c>
      <c r="BK23">
        <v>0</v>
      </c>
      <c r="BL23" t="s">
        <v>1418</v>
      </c>
    </row>
    <row r="24" spans="1:64">
      <c r="A24" s="30"/>
      <c r="B24" s="30">
        <v>42935.536805555559</v>
      </c>
      <c r="C24" t="s">
        <v>244</v>
      </c>
      <c r="D24" t="s">
        <v>780</v>
      </c>
      <c r="E24" t="s">
        <v>567</v>
      </c>
      <c r="F24" t="s">
        <v>172</v>
      </c>
      <c r="G24" t="s">
        <v>170</v>
      </c>
      <c r="H24" s="21" t="s">
        <v>94</v>
      </c>
      <c r="I24" s="86">
        <v>1</v>
      </c>
      <c r="J24" s="86">
        <v>0</v>
      </c>
      <c r="K24" t="s">
        <v>782</v>
      </c>
      <c r="L24" t="s">
        <v>582</v>
      </c>
      <c r="M24" t="s">
        <v>1363</v>
      </c>
      <c r="N24" t="str">
        <f>IF(SUM(ckCodingTable[[#This Row],[NfmlPIs]:[NnonWhtAsnPIs]])&gt;0,"WMD","")</f>
        <v/>
      </c>
      <c r="O24" t="b">
        <f>_xlfn.XOR(IFERROR(MATCH(ckCodingTable[[#This Row],[st_code]],EpscorTable[],0)&gt;0,FALSE),IFERROR(FIND("9150",ckCodingTable[[#This Row],[propPRCs]])&gt;0,FALSE))</f>
        <v>0</v>
      </c>
      <c r="P24" s="21" t="b">
        <f>_xlfn.XOR(ckCodingTable[[#This Row],[wmd]]&lt;&gt;"",IFERROR(FIND("9102",ckCodingTable[[#This Row],[propPRCs]])&gt;0,FALSE))</f>
        <v>0</v>
      </c>
      <c r="Q24" t="s">
        <v>1383</v>
      </c>
      <c r="S24" s="109">
        <f>S23+(ckCodingTable[[#This Row],[ILN]]&lt;"M")</f>
        <v>23</v>
      </c>
      <c r="T24" s="21" t="s">
        <v>96</v>
      </c>
      <c r="U24" t="s">
        <v>1077</v>
      </c>
      <c r="V24" s="7" t="str">
        <f>HYPERLINK("https://www.ejacket.nsf.gov/ej/showProposal.do?ID="&amp;ckCodingTable[[#This Row],[prop_id]],"eJ")</f>
        <v>eJ</v>
      </c>
      <c r="W24" t="s">
        <v>781</v>
      </c>
      <c r="X24" t="s">
        <v>1077</v>
      </c>
      <c r="Y24" t="s">
        <v>1078</v>
      </c>
      <c r="Z24" t="s">
        <v>1419</v>
      </c>
      <c r="AA24" t="s">
        <v>1364</v>
      </c>
      <c r="AB24" s="114" t="str">
        <f>HYPERLINK("mailto:"&amp;ckCodingTable[[#This Row],[email]]&amp;"&amp;subject=Your NSF Proposal:  "&amp;ckCodingTable[[#This Row],[Div]]&amp;" "&amp;ckCodingTable[[#This Row],[prop_id]], ckCodingTable[[#This Row],[email]])</f>
        <v>gillat.kol@gmail.com</v>
      </c>
      <c r="AC24" s="30">
        <v>43132</v>
      </c>
      <c r="AD24">
        <v>60</v>
      </c>
      <c r="AE24">
        <v>2</v>
      </c>
      <c r="AG24" s="113">
        <v>2</v>
      </c>
      <c r="AH24" t="s">
        <v>1420</v>
      </c>
      <c r="AI24" s="26">
        <v>6.2222222222222223</v>
      </c>
      <c r="AJ24" s="22">
        <v>43059.575694444444</v>
      </c>
      <c r="AL24">
        <v>9</v>
      </c>
      <c r="AN24" s="113">
        <v>9</v>
      </c>
      <c r="AO24" s="113"/>
      <c r="AP24" s="113"/>
      <c r="AQ24" s="113"/>
      <c r="AR24" s="122" t="str">
        <f>HYPERLINK("https://www.ejacket.nsf.gov/ej/showProposal.do?ID="&amp;ckCodingTable[[#This Row],[prop_id]],"eJ")</f>
        <v>eJ</v>
      </c>
      <c r="AS24" t="s">
        <v>173</v>
      </c>
      <c r="AT24" t="s">
        <v>1421</v>
      </c>
      <c r="AU24" t="b">
        <f>IF(ckCodingTable[[#This Row],[ILN]]="N",SUBSTITUTE(AT23," ","")&lt;&gt;SUBSTITUTE(ckCodingTable[[#This Row],[prop_titl_txt]]," ",""), FALSE)</f>
        <v>0</v>
      </c>
      <c r="AV24">
        <v>0</v>
      </c>
      <c r="AW24" s="13">
        <v>550000</v>
      </c>
      <c r="AX24" s="13">
        <v>550000</v>
      </c>
      <c r="AY24" s="13"/>
      <c r="AZ24" s="13"/>
      <c r="BA24" s="13"/>
      <c r="BB24" s="13"/>
      <c r="BC24">
        <v>5</v>
      </c>
      <c r="BD24">
        <v>5</v>
      </c>
      <c r="BE24">
        <v>5</v>
      </c>
      <c r="BH24">
        <v>0</v>
      </c>
      <c r="BI24">
        <v>0</v>
      </c>
      <c r="BJ24">
        <v>0</v>
      </c>
      <c r="BK24">
        <v>0</v>
      </c>
      <c r="BL24" t="s">
        <v>1422</v>
      </c>
    </row>
    <row r="25" spans="1:64">
      <c r="A25" s="30"/>
      <c r="B25" s="30">
        <v>42935.54583333333</v>
      </c>
      <c r="C25" t="s">
        <v>244</v>
      </c>
      <c r="D25" t="s">
        <v>780</v>
      </c>
      <c r="E25" t="s">
        <v>567</v>
      </c>
      <c r="F25" t="s">
        <v>172</v>
      </c>
      <c r="G25" t="s">
        <v>170</v>
      </c>
      <c r="H25" s="21" t="s">
        <v>94</v>
      </c>
      <c r="I25" s="86">
        <v>1</v>
      </c>
      <c r="J25" s="86">
        <v>0</v>
      </c>
      <c r="K25" t="s">
        <v>782</v>
      </c>
      <c r="L25" t="s">
        <v>944</v>
      </c>
      <c r="M25" t="s">
        <v>357</v>
      </c>
      <c r="N25" t="str">
        <f>IF(SUM(ckCodingTable[[#This Row],[NfmlPIs]:[NnonWhtAsnPIs]])&gt;0,"WMD","")</f>
        <v/>
      </c>
      <c r="O25" t="b">
        <f>_xlfn.XOR(IFERROR(MATCH(ckCodingTable[[#This Row],[st_code]],EpscorTable[],0)&gt;0,FALSE),IFERROR(FIND("9150",ckCodingTable[[#This Row],[propPRCs]])&gt;0,FALSE))</f>
        <v>0</v>
      </c>
      <c r="P25" s="21" t="b">
        <f>_xlfn.XOR(ckCodingTable[[#This Row],[wmd]]&lt;&gt;"",IFERROR(FIND("9102",ckCodingTable[[#This Row],[propPRCs]])&gt;0,FALSE))</f>
        <v>0</v>
      </c>
      <c r="Q25" t="s">
        <v>783</v>
      </c>
      <c r="S25" s="109">
        <f>S24+(ckCodingTable[[#This Row],[ILN]]&lt;"M")</f>
        <v>24</v>
      </c>
      <c r="T25" s="21" t="s">
        <v>96</v>
      </c>
      <c r="U25" t="s">
        <v>1108</v>
      </c>
      <c r="V25" s="7" t="str">
        <f>HYPERLINK("https://www.ejacket.nsf.gov/ej/showProposal.do?ID="&amp;ckCodingTable[[#This Row],[prop_id]],"eJ")</f>
        <v>eJ</v>
      </c>
      <c r="W25" t="s">
        <v>781</v>
      </c>
      <c r="X25" t="s">
        <v>1108</v>
      </c>
      <c r="Y25" t="s">
        <v>1109</v>
      </c>
      <c r="Z25" t="s">
        <v>1423</v>
      </c>
      <c r="AA25" t="s">
        <v>356</v>
      </c>
      <c r="AB25" s="114" t="str">
        <f>HYPERLINK("mailto:"&amp;ckCodingTable[[#This Row],[email]]&amp;"&amp;subject=Your NSF Proposal:  "&amp;ckCodingTable[[#This Row],[Div]]&amp;" "&amp;ckCodingTable[[#This Row],[prop_id]], ckCodingTable[[#This Row],[email]])</f>
        <v>sharathr@vt.edu</v>
      </c>
      <c r="AC25" s="30">
        <v>43110</v>
      </c>
      <c r="AD25">
        <v>60</v>
      </c>
      <c r="AE25">
        <v>1</v>
      </c>
      <c r="AG25" s="113"/>
      <c r="AH25" t="s">
        <v>1424</v>
      </c>
      <c r="AI25" s="26">
        <v>6.5</v>
      </c>
      <c r="AJ25" s="22">
        <v>43032.486805555556</v>
      </c>
      <c r="AK25" s="22">
        <v>2</v>
      </c>
      <c r="AL25">
        <v>4</v>
      </c>
      <c r="AN25" s="113"/>
      <c r="AO25" s="113"/>
      <c r="AP25" s="113"/>
      <c r="AQ25" s="113"/>
      <c r="AR25" s="122" t="str">
        <f>HYPERLINK("https://www.ejacket.nsf.gov/ej/showProposal.do?ID="&amp;ckCodingTable[[#This Row],[prop_id]],"eJ")</f>
        <v>eJ</v>
      </c>
      <c r="AS25" t="s">
        <v>173</v>
      </c>
      <c r="AT25" t="s">
        <v>1425</v>
      </c>
      <c r="AU25" t="b">
        <f>IF(ckCodingTable[[#This Row],[ILN]]="N",SUBSTITUTE(AT24," ","")&lt;&gt;SUBSTITUTE(ckCodingTable[[#This Row],[prop_titl_txt]]," ",""), FALSE)</f>
        <v>0</v>
      </c>
      <c r="AV25">
        <v>0</v>
      </c>
      <c r="AW25" s="13">
        <v>533991</v>
      </c>
      <c r="AX25" s="13">
        <v>533991</v>
      </c>
      <c r="AY25" s="13"/>
      <c r="AZ25" s="13">
        <v>7500</v>
      </c>
      <c r="BA25" s="13"/>
      <c r="BB25" s="13"/>
      <c r="BC25">
        <v>5</v>
      </c>
      <c r="BD25">
        <v>5</v>
      </c>
      <c r="BE25">
        <v>6.5</v>
      </c>
      <c r="BH25">
        <v>0</v>
      </c>
      <c r="BI25">
        <v>0</v>
      </c>
      <c r="BJ25">
        <v>0</v>
      </c>
      <c r="BK25">
        <v>0</v>
      </c>
      <c r="BL25" t="s">
        <v>1426</v>
      </c>
    </row>
    <row r="26" spans="1:64">
      <c r="A26" s="30"/>
      <c r="B26" s="30">
        <v>42935.576388888891</v>
      </c>
      <c r="C26" t="s">
        <v>244</v>
      </c>
      <c r="D26" t="s">
        <v>780</v>
      </c>
      <c r="E26" t="s">
        <v>567</v>
      </c>
      <c r="F26" t="s">
        <v>172</v>
      </c>
      <c r="G26" t="s">
        <v>170</v>
      </c>
      <c r="H26" s="21" t="s">
        <v>94</v>
      </c>
      <c r="I26" s="86">
        <v>1</v>
      </c>
      <c r="J26" s="86">
        <v>0</v>
      </c>
      <c r="K26" t="s">
        <v>782</v>
      </c>
      <c r="L26" t="s">
        <v>582</v>
      </c>
      <c r="M26" t="s">
        <v>260</v>
      </c>
      <c r="N26" t="str">
        <f>IF(SUM(ckCodingTable[[#This Row],[NfmlPIs]:[NnonWhtAsnPIs]])&gt;0,"WMD","")</f>
        <v/>
      </c>
      <c r="O26" t="b">
        <f>_xlfn.XOR(IFERROR(MATCH(ckCodingTable[[#This Row],[st_code]],EpscorTable[],0)&gt;0,FALSE),IFERROR(FIND("9150",ckCodingTable[[#This Row],[propPRCs]])&gt;0,FALSE))</f>
        <v>0</v>
      </c>
      <c r="P26" s="21" t="b">
        <f>_xlfn.XOR(ckCodingTable[[#This Row],[wmd]]&lt;&gt;"",IFERROR(FIND("9102",ckCodingTable[[#This Row],[propPRCs]])&gt;0,FALSE))</f>
        <v>0</v>
      </c>
      <c r="Q26" t="s">
        <v>783</v>
      </c>
      <c r="S26" s="109">
        <f>S25+(ckCodingTable[[#This Row],[ILN]]&lt;"M")</f>
        <v>25</v>
      </c>
      <c r="T26" s="21" t="s">
        <v>96</v>
      </c>
      <c r="U26" t="s">
        <v>1116</v>
      </c>
      <c r="V26" s="7" t="str">
        <f>HYPERLINK("https://www.ejacket.nsf.gov/ej/showProposal.do?ID="&amp;ckCodingTable[[#This Row],[prop_id]],"eJ")</f>
        <v>eJ</v>
      </c>
      <c r="W26" t="s">
        <v>781</v>
      </c>
      <c r="X26" t="s">
        <v>1116</v>
      </c>
      <c r="Y26" t="s">
        <v>1117</v>
      </c>
      <c r="Z26" t="s">
        <v>1427</v>
      </c>
      <c r="AA26" t="s">
        <v>530</v>
      </c>
      <c r="AB26" s="114" t="str">
        <f>HYPERLINK("mailto:"&amp;ckCodingTable[[#This Row],[email]]&amp;"&amp;subject=Your NSF Proposal:  "&amp;ckCodingTable[[#This Row],[Div]]&amp;" "&amp;ckCodingTable[[#This Row],[prop_id]], ckCodingTable[[#This Row],[email]])</f>
        <v xml:space="preserve"> hardt@eecs.berkeley.edu</v>
      </c>
      <c r="AC26" s="30">
        <v>43132</v>
      </c>
      <c r="AD26">
        <v>60</v>
      </c>
      <c r="AE26">
        <v>1</v>
      </c>
      <c r="AG26" s="113">
        <v>1</v>
      </c>
      <c r="AH26" t="s">
        <v>1428</v>
      </c>
      <c r="AI26" s="26">
        <v>8.75</v>
      </c>
      <c r="AJ26" s="22">
        <v>43059.785416666666</v>
      </c>
      <c r="AL26">
        <v>4</v>
      </c>
      <c r="AN26" s="113">
        <v>4</v>
      </c>
      <c r="AO26" s="113"/>
      <c r="AP26" s="113"/>
      <c r="AQ26" s="113"/>
      <c r="AR26" s="122" t="str">
        <f>HYPERLINK("https://www.ejacket.nsf.gov/ej/showProposal.do?ID="&amp;ckCodingTable[[#This Row],[prop_id]],"eJ")</f>
        <v>eJ</v>
      </c>
      <c r="AS26" t="s">
        <v>173</v>
      </c>
      <c r="AT26" t="s">
        <v>1429</v>
      </c>
      <c r="AU26" t="b">
        <f>IF(ckCodingTable[[#This Row],[ILN]]="N",SUBSTITUTE(AT25," ","")&lt;&gt;SUBSTITUTE(ckCodingTable[[#This Row],[prop_titl_txt]]," ",""), FALSE)</f>
        <v>0</v>
      </c>
      <c r="AV26">
        <v>0</v>
      </c>
      <c r="AW26" s="13">
        <v>499434</v>
      </c>
      <c r="AX26" s="13">
        <v>499434</v>
      </c>
      <c r="AY26" s="13"/>
      <c r="AZ26" s="13"/>
      <c r="BA26" s="13"/>
      <c r="BB26" s="13"/>
      <c r="BC26">
        <v>5</v>
      </c>
      <c r="BD26">
        <v>5</v>
      </c>
      <c r="BE26">
        <v>0.8</v>
      </c>
      <c r="BH26">
        <v>0</v>
      </c>
      <c r="BI26">
        <v>0</v>
      </c>
      <c r="BJ26">
        <v>0</v>
      </c>
      <c r="BK26">
        <v>0</v>
      </c>
      <c r="BL26" t="s">
        <v>1430</v>
      </c>
    </row>
    <row r="27" spans="1:64">
      <c r="A27" s="30"/>
      <c r="B27" s="30">
        <v>42935.599305555559</v>
      </c>
      <c r="C27" t="s">
        <v>244</v>
      </c>
      <c r="D27" t="s">
        <v>780</v>
      </c>
      <c r="E27" t="s">
        <v>567</v>
      </c>
      <c r="F27" t="s">
        <v>172</v>
      </c>
      <c r="G27" t="s">
        <v>170</v>
      </c>
      <c r="H27" s="21" t="s">
        <v>94</v>
      </c>
      <c r="I27" s="86">
        <v>1</v>
      </c>
      <c r="J27" s="86">
        <v>0</v>
      </c>
      <c r="K27" t="s">
        <v>782</v>
      </c>
      <c r="L27" t="s">
        <v>582</v>
      </c>
      <c r="M27" t="s">
        <v>261</v>
      </c>
      <c r="N27" t="str">
        <f>IF(SUM(ckCodingTable[[#This Row],[NfmlPIs]:[NnonWhtAsnPIs]])&gt;0,"WMD","")</f>
        <v/>
      </c>
      <c r="O27" t="b">
        <f>_xlfn.XOR(IFERROR(MATCH(ckCodingTable[[#This Row],[st_code]],EpscorTable[],0)&gt;0,FALSE),IFERROR(FIND("9150",ckCodingTable[[#This Row],[propPRCs]])&gt;0,FALSE))</f>
        <v>0</v>
      </c>
      <c r="P27" s="21" t="b">
        <f>_xlfn.XOR(ckCodingTable[[#This Row],[wmd]]&lt;&gt;"",IFERROR(FIND("9102",ckCodingTable[[#This Row],[propPRCs]])&gt;0,FALSE))</f>
        <v>0</v>
      </c>
      <c r="Q27" t="s">
        <v>783</v>
      </c>
      <c r="S27" s="109">
        <f>S26+(ckCodingTable[[#This Row],[ILN]]&lt;"M")</f>
        <v>26</v>
      </c>
      <c r="T27" s="21" t="s">
        <v>96</v>
      </c>
      <c r="U27" t="s">
        <v>1124</v>
      </c>
      <c r="V27" s="7" t="str">
        <f>HYPERLINK("https://www.ejacket.nsf.gov/ej/showProposal.do?ID="&amp;ckCodingTable[[#This Row],[prop_id]],"eJ")</f>
        <v>eJ</v>
      </c>
      <c r="W27" t="s">
        <v>781</v>
      </c>
      <c r="X27" t="s">
        <v>1124</v>
      </c>
      <c r="Y27" t="s">
        <v>1125</v>
      </c>
      <c r="Z27" t="s">
        <v>1431</v>
      </c>
      <c r="AA27" t="s">
        <v>1432</v>
      </c>
      <c r="AB27" s="114" t="str">
        <f>HYPERLINK("mailto:"&amp;ckCodingTable[[#This Row],[email]]&amp;"&amp;subject=Your NSF Proposal:  "&amp;ckCodingTable[[#This Row],[Div]]&amp;" "&amp;ckCodingTable[[#This Row],[prop_id]], ckCodingTable[[#This Row],[email]])</f>
        <v>jullman@ccs.neu.edu</v>
      </c>
      <c r="AC27" s="30">
        <v>43282</v>
      </c>
      <c r="AD27">
        <v>60</v>
      </c>
      <c r="AE27">
        <v>1</v>
      </c>
      <c r="AG27" s="113">
        <v>1</v>
      </c>
      <c r="AH27" t="s">
        <v>1433</v>
      </c>
      <c r="AI27" s="26">
        <v>8.5</v>
      </c>
      <c r="AJ27" s="22">
        <v>43059.227083333331</v>
      </c>
      <c r="AL27">
        <v>4</v>
      </c>
      <c r="AN27" s="113">
        <v>4</v>
      </c>
      <c r="AO27" s="113"/>
      <c r="AP27" s="113"/>
      <c r="AQ27" s="113"/>
      <c r="AR27" s="122" t="str">
        <f>HYPERLINK("https://www.ejacket.nsf.gov/ej/showProposal.do?ID="&amp;ckCodingTable[[#This Row],[prop_id]],"eJ")</f>
        <v>eJ</v>
      </c>
      <c r="AS27" t="s">
        <v>173</v>
      </c>
      <c r="AT27" t="s">
        <v>1434</v>
      </c>
      <c r="AU27" t="b">
        <f>IF(ckCodingTable[[#This Row],[ILN]]="N",SUBSTITUTE(AT26," ","")&lt;&gt;SUBSTITUTE(ckCodingTable[[#This Row],[prop_titl_txt]]," ",""), FALSE)</f>
        <v>0</v>
      </c>
      <c r="AV27">
        <v>0</v>
      </c>
      <c r="AW27" s="13">
        <v>545883</v>
      </c>
      <c r="AX27" s="13">
        <v>545883</v>
      </c>
      <c r="AY27" s="13"/>
      <c r="AZ27" s="13">
        <v>15928</v>
      </c>
      <c r="BA27" s="13"/>
      <c r="BB27" s="13"/>
      <c r="BC27">
        <v>5</v>
      </c>
      <c r="BD27">
        <v>5</v>
      </c>
      <c r="BE27">
        <v>5</v>
      </c>
      <c r="BH27">
        <v>0</v>
      </c>
      <c r="BI27">
        <v>0</v>
      </c>
      <c r="BJ27">
        <v>0</v>
      </c>
      <c r="BK27">
        <v>0</v>
      </c>
      <c r="BL27" t="s">
        <v>1435</v>
      </c>
    </row>
    <row r="28" spans="1:64">
      <c r="A28" s="30"/>
      <c r="B28" s="30">
        <v>42935.603472222225</v>
      </c>
      <c r="C28" t="s">
        <v>244</v>
      </c>
      <c r="D28" t="s">
        <v>780</v>
      </c>
      <c r="E28" t="s">
        <v>567</v>
      </c>
      <c r="F28" t="s">
        <v>172</v>
      </c>
      <c r="G28" t="s">
        <v>170</v>
      </c>
      <c r="H28" s="21" t="s">
        <v>94</v>
      </c>
      <c r="I28" s="86">
        <v>1</v>
      </c>
      <c r="J28" s="86">
        <v>0</v>
      </c>
      <c r="K28" t="s">
        <v>782</v>
      </c>
      <c r="L28" t="s">
        <v>582</v>
      </c>
      <c r="M28" t="s">
        <v>1363</v>
      </c>
      <c r="N28" t="str">
        <f>IF(SUM(ckCodingTable[[#This Row],[NfmlPIs]:[NnonWhtAsnPIs]])&gt;0,"WMD","")</f>
        <v/>
      </c>
      <c r="O28" t="b">
        <f>_xlfn.XOR(IFERROR(MATCH(ckCodingTable[[#This Row],[st_code]],EpscorTable[],0)&gt;0,FALSE),IFERROR(FIND("9150",ckCodingTable[[#This Row],[propPRCs]])&gt;0,FALSE))</f>
        <v>0</v>
      </c>
      <c r="P28" s="21" t="b">
        <f>_xlfn.XOR(ckCodingTable[[#This Row],[wmd]]&lt;&gt;"",IFERROR(FIND("9102",ckCodingTable[[#This Row],[propPRCs]])&gt;0,FALSE))</f>
        <v>0</v>
      </c>
      <c r="Q28" t="s">
        <v>783</v>
      </c>
      <c r="S28" s="109">
        <f>S27+(ckCodingTable[[#This Row],[ILN]]&lt;"M")</f>
        <v>27</v>
      </c>
      <c r="T28" s="21" t="s">
        <v>96</v>
      </c>
      <c r="U28" t="s">
        <v>1132</v>
      </c>
      <c r="V28" s="7" t="str">
        <f>HYPERLINK("https://www.ejacket.nsf.gov/ej/showProposal.do?ID="&amp;ckCodingTable[[#This Row],[prop_id]],"eJ")</f>
        <v>eJ</v>
      </c>
      <c r="W28" t="s">
        <v>781</v>
      </c>
      <c r="X28" t="s">
        <v>1132</v>
      </c>
      <c r="Y28" t="s">
        <v>1133</v>
      </c>
      <c r="Z28" t="s">
        <v>1436</v>
      </c>
      <c r="AA28" t="s">
        <v>1368</v>
      </c>
      <c r="AB28" s="114" t="str">
        <f>HYPERLINK("mailto:"&amp;ckCodingTable[[#This Row],[email]]&amp;"&amp;subject=Your NSF Proposal:  "&amp;ckCodingTable[[#This Row],[Div]]&amp;" "&amp;ckCodingTable[[#This Row],[prop_id]], ckCodingTable[[#This Row],[email]])</f>
        <v>pranjal.iitm@gmail.com</v>
      </c>
      <c r="AC28" s="30">
        <v>43101</v>
      </c>
      <c r="AD28">
        <v>60</v>
      </c>
      <c r="AE28">
        <v>1</v>
      </c>
      <c r="AG28" s="113">
        <v>1</v>
      </c>
      <c r="AH28" t="s">
        <v>536</v>
      </c>
      <c r="AI28" s="26">
        <v>5.5</v>
      </c>
      <c r="AJ28" s="22">
        <v>43060.010416666664</v>
      </c>
      <c r="AK28" s="22">
        <v>1</v>
      </c>
      <c r="AL28">
        <v>4</v>
      </c>
      <c r="AN28" s="113">
        <v>4</v>
      </c>
      <c r="AO28" s="113"/>
      <c r="AP28" s="113"/>
      <c r="AQ28" s="113"/>
      <c r="AR28" s="122" t="str">
        <f>HYPERLINK("https://www.ejacket.nsf.gov/ej/showProposal.do?ID="&amp;ckCodingTable[[#This Row],[prop_id]],"eJ")</f>
        <v>eJ</v>
      </c>
      <c r="AS28" t="s">
        <v>173</v>
      </c>
      <c r="AT28" t="s">
        <v>1437</v>
      </c>
      <c r="AU28" t="b">
        <f>IF(ckCodingTable[[#This Row],[ILN]]="N",SUBSTITUTE(AT27," ","")&lt;&gt;SUBSTITUTE(ckCodingTable[[#This Row],[prop_titl_txt]]," ",""), FALSE)</f>
        <v>0</v>
      </c>
      <c r="AV28">
        <v>0</v>
      </c>
      <c r="AW28" s="13">
        <v>695874</v>
      </c>
      <c r="AX28" s="13">
        <v>695874</v>
      </c>
      <c r="AY28" s="13"/>
      <c r="AZ28" s="13">
        <v>12875</v>
      </c>
      <c r="BA28" s="13"/>
      <c r="BB28" s="13"/>
      <c r="BC28">
        <v>5</v>
      </c>
      <c r="BD28">
        <v>5</v>
      </c>
      <c r="BE28">
        <v>5</v>
      </c>
      <c r="BH28">
        <v>0</v>
      </c>
      <c r="BI28">
        <v>0</v>
      </c>
      <c r="BJ28">
        <v>0</v>
      </c>
      <c r="BK28">
        <v>0</v>
      </c>
      <c r="BL28" t="s">
        <v>1438</v>
      </c>
    </row>
    <row r="29" spans="1:64">
      <c r="A29" s="30"/>
      <c r="B29" s="30">
        <v>42935.620138888888</v>
      </c>
      <c r="C29" t="s">
        <v>244</v>
      </c>
      <c r="D29" t="s">
        <v>780</v>
      </c>
      <c r="E29" t="s">
        <v>567</v>
      </c>
      <c r="F29" t="s">
        <v>172</v>
      </c>
      <c r="G29" t="s">
        <v>170</v>
      </c>
      <c r="H29" s="21" t="s">
        <v>94</v>
      </c>
      <c r="I29" s="86">
        <v>1</v>
      </c>
      <c r="J29" s="86">
        <v>0</v>
      </c>
      <c r="K29" t="s">
        <v>782</v>
      </c>
      <c r="L29" t="s">
        <v>944</v>
      </c>
      <c r="M29" t="s">
        <v>261</v>
      </c>
      <c r="N29" t="str">
        <f>IF(SUM(ckCodingTable[[#This Row],[NfmlPIs]:[NnonWhtAsnPIs]])&gt;0,"WMD","")</f>
        <v/>
      </c>
      <c r="O29" t="b">
        <f>_xlfn.XOR(IFERROR(MATCH(ckCodingTable[[#This Row],[st_code]],EpscorTable[],0)&gt;0,FALSE),IFERROR(FIND("9150",ckCodingTable[[#This Row],[propPRCs]])&gt;0,FALSE))</f>
        <v>0</v>
      </c>
      <c r="P29" s="21" t="b">
        <f>_xlfn.XOR(ckCodingTable[[#This Row],[wmd]]&lt;&gt;"",IFERROR(FIND("9102",ckCodingTable[[#This Row],[propPRCs]])&gt;0,FALSE))</f>
        <v>0</v>
      </c>
      <c r="Q29" t="s">
        <v>783</v>
      </c>
      <c r="S29" s="109">
        <f>S28+(ckCodingTable[[#This Row],[ILN]]&lt;"M")</f>
        <v>28</v>
      </c>
      <c r="T29" s="21" t="s">
        <v>96</v>
      </c>
      <c r="U29" t="s">
        <v>1140</v>
      </c>
      <c r="V29" s="7" t="str">
        <f>HYPERLINK("https://www.ejacket.nsf.gov/ej/showProposal.do?ID="&amp;ckCodingTable[[#This Row],[prop_id]],"eJ")</f>
        <v>eJ</v>
      </c>
      <c r="W29" t="s">
        <v>781</v>
      </c>
      <c r="X29" t="s">
        <v>1140</v>
      </c>
      <c r="Y29" t="s">
        <v>1141</v>
      </c>
      <c r="Z29" t="s">
        <v>1439</v>
      </c>
      <c r="AA29" t="s">
        <v>1432</v>
      </c>
      <c r="AB29" s="114" t="str">
        <f>HYPERLINK("mailto:"&amp;ckCodingTable[[#This Row],[email]]&amp;"&amp;subject=Your NSF Proposal:  "&amp;ckCodingTable[[#This Row],[Div]]&amp;" "&amp;ckCodingTable[[#This Row],[prop_id]], ckCodingTable[[#This Row],[email]])</f>
        <v>hu.nguyen@neu.edu</v>
      </c>
      <c r="AC29" s="30">
        <v>43252</v>
      </c>
      <c r="AD29">
        <v>60</v>
      </c>
      <c r="AE29">
        <v>1</v>
      </c>
      <c r="AG29" s="113">
        <v>1</v>
      </c>
      <c r="AH29" t="s">
        <v>1440</v>
      </c>
      <c r="AI29" s="26">
        <v>7.5</v>
      </c>
      <c r="AJ29" s="22">
        <v>43059.929166666669</v>
      </c>
      <c r="AL29">
        <v>4</v>
      </c>
      <c r="AN29" s="113">
        <v>4</v>
      </c>
      <c r="AO29" s="113"/>
      <c r="AP29" s="113"/>
      <c r="AQ29" s="113"/>
      <c r="AR29" s="122" t="str">
        <f>HYPERLINK("https://www.ejacket.nsf.gov/ej/showProposal.do?ID="&amp;ckCodingTable[[#This Row],[prop_id]],"eJ")</f>
        <v>eJ</v>
      </c>
      <c r="AS29" t="s">
        <v>173</v>
      </c>
      <c r="AT29" t="s">
        <v>1441</v>
      </c>
      <c r="AU29" t="b">
        <f>IF(ckCodingTable[[#This Row],[ILN]]="N",SUBSTITUTE(AT28," ","")&lt;&gt;SUBSTITUTE(ckCodingTable[[#This Row],[prop_titl_txt]]," ",""), FALSE)</f>
        <v>0</v>
      </c>
      <c r="AV29">
        <v>0</v>
      </c>
      <c r="AW29" s="13">
        <v>551453</v>
      </c>
      <c r="AX29" s="13">
        <v>551453</v>
      </c>
      <c r="AY29" s="13"/>
      <c r="AZ29" s="13">
        <v>13273</v>
      </c>
      <c r="BA29" s="13"/>
      <c r="BB29" s="13"/>
      <c r="BC29">
        <v>5</v>
      </c>
      <c r="BD29">
        <v>5</v>
      </c>
      <c r="BE29">
        <v>5</v>
      </c>
      <c r="BH29">
        <v>0</v>
      </c>
      <c r="BI29">
        <v>0</v>
      </c>
      <c r="BJ29">
        <v>0</v>
      </c>
      <c r="BK29">
        <v>0</v>
      </c>
      <c r="BL29" t="s">
        <v>1442</v>
      </c>
    </row>
    <row r="30" spans="1:64">
      <c r="A30" s="30"/>
      <c r="B30" s="30">
        <v>42935.633333333331</v>
      </c>
      <c r="C30" t="s">
        <v>244</v>
      </c>
      <c r="D30" t="s">
        <v>780</v>
      </c>
      <c r="E30" t="s">
        <v>567</v>
      </c>
      <c r="F30" t="s">
        <v>172</v>
      </c>
      <c r="G30" t="s">
        <v>170</v>
      </c>
      <c r="H30" s="21" t="s">
        <v>94</v>
      </c>
      <c r="I30" s="86">
        <v>1</v>
      </c>
      <c r="J30" s="86">
        <v>0</v>
      </c>
      <c r="K30" t="s">
        <v>782</v>
      </c>
      <c r="L30" t="s">
        <v>579</v>
      </c>
      <c r="M30" t="s">
        <v>358</v>
      </c>
      <c r="N30" t="str">
        <f>IF(SUM(ckCodingTable[[#This Row],[NfmlPIs]:[NnonWhtAsnPIs]])&gt;0,"WMD","")</f>
        <v/>
      </c>
      <c r="O30" t="b">
        <f>_xlfn.XOR(IFERROR(MATCH(ckCodingTable[[#This Row],[st_code]],EpscorTable[],0)&gt;0,FALSE),IFERROR(FIND("9150",ckCodingTable[[#This Row],[propPRCs]])&gt;0,FALSE))</f>
        <v>0</v>
      </c>
      <c r="P30" s="21" t="b">
        <f>_xlfn.XOR(ckCodingTable[[#This Row],[wmd]]&lt;&gt;"",IFERROR(FIND("9102",ckCodingTable[[#This Row],[propPRCs]])&gt;0,FALSE))</f>
        <v>0</v>
      </c>
      <c r="Q30" t="s">
        <v>790</v>
      </c>
      <c r="S30" s="109">
        <f>S29+(ckCodingTable[[#This Row],[ILN]]&lt;"M")</f>
        <v>29</v>
      </c>
      <c r="T30" s="21" t="s">
        <v>96</v>
      </c>
      <c r="U30" t="s">
        <v>705</v>
      </c>
      <c r="V30" s="7" t="str">
        <f>HYPERLINK("https://www.ejacket.nsf.gov/ej/showProposal.do?ID="&amp;ckCodingTable[[#This Row],[prop_id]],"eJ")</f>
        <v>eJ</v>
      </c>
      <c r="W30" t="s">
        <v>781</v>
      </c>
      <c r="X30" t="s">
        <v>705</v>
      </c>
      <c r="Y30" t="s">
        <v>706</v>
      </c>
      <c r="Z30" t="s">
        <v>829</v>
      </c>
      <c r="AA30" t="s">
        <v>830</v>
      </c>
      <c r="AB30" s="114" t="str">
        <f>HYPERLINK("mailto:"&amp;ckCodingTable[[#This Row],[email]]&amp;"&amp;subject=Your NSF Proposal:  "&amp;ckCodingTable[[#This Row],[Div]]&amp;" "&amp;ckCodingTable[[#This Row],[prop_id]], ckCodingTable[[#This Row],[email]])</f>
        <v>Benjamin.Raichel@utdallas.edu</v>
      </c>
      <c r="AC30" s="30">
        <v>43344</v>
      </c>
      <c r="AD30">
        <v>60</v>
      </c>
      <c r="AE30">
        <v>1</v>
      </c>
      <c r="AG30" s="113">
        <v>1</v>
      </c>
      <c r="AH30" t="s">
        <v>831</v>
      </c>
      <c r="AI30" s="26">
        <v>7.5</v>
      </c>
      <c r="AJ30" s="22">
        <v>43030.181250000001</v>
      </c>
      <c r="AK30" s="22">
        <v>1</v>
      </c>
      <c r="AL30">
        <v>4</v>
      </c>
      <c r="AN30" s="113">
        <v>4</v>
      </c>
      <c r="AO30" s="113"/>
      <c r="AP30" s="113"/>
      <c r="AQ30" s="113"/>
      <c r="AR30" s="122" t="str">
        <f>HYPERLINK("https://www.ejacket.nsf.gov/ej/showProposal.do?ID="&amp;ckCodingTable[[#This Row],[prop_id]],"eJ")</f>
        <v>eJ</v>
      </c>
      <c r="AS30" t="s">
        <v>173</v>
      </c>
      <c r="AT30" t="s">
        <v>832</v>
      </c>
      <c r="AU30" t="b">
        <f>IF(ckCodingTable[[#This Row],[ILN]]="N",SUBSTITUTE(AT29," ","")&lt;&gt;SUBSTITUTE(ckCodingTable[[#This Row],[prop_titl_txt]]," ",""), FALSE)</f>
        <v>0</v>
      </c>
      <c r="AV30">
        <v>0</v>
      </c>
      <c r="AW30" s="13">
        <v>582785</v>
      </c>
      <c r="AX30" s="13">
        <v>582785</v>
      </c>
      <c r="AY30" s="13"/>
      <c r="AZ30" s="13">
        <v>7500</v>
      </c>
      <c r="BA30" s="13"/>
      <c r="BB30" s="13"/>
      <c r="BC30">
        <v>10</v>
      </c>
      <c r="BD30">
        <v>5</v>
      </c>
      <c r="BE30">
        <v>5</v>
      </c>
      <c r="BH30">
        <v>0</v>
      </c>
      <c r="BI30">
        <v>0</v>
      </c>
      <c r="BJ30">
        <v>0</v>
      </c>
      <c r="BK30">
        <v>0</v>
      </c>
      <c r="BL30" t="s">
        <v>833</v>
      </c>
    </row>
    <row r="31" spans="1:64">
      <c r="A31" s="30"/>
      <c r="B31" s="30">
        <v>42935.638888888891</v>
      </c>
      <c r="C31" t="s">
        <v>244</v>
      </c>
      <c r="D31" t="s">
        <v>780</v>
      </c>
      <c r="E31" t="s">
        <v>567</v>
      </c>
      <c r="F31" t="s">
        <v>172</v>
      </c>
      <c r="G31" t="s">
        <v>170</v>
      </c>
      <c r="H31" s="21" t="s">
        <v>94</v>
      </c>
      <c r="I31" s="86">
        <v>1</v>
      </c>
      <c r="J31" s="86">
        <v>0</v>
      </c>
      <c r="K31" t="s">
        <v>782</v>
      </c>
      <c r="L31" t="s">
        <v>944</v>
      </c>
      <c r="M31" t="s">
        <v>257</v>
      </c>
      <c r="N31" t="str">
        <f>IF(SUM(ckCodingTable[[#This Row],[NfmlPIs]:[NnonWhtAsnPIs]])&gt;0,"WMD","")</f>
        <v/>
      </c>
      <c r="O31" t="b">
        <f>_xlfn.XOR(IFERROR(MATCH(ckCodingTable[[#This Row],[st_code]],EpscorTable[],0)&gt;0,FALSE),IFERROR(FIND("9150",ckCodingTable[[#This Row],[propPRCs]])&gt;0,FALSE))</f>
        <v>0</v>
      </c>
      <c r="P31" s="21" t="b">
        <f>_xlfn.XOR(ckCodingTable[[#This Row],[wmd]]&lt;&gt;"",IFERROR(FIND("9102",ckCodingTable[[#This Row],[propPRCs]])&gt;0,FALSE))</f>
        <v>0</v>
      </c>
      <c r="Q31" t="s">
        <v>819</v>
      </c>
      <c r="S31" s="109">
        <f>S30+(ckCodingTable[[#This Row],[ILN]]&lt;"M")</f>
        <v>30</v>
      </c>
      <c r="T31" s="21" t="s">
        <v>96</v>
      </c>
      <c r="U31" t="s">
        <v>1151</v>
      </c>
      <c r="V31" s="7" t="str">
        <f>HYPERLINK("https://www.ejacket.nsf.gov/ej/showProposal.do?ID="&amp;ckCodingTable[[#This Row],[prop_id]],"eJ")</f>
        <v>eJ</v>
      </c>
      <c r="W31" t="s">
        <v>781</v>
      </c>
      <c r="X31" t="s">
        <v>1151</v>
      </c>
      <c r="Y31" t="s">
        <v>1152</v>
      </c>
      <c r="Z31" t="s">
        <v>1443</v>
      </c>
      <c r="AA31" t="s">
        <v>343</v>
      </c>
      <c r="AB31" s="114" t="str">
        <f>HYPERLINK("mailto:"&amp;ckCodingTable[[#This Row],[email]]&amp;"&amp;subject=Your NSF Proposal:  "&amp;ckCodingTable[[#This Row],[Div]]&amp;" "&amp;ckCodingTable[[#This Row],[prop_id]], ckCodingTable[[#This Row],[email]])</f>
        <v>haeupler@cs.cmu.edu</v>
      </c>
      <c r="AC31" s="30">
        <v>43101</v>
      </c>
      <c r="AD31">
        <v>60</v>
      </c>
      <c r="AE31">
        <v>2</v>
      </c>
      <c r="AG31" s="113">
        <v>1</v>
      </c>
      <c r="AH31" t="s">
        <v>1444</v>
      </c>
      <c r="AI31" s="26">
        <v>7.75</v>
      </c>
      <c r="AJ31" s="22">
        <v>43059.921527777777</v>
      </c>
      <c r="AK31" s="22">
        <v>1</v>
      </c>
      <c r="AL31">
        <v>8</v>
      </c>
      <c r="AN31" s="113">
        <v>4</v>
      </c>
      <c r="AO31" s="113"/>
      <c r="AP31" s="113"/>
      <c r="AQ31" s="113"/>
      <c r="AR31" s="122" t="str">
        <f>HYPERLINK("https://www.ejacket.nsf.gov/ej/showProposal.do?ID="&amp;ckCodingTable[[#This Row],[prop_id]],"eJ")</f>
        <v>eJ</v>
      </c>
      <c r="AS31" t="s">
        <v>173</v>
      </c>
      <c r="AT31" t="s">
        <v>1445</v>
      </c>
      <c r="AU31" t="b">
        <f>IF(ckCodingTable[[#This Row],[ILN]]="N",SUBSTITUTE(AT30," ","")&lt;&gt;SUBSTITUTE(ckCodingTable[[#This Row],[prop_titl_txt]]," ",""), FALSE)</f>
        <v>0</v>
      </c>
      <c r="AV31">
        <v>0</v>
      </c>
      <c r="AW31" s="13">
        <v>613868</v>
      </c>
      <c r="AX31" s="13">
        <v>613868</v>
      </c>
      <c r="AY31" s="13"/>
      <c r="AZ31" s="13"/>
      <c r="BA31" s="13"/>
      <c r="BB31" s="13"/>
      <c r="BC31">
        <v>5</v>
      </c>
      <c r="BD31">
        <v>5</v>
      </c>
      <c r="BE31">
        <v>1.25</v>
      </c>
      <c r="BH31">
        <v>0</v>
      </c>
      <c r="BI31">
        <v>0</v>
      </c>
      <c r="BJ31">
        <v>0</v>
      </c>
      <c r="BK31">
        <v>0</v>
      </c>
      <c r="BL31" t="s">
        <v>1446</v>
      </c>
    </row>
    <row r="32" spans="1:64">
      <c r="A32" s="30"/>
      <c r="B32" s="30">
        <v>42935.654166666667</v>
      </c>
      <c r="C32" t="s">
        <v>244</v>
      </c>
      <c r="D32" t="s">
        <v>780</v>
      </c>
      <c r="E32" t="s">
        <v>567</v>
      </c>
      <c r="F32" t="s">
        <v>172</v>
      </c>
      <c r="G32" t="s">
        <v>170</v>
      </c>
      <c r="H32" s="21" t="s">
        <v>94</v>
      </c>
      <c r="I32" s="86">
        <v>1</v>
      </c>
      <c r="J32" s="86">
        <v>0</v>
      </c>
      <c r="K32" t="s">
        <v>782</v>
      </c>
      <c r="L32" t="s">
        <v>582</v>
      </c>
      <c r="M32" t="s">
        <v>363</v>
      </c>
      <c r="N32" t="str">
        <f>IF(SUM(ckCodingTable[[#This Row],[NfmlPIs]:[NnonWhtAsnPIs]])&gt;0,"WMD","")</f>
        <v/>
      </c>
      <c r="O32" t="b">
        <f>_xlfn.XOR(IFERROR(MATCH(ckCodingTable[[#This Row],[st_code]],EpscorTable[],0)&gt;0,FALSE),IFERROR(FIND("9150",ckCodingTable[[#This Row],[propPRCs]])&gt;0,FALSE))</f>
        <v>0</v>
      </c>
      <c r="P32" s="21" t="b">
        <f>_xlfn.XOR(ckCodingTable[[#This Row],[wmd]]&lt;&gt;"",IFERROR(FIND("9102",ckCodingTable[[#This Row],[propPRCs]])&gt;0,FALSE))</f>
        <v>0</v>
      </c>
      <c r="Q32" t="s">
        <v>1383</v>
      </c>
      <c r="S32" s="109">
        <f>S31+(ckCodingTable[[#This Row],[ILN]]&lt;"M")</f>
        <v>31</v>
      </c>
      <c r="T32" s="21" t="s">
        <v>96</v>
      </c>
      <c r="U32" t="s">
        <v>1164</v>
      </c>
      <c r="V32" s="7" t="str">
        <f>HYPERLINK("https://www.ejacket.nsf.gov/ej/showProposal.do?ID="&amp;ckCodingTable[[#This Row],[prop_id]],"eJ")</f>
        <v>eJ</v>
      </c>
      <c r="W32" t="s">
        <v>781</v>
      </c>
      <c r="X32" t="s">
        <v>1164</v>
      </c>
      <c r="Y32" t="s">
        <v>534</v>
      </c>
      <c r="Z32" t="s">
        <v>1447</v>
      </c>
      <c r="AA32" t="s">
        <v>1448</v>
      </c>
      <c r="AB32" s="114" t="str">
        <f>HYPERLINK("mailto:"&amp;ckCodingTable[[#This Row],[email]]&amp;"&amp;subject=Your NSF Proposal:  "&amp;ckCodingTable[[#This Row],[Div]]&amp;" "&amp;ckCodingTable[[#This Row],[prop_id]], ckCodingTable[[#This Row],[email]])</f>
        <v>nxie@cs.fiu.edu</v>
      </c>
      <c r="AC32" s="30">
        <v>43221</v>
      </c>
      <c r="AD32">
        <v>60</v>
      </c>
      <c r="AE32">
        <v>1</v>
      </c>
      <c r="AG32" s="113">
        <v>1</v>
      </c>
      <c r="AH32" t="s">
        <v>1449</v>
      </c>
      <c r="AI32" s="26">
        <v>3.5</v>
      </c>
      <c r="AJ32" s="22">
        <v>43059.477083333331</v>
      </c>
      <c r="AK32" s="22">
        <v>1</v>
      </c>
      <c r="AL32">
        <v>4</v>
      </c>
      <c r="AN32" s="113">
        <v>4</v>
      </c>
      <c r="AO32" s="113"/>
      <c r="AP32" s="113"/>
      <c r="AQ32" s="113"/>
      <c r="AR32" s="122" t="str">
        <f>HYPERLINK("https://www.ejacket.nsf.gov/ej/showProposal.do?ID="&amp;ckCodingTable[[#This Row],[prop_id]],"eJ")</f>
        <v>eJ</v>
      </c>
      <c r="AS32" t="s">
        <v>173</v>
      </c>
      <c r="AT32" t="s">
        <v>1450</v>
      </c>
      <c r="AU32" t="b">
        <f>IF(ckCodingTable[[#This Row],[ILN]]="N",SUBSTITUTE(AT31," ","")&lt;&gt;SUBSTITUTE(ckCodingTable[[#This Row],[prop_titl_txt]]," ",""), FALSE)</f>
        <v>0</v>
      </c>
      <c r="AV32">
        <v>0</v>
      </c>
      <c r="AW32" s="13">
        <v>520820</v>
      </c>
      <c r="AX32" s="13">
        <v>520820</v>
      </c>
      <c r="AY32" s="13"/>
      <c r="AZ32" s="13">
        <v>15000</v>
      </c>
      <c r="BA32" s="13"/>
      <c r="BB32" s="13"/>
      <c r="BC32">
        <v>5</v>
      </c>
      <c r="BD32">
        <v>5</v>
      </c>
      <c r="BE32">
        <v>7.5</v>
      </c>
      <c r="BH32">
        <v>0</v>
      </c>
      <c r="BI32">
        <v>0</v>
      </c>
      <c r="BJ32">
        <v>0</v>
      </c>
      <c r="BK32">
        <v>0</v>
      </c>
      <c r="BL32" t="s">
        <v>1451</v>
      </c>
    </row>
    <row r="33" spans="1:64">
      <c r="A33" s="30"/>
      <c r="B33" s="30">
        <v>42935.679166666669</v>
      </c>
      <c r="C33" t="s">
        <v>244</v>
      </c>
      <c r="D33" t="s">
        <v>780</v>
      </c>
      <c r="E33" t="s">
        <v>567</v>
      </c>
      <c r="F33" t="s">
        <v>172</v>
      </c>
      <c r="G33" t="s">
        <v>170</v>
      </c>
      <c r="H33" s="21" t="s">
        <v>94</v>
      </c>
      <c r="I33" s="86">
        <v>1</v>
      </c>
      <c r="J33" s="86">
        <v>0</v>
      </c>
      <c r="K33" t="s">
        <v>782</v>
      </c>
      <c r="L33" t="s">
        <v>582</v>
      </c>
      <c r="M33" t="s">
        <v>358</v>
      </c>
      <c r="N33" t="str">
        <f>IF(SUM(ckCodingTable[[#This Row],[NfmlPIs]:[NnonWhtAsnPIs]])&gt;0,"WMD","")</f>
        <v/>
      </c>
      <c r="O33" t="b">
        <f>_xlfn.XOR(IFERROR(MATCH(ckCodingTable[[#This Row],[st_code]],EpscorTable[],0)&gt;0,FALSE),IFERROR(FIND("9150",ckCodingTable[[#This Row],[propPRCs]])&gt;0,FALSE))</f>
        <v>0</v>
      </c>
      <c r="P33" s="21" t="b">
        <f>_xlfn.XOR(ckCodingTable[[#This Row],[wmd]]&lt;&gt;"",IFERROR(FIND("9102",ckCodingTable[[#This Row],[propPRCs]])&gt;0,FALSE))</f>
        <v>0</v>
      </c>
      <c r="Q33" t="s">
        <v>783</v>
      </c>
      <c r="S33" s="109">
        <f>S32+(ckCodingTable[[#This Row],[ILN]]&lt;"M")</f>
        <v>32</v>
      </c>
      <c r="T33" s="21" t="s">
        <v>96</v>
      </c>
      <c r="U33" t="s">
        <v>1174</v>
      </c>
      <c r="V33" s="7" t="str">
        <f>HYPERLINK("https://www.ejacket.nsf.gov/ej/showProposal.do?ID="&amp;ckCodingTable[[#This Row],[prop_id]],"eJ")</f>
        <v>eJ</v>
      </c>
      <c r="W33" t="s">
        <v>781</v>
      </c>
      <c r="X33" t="s">
        <v>1174</v>
      </c>
      <c r="Y33" t="s">
        <v>1175</v>
      </c>
      <c r="Z33" t="s">
        <v>1452</v>
      </c>
      <c r="AA33" t="s">
        <v>839</v>
      </c>
      <c r="AB33" s="114" t="str">
        <f>HYPERLINK("mailto:"&amp;ckCodingTable[[#This Row],[email]]&amp;"&amp;subject=Your NSF Proposal:  "&amp;ckCodingTable[[#This Row],[Div]]&amp;" "&amp;ckCodingTable[[#This Row],[prop_id]], ckCodingTable[[#This Row],[email]])</f>
        <v>ecprice@cs.utexas.edu</v>
      </c>
      <c r="AC33" s="30">
        <v>43344</v>
      </c>
      <c r="AD33">
        <v>60</v>
      </c>
      <c r="AE33">
        <v>1</v>
      </c>
      <c r="AG33" s="113">
        <v>1</v>
      </c>
      <c r="AH33" t="s">
        <v>831</v>
      </c>
      <c r="AI33" s="26">
        <v>7.5</v>
      </c>
      <c r="AJ33" s="22">
        <v>43060.310416666667</v>
      </c>
      <c r="AK33" s="22">
        <v>2</v>
      </c>
      <c r="AL33">
        <v>4</v>
      </c>
      <c r="AN33" s="113">
        <v>4</v>
      </c>
      <c r="AO33" s="113"/>
      <c r="AP33" s="113"/>
      <c r="AQ33" s="113"/>
      <c r="AR33" s="122" t="str">
        <f>HYPERLINK("https://www.ejacket.nsf.gov/ej/showProposal.do?ID="&amp;ckCodingTable[[#This Row],[prop_id]],"eJ")</f>
        <v>eJ</v>
      </c>
      <c r="AS33" t="s">
        <v>173</v>
      </c>
      <c r="AT33" t="s">
        <v>1453</v>
      </c>
      <c r="AU33" t="b">
        <f>IF(ckCodingTable[[#This Row],[ILN]]="N",SUBSTITUTE(AT32," ","")&lt;&gt;SUBSTITUTE(ckCodingTable[[#This Row],[prop_titl_txt]]," ",""), FALSE)</f>
        <v>0</v>
      </c>
      <c r="AV33">
        <v>0</v>
      </c>
      <c r="AW33" s="13">
        <v>499575</v>
      </c>
      <c r="AX33" s="13">
        <v>499575</v>
      </c>
      <c r="AY33" s="13"/>
      <c r="AZ33" s="13"/>
      <c r="BA33" s="13"/>
      <c r="BB33" s="13"/>
      <c r="BC33">
        <v>5</v>
      </c>
      <c r="BD33">
        <v>5</v>
      </c>
      <c r="BE33">
        <v>5</v>
      </c>
      <c r="BH33">
        <v>0</v>
      </c>
      <c r="BI33">
        <v>0</v>
      </c>
      <c r="BJ33">
        <v>0</v>
      </c>
      <c r="BK33">
        <v>0</v>
      </c>
      <c r="BL33" t="s">
        <v>1454</v>
      </c>
    </row>
    <row r="34" spans="1:64">
      <c r="A34" s="30"/>
      <c r="B34" s="30">
        <v>42935.680555555555</v>
      </c>
      <c r="C34" t="s">
        <v>244</v>
      </c>
      <c r="D34" t="s">
        <v>780</v>
      </c>
      <c r="E34" t="s">
        <v>567</v>
      </c>
      <c r="F34" t="s">
        <v>172</v>
      </c>
      <c r="G34" t="s">
        <v>170</v>
      </c>
      <c r="H34" s="21" t="s">
        <v>94</v>
      </c>
      <c r="I34" s="86">
        <v>1</v>
      </c>
      <c r="J34" s="86">
        <v>0</v>
      </c>
      <c r="K34" t="s">
        <v>782</v>
      </c>
      <c r="L34" t="s">
        <v>579</v>
      </c>
      <c r="M34" t="s">
        <v>358</v>
      </c>
      <c r="N34" t="str">
        <f>IF(SUM(ckCodingTable[[#This Row],[NfmlPIs]:[NnonWhtAsnPIs]])&gt;0,"WMD","")</f>
        <v/>
      </c>
      <c r="O34" t="b">
        <f>_xlfn.XOR(IFERROR(MATCH(ckCodingTable[[#This Row],[st_code]],EpscorTable[],0)&gt;0,FALSE),IFERROR(FIND("9150",ckCodingTable[[#This Row],[propPRCs]])&gt;0,FALSE))</f>
        <v>0</v>
      </c>
      <c r="P34" s="21" t="b">
        <f>_xlfn.XOR(ckCodingTable[[#This Row],[wmd]]&lt;&gt;"",IFERROR(FIND("9102",ckCodingTable[[#This Row],[propPRCs]])&gt;0,FALSE))</f>
        <v>0</v>
      </c>
      <c r="Q34" t="s">
        <v>790</v>
      </c>
      <c r="S34" s="109">
        <f>S33+(ckCodingTable[[#This Row],[ILN]]&lt;"M")</f>
        <v>33</v>
      </c>
      <c r="T34" s="21" t="s">
        <v>96</v>
      </c>
      <c r="U34" t="s">
        <v>717</v>
      </c>
      <c r="V34" s="7" t="str">
        <f>HYPERLINK("https://www.ejacket.nsf.gov/ej/showProposal.do?ID="&amp;ckCodingTable[[#This Row],[prop_id]],"eJ")</f>
        <v>eJ</v>
      </c>
      <c r="W34" t="s">
        <v>781</v>
      </c>
      <c r="X34" t="s">
        <v>717</v>
      </c>
      <c r="Y34" t="s">
        <v>718</v>
      </c>
      <c r="Z34" t="s">
        <v>834</v>
      </c>
      <c r="AA34" t="s">
        <v>835</v>
      </c>
      <c r="AB34" s="114" t="str">
        <f>HYPERLINK("mailto:"&amp;ckCodingTable[[#This Row],[email]]&amp;"&amp;subject=Your NSF Proposal:  "&amp;ckCodingTable[[#This Row],[Div]]&amp;" "&amp;ckCodingTable[[#This Row],[prop_id]], ckCodingTable[[#This Row],[email]])</f>
        <v>MATTHEW.GIBSON@UTSA.EDU</v>
      </c>
      <c r="AC34" s="30">
        <v>43132</v>
      </c>
      <c r="AD34">
        <v>60</v>
      </c>
      <c r="AE34">
        <v>1</v>
      </c>
      <c r="AG34" s="113">
        <v>1</v>
      </c>
      <c r="AH34" t="s">
        <v>359</v>
      </c>
      <c r="AI34" s="26">
        <v>4.75</v>
      </c>
      <c r="AJ34" s="22">
        <v>43030.177777777775</v>
      </c>
      <c r="AL34">
        <v>4</v>
      </c>
      <c r="AN34" s="113">
        <v>4</v>
      </c>
      <c r="AO34" s="113"/>
      <c r="AP34" s="113"/>
      <c r="AQ34" s="113"/>
      <c r="AR34" s="122" t="str">
        <f>HYPERLINK("https://www.ejacket.nsf.gov/ej/showProposal.do?ID="&amp;ckCodingTable[[#This Row],[prop_id]],"eJ")</f>
        <v>eJ</v>
      </c>
      <c r="AS34" t="s">
        <v>173</v>
      </c>
      <c r="AT34" t="s">
        <v>836</v>
      </c>
      <c r="AU34" t="b">
        <f>IF(ckCodingTable[[#This Row],[ILN]]="N",SUBSTITUTE(AT33," ","")&lt;&gt;SUBSTITUTE(ckCodingTable[[#This Row],[prop_titl_txt]]," ",""), FALSE)</f>
        <v>0</v>
      </c>
      <c r="AV34">
        <v>0</v>
      </c>
      <c r="AW34" s="13">
        <v>415497</v>
      </c>
      <c r="AX34" s="13">
        <v>415497</v>
      </c>
      <c r="AY34" s="13"/>
      <c r="AZ34" s="13">
        <v>12250</v>
      </c>
      <c r="BA34" s="13"/>
      <c r="BB34" s="13">
        <v>16000</v>
      </c>
      <c r="BC34">
        <v>5</v>
      </c>
      <c r="BD34">
        <v>5</v>
      </c>
      <c r="BE34">
        <v>5</v>
      </c>
      <c r="BH34">
        <v>0</v>
      </c>
      <c r="BI34">
        <v>0</v>
      </c>
      <c r="BJ34">
        <v>0</v>
      </c>
      <c r="BK34">
        <v>0</v>
      </c>
      <c r="BL34" t="s">
        <v>837</v>
      </c>
    </row>
    <row r="35" spans="1:64">
      <c r="A35" s="30"/>
      <c r="B35" s="30">
        <v>42935.680555555555</v>
      </c>
      <c r="C35" t="s">
        <v>244</v>
      </c>
      <c r="D35" t="s">
        <v>780</v>
      </c>
      <c r="E35" t="s">
        <v>567</v>
      </c>
      <c r="F35" t="s">
        <v>172</v>
      </c>
      <c r="G35" t="s">
        <v>170</v>
      </c>
      <c r="H35" s="21" t="s">
        <v>94</v>
      </c>
      <c r="I35" s="86">
        <v>1</v>
      </c>
      <c r="J35" s="86">
        <v>0</v>
      </c>
      <c r="K35" t="s">
        <v>782</v>
      </c>
      <c r="L35" t="s">
        <v>582</v>
      </c>
      <c r="M35" t="s">
        <v>1363</v>
      </c>
      <c r="N35" t="str">
        <f>IF(SUM(ckCodingTable[[#This Row],[NfmlPIs]:[NnonWhtAsnPIs]])&gt;0,"WMD","")</f>
        <v/>
      </c>
      <c r="O35" t="b">
        <f>_xlfn.XOR(IFERROR(MATCH(ckCodingTable[[#This Row],[st_code]],EpscorTable[],0)&gt;0,FALSE),IFERROR(FIND("9150",ckCodingTable[[#This Row],[propPRCs]])&gt;0,FALSE))</f>
        <v>0</v>
      </c>
      <c r="P35" s="21" t="b">
        <f>_xlfn.XOR(ckCodingTable[[#This Row],[wmd]]&lt;&gt;"",IFERROR(FIND("9102",ckCodingTable[[#This Row],[propPRCs]])&gt;0,FALSE))</f>
        <v>0</v>
      </c>
      <c r="Q35" t="s">
        <v>783</v>
      </c>
      <c r="S35" s="109">
        <f>S34+(ckCodingTable[[#This Row],[ILN]]&lt;"M")</f>
        <v>34</v>
      </c>
      <c r="T35" s="21" t="s">
        <v>96</v>
      </c>
      <c r="U35" t="s">
        <v>1182</v>
      </c>
      <c r="V35" s="7" t="str">
        <f>HYPERLINK("https://www.ejacket.nsf.gov/ej/showProposal.do?ID="&amp;ckCodingTable[[#This Row],[prop_id]],"eJ")</f>
        <v>eJ</v>
      </c>
      <c r="W35" t="s">
        <v>781</v>
      </c>
      <c r="X35" t="s">
        <v>1182</v>
      </c>
      <c r="Y35" t="s">
        <v>1183</v>
      </c>
      <c r="Z35" t="s">
        <v>1455</v>
      </c>
      <c r="AA35" t="s">
        <v>1456</v>
      </c>
      <c r="AB35" s="114" t="str">
        <f>HYPERLINK("mailto:"&amp;ckCodingTable[[#This Row],[email]]&amp;"&amp;subject=Your NSF Proposal:  "&amp;ckCodingTable[[#This Row],[Div]]&amp;" "&amp;ckCodingTable[[#This Row],[prop_id]], ckCodingTable[[#This Row],[email]])</f>
        <v>periklis.research@gmail.com</v>
      </c>
      <c r="AC35" s="30">
        <v>43252</v>
      </c>
      <c r="AD35">
        <v>60</v>
      </c>
      <c r="AE35">
        <v>1</v>
      </c>
      <c r="AG35" s="113">
        <v>1</v>
      </c>
      <c r="AH35" t="s">
        <v>1457</v>
      </c>
      <c r="AI35" s="26">
        <v>4.5</v>
      </c>
      <c r="AJ35" s="22">
        <v>43059.227777777778</v>
      </c>
      <c r="AL35">
        <v>4</v>
      </c>
      <c r="AN35" s="113">
        <v>4</v>
      </c>
      <c r="AO35" s="113"/>
      <c r="AP35" s="113"/>
      <c r="AQ35" s="113"/>
      <c r="AR35" s="122" t="str">
        <f>HYPERLINK("https://www.ejacket.nsf.gov/ej/showProposal.do?ID="&amp;ckCodingTable[[#This Row],[prop_id]],"eJ")</f>
        <v>eJ</v>
      </c>
      <c r="AS35" t="s">
        <v>173</v>
      </c>
      <c r="AT35" t="s">
        <v>1458</v>
      </c>
      <c r="AU35" t="b">
        <f>IF(ckCodingTable[[#This Row],[ILN]]="N",SUBSTITUTE(AT34," ","")&lt;&gt;SUBSTITUTE(ckCodingTable[[#This Row],[prop_titl_txt]]," ",""), FALSE)</f>
        <v>0</v>
      </c>
      <c r="AV35">
        <v>0</v>
      </c>
      <c r="AW35" s="13">
        <v>667571</v>
      </c>
      <c r="AX35" s="13">
        <v>667571</v>
      </c>
      <c r="AY35" s="13"/>
      <c r="AZ35" s="13">
        <v>25000</v>
      </c>
      <c r="BA35" s="13"/>
      <c r="BB35" s="13"/>
      <c r="BC35">
        <v>5</v>
      </c>
      <c r="BD35">
        <v>5</v>
      </c>
      <c r="BE35">
        <v>5</v>
      </c>
      <c r="BH35">
        <v>0</v>
      </c>
      <c r="BI35">
        <v>0</v>
      </c>
      <c r="BJ35">
        <v>0</v>
      </c>
      <c r="BK35">
        <v>0</v>
      </c>
      <c r="BL35" t="s">
        <v>1459</v>
      </c>
    </row>
    <row r="36" spans="1:64">
      <c r="A36" s="30"/>
      <c r="B36" s="30">
        <v>42935.68472222222</v>
      </c>
      <c r="C36" t="s">
        <v>244</v>
      </c>
      <c r="D36" t="s">
        <v>780</v>
      </c>
      <c r="E36" t="s">
        <v>567</v>
      </c>
      <c r="F36" t="s">
        <v>172</v>
      </c>
      <c r="G36" t="s">
        <v>170</v>
      </c>
      <c r="H36" s="21" t="s">
        <v>94</v>
      </c>
      <c r="I36" s="86">
        <v>1</v>
      </c>
      <c r="J36" s="86">
        <v>0</v>
      </c>
      <c r="K36" t="s">
        <v>782</v>
      </c>
      <c r="L36" t="s">
        <v>582</v>
      </c>
      <c r="M36" t="s">
        <v>257</v>
      </c>
      <c r="N36" t="str">
        <f>IF(SUM(ckCodingTable[[#This Row],[NfmlPIs]:[NnonWhtAsnPIs]])&gt;0,"WMD","")</f>
        <v/>
      </c>
      <c r="O36" t="b">
        <f>_xlfn.XOR(IFERROR(MATCH(ckCodingTable[[#This Row],[st_code]],EpscorTable[],0)&gt;0,FALSE),IFERROR(FIND("9150",ckCodingTable[[#This Row],[propPRCs]])&gt;0,FALSE))</f>
        <v>0</v>
      </c>
      <c r="P36" s="21" t="b">
        <f>_xlfn.XOR(ckCodingTable[[#This Row],[wmd]]&lt;&gt;"",IFERROR(FIND("9102",ckCodingTable[[#This Row],[propPRCs]])&gt;0,FALSE))</f>
        <v>0</v>
      </c>
      <c r="Q36" t="s">
        <v>1414</v>
      </c>
      <c r="S36" s="109">
        <f>S35+(ckCodingTable[[#This Row],[ILN]]&lt;"M")</f>
        <v>35</v>
      </c>
      <c r="T36" s="21" t="s">
        <v>96</v>
      </c>
      <c r="U36" t="s">
        <v>1190</v>
      </c>
      <c r="V36" s="7" t="str">
        <f>HYPERLINK("https://www.ejacket.nsf.gov/ej/showProposal.do?ID="&amp;ckCodingTable[[#This Row],[prop_id]],"eJ")</f>
        <v>eJ</v>
      </c>
      <c r="W36" t="s">
        <v>781</v>
      </c>
      <c r="X36" t="s">
        <v>1190</v>
      </c>
      <c r="Y36" t="s">
        <v>1191</v>
      </c>
      <c r="Z36" t="s">
        <v>1460</v>
      </c>
      <c r="AA36" t="s">
        <v>1461</v>
      </c>
      <c r="AB36" s="114" t="str">
        <f>HYPERLINK("mailto:"&amp;ckCodingTable[[#This Row],[email]]&amp;"&amp;subject=Your NSF Proposal:  "&amp;ckCodingTable[[#This Row],[Div]]&amp;" "&amp;ckCodingTable[[#This Row],[prop_id]], ckCodingTable[[#This Row],[email]])</f>
        <v>gkatz@drexel.edu</v>
      </c>
      <c r="AC36" s="30">
        <v>43132</v>
      </c>
      <c r="AD36">
        <v>60</v>
      </c>
      <c r="AE36">
        <v>1</v>
      </c>
      <c r="AG36" s="113">
        <v>1</v>
      </c>
      <c r="AH36" t="s">
        <v>345</v>
      </c>
      <c r="AI36" s="26">
        <v>6.5</v>
      </c>
      <c r="AJ36" s="22">
        <v>43059.229166666664</v>
      </c>
      <c r="AL36">
        <v>4</v>
      </c>
      <c r="AN36" s="113">
        <v>4</v>
      </c>
      <c r="AO36" s="113"/>
      <c r="AP36" s="113"/>
      <c r="AQ36" s="113"/>
      <c r="AR36" s="122" t="str">
        <f>HYPERLINK("https://www.ejacket.nsf.gov/ej/showProposal.do?ID="&amp;ckCodingTable[[#This Row],[prop_id]],"eJ")</f>
        <v>eJ</v>
      </c>
      <c r="AS36" t="s">
        <v>173</v>
      </c>
      <c r="AT36" t="s">
        <v>1462</v>
      </c>
      <c r="AU36" t="b">
        <f>IF(ckCodingTable[[#This Row],[ILN]]="N",SUBSTITUTE(AT35," ","")&lt;&gt;SUBSTITUTE(ckCodingTable[[#This Row],[prop_titl_txt]]," ",""), FALSE)</f>
        <v>0</v>
      </c>
      <c r="AV36">
        <v>0</v>
      </c>
      <c r="AW36" s="13">
        <v>559983</v>
      </c>
      <c r="AX36" s="13">
        <v>559983</v>
      </c>
      <c r="AY36" s="13"/>
      <c r="AZ36" s="13">
        <v>10000</v>
      </c>
      <c r="BA36" s="13"/>
      <c r="BB36" s="13"/>
      <c r="BC36">
        <v>5</v>
      </c>
      <c r="BD36">
        <v>5</v>
      </c>
      <c r="BE36">
        <v>5</v>
      </c>
      <c r="BH36">
        <v>0</v>
      </c>
      <c r="BI36">
        <v>0</v>
      </c>
      <c r="BJ36">
        <v>0</v>
      </c>
      <c r="BK36">
        <v>0</v>
      </c>
      <c r="BL36" t="s">
        <v>1463</v>
      </c>
    </row>
    <row r="37" spans="1:64">
      <c r="A37" s="30"/>
      <c r="B37" s="30">
        <v>42935.69027777778</v>
      </c>
      <c r="C37" t="s">
        <v>244</v>
      </c>
      <c r="D37" t="s">
        <v>780</v>
      </c>
      <c r="E37" t="s">
        <v>567</v>
      </c>
      <c r="F37" t="s">
        <v>172</v>
      </c>
      <c r="G37" t="s">
        <v>170</v>
      </c>
      <c r="H37" s="21" t="s">
        <v>94</v>
      </c>
      <c r="I37" s="86">
        <v>1</v>
      </c>
      <c r="J37" s="86">
        <v>0</v>
      </c>
      <c r="K37" t="s">
        <v>782</v>
      </c>
      <c r="L37" t="s">
        <v>579</v>
      </c>
      <c r="M37" t="s">
        <v>358</v>
      </c>
      <c r="N37" t="str">
        <f>IF(SUM(ckCodingTable[[#This Row],[NfmlPIs]:[NnonWhtAsnPIs]])&gt;0,"WMD","")</f>
        <v/>
      </c>
      <c r="O37" t="b">
        <f>_xlfn.XOR(IFERROR(MATCH(ckCodingTable[[#This Row],[st_code]],EpscorTable[],0)&gt;0,FALSE),IFERROR(FIND("9150",ckCodingTable[[#This Row],[propPRCs]])&gt;0,FALSE))</f>
        <v>0</v>
      </c>
      <c r="P37" s="21" t="b">
        <f>_xlfn.XOR(ckCodingTable[[#This Row],[wmd]]&lt;&gt;"",IFERROR(FIND("9102",ckCodingTable[[#This Row],[propPRCs]])&gt;0,FALSE))</f>
        <v>0</v>
      </c>
      <c r="Q37" t="s">
        <v>790</v>
      </c>
      <c r="S37" s="109">
        <f>S36+(ckCodingTable[[#This Row],[ILN]]&lt;"M")</f>
        <v>36</v>
      </c>
      <c r="T37" s="21" t="s">
        <v>96</v>
      </c>
      <c r="U37" t="s">
        <v>725</v>
      </c>
      <c r="V37" s="7" t="str">
        <f>HYPERLINK("https://www.ejacket.nsf.gov/ej/showProposal.do?ID="&amp;ckCodingTable[[#This Row],[prop_id]],"eJ")</f>
        <v>eJ</v>
      </c>
      <c r="W37" t="s">
        <v>781</v>
      </c>
      <c r="X37" t="s">
        <v>725</v>
      </c>
      <c r="Y37" t="s">
        <v>726</v>
      </c>
      <c r="Z37" t="s">
        <v>838</v>
      </c>
      <c r="AA37" t="s">
        <v>839</v>
      </c>
      <c r="AB37" s="114" t="str">
        <f>HYPERLINK("mailto:"&amp;ckCodingTable[[#This Row],[email]]&amp;"&amp;subject=Your NSF Proposal:  "&amp;ckCodingTable[[#This Row],[Div]]&amp;" "&amp;ckCodingTable[[#This Row],[prop_id]], ckCodingTable[[#This Row],[email]])</f>
        <v>evouga@cs.utexas.edu</v>
      </c>
      <c r="AC37" s="30">
        <v>43344</v>
      </c>
      <c r="AD37">
        <v>60</v>
      </c>
      <c r="AE37">
        <v>1</v>
      </c>
      <c r="AG37" s="113">
        <v>1</v>
      </c>
      <c r="AH37" t="s">
        <v>345</v>
      </c>
      <c r="AI37" s="26">
        <v>6.5</v>
      </c>
      <c r="AJ37" s="22">
        <v>43031.392361111109</v>
      </c>
      <c r="AL37">
        <v>4</v>
      </c>
      <c r="AN37" s="113">
        <v>4</v>
      </c>
      <c r="AO37" s="113"/>
      <c r="AP37" s="113"/>
      <c r="AQ37" s="113"/>
      <c r="AR37" s="122" t="str">
        <f>HYPERLINK("https://www.ejacket.nsf.gov/ej/showProposal.do?ID="&amp;ckCodingTable[[#This Row],[prop_id]],"eJ")</f>
        <v>eJ</v>
      </c>
      <c r="AS37" t="s">
        <v>173</v>
      </c>
      <c r="AT37" t="s">
        <v>840</v>
      </c>
      <c r="AU37" t="b">
        <f>IF(ckCodingTable[[#This Row],[ILN]]="N",SUBSTITUTE(AT36," ","")&lt;&gt;SUBSTITUTE(ckCodingTable[[#This Row],[prop_titl_txt]]," ",""), FALSE)</f>
        <v>0</v>
      </c>
      <c r="AV37">
        <v>0</v>
      </c>
      <c r="AW37" s="13">
        <v>523537</v>
      </c>
      <c r="AX37" s="13">
        <v>523537</v>
      </c>
      <c r="AY37" s="13"/>
      <c r="AZ37" s="13">
        <v>15000</v>
      </c>
      <c r="BA37" s="13"/>
      <c r="BB37" s="13"/>
      <c r="BC37">
        <v>7</v>
      </c>
      <c r="BD37">
        <v>5</v>
      </c>
      <c r="BE37">
        <v>2</v>
      </c>
      <c r="BH37">
        <v>0</v>
      </c>
      <c r="BI37">
        <v>0</v>
      </c>
      <c r="BJ37">
        <v>0</v>
      </c>
      <c r="BK37">
        <v>0</v>
      </c>
      <c r="BL37" t="s">
        <v>841</v>
      </c>
    </row>
    <row r="38" spans="1:64">
      <c r="A38" s="30"/>
      <c r="B38" s="30">
        <v>42935.696527777778</v>
      </c>
      <c r="C38" t="s">
        <v>244</v>
      </c>
      <c r="D38" t="s">
        <v>780</v>
      </c>
      <c r="E38" t="s">
        <v>567</v>
      </c>
      <c r="F38" t="s">
        <v>172</v>
      </c>
      <c r="G38" t="s">
        <v>170</v>
      </c>
      <c r="H38" s="21" t="s">
        <v>94</v>
      </c>
      <c r="I38" s="86">
        <v>1</v>
      </c>
      <c r="J38" s="86">
        <v>0</v>
      </c>
      <c r="K38" t="s">
        <v>782</v>
      </c>
      <c r="L38" t="s">
        <v>579</v>
      </c>
      <c r="M38" t="s">
        <v>842</v>
      </c>
      <c r="N38" t="str">
        <f>IF(SUM(ckCodingTable[[#This Row],[NfmlPIs]:[NnonWhtAsnPIs]])&gt;0,"WMD","")</f>
        <v/>
      </c>
      <c r="O38" t="b">
        <f>_xlfn.XOR(IFERROR(MATCH(ckCodingTable[[#This Row],[st_code]],EpscorTable[],0)&gt;0,FALSE),IFERROR(FIND("9150",ckCodingTable[[#This Row],[propPRCs]])&gt;0,FALSE))</f>
        <v>0</v>
      </c>
      <c r="P38" s="21" t="b">
        <f>_xlfn.XOR(ckCodingTable[[#This Row],[wmd]]&lt;&gt;"",IFERROR(FIND("9102",ckCodingTable[[#This Row],[propPRCs]])&gt;0,FALSE))</f>
        <v>0</v>
      </c>
      <c r="Q38" t="s">
        <v>790</v>
      </c>
      <c r="S38" s="109">
        <f>S37+(ckCodingTable[[#This Row],[ILN]]&lt;"M")</f>
        <v>37</v>
      </c>
      <c r="T38" s="21" t="s">
        <v>96</v>
      </c>
      <c r="U38" t="s">
        <v>734</v>
      </c>
      <c r="V38" s="7" t="str">
        <f>HYPERLINK("https://www.ejacket.nsf.gov/ej/showProposal.do?ID="&amp;ckCodingTable[[#This Row],[prop_id]],"eJ")</f>
        <v>eJ</v>
      </c>
      <c r="W38" t="s">
        <v>781</v>
      </c>
      <c r="X38" t="s">
        <v>734</v>
      </c>
      <c r="Y38" t="s">
        <v>735</v>
      </c>
      <c r="Z38" t="s">
        <v>843</v>
      </c>
      <c r="AA38" t="s">
        <v>844</v>
      </c>
      <c r="AB38" s="114" t="str">
        <f>HYPERLINK("mailto:"&amp;ckCodingTable[[#This Row],[email]]&amp;"&amp;subject=Your NSF Proposal:  "&amp;ckCodingTable[[#This Row],[Div]]&amp;" "&amp;ckCodingTable[[#This Row],[prop_id]], ckCodingTable[[#This Row],[email]])</f>
        <v>nayyeria@eecs.oregonstate.edu</v>
      </c>
      <c r="AC38" s="30">
        <v>43344</v>
      </c>
      <c r="AD38">
        <v>60</v>
      </c>
      <c r="AE38">
        <v>1</v>
      </c>
      <c r="AG38" s="113">
        <v>1</v>
      </c>
      <c r="AH38" t="s">
        <v>845</v>
      </c>
      <c r="AI38" s="26">
        <v>6.75</v>
      </c>
      <c r="AJ38" s="22">
        <v>43031.69027777778</v>
      </c>
      <c r="AK38" s="22">
        <v>2</v>
      </c>
      <c r="AL38">
        <v>4</v>
      </c>
      <c r="AN38" s="113">
        <v>4</v>
      </c>
      <c r="AO38" s="113"/>
      <c r="AP38" s="113"/>
      <c r="AQ38" s="113"/>
      <c r="AR38" s="122" t="str">
        <f>HYPERLINK("https://www.ejacket.nsf.gov/ej/showProposal.do?ID="&amp;ckCodingTable[[#This Row],[prop_id]],"eJ")</f>
        <v>eJ</v>
      </c>
      <c r="AS38" t="s">
        <v>173</v>
      </c>
      <c r="AT38" t="s">
        <v>846</v>
      </c>
      <c r="AU38" t="b">
        <f>IF(ckCodingTable[[#This Row],[ILN]]="N",SUBSTITUTE(AT37," ","")&lt;&gt;SUBSTITUTE(ckCodingTable[[#This Row],[prop_titl_txt]]," ",""), FALSE)</f>
        <v>0</v>
      </c>
      <c r="AV38">
        <v>0</v>
      </c>
      <c r="AW38" s="13">
        <v>607459</v>
      </c>
      <c r="AX38" s="13">
        <v>607459</v>
      </c>
      <c r="AY38" s="13"/>
      <c r="AZ38" s="13">
        <v>23133</v>
      </c>
      <c r="BA38" s="13"/>
      <c r="BB38" s="13">
        <v>5500</v>
      </c>
      <c r="BC38">
        <v>5</v>
      </c>
      <c r="BD38">
        <v>5</v>
      </c>
      <c r="BE38">
        <v>4.5</v>
      </c>
      <c r="BH38">
        <v>0</v>
      </c>
      <c r="BI38">
        <v>0</v>
      </c>
      <c r="BJ38">
        <v>0</v>
      </c>
      <c r="BK38">
        <v>0</v>
      </c>
      <c r="BL38" t="s">
        <v>847</v>
      </c>
    </row>
    <row r="39" spans="1:64">
      <c r="A39" s="30"/>
      <c r="B39" s="30">
        <v>42935.70416666667</v>
      </c>
      <c r="C39" t="s">
        <v>244</v>
      </c>
      <c r="D39" t="s">
        <v>780</v>
      </c>
      <c r="E39" t="s">
        <v>567</v>
      </c>
      <c r="F39" t="s">
        <v>172</v>
      </c>
      <c r="G39" t="s">
        <v>170</v>
      </c>
      <c r="H39" s="21" t="s">
        <v>94</v>
      </c>
      <c r="I39" s="86">
        <v>1</v>
      </c>
      <c r="J39" s="86">
        <v>0</v>
      </c>
      <c r="K39" t="s">
        <v>782</v>
      </c>
      <c r="L39" t="s">
        <v>944</v>
      </c>
      <c r="M39" t="s">
        <v>112</v>
      </c>
      <c r="N39" t="str">
        <f>IF(SUM(ckCodingTable[[#This Row],[NfmlPIs]:[NnonWhtAsnPIs]])&gt;0,"WMD","")</f>
        <v/>
      </c>
      <c r="O39" t="b">
        <f>_xlfn.XOR(IFERROR(MATCH(ckCodingTable[[#This Row],[st_code]],EpscorTable[],0)&gt;0,FALSE),IFERROR(FIND("9150",ckCodingTable[[#This Row],[propPRCs]])&gt;0,FALSE))</f>
        <v>0</v>
      </c>
      <c r="P39" s="21" t="b">
        <f>_xlfn.XOR(ckCodingTable[[#This Row],[wmd]]&lt;&gt;"",IFERROR(FIND("9102",ckCodingTable[[#This Row],[propPRCs]])&gt;0,FALSE))</f>
        <v>0</v>
      </c>
      <c r="Q39" t="s">
        <v>1464</v>
      </c>
      <c r="S39" s="109">
        <f>S38+(ckCodingTable[[#This Row],[ILN]]&lt;"M")</f>
        <v>38</v>
      </c>
      <c r="T39" s="21" t="s">
        <v>96</v>
      </c>
      <c r="U39" t="s">
        <v>1198</v>
      </c>
      <c r="V39" s="7" t="str">
        <f>HYPERLINK("https://www.ejacket.nsf.gov/ej/showProposal.do?ID="&amp;ckCodingTable[[#This Row],[prop_id]],"eJ")</f>
        <v>eJ</v>
      </c>
      <c r="W39" t="s">
        <v>781</v>
      </c>
      <c r="X39" t="s">
        <v>1198</v>
      </c>
      <c r="Y39" t="s">
        <v>1199</v>
      </c>
      <c r="Z39" t="s">
        <v>1465</v>
      </c>
      <c r="AA39" t="s">
        <v>1466</v>
      </c>
      <c r="AB39" s="114" t="str">
        <f>HYPERLINK("mailto:"&amp;ckCodingTable[[#This Row],[email]]&amp;"&amp;subject=Your NSF Proposal:  "&amp;ckCodingTable[[#This Row],[Div]]&amp;" "&amp;ckCodingTable[[#This Row],[prop_id]], ckCodingTable[[#This Row],[email]])</f>
        <v>maxwelly@outlook.com</v>
      </c>
      <c r="AC39" s="30">
        <v>43344</v>
      </c>
      <c r="AD39">
        <v>60</v>
      </c>
      <c r="AE39">
        <v>1</v>
      </c>
      <c r="AG39" s="113">
        <v>1</v>
      </c>
      <c r="AH39" t="s">
        <v>1467</v>
      </c>
      <c r="AI39" s="26">
        <v>5.75</v>
      </c>
      <c r="AJ39" s="22">
        <v>43059.229861111111</v>
      </c>
      <c r="AL39">
        <v>4</v>
      </c>
      <c r="AN39" s="113">
        <v>4</v>
      </c>
      <c r="AO39" s="113"/>
      <c r="AP39" s="113"/>
      <c r="AQ39" s="113"/>
      <c r="AR39" s="122" t="str">
        <f>HYPERLINK("https://www.ejacket.nsf.gov/ej/showProposal.do?ID="&amp;ckCodingTable[[#This Row],[prop_id]],"eJ")</f>
        <v>eJ</v>
      </c>
      <c r="AS39" t="s">
        <v>173</v>
      </c>
      <c r="AT39" t="s">
        <v>1468</v>
      </c>
      <c r="AU39" t="b">
        <f>IF(ckCodingTable[[#This Row],[ILN]]="N",SUBSTITUTE(AT38," ","")&lt;&gt;SUBSTITUTE(ckCodingTable[[#This Row],[prop_titl_txt]]," ",""), FALSE)</f>
        <v>0</v>
      </c>
      <c r="AV39">
        <v>0</v>
      </c>
      <c r="AW39" s="13">
        <v>400000</v>
      </c>
      <c r="AX39" s="13">
        <v>400000</v>
      </c>
      <c r="AY39" s="13"/>
      <c r="AZ39" s="13">
        <v>15000</v>
      </c>
      <c r="BA39" s="13"/>
      <c r="BB39" s="13"/>
      <c r="BC39">
        <v>5</v>
      </c>
      <c r="BD39">
        <v>5</v>
      </c>
      <c r="BE39">
        <v>2.5</v>
      </c>
      <c r="BH39">
        <v>0</v>
      </c>
      <c r="BI39">
        <v>0</v>
      </c>
      <c r="BJ39">
        <v>0</v>
      </c>
      <c r="BK39">
        <v>0</v>
      </c>
      <c r="BL39" t="s">
        <v>1469</v>
      </c>
    </row>
    <row r="40" spans="1:64">
      <c r="A40" s="30"/>
      <c r="B40" s="30">
        <v>42935.717361111114</v>
      </c>
      <c r="C40" t="s">
        <v>244</v>
      </c>
      <c r="D40" t="s">
        <v>780</v>
      </c>
      <c r="E40" t="s">
        <v>567</v>
      </c>
      <c r="F40" t="s">
        <v>172</v>
      </c>
      <c r="G40" t="s">
        <v>170</v>
      </c>
      <c r="H40" s="21" t="s">
        <v>94</v>
      </c>
      <c r="I40" s="86">
        <v>1</v>
      </c>
      <c r="J40" s="86">
        <v>0</v>
      </c>
      <c r="K40" t="s">
        <v>782</v>
      </c>
      <c r="L40" t="s">
        <v>582</v>
      </c>
      <c r="M40" t="s">
        <v>791</v>
      </c>
      <c r="N40" t="str">
        <f>IF(SUM(ckCodingTable[[#This Row],[NfmlPIs]:[NnonWhtAsnPIs]])&gt;0,"WMD","")</f>
        <v/>
      </c>
      <c r="O40" t="b">
        <f>_xlfn.XOR(IFERROR(MATCH(ckCodingTable[[#This Row],[st_code]],EpscorTable[],0)&gt;0,FALSE),IFERROR(FIND("9150",ckCodingTable[[#This Row],[propPRCs]])&gt;0,FALSE))</f>
        <v>0</v>
      </c>
      <c r="P40" s="21" t="b">
        <f>_xlfn.XOR(ckCodingTable[[#This Row],[wmd]]&lt;&gt;"",IFERROR(FIND("9102",ckCodingTable[[#This Row],[propPRCs]])&gt;0,FALSE))</f>
        <v>0</v>
      </c>
      <c r="Q40" t="s">
        <v>1383</v>
      </c>
      <c r="S40" s="109">
        <f>S39+(ckCodingTable[[#This Row],[ILN]]&lt;"M")</f>
        <v>39</v>
      </c>
      <c r="T40" s="21" t="s">
        <v>96</v>
      </c>
      <c r="U40" t="s">
        <v>1206</v>
      </c>
      <c r="V40" s="7" t="str">
        <f>HYPERLINK("https://www.ejacket.nsf.gov/ej/showProposal.do?ID="&amp;ckCodingTable[[#This Row],[prop_id]],"eJ")</f>
        <v>eJ</v>
      </c>
      <c r="W40" t="s">
        <v>781</v>
      </c>
      <c r="X40" t="s">
        <v>1206</v>
      </c>
      <c r="Y40" t="s">
        <v>1207</v>
      </c>
      <c r="Z40" t="s">
        <v>1470</v>
      </c>
      <c r="AA40" t="s">
        <v>1361</v>
      </c>
      <c r="AB40" s="114" t="str">
        <f>HYPERLINK("mailto:"&amp;ckCodingTable[[#This Row],[email]]&amp;"&amp;subject=Your NSF Proposal:  "&amp;ckCodingTable[[#This Row],[Div]]&amp;" "&amp;ckCodingTable[[#This Row],[prop_id]], ckCodingTable[[#This Row],[email]])</f>
        <v>bhaskara@cs.utah.edu</v>
      </c>
      <c r="AC40" s="30">
        <v>43313</v>
      </c>
      <c r="AD40">
        <v>60</v>
      </c>
      <c r="AE40">
        <v>1</v>
      </c>
      <c r="AG40" s="113">
        <v>1</v>
      </c>
      <c r="AH40" t="s">
        <v>345</v>
      </c>
      <c r="AI40" s="26">
        <v>6.5</v>
      </c>
      <c r="AJ40" s="22">
        <v>43058.995833333334</v>
      </c>
      <c r="AL40">
        <v>4</v>
      </c>
      <c r="AN40" s="113">
        <v>4</v>
      </c>
      <c r="AO40" s="113"/>
      <c r="AP40" s="113"/>
      <c r="AQ40" s="113"/>
      <c r="AR40" s="122" t="str">
        <f>HYPERLINK("https://www.ejacket.nsf.gov/ej/showProposal.do?ID="&amp;ckCodingTable[[#This Row],[prop_id]],"eJ")</f>
        <v>eJ</v>
      </c>
      <c r="AS40" t="s">
        <v>173</v>
      </c>
      <c r="AT40" t="s">
        <v>1471</v>
      </c>
      <c r="AU40" t="b">
        <f>IF(ckCodingTable[[#This Row],[ILN]]="N",SUBSTITUTE(AT39," ","")&lt;&gt;SUBSTITUTE(ckCodingTable[[#This Row],[prop_titl_txt]]," ",""), FALSE)</f>
        <v>0</v>
      </c>
      <c r="AV40">
        <v>0</v>
      </c>
      <c r="AW40" s="13">
        <v>536841</v>
      </c>
      <c r="AX40" s="13">
        <v>536841</v>
      </c>
      <c r="AY40" s="13"/>
      <c r="AZ40" s="13">
        <v>27500</v>
      </c>
      <c r="BA40" s="13"/>
      <c r="BB40" s="13">
        <v>20000</v>
      </c>
      <c r="BC40">
        <v>5</v>
      </c>
      <c r="BD40">
        <v>5</v>
      </c>
      <c r="BE40">
        <v>5</v>
      </c>
      <c r="BH40">
        <v>0</v>
      </c>
      <c r="BI40">
        <v>0</v>
      </c>
      <c r="BJ40">
        <v>0</v>
      </c>
      <c r="BK40">
        <v>0</v>
      </c>
      <c r="BL40" t="s">
        <v>1472</v>
      </c>
    </row>
    <row r="41" spans="1:64">
      <c r="A41" s="30"/>
      <c r="B41" s="30">
        <v>42935.723611111112</v>
      </c>
      <c r="C41" t="s">
        <v>244</v>
      </c>
      <c r="D41" t="s">
        <v>780</v>
      </c>
      <c r="E41" t="s">
        <v>567</v>
      </c>
      <c r="F41" t="s">
        <v>172</v>
      </c>
      <c r="G41" t="s">
        <v>170</v>
      </c>
      <c r="H41" s="21" t="s">
        <v>94</v>
      </c>
      <c r="I41" s="86">
        <v>1</v>
      </c>
      <c r="J41" s="86">
        <v>0</v>
      </c>
      <c r="K41" t="s">
        <v>782</v>
      </c>
      <c r="L41" t="s">
        <v>582</v>
      </c>
      <c r="M41" t="s">
        <v>1354</v>
      </c>
      <c r="N41" t="str">
        <f>IF(SUM(ckCodingTable[[#This Row],[NfmlPIs]:[NnonWhtAsnPIs]])&gt;0,"WMD","")</f>
        <v>WMD</v>
      </c>
      <c r="O41" t="b">
        <f>_xlfn.XOR(IFERROR(MATCH(ckCodingTable[[#This Row],[st_code]],EpscorTable[],0)&gt;0,FALSE),IFERROR(FIND("9150",ckCodingTable[[#This Row],[propPRCs]])&gt;0,FALSE))</f>
        <v>1</v>
      </c>
      <c r="P41" s="21" t="b">
        <f>_xlfn.XOR(ckCodingTable[[#This Row],[wmd]]&lt;&gt;"",IFERROR(FIND("9102",ckCodingTable[[#This Row],[propPRCs]])&gt;0,FALSE))</f>
        <v>1</v>
      </c>
      <c r="Q41" t="s">
        <v>1473</v>
      </c>
      <c r="S41" s="109">
        <f>S40+(ckCodingTable[[#This Row],[ILN]]&lt;"M")</f>
        <v>40</v>
      </c>
      <c r="T41" s="21" t="s">
        <v>96</v>
      </c>
      <c r="U41" t="s">
        <v>1214</v>
      </c>
      <c r="V41" s="7" t="str">
        <f>HYPERLINK("https://www.ejacket.nsf.gov/ej/showProposal.do?ID="&amp;ckCodingTable[[#This Row],[prop_id]],"eJ")</f>
        <v>eJ</v>
      </c>
      <c r="W41" t="s">
        <v>781</v>
      </c>
      <c r="X41" t="s">
        <v>1214</v>
      </c>
      <c r="Y41" t="s">
        <v>1215</v>
      </c>
      <c r="Z41" t="s">
        <v>1474</v>
      </c>
      <c r="AA41" t="s">
        <v>1362</v>
      </c>
      <c r="AB41" s="114" t="str">
        <f>HYPERLINK("mailto:"&amp;ckCodingTable[[#This Row],[email]]&amp;"&amp;subject=Your NSF Proposal:  "&amp;ckCodingTable[[#This Row],[Div]]&amp;" "&amp;ckCodingTable[[#This Row],[prop_id]], ckCodingTable[[#This Row],[email]])</f>
        <v>brittany@cs.montana.edu</v>
      </c>
      <c r="AC41" s="30">
        <v>43344</v>
      </c>
      <c r="AD41">
        <v>60</v>
      </c>
      <c r="AE41">
        <v>1</v>
      </c>
      <c r="AG41" s="113">
        <v>1</v>
      </c>
      <c r="AH41" t="s">
        <v>345</v>
      </c>
      <c r="AI41" s="26">
        <v>6.5</v>
      </c>
      <c r="AJ41" s="22">
        <v>43031.43472222222</v>
      </c>
      <c r="AL41">
        <v>4</v>
      </c>
      <c r="AN41" s="113">
        <v>4</v>
      </c>
      <c r="AO41" s="113"/>
      <c r="AP41" s="113"/>
      <c r="AQ41" s="113"/>
      <c r="AR41" s="122" t="str">
        <f>HYPERLINK("https://www.ejacket.nsf.gov/ej/showProposal.do?ID="&amp;ckCodingTable[[#This Row],[prop_id]],"eJ")</f>
        <v>eJ</v>
      </c>
      <c r="AS41" t="s">
        <v>173</v>
      </c>
      <c r="AT41" t="s">
        <v>1475</v>
      </c>
      <c r="AU41" t="b">
        <f>IF(ckCodingTable[[#This Row],[ILN]]="N",SUBSTITUTE(AT40," ","")&lt;&gt;SUBSTITUTE(ckCodingTable[[#This Row],[prop_titl_txt]]," ",""), FALSE)</f>
        <v>0</v>
      </c>
      <c r="AV41">
        <v>0</v>
      </c>
      <c r="AW41" s="13">
        <v>552355</v>
      </c>
      <c r="AX41" s="13">
        <v>552355</v>
      </c>
      <c r="AY41" s="13"/>
      <c r="AZ41" s="13">
        <v>13000</v>
      </c>
      <c r="BA41" s="13"/>
      <c r="BB41" s="13"/>
      <c r="BC41">
        <v>12</v>
      </c>
      <c r="BD41">
        <v>5</v>
      </c>
      <c r="BE41">
        <v>5</v>
      </c>
      <c r="BH41">
        <v>2</v>
      </c>
      <c r="BI41">
        <v>0</v>
      </c>
      <c r="BJ41">
        <v>0</v>
      </c>
      <c r="BK41">
        <v>0</v>
      </c>
      <c r="BL41" t="s">
        <v>1476</v>
      </c>
    </row>
    <row r="42" spans="1:64">
      <c r="A42" s="30"/>
      <c r="B42" s="30">
        <v>42935.851388888892</v>
      </c>
      <c r="C42" t="s">
        <v>244</v>
      </c>
      <c r="D42" t="s">
        <v>780</v>
      </c>
      <c r="E42" t="s">
        <v>567</v>
      </c>
      <c r="F42" t="s">
        <v>172</v>
      </c>
      <c r="G42" t="s">
        <v>170</v>
      </c>
      <c r="H42" s="21" t="s">
        <v>94</v>
      </c>
      <c r="I42" s="86">
        <v>1</v>
      </c>
      <c r="J42" s="86">
        <v>0</v>
      </c>
      <c r="K42" t="s">
        <v>782</v>
      </c>
      <c r="L42" t="s">
        <v>944</v>
      </c>
      <c r="M42" t="s">
        <v>101</v>
      </c>
      <c r="N42" t="str">
        <f>IF(SUM(ckCodingTable[[#This Row],[NfmlPIs]:[NnonWhtAsnPIs]])&gt;0,"WMD","")</f>
        <v/>
      </c>
      <c r="O42" t="b">
        <f>_xlfn.XOR(IFERROR(MATCH(ckCodingTable[[#This Row],[st_code]],EpscorTable[],0)&gt;0,FALSE),IFERROR(FIND("9150",ckCodingTable[[#This Row],[propPRCs]])&gt;0,FALSE))</f>
        <v>0</v>
      </c>
      <c r="P42" s="21" t="b">
        <f>_xlfn.XOR(ckCodingTable[[#This Row],[wmd]]&lt;&gt;"",IFERROR(FIND("9102",ckCodingTable[[#This Row],[propPRCs]])&gt;0,FALSE))</f>
        <v>0</v>
      </c>
      <c r="Q42" t="s">
        <v>1464</v>
      </c>
      <c r="S42" s="109">
        <f>S41+(ckCodingTable[[#This Row],[ILN]]&lt;"M")</f>
        <v>41</v>
      </c>
      <c r="T42" s="21" t="s">
        <v>96</v>
      </c>
      <c r="U42" t="s">
        <v>1222</v>
      </c>
      <c r="V42" s="7" t="str">
        <f>HYPERLINK("https://www.ejacket.nsf.gov/ej/showProposal.do?ID="&amp;ckCodingTable[[#This Row],[prop_id]],"eJ")</f>
        <v>eJ</v>
      </c>
      <c r="W42" t="s">
        <v>781</v>
      </c>
      <c r="X42" t="s">
        <v>1222</v>
      </c>
      <c r="Y42" t="s">
        <v>1223</v>
      </c>
      <c r="Z42" t="s">
        <v>1477</v>
      </c>
      <c r="AA42" t="s">
        <v>360</v>
      </c>
      <c r="AB42" s="114" t="str">
        <f>HYPERLINK("mailto:"&amp;ckCodingTable[[#This Row],[email]]&amp;"&amp;subject=Your NSF Proposal:  "&amp;ckCodingTable[[#This Row],[Div]]&amp;" "&amp;ckCodingTable[[#This Row],[prop_id]], ckCodingTable[[#This Row],[email]])</f>
        <v>nodari@hawaii.edu</v>
      </c>
      <c r="AC42" s="30">
        <v>43160</v>
      </c>
      <c r="AD42">
        <v>60</v>
      </c>
      <c r="AE42">
        <v>1</v>
      </c>
      <c r="AG42" s="113"/>
      <c r="AH42" t="s">
        <v>361</v>
      </c>
      <c r="AI42" s="26">
        <v>5.5</v>
      </c>
      <c r="AJ42" s="22">
        <v>43031.703472222223</v>
      </c>
      <c r="AK42" s="22">
        <v>1</v>
      </c>
      <c r="AL42">
        <v>4</v>
      </c>
      <c r="AN42" s="113"/>
      <c r="AO42" s="113"/>
      <c r="AP42" s="113"/>
      <c r="AQ42" s="113"/>
      <c r="AR42" s="122" t="str">
        <f>HYPERLINK("https://www.ejacket.nsf.gov/ej/showProposal.do?ID="&amp;ckCodingTable[[#This Row],[prop_id]],"eJ")</f>
        <v>eJ</v>
      </c>
      <c r="AS42" t="s">
        <v>173</v>
      </c>
      <c r="AT42" t="s">
        <v>1478</v>
      </c>
      <c r="AU42" t="b">
        <f>IF(ckCodingTable[[#This Row],[ILN]]="N",SUBSTITUTE(AT41," ","")&lt;&gt;SUBSTITUTE(ckCodingTable[[#This Row],[prop_titl_txt]]," ",""), FALSE)</f>
        <v>0</v>
      </c>
      <c r="AV42">
        <v>0</v>
      </c>
      <c r="AW42" s="13">
        <v>549999</v>
      </c>
      <c r="AX42" s="13">
        <v>549999</v>
      </c>
      <c r="AY42" s="13"/>
      <c r="AZ42" s="13">
        <v>20000</v>
      </c>
      <c r="BA42" s="13"/>
      <c r="BB42" s="13"/>
      <c r="BC42">
        <v>5</v>
      </c>
      <c r="BD42">
        <v>5</v>
      </c>
      <c r="BE42">
        <v>5</v>
      </c>
      <c r="BF42">
        <v>4.5199999999999996</v>
      </c>
      <c r="BH42">
        <v>0</v>
      </c>
      <c r="BI42">
        <v>0</v>
      </c>
      <c r="BJ42">
        <v>0</v>
      </c>
      <c r="BK42">
        <v>0</v>
      </c>
      <c r="BL42" t="s">
        <v>1479</v>
      </c>
    </row>
    <row r="43" spans="1:64">
      <c r="A43" s="30"/>
      <c r="B43" s="30">
        <v>42950.663888888892</v>
      </c>
      <c r="C43" t="s">
        <v>848</v>
      </c>
      <c r="D43" t="s">
        <v>1371</v>
      </c>
      <c r="E43" t="s">
        <v>531</v>
      </c>
      <c r="F43" t="s">
        <v>172</v>
      </c>
      <c r="G43" t="s">
        <v>170</v>
      </c>
      <c r="H43" s="21" t="s">
        <v>94</v>
      </c>
      <c r="I43" s="86">
        <v>1</v>
      </c>
      <c r="J43" s="86">
        <v>0</v>
      </c>
      <c r="K43" t="s">
        <v>1480</v>
      </c>
      <c r="L43" t="s">
        <v>1233</v>
      </c>
      <c r="M43" t="s">
        <v>1363</v>
      </c>
      <c r="N43" t="str">
        <f>IF(SUM(ckCodingTable[[#This Row],[NfmlPIs]:[NnonWhtAsnPIs]])&gt;0,"WMD","")</f>
        <v/>
      </c>
      <c r="O43" t="b">
        <f>_xlfn.XOR(IFERROR(MATCH(ckCodingTable[[#This Row],[st_code]],EpscorTable[],0)&gt;0,FALSE),IFERROR(FIND("9150",ckCodingTable[[#This Row],[propPRCs]])&gt;0,FALSE))</f>
        <v>0</v>
      </c>
      <c r="P43" s="21" t="b">
        <f>_xlfn.XOR(ckCodingTable[[#This Row],[wmd]]&lt;&gt;"",IFERROR(FIND("9102",ckCodingTable[[#This Row],[propPRCs]])&gt;0,FALSE))</f>
        <v>0</v>
      </c>
      <c r="Q43" t="s">
        <v>1481</v>
      </c>
      <c r="S43" s="109">
        <f>S42+(ckCodingTable[[#This Row],[ILN]]&lt;"M")</f>
        <v>42</v>
      </c>
      <c r="T43" s="21" t="s">
        <v>96</v>
      </c>
      <c r="U43" t="s">
        <v>1230</v>
      </c>
      <c r="V43" s="7" t="str">
        <f>HYPERLINK("https://www.ejacket.nsf.gov/ej/showProposal.do?ID="&amp;ckCodingTable[[#This Row],[prop_id]],"eJ")</f>
        <v>eJ</v>
      </c>
      <c r="W43" t="s">
        <v>1372</v>
      </c>
      <c r="X43" t="s">
        <v>1230</v>
      </c>
      <c r="Y43" t="s">
        <v>1231</v>
      </c>
      <c r="Z43" t="s">
        <v>1482</v>
      </c>
      <c r="AA43" t="s">
        <v>1364</v>
      </c>
      <c r="AB43" s="114" t="str">
        <f>HYPERLINK("mailto:"&amp;ckCodingTable[[#This Row],[email]]&amp;"&amp;subject=Your NSF Proposal:  "&amp;ckCodingTable[[#This Row],[Div]]&amp;" "&amp;ckCodingTable[[#This Row],[prop_id]], ckCodingTable[[#This Row],[email]])</f>
        <v>ani.majumdar@princeton.edu</v>
      </c>
      <c r="AC43" s="30">
        <v>42979</v>
      </c>
      <c r="AD43">
        <v>24</v>
      </c>
      <c r="AE43">
        <v>2</v>
      </c>
      <c r="AG43" s="113">
        <v>2</v>
      </c>
      <c r="AH43" t="s">
        <v>1483</v>
      </c>
      <c r="AI43" s="26">
        <v>5.8571428571428568</v>
      </c>
      <c r="AJ43" s="22">
        <v>43073.747916666667</v>
      </c>
      <c r="AL43">
        <v>7</v>
      </c>
      <c r="AN43" s="113">
        <v>7</v>
      </c>
      <c r="AO43" s="113"/>
      <c r="AP43" s="113"/>
      <c r="AQ43" s="113"/>
      <c r="AR43" s="122" t="str">
        <f>HYPERLINK("https://www.ejacket.nsf.gov/ej/showProposal.do?ID="&amp;ckCodingTable[[#This Row],[prop_id]],"eJ")</f>
        <v>eJ</v>
      </c>
      <c r="AS43" t="s">
        <v>173</v>
      </c>
      <c r="AT43" t="s">
        <v>1484</v>
      </c>
      <c r="AU43" t="b">
        <f>IF(ckCodingTable[[#This Row],[ILN]]="N",SUBSTITUTE(AT42," ","")&lt;&gt;SUBSTITUTE(ckCodingTable[[#This Row],[prop_titl_txt]]," ",""), FALSE)</f>
        <v>0</v>
      </c>
      <c r="AV43">
        <v>0</v>
      </c>
      <c r="AW43" s="13">
        <v>175000</v>
      </c>
      <c r="AX43" s="13">
        <v>175000</v>
      </c>
      <c r="AY43" s="13"/>
      <c r="AZ43" s="13"/>
      <c r="BA43" s="13"/>
      <c r="BB43" s="13"/>
      <c r="BC43">
        <v>2</v>
      </c>
      <c r="BH43">
        <v>0</v>
      </c>
      <c r="BI43">
        <v>0</v>
      </c>
      <c r="BJ43">
        <v>0</v>
      </c>
      <c r="BK43">
        <v>0</v>
      </c>
      <c r="BL43" t="s">
        <v>1485</v>
      </c>
    </row>
    <row r="44" spans="1:64">
      <c r="A44" s="30"/>
      <c r="B44" s="30">
        <v>42954.456944444442</v>
      </c>
      <c r="C44" t="s">
        <v>848</v>
      </c>
      <c r="D44" t="s">
        <v>780</v>
      </c>
      <c r="E44" t="s">
        <v>565</v>
      </c>
      <c r="F44" t="s">
        <v>172</v>
      </c>
      <c r="G44" t="s">
        <v>170</v>
      </c>
      <c r="H44" s="21" t="s">
        <v>94</v>
      </c>
      <c r="I44" s="86">
        <v>1</v>
      </c>
      <c r="J44" s="86">
        <v>0</v>
      </c>
      <c r="K44" t="s">
        <v>849</v>
      </c>
      <c r="L44" t="s">
        <v>582</v>
      </c>
      <c r="M44" t="s">
        <v>264</v>
      </c>
      <c r="N44" t="str">
        <f>IF(SUM(ckCodingTable[[#This Row],[NfmlPIs]:[NnonWhtAsnPIs]])&gt;0,"WMD","")</f>
        <v/>
      </c>
      <c r="O44" t="b">
        <f>_xlfn.XOR(IFERROR(MATCH(ckCodingTable[[#This Row],[st_code]],EpscorTable[],0)&gt;0,FALSE),IFERROR(FIND("9150",ckCodingTable[[#This Row],[propPRCs]])&gt;0,FALSE))</f>
        <v>0</v>
      </c>
      <c r="P44" s="21" t="b">
        <f>_xlfn.XOR(ckCodingTable[[#This Row],[wmd]]&lt;&gt;"",IFERROR(FIND("9102",ckCodingTable[[#This Row],[propPRCs]])&gt;0,FALSE))</f>
        <v>0</v>
      </c>
      <c r="Q44" t="s">
        <v>850</v>
      </c>
      <c r="S44" s="109">
        <f>S43+(ckCodingTable[[#This Row],[ILN]]&lt;"M")</f>
        <v>43</v>
      </c>
      <c r="T44" s="21" t="s">
        <v>96</v>
      </c>
      <c r="U44" t="s">
        <v>1256</v>
      </c>
      <c r="V44" s="7" t="str">
        <f>HYPERLINK("https://www.ejacket.nsf.gov/ej/showProposal.do?ID="&amp;ckCodingTable[[#This Row],[prop_id]],"eJ")</f>
        <v>eJ</v>
      </c>
      <c r="W44" t="s">
        <v>781</v>
      </c>
      <c r="X44" t="s">
        <v>1256</v>
      </c>
      <c r="Y44" t="s">
        <v>1257</v>
      </c>
      <c r="Z44" t="s">
        <v>1486</v>
      </c>
      <c r="AA44" t="s">
        <v>1487</v>
      </c>
      <c r="AB44" s="114" t="str">
        <f>HYPERLINK("mailto:"&amp;ckCodingTable[[#This Row],[email]]&amp;"&amp;subject=Your NSF Proposal:  "&amp;ckCodingTable[[#This Row],[Div]]&amp;" "&amp;ckCodingTable[[#This Row],[prop_id]], ckCodingTable[[#This Row],[email]])</f>
        <v>wtong@georgiasouthern.edu</v>
      </c>
      <c r="AC44" s="30">
        <v>43235</v>
      </c>
      <c r="AD44">
        <v>24</v>
      </c>
      <c r="AE44">
        <v>1</v>
      </c>
      <c r="AG44" s="113">
        <v>1</v>
      </c>
      <c r="AH44" t="s">
        <v>1365</v>
      </c>
      <c r="AI44" s="26">
        <v>4</v>
      </c>
      <c r="AJ44" s="22">
        <v>43060.386805555558</v>
      </c>
      <c r="AL44">
        <v>3</v>
      </c>
      <c r="AN44" s="113">
        <v>3</v>
      </c>
      <c r="AO44" s="113"/>
      <c r="AP44" s="113"/>
      <c r="AQ44" s="113"/>
      <c r="AR44" s="122" t="str">
        <f>HYPERLINK("https://www.ejacket.nsf.gov/ej/showProposal.do?ID="&amp;ckCodingTable[[#This Row],[prop_id]],"eJ")</f>
        <v>eJ</v>
      </c>
      <c r="AS44" t="s">
        <v>173</v>
      </c>
      <c r="AT44" t="s">
        <v>1488</v>
      </c>
      <c r="AU44" t="b">
        <f>IF(ckCodingTable[[#This Row],[ILN]]="N",SUBSTITUTE(AT43," ","")&lt;&gt;SUBSTITUTE(ckCodingTable[[#This Row],[prop_titl_txt]]," ",""), FALSE)</f>
        <v>0</v>
      </c>
      <c r="AV44">
        <v>0</v>
      </c>
      <c r="AW44" s="13">
        <v>162689</v>
      </c>
      <c r="AX44" s="13">
        <v>162689</v>
      </c>
      <c r="AY44" s="13"/>
      <c r="AZ44" s="13">
        <v>8120</v>
      </c>
      <c r="BA44" s="13"/>
      <c r="BB44" s="13"/>
      <c r="BC44">
        <v>4</v>
      </c>
      <c r="BH44">
        <v>0</v>
      </c>
      <c r="BI44">
        <v>0</v>
      </c>
      <c r="BJ44">
        <v>0</v>
      </c>
      <c r="BK44">
        <v>0</v>
      </c>
      <c r="BL44" t="s">
        <v>1489</v>
      </c>
    </row>
    <row r="45" spans="1:64">
      <c r="A45" s="30"/>
      <c r="B45" s="30">
        <v>42954.500694444447</v>
      </c>
      <c r="C45" t="s">
        <v>848</v>
      </c>
      <c r="D45" t="s">
        <v>780</v>
      </c>
      <c r="E45" t="s">
        <v>565</v>
      </c>
      <c r="F45" t="s">
        <v>172</v>
      </c>
      <c r="G45" t="s">
        <v>170</v>
      </c>
      <c r="H45" s="21" t="s">
        <v>94</v>
      </c>
      <c r="I45" s="86">
        <v>1</v>
      </c>
      <c r="J45" s="86">
        <v>0</v>
      </c>
      <c r="K45" t="s">
        <v>849</v>
      </c>
      <c r="L45" t="s">
        <v>944</v>
      </c>
      <c r="M45" t="s">
        <v>264</v>
      </c>
      <c r="N45" t="str">
        <f>IF(SUM(ckCodingTable[[#This Row],[NfmlPIs]:[NnonWhtAsnPIs]])&gt;0,"WMD","")</f>
        <v/>
      </c>
      <c r="O45" t="b">
        <f>_xlfn.XOR(IFERROR(MATCH(ckCodingTable[[#This Row],[st_code]],EpscorTable[],0)&gt;0,FALSE),IFERROR(FIND("9150",ckCodingTable[[#This Row],[propPRCs]])&gt;0,FALSE))</f>
        <v>0</v>
      </c>
      <c r="P45" s="21" t="b">
        <f>_xlfn.XOR(ckCodingTable[[#This Row],[wmd]]&lt;&gt;"",IFERROR(FIND("9102",ckCodingTable[[#This Row],[propPRCs]])&gt;0,FALSE))</f>
        <v>0</v>
      </c>
      <c r="Q45" t="s">
        <v>850</v>
      </c>
      <c r="S45" s="109">
        <f>S44+(ckCodingTable[[#This Row],[ILN]]&lt;"M")</f>
        <v>44</v>
      </c>
      <c r="T45" s="21" t="s">
        <v>96</v>
      </c>
      <c r="U45" t="s">
        <v>1263</v>
      </c>
      <c r="V45" s="7" t="str">
        <f>HYPERLINK("https://www.ejacket.nsf.gov/ej/showProposal.do?ID="&amp;ckCodingTable[[#This Row],[prop_id]],"eJ")</f>
        <v>eJ</v>
      </c>
      <c r="W45" t="s">
        <v>781</v>
      </c>
      <c r="X45" t="s">
        <v>1263</v>
      </c>
      <c r="Y45" t="s">
        <v>342</v>
      </c>
      <c r="Z45" t="s">
        <v>1490</v>
      </c>
      <c r="AA45" t="s">
        <v>1487</v>
      </c>
      <c r="AB45" s="114" t="str">
        <f>HYPERLINK("mailto:"&amp;ckCodingTable[[#This Row],[email]]&amp;"&amp;subject=Your NSF Proposal:  "&amp;ckCodingTable[[#This Row],[Div]]&amp;" "&amp;ckCodingTable[[#This Row],[prop_id]], ckCodingTable[[#This Row],[email]])</f>
        <v>kwang@georgiasouthern.edu</v>
      </c>
      <c r="AC45" s="30">
        <v>43101</v>
      </c>
      <c r="AD45">
        <v>24</v>
      </c>
      <c r="AE45">
        <v>1</v>
      </c>
      <c r="AG45" s="113"/>
      <c r="AH45" t="s">
        <v>362</v>
      </c>
      <c r="AI45" s="26">
        <v>3.25</v>
      </c>
      <c r="AJ45" s="22">
        <v>43031.775694444441</v>
      </c>
      <c r="AL45">
        <v>4</v>
      </c>
      <c r="AN45" s="113"/>
      <c r="AO45" s="113"/>
      <c r="AP45" s="113"/>
      <c r="AQ45" s="113"/>
      <c r="AR45" s="122" t="str">
        <f>HYPERLINK("https://www.ejacket.nsf.gov/ej/showProposal.do?ID="&amp;ckCodingTable[[#This Row],[prop_id]],"eJ")</f>
        <v>eJ</v>
      </c>
      <c r="AS45" t="s">
        <v>173</v>
      </c>
      <c r="AT45" t="s">
        <v>1491</v>
      </c>
      <c r="AU45" t="b">
        <f>IF(ckCodingTable[[#This Row],[ILN]]="N",SUBSTITUTE(AT44," ","")&lt;&gt;SUBSTITUTE(ckCodingTable[[#This Row],[prop_titl_txt]]," ",""), FALSE)</f>
        <v>0</v>
      </c>
      <c r="AV45">
        <v>0</v>
      </c>
      <c r="AW45" s="13">
        <v>168126</v>
      </c>
      <c r="AX45" s="13">
        <v>168126</v>
      </c>
      <c r="AY45" s="13"/>
      <c r="AZ45" s="13"/>
      <c r="BA45" s="13"/>
      <c r="BB45" s="13"/>
      <c r="BC45">
        <v>4</v>
      </c>
      <c r="BH45">
        <v>0</v>
      </c>
      <c r="BI45">
        <v>0</v>
      </c>
      <c r="BJ45">
        <v>0</v>
      </c>
      <c r="BK45">
        <v>0</v>
      </c>
      <c r="BL45" t="s">
        <v>1492</v>
      </c>
    </row>
    <row r="46" spans="1:64">
      <c r="A46" s="30"/>
      <c r="B46" s="30">
        <v>42955.429861111108</v>
      </c>
      <c r="C46" t="s">
        <v>848</v>
      </c>
      <c r="D46" t="s">
        <v>780</v>
      </c>
      <c r="E46" t="s">
        <v>565</v>
      </c>
      <c r="F46" t="s">
        <v>172</v>
      </c>
      <c r="G46" t="s">
        <v>170</v>
      </c>
      <c r="H46" s="21" t="s">
        <v>94</v>
      </c>
      <c r="I46" s="86">
        <v>1</v>
      </c>
      <c r="J46" s="86">
        <v>0</v>
      </c>
      <c r="K46" t="s">
        <v>849</v>
      </c>
      <c r="L46" t="s">
        <v>944</v>
      </c>
      <c r="M46" t="s">
        <v>450</v>
      </c>
      <c r="N46" t="str">
        <f>IF(SUM(ckCodingTable[[#This Row],[NfmlPIs]:[NnonWhtAsnPIs]])&gt;0,"WMD","")</f>
        <v/>
      </c>
      <c r="O46" t="b">
        <f>_xlfn.XOR(IFERROR(MATCH(ckCodingTable[[#This Row],[st_code]],EpscorTable[],0)&gt;0,FALSE),IFERROR(FIND("9150",ckCodingTable[[#This Row],[propPRCs]])&gt;0,FALSE))</f>
        <v>0</v>
      </c>
      <c r="P46" s="21" t="b">
        <f>_xlfn.XOR(ckCodingTable[[#This Row],[wmd]]&lt;&gt;"",IFERROR(FIND("9102",ckCodingTable[[#This Row],[propPRCs]])&gt;0,FALSE))</f>
        <v>0</v>
      </c>
      <c r="Q46" t="s">
        <v>850</v>
      </c>
      <c r="S46" s="109">
        <f>S45+(ckCodingTable[[#This Row],[ILN]]&lt;"M")</f>
        <v>45</v>
      </c>
      <c r="T46" s="21" t="s">
        <v>96</v>
      </c>
      <c r="U46" t="s">
        <v>1269</v>
      </c>
      <c r="V46" s="7" t="str">
        <f>HYPERLINK("https://www.ejacket.nsf.gov/ej/showProposal.do?ID="&amp;ckCodingTable[[#This Row],[prop_id]],"eJ")</f>
        <v>eJ</v>
      </c>
      <c r="W46" t="s">
        <v>781</v>
      </c>
      <c r="X46" t="s">
        <v>1269</v>
      </c>
      <c r="Y46" t="s">
        <v>1270</v>
      </c>
      <c r="Z46" t="s">
        <v>537</v>
      </c>
      <c r="AA46" t="s">
        <v>1358</v>
      </c>
      <c r="AB46" s="114" t="str">
        <f>HYPERLINK("mailto:"&amp;ckCodingTable[[#This Row],[email]]&amp;"&amp;subject=Your NSF Proposal:  "&amp;ckCodingTable[[#This Row],[Div]]&amp;" "&amp;ckCodingTable[[#This Row],[prop_id]], ckCodingTable[[#This Row],[email]])</f>
        <v>yzhoucs@indiana.edu</v>
      </c>
      <c r="AC46" s="30">
        <v>43101</v>
      </c>
      <c r="AD46">
        <v>24</v>
      </c>
      <c r="AE46">
        <v>1</v>
      </c>
      <c r="AG46" s="113">
        <v>1</v>
      </c>
      <c r="AH46" t="s">
        <v>1360</v>
      </c>
      <c r="AI46" s="26">
        <v>6</v>
      </c>
      <c r="AJ46" s="22">
        <v>43060.397916666669</v>
      </c>
      <c r="AL46">
        <v>3</v>
      </c>
      <c r="AN46" s="113">
        <v>3</v>
      </c>
      <c r="AO46" s="113"/>
      <c r="AP46" s="113"/>
      <c r="AQ46" s="113"/>
      <c r="AR46" s="122" t="str">
        <f>HYPERLINK("https://www.ejacket.nsf.gov/ej/showProposal.do?ID="&amp;ckCodingTable[[#This Row],[prop_id]],"eJ")</f>
        <v>eJ</v>
      </c>
      <c r="AS46" t="s">
        <v>173</v>
      </c>
      <c r="AT46" t="s">
        <v>1493</v>
      </c>
      <c r="AU46" t="b">
        <f>IF(ckCodingTable[[#This Row],[ILN]]="N",SUBSTITUTE(AT45," ","")&lt;&gt;SUBSTITUTE(ckCodingTable[[#This Row],[prop_titl_txt]]," ",""), FALSE)</f>
        <v>0</v>
      </c>
      <c r="AV46">
        <v>0</v>
      </c>
      <c r="AW46" s="13">
        <v>174974</v>
      </c>
      <c r="AX46" s="13">
        <v>174974</v>
      </c>
      <c r="AY46" s="13"/>
      <c r="AZ46" s="13">
        <v>8400</v>
      </c>
      <c r="BA46" s="13"/>
      <c r="BB46" s="13"/>
      <c r="BC46">
        <v>3</v>
      </c>
      <c r="BH46">
        <v>0</v>
      </c>
      <c r="BI46">
        <v>0</v>
      </c>
      <c r="BJ46">
        <v>0</v>
      </c>
      <c r="BK46">
        <v>0</v>
      </c>
      <c r="BL46" t="s">
        <v>1494</v>
      </c>
    </row>
    <row r="47" spans="1:64">
      <c r="A47" s="30"/>
      <c r="B47" s="30">
        <v>42955.700694444444</v>
      </c>
      <c r="C47" t="s">
        <v>848</v>
      </c>
      <c r="D47" t="s">
        <v>780</v>
      </c>
      <c r="E47" t="s">
        <v>565</v>
      </c>
      <c r="F47" t="s">
        <v>172</v>
      </c>
      <c r="G47" t="s">
        <v>170</v>
      </c>
      <c r="H47" s="21" t="s">
        <v>94</v>
      </c>
      <c r="I47" s="86">
        <v>1</v>
      </c>
      <c r="J47" s="86">
        <v>0</v>
      </c>
      <c r="K47" t="s">
        <v>849</v>
      </c>
      <c r="L47" t="s">
        <v>582</v>
      </c>
      <c r="M47" t="s">
        <v>347</v>
      </c>
      <c r="N47" t="str">
        <f>IF(SUM(ckCodingTable[[#This Row],[NfmlPIs]:[NnonWhtAsnPIs]])&gt;0,"WMD","")</f>
        <v/>
      </c>
      <c r="O47" t="b">
        <f>_xlfn.XOR(IFERROR(MATCH(ckCodingTable[[#This Row],[st_code]],EpscorTable[],0)&gt;0,FALSE),IFERROR(FIND("9150",ckCodingTable[[#This Row],[propPRCs]])&gt;0,FALSE))</f>
        <v>0</v>
      </c>
      <c r="P47" s="21" t="b">
        <f>_xlfn.XOR(ckCodingTable[[#This Row],[wmd]]&lt;&gt;"",IFERROR(FIND("9102",ckCodingTable[[#This Row],[propPRCs]])&gt;0,FALSE))</f>
        <v>0</v>
      </c>
      <c r="Q47" t="s">
        <v>1495</v>
      </c>
      <c r="S47" s="109">
        <f>S46+(ckCodingTable[[#This Row],[ILN]]&lt;"M")</f>
        <v>46</v>
      </c>
      <c r="T47" s="21" t="s">
        <v>96</v>
      </c>
      <c r="U47" t="s">
        <v>1277</v>
      </c>
      <c r="V47" s="7" t="str">
        <f>HYPERLINK("https://www.ejacket.nsf.gov/ej/showProposal.do?ID="&amp;ckCodingTable[[#This Row],[prop_id]],"eJ")</f>
        <v>eJ</v>
      </c>
      <c r="W47" t="s">
        <v>781</v>
      </c>
      <c r="X47" t="s">
        <v>1277</v>
      </c>
      <c r="Y47" t="s">
        <v>1145</v>
      </c>
      <c r="Z47" t="s">
        <v>1496</v>
      </c>
      <c r="AA47" t="s">
        <v>346</v>
      </c>
      <c r="AB47" s="114" t="str">
        <f>HYPERLINK("mailto:"&amp;ckCodingTable[[#This Row],[email]]&amp;"&amp;subject=Your NSF Proposal:  "&amp;ckCodingTable[[#This Row],[Div]]&amp;" "&amp;ckCodingTable[[#This Row],[prop_id]], ckCodingTable[[#This Row],[email]])</f>
        <v>jugal@illinois.edu</v>
      </c>
      <c r="AC47" s="30">
        <v>43146</v>
      </c>
      <c r="AD47">
        <v>24</v>
      </c>
      <c r="AE47">
        <v>1</v>
      </c>
      <c r="AG47" s="113">
        <v>1</v>
      </c>
      <c r="AH47" t="s">
        <v>1352</v>
      </c>
      <c r="AI47" s="26">
        <v>7.333333333333333</v>
      </c>
      <c r="AJ47" s="22">
        <v>43059.534722222219</v>
      </c>
      <c r="AL47">
        <v>3</v>
      </c>
      <c r="AN47" s="113">
        <v>3</v>
      </c>
      <c r="AO47" s="113"/>
      <c r="AP47" s="113"/>
      <c r="AQ47" s="113"/>
      <c r="AR47" s="122" t="str">
        <f>HYPERLINK("https://www.ejacket.nsf.gov/ej/showProposal.do?ID="&amp;ckCodingTable[[#This Row],[prop_id]],"eJ")</f>
        <v>eJ</v>
      </c>
      <c r="AS47" t="s">
        <v>173</v>
      </c>
      <c r="AT47" t="s">
        <v>1497</v>
      </c>
      <c r="AU47" t="b">
        <f>IF(ckCodingTable[[#This Row],[ILN]]="N",SUBSTITUTE(AT46," ","")&lt;&gt;SUBSTITUTE(ckCodingTable[[#This Row],[prop_titl_txt]]," ",""), FALSE)</f>
        <v>0</v>
      </c>
      <c r="AV47">
        <v>0</v>
      </c>
      <c r="AW47" s="13">
        <v>175000</v>
      </c>
      <c r="AX47" s="13">
        <v>175000</v>
      </c>
      <c r="AY47" s="13"/>
      <c r="AZ47" s="13">
        <v>4000</v>
      </c>
      <c r="BA47" s="13"/>
      <c r="BB47" s="13"/>
      <c r="BC47">
        <v>4</v>
      </c>
      <c r="BH47">
        <v>0</v>
      </c>
      <c r="BI47">
        <v>0</v>
      </c>
      <c r="BJ47">
        <v>0</v>
      </c>
      <c r="BK47">
        <v>0</v>
      </c>
      <c r="BL47" t="s">
        <v>1498</v>
      </c>
    </row>
    <row r="48" spans="1:64">
      <c r="A48" s="30"/>
      <c r="B48" s="30">
        <v>42956.472222222219</v>
      </c>
      <c r="C48" t="s">
        <v>848</v>
      </c>
      <c r="D48" t="s">
        <v>780</v>
      </c>
      <c r="E48" t="s">
        <v>565</v>
      </c>
      <c r="F48" t="s">
        <v>172</v>
      </c>
      <c r="G48" t="s">
        <v>170</v>
      </c>
      <c r="H48" s="21" t="s">
        <v>94</v>
      </c>
      <c r="I48" s="86">
        <v>1</v>
      </c>
      <c r="J48" s="86">
        <v>0</v>
      </c>
      <c r="K48" t="s">
        <v>849</v>
      </c>
      <c r="L48" t="s">
        <v>579</v>
      </c>
      <c r="M48" t="s">
        <v>363</v>
      </c>
      <c r="N48" t="str">
        <f>IF(SUM(ckCodingTable[[#This Row],[NfmlPIs]:[NnonWhtAsnPIs]])&gt;0,"WMD","")</f>
        <v/>
      </c>
      <c r="O48" t="b">
        <f>_xlfn.XOR(IFERROR(MATCH(ckCodingTable[[#This Row],[st_code]],EpscorTable[],0)&gt;0,FALSE),IFERROR(FIND("9150",ckCodingTable[[#This Row],[propPRCs]])&gt;0,FALSE))</f>
        <v>0</v>
      </c>
      <c r="P48" s="21" t="b">
        <f>_xlfn.XOR(ckCodingTable[[#This Row],[wmd]]&lt;&gt;"",IFERROR(FIND("9102",ckCodingTable[[#This Row],[propPRCs]])&gt;0,FALSE))</f>
        <v>0</v>
      </c>
      <c r="Q48" t="s">
        <v>850</v>
      </c>
      <c r="S48" s="109">
        <f>S47+(ckCodingTable[[#This Row],[ILN]]&lt;"M")</f>
        <v>47</v>
      </c>
      <c r="T48" s="21" t="s">
        <v>96</v>
      </c>
      <c r="U48" t="s">
        <v>742</v>
      </c>
      <c r="V48" s="7" t="str">
        <f>HYPERLINK("https://www.ejacket.nsf.gov/ej/showProposal.do?ID="&amp;ckCodingTable[[#This Row],[prop_id]],"eJ")</f>
        <v>eJ</v>
      </c>
      <c r="W48" t="s">
        <v>781</v>
      </c>
      <c r="X48" t="s">
        <v>742</v>
      </c>
      <c r="Y48" t="s">
        <v>743</v>
      </c>
      <c r="Z48" t="s">
        <v>851</v>
      </c>
      <c r="AA48" t="s">
        <v>852</v>
      </c>
      <c r="AB48" s="114" t="str">
        <f>HYPERLINK("mailto:"&amp;ckCodingTable[[#This Row],[email]]&amp;"&amp;subject=Your NSF Proposal:  "&amp;ckCodingTable[[#This Row],[Div]]&amp;" "&amp;ckCodingTable[[#This Row],[prop_id]], ckCodingTable[[#This Row],[email]])</f>
        <v>hcharkhgard@usf.edu</v>
      </c>
      <c r="AC48" s="30">
        <v>43221</v>
      </c>
      <c r="AD48">
        <v>24</v>
      </c>
      <c r="AE48">
        <v>1</v>
      </c>
      <c r="AG48" s="113">
        <v>1</v>
      </c>
      <c r="AH48" t="s">
        <v>853</v>
      </c>
      <c r="AI48" s="26">
        <v>5</v>
      </c>
      <c r="AJ48" s="22">
        <v>43031.770833333336</v>
      </c>
      <c r="AL48">
        <v>3</v>
      </c>
      <c r="AN48" s="113">
        <v>3</v>
      </c>
      <c r="AO48" s="113"/>
      <c r="AP48" s="113"/>
      <c r="AQ48" s="113"/>
      <c r="AR48" s="122" t="str">
        <f>HYPERLINK("https://www.ejacket.nsf.gov/ej/showProposal.do?ID="&amp;ckCodingTable[[#This Row],[prop_id]],"eJ")</f>
        <v>eJ</v>
      </c>
      <c r="AS48" t="s">
        <v>173</v>
      </c>
      <c r="AT48" t="s">
        <v>854</v>
      </c>
      <c r="AU48" t="b">
        <f>IF(ckCodingTable[[#This Row],[ILN]]="N",SUBSTITUTE(AT47," ","")&lt;&gt;SUBSTITUTE(ckCodingTable[[#This Row],[prop_titl_txt]]," ",""), FALSE)</f>
        <v>0</v>
      </c>
      <c r="AV48">
        <v>0</v>
      </c>
      <c r="AW48" s="13">
        <v>172682</v>
      </c>
      <c r="AX48" s="13">
        <v>172682</v>
      </c>
      <c r="AY48" s="13"/>
      <c r="AZ48" s="13"/>
      <c r="BA48" s="13"/>
      <c r="BB48" s="13"/>
      <c r="BC48">
        <v>4</v>
      </c>
      <c r="BH48">
        <v>0</v>
      </c>
      <c r="BI48">
        <v>0</v>
      </c>
      <c r="BJ48">
        <v>0</v>
      </c>
      <c r="BK48">
        <v>0</v>
      </c>
      <c r="BL48" t="s">
        <v>855</v>
      </c>
    </row>
    <row r="49" spans="1:64">
      <c r="A49" s="30"/>
      <c r="B49" s="30">
        <v>42956.581944444442</v>
      </c>
      <c r="C49" t="s">
        <v>848</v>
      </c>
      <c r="D49" t="s">
        <v>780</v>
      </c>
      <c r="E49" t="s">
        <v>565</v>
      </c>
      <c r="F49" t="s">
        <v>172</v>
      </c>
      <c r="G49" t="s">
        <v>170</v>
      </c>
      <c r="H49" s="21" t="s">
        <v>94</v>
      </c>
      <c r="I49" s="86">
        <v>1</v>
      </c>
      <c r="J49" s="86">
        <v>0</v>
      </c>
      <c r="K49" t="s">
        <v>849</v>
      </c>
      <c r="L49" t="s">
        <v>944</v>
      </c>
      <c r="M49" t="s">
        <v>262</v>
      </c>
      <c r="N49" t="str">
        <f>IF(SUM(ckCodingTable[[#This Row],[NfmlPIs]:[NnonWhtAsnPIs]])&gt;0,"WMD","")</f>
        <v/>
      </c>
      <c r="O49" t="b">
        <f>_xlfn.XOR(IFERROR(MATCH(ckCodingTable[[#This Row],[st_code]],EpscorTable[],0)&gt;0,FALSE),IFERROR(FIND("9150",ckCodingTable[[#This Row],[propPRCs]])&gt;0,FALSE))</f>
        <v>0</v>
      </c>
      <c r="P49" s="21" t="b">
        <f>_xlfn.XOR(ckCodingTable[[#This Row],[wmd]]&lt;&gt;"",IFERROR(FIND("9102",ckCodingTable[[#This Row],[propPRCs]])&gt;0,FALSE))</f>
        <v>0</v>
      </c>
      <c r="Q49" t="s">
        <v>850</v>
      </c>
      <c r="S49" s="109">
        <f>S48+(ckCodingTable[[#This Row],[ILN]]&lt;"M")</f>
        <v>48</v>
      </c>
      <c r="T49" s="21" t="s">
        <v>96</v>
      </c>
      <c r="U49" t="s">
        <v>1283</v>
      </c>
      <c r="V49" s="7" t="str">
        <f>HYPERLINK("https://www.ejacket.nsf.gov/ej/showProposal.do?ID="&amp;ckCodingTable[[#This Row],[prop_id]],"eJ")</f>
        <v>eJ</v>
      </c>
      <c r="W49" t="s">
        <v>781</v>
      </c>
      <c r="X49" t="s">
        <v>1283</v>
      </c>
      <c r="Y49" t="s">
        <v>1284</v>
      </c>
      <c r="Z49" t="s">
        <v>1499</v>
      </c>
      <c r="AA49" t="s">
        <v>1500</v>
      </c>
      <c r="AB49" s="114" t="str">
        <f>HYPERLINK("mailto:"&amp;ckCodingTable[[#This Row],[email]]&amp;"&amp;subject=Your NSF Proposal:  "&amp;ckCodingTable[[#This Row],[Div]]&amp;" "&amp;ckCodingTable[[#This Row],[prop_id]], ckCodingTable[[#This Row],[email]])</f>
        <v>Mayank.Goswami@qc.cuny.edu</v>
      </c>
      <c r="AC49" s="30">
        <v>43344</v>
      </c>
      <c r="AD49">
        <v>24</v>
      </c>
      <c r="AE49">
        <v>1</v>
      </c>
      <c r="AG49" s="113">
        <v>1</v>
      </c>
      <c r="AH49" t="s">
        <v>1501</v>
      </c>
      <c r="AI49" s="26">
        <v>7</v>
      </c>
      <c r="AJ49" s="22">
        <v>43031.369444444441</v>
      </c>
      <c r="AK49" s="22">
        <v>1</v>
      </c>
      <c r="AL49">
        <v>3</v>
      </c>
      <c r="AN49" s="113">
        <v>3</v>
      </c>
      <c r="AO49" s="113"/>
      <c r="AP49" s="113"/>
      <c r="AQ49" s="113"/>
      <c r="AR49" s="122" t="str">
        <f>HYPERLINK("https://www.ejacket.nsf.gov/ej/showProposal.do?ID="&amp;ckCodingTable[[#This Row],[prop_id]],"eJ")</f>
        <v>eJ</v>
      </c>
      <c r="AS49" t="s">
        <v>173</v>
      </c>
      <c r="AT49" t="s">
        <v>1502</v>
      </c>
      <c r="AU49" t="b">
        <f>IF(ckCodingTable[[#This Row],[ILN]]="N",SUBSTITUTE(AT48," ","")&lt;&gt;SUBSTITUTE(ckCodingTable[[#This Row],[prop_titl_txt]]," ",""), FALSE)</f>
        <v>0</v>
      </c>
      <c r="AV49">
        <v>0</v>
      </c>
      <c r="AW49" s="13">
        <v>175000</v>
      </c>
      <c r="AX49" s="13">
        <v>175000</v>
      </c>
      <c r="AY49" s="13"/>
      <c r="AZ49" s="13">
        <v>10000</v>
      </c>
      <c r="BA49" s="13"/>
      <c r="BB49" s="13"/>
      <c r="BC49">
        <v>2</v>
      </c>
      <c r="BH49">
        <v>0</v>
      </c>
      <c r="BI49">
        <v>0</v>
      </c>
      <c r="BJ49">
        <v>0</v>
      </c>
      <c r="BK49">
        <v>0</v>
      </c>
      <c r="BL49" t="s">
        <v>1503</v>
      </c>
    </row>
    <row r="50" spans="1:64">
      <c r="A50" s="30"/>
      <c r="B50" s="30">
        <v>42956.588888888888</v>
      </c>
      <c r="C50" t="s">
        <v>848</v>
      </c>
      <c r="D50" t="s">
        <v>1371</v>
      </c>
      <c r="E50" t="s">
        <v>531</v>
      </c>
      <c r="F50" t="s">
        <v>172</v>
      </c>
      <c r="G50" t="s">
        <v>170</v>
      </c>
      <c r="H50" s="21" t="s">
        <v>94</v>
      </c>
      <c r="I50" s="86">
        <v>1</v>
      </c>
      <c r="J50" s="86">
        <v>0</v>
      </c>
      <c r="K50" t="s">
        <v>1480</v>
      </c>
      <c r="L50" t="s">
        <v>929</v>
      </c>
      <c r="M50" t="s">
        <v>264</v>
      </c>
      <c r="N50" t="str">
        <f>IF(SUM(ckCodingTable[[#This Row],[NfmlPIs]:[NnonWhtAsnPIs]])&gt;0,"WMD","")</f>
        <v/>
      </c>
      <c r="O50" t="b">
        <f>_xlfn.XOR(IFERROR(MATCH(ckCodingTable[[#This Row],[st_code]],EpscorTable[],0)&gt;0,FALSE),IFERROR(FIND("9150",ckCodingTable[[#This Row],[propPRCs]])&gt;0,FALSE))</f>
        <v>0</v>
      </c>
      <c r="P50" s="21" t="b">
        <f>_xlfn.XOR(ckCodingTable[[#This Row],[wmd]]&lt;&gt;"",IFERROR(FIND("9102",ckCodingTable[[#This Row],[propPRCs]])&gt;0,FALSE))</f>
        <v>0</v>
      </c>
      <c r="Q50" t="s">
        <v>1481</v>
      </c>
      <c r="S50" s="109">
        <f>S49+(ckCodingTable[[#This Row],[ILN]]&lt;"M")</f>
        <v>49</v>
      </c>
      <c r="T50" s="21" t="s">
        <v>96</v>
      </c>
      <c r="U50" t="s">
        <v>1291</v>
      </c>
      <c r="V50" s="7" t="str">
        <f>HYPERLINK("https://www.ejacket.nsf.gov/ej/showProposal.do?ID="&amp;ckCodingTable[[#This Row],[prop_id]],"eJ")</f>
        <v>eJ</v>
      </c>
      <c r="W50" t="s">
        <v>1372</v>
      </c>
      <c r="X50" t="s">
        <v>1291</v>
      </c>
      <c r="Y50" t="s">
        <v>1292</v>
      </c>
      <c r="Z50" t="s">
        <v>1504</v>
      </c>
      <c r="AA50" t="s">
        <v>451</v>
      </c>
      <c r="AB50" s="114" t="str">
        <f>HYPERLINK("mailto:"&amp;ckCodingTable[[#This Row],[email]]&amp;"&amp;subject=Your NSF Proposal:  "&amp;ckCodingTable[[#This Row],[Div]]&amp;" "&amp;ckCodingTable[[#This Row],[prop_id]], ckCodingTable[[#This Row],[email]])</f>
        <v>tzhao80@gatech.edu</v>
      </c>
      <c r="AC50" s="30">
        <v>43235</v>
      </c>
      <c r="AD50">
        <v>24</v>
      </c>
      <c r="AE50">
        <v>2</v>
      </c>
      <c r="AG50" s="113">
        <v>2</v>
      </c>
      <c r="AH50" t="s">
        <v>1505</v>
      </c>
      <c r="AI50" s="26">
        <v>5</v>
      </c>
      <c r="AJ50" s="22">
        <v>43058.96597222222</v>
      </c>
      <c r="AK50" s="22">
        <v>2</v>
      </c>
      <c r="AL50">
        <v>7</v>
      </c>
      <c r="AN50" s="113">
        <v>7</v>
      </c>
      <c r="AO50" s="113"/>
      <c r="AP50" s="113"/>
      <c r="AQ50" s="113"/>
      <c r="AR50" s="122" t="str">
        <f>HYPERLINK("https://www.ejacket.nsf.gov/ej/showProposal.do?ID="&amp;ckCodingTable[[#This Row],[prop_id]],"eJ")</f>
        <v>eJ</v>
      </c>
      <c r="AS50" t="s">
        <v>173</v>
      </c>
      <c r="AT50" t="s">
        <v>1506</v>
      </c>
      <c r="AU50" t="b">
        <f>IF(ckCodingTable[[#This Row],[ILN]]="N",SUBSTITUTE(AT49," ","")&lt;&gt;SUBSTITUTE(ckCodingTable[[#This Row],[prop_titl_txt]]," ",""), FALSE)</f>
        <v>0</v>
      </c>
      <c r="AV50">
        <v>0</v>
      </c>
      <c r="AW50" s="13">
        <v>175000</v>
      </c>
      <c r="AX50" s="13">
        <v>175000</v>
      </c>
      <c r="AY50" s="13"/>
      <c r="AZ50" s="13"/>
      <c r="BA50" s="13"/>
      <c r="BB50" s="13"/>
      <c r="BC50">
        <v>6</v>
      </c>
      <c r="BH50">
        <v>0</v>
      </c>
      <c r="BI50">
        <v>0</v>
      </c>
      <c r="BJ50">
        <v>0</v>
      </c>
      <c r="BK50">
        <v>0</v>
      </c>
      <c r="BL50" t="s">
        <v>1507</v>
      </c>
    </row>
    <row r="51" spans="1:64">
      <c r="A51" s="30"/>
      <c r="B51" s="30">
        <v>42956.621527777781</v>
      </c>
      <c r="C51" t="s">
        <v>848</v>
      </c>
      <c r="D51" t="s">
        <v>780</v>
      </c>
      <c r="E51" t="s">
        <v>565</v>
      </c>
      <c r="F51" t="s">
        <v>172</v>
      </c>
      <c r="G51" t="s">
        <v>170</v>
      </c>
      <c r="H51" s="21" t="s">
        <v>94</v>
      </c>
      <c r="I51" s="86">
        <v>1</v>
      </c>
      <c r="J51" s="86">
        <v>0</v>
      </c>
      <c r="K51" t="s">
        <v>849</v>
      </c>
      <c r="L51" t="s">
        <v>582</v>
      </c>
      <c r="M51" t="s">
        <v>347</v>
      </c>
      <c r="N51" t="str">
        <f>IF(SUM(ckCodingTable[[#This Row],[NfmlPIs]:[NnonWhtAsnPIs]])&gt;0,"WMD","")</f>
        <v/>
      </c>
      <c r="O51" t="b">
        <f>_xlfn.XOR(IFERROR(MATCH(ckCodingTable[[#This Row],[st_code]],EpscorTable[],0)&gt;0,FALSE),IFERROR(FIND("9150",ckCodingTable[[#This Row],[propPRCs]])&gt;0,FALSE))</f>
        <v>0</v>
      </c>
      <c r="P51" s="21" t="b">
        <f>_xlfn.XOR(ckCodingTable[[#This Row],[wmd]]&lt;&gt;"",IFERROR(FIND("9102",ckCodingTable[[#This Row],[propPRCs]])&gt;0,FALSE))</f>
        <v>0</v>
      </c>
      <c r="Q51" t="s">
        <v>856</v>
      </c>
      <c r="S51" s="109">
        <f>S50+(ckCodingTable[[#This Row],[ILN]]&lt;"M")</f>
        <v>50</v>
      </c>
      <c r="T51" s="21" t="s">
        <v>96</v>
      </c>
      <c r="U51" t="s">
        <v>749</v>
      </c>
      <c r="V51" s="7" t="str">
        <f>HYPERLINK("https://www.ejacket.nsf.gov/ej/showProposal.do?ID="&amp;ckCodingTable[[#This Row],[prop_id]],"eJ")</f>
        <v>eJ</v>
      </c>
      <c r="W51" t="s">
        <v>781</v>
      </c>
      <c r="X51" t="s">
        <v>749</v>
      </c>
      <c r="Y51" t="s">
        <v>364</v>
      </c>
      <c r="Z51" t="s">
        <v>857</v>
      </c>
      <c r="AA51" t="s">
        <v>346</v>
      </c>
      <c r="AB51" s="114" t="str">
        <f>HYPERLINK("mailto:"&amp;ckCodingTable[[#This Row],[email]]&amp;"&amp;subject=Your NSF Proposal:  "&amp;ckCodingTable[[#This Row],[Div]]&amp;" "&amp;ckCodingTable[[#This Row],[prop_id]], ckCodingTable[[#This Row],[email]])</f>
        <v>ruoyus@illinois.edu</v>
      </c>
      <c r="AC51" s="30">
        <v>43282</v>
      </c>
      <c r="AD51">
        <v>24</v>
      </c>
      <c r="AE51">
        <v>1</v>
      </c>
      <c r="AG51" s="113">
        <v>1</v>
      </c>
      <c r="AH51" t="s">
        <v>858</v>
      </c>
      <c r="AI51" s="26">
        <v>6.333333333333333</v>
      </c>
      <c r="AJ51" s="22">
        <v>43031.767361111109</v>
      </c>
      <c r="AK51" s="22">
        <v>2</v>
      </c>
      <c r="AL51">
        <v>3</v>
      </c>
      <c r="AN51" s="113">
        <v>3</v>
      </c>
      <c r="AO51" s="113"/>
      <c r="AP51" s="113"/>
      <c r="AQ51" s="113"/>
      <c r="AR51" s="122" t="str">
        <f>HYPERLINK("https://www.ejacket.nsf.gov/ej/showProposal.do?ID="&amp;ckCodingTable[[#This Row],[prop_id]],"eJ")</f>
        <v>eJ</v>
      </c>
      <c r="AS51" t="s">
        <v>173</v>
      </c>
      <c r="AT51" t="s">
        <v>859</v>
      </c>
      <c r="AU51" t="b">
        <f>IF(ckCodingTable[[#This Row],[ILN]]="N",SUBSTITUTE(AT50," ","")&lt;&gt;SUBSTITUTE(ckCodingTable[[#This Row],[prop_titl_txt]]," ",""), FALSE)</f>
        <v>0</v>
      </c>
      <c r="AV51">
        <v>0</v>
      </c>
      <c r="AW51" s="13">
        <v>175000</v>
      </c>
      <c r="AX51" s="13">
        <v>175000</v>
      </c>
      <c r="AY51" s="13"/>
      <c r="AZ51" s="13">
        <v>4000</v>
      </c>
      <c r="BA51" s="13"/>
      <c r="BB51" s="13"/>
      <c r="BC51">
        <v>4</v>
      </c>
      <c r="BH51">
        <v>0</v>
      </c>
      <c r="BI51">
        <v>0</v>
      </c>
      <c r="BJ51">
        <v>0</v>
      </c>
      <c r="BK51">
        <v>0</v>
      </c>
      <c r="BL51" t="s">
        <v>860</v>
      </c>
    </row>
    <row r="52" spans="1:64">
      <c r="A52" s="30"/>
      <c r="B52" s="30">
        <v>42956.647916666669</v>
      </c>
      <c r="C52" t="s">
        <v>848</v>
      </c>
      <c r="D52" t="s">
        <v>780</v>
      </c>
      <c r="E52" t="s">
        <v>565</v>
      </c>
      <c r="F52" t="s">
        <v>172</v>
      </c>
      <c r="G52" t="s">
        <v>170</v>
      </c>
      <c r="H52" s="21" t="s">
        <v>94</v>
      </c>
      <c r="I52" s="86">
        <v>1</v>
      </c>
      <c r="J52" s="86">
        <v>0</v>
      </c>
      <c r="K52" t="s">
        <v>849</v>
      </c>
      <c r="L52" t="s">
        <v>579</v>
      </c>
      <c r="M52" t="s">
        <v>118</v>
      </c>
      <c r="N52" t="str">
        <f>IF(SUM(ckCodingTable[[#This Row],[NfmlPIs]:[NnonWhtAsnPIs]])&gt;0,"WMD","")</f>
        <v/>
      </c>
      <c r="O52" t="b">
        <f>_xlfn.XOR(IFERROR(MATCH(ckCodingTable[[#This Row],[st_code]],EpscorTable[],0)&gt;0,FALSE),IFERROR(FIND("9150",ckCodingTable[[#This Row],[propPRCs]])&gt;0,FALSE))</f>
        <v>0</v>
      </c>
      <c r="P52" s="21" t="b">
        <f>_xlfn.XOR(ckCodingTable[[#This Row],[wmd]]&lt;&gt;"",IFERROR(FIND("9102",ckCodingTable[[#This Row],[propPRCs]])&gt;0,FALSE))</f>
        <v>0</v>
      </c>
      <c r="Q52" t="s">
        <v>861</v>
      </c>
      <c r="S52" s="109">
        <f>S51+(ckCodingTable[[#This Row],[ILN]]&lt;"M")</f>
        <v>51</v>
      </c>
      <c r="T52" s="21" t="s">
        <v>96</v>
      </c>
      <c r="U52" t="s">
        <v>755</v>
      </c>
      <c r="V52" s="7" t="str">
        <f>HYPERLINK("https://www.ejacket.nsf.gov/ej/showProposal.do?ID="&amp;ckCodingTable[[#This Row],[prop_id]],"eJ")</f>
        <v>eJ</v>
      </c>
      <c r="W52" t="s">
        <v>781</v>
      </c>
      <c r="X52" t="s">
        <v>755</v>
      </c>
      <c r="Y52" t="s">
        <v>756</v>
      </c>
      <c r="Z52" t="s">
        <v>862</v>
      </c>
      <c r="AA52" t="s">
        <v>863</v>
      </c>
      <c r="AB52" s="114" t="str">
        <f>HYPERLINK("mailto:"&amp;ckCodingTable[[#This Row],[email]]&amp;"&amp;subject=Your NSF Proposal:  "&amp;ckCodingTable[[#This Row],[Div]]&amp;" "&amp;ckCodingTable[[#This Row],[prop_id]], ckCodingTable[[#This Row],[email]])</f>
        <v>osan@okstate.edu</v>
      </c>
      <c r="AC52" s="30">
        <v>43252</v>
      </c>
      <c r="AD52">
        <v>24</v>
      </c>
      <c r="AE52">
        <v>1</v>
      </c>
      <c r="AG52" s="113">
        <v>1</v>
      </c>
      <c r="AH52" t="s">
        <v>864</v>
      </c>
      <c r="AI52" s="26">
        <v>5.333333333333333</v>
      </c>
      <c r="AJ52" s="22">
        <v>43031.741666666669</v>
      </c>
      <c r="AL52">
        <v>3</v>
      </c>
      <c r="AN52" s="113">
        <v>3</v>
      </c>
      <c r="AO52" s="113"/>
      <c r="AP52" s="113"/>
      <c r="AQ52" s="113"/>
      <c r="AR52" s="122" t="str">
        <f>HYPERLINK("https://www.ejacket.nsf.gov/ej/showProposal.do?ID="&amp;ckCodingTable[[#This Row],[prop_id]],"eJ")</f>
        <v>eJ</v>
      </c>
      <c r="AS52" t="s">
        <v>173</v>
      </c>
      <c r="AT52" t="s">
        <v>865</v>
      </c>
      <c r="AU52" t="b">
        <f>IF(ckCodingTable[[#This Row],[ILN]]="N",SUBSTITUTE(AT51," ","")&lt;&gt;SUBSTITUTE(ckCodingTable[[#This Row],[prop_titl_txt]]," ",""), FALSE)</f>
        <v>0</v>
      </c>
      <c r="AV52">
        <v>0</v>
      </c>
      <c r="AW52" s="13">
        <v>170144</v>
      </c>
      <c r="AX52" s="13">
        <v>170144</v>
      </c>
      <c r="AY52" s="13"/>
      <c r="AZ52" s="13"/>
      <c r="BA52" s="13"/>
      <c r="BB52" s="13"/>
      <c r="BC52">
        <v>4</v>
      </c>
      <c r="BH52">
        <v>0</v>
      </c>
      <c r="BI52">
        <v>0</v>
      </c>
      <c r="BJ52">
        <v>0</v>
      </c>
      <c r="BK52">
        <v>0</v>
      </c>
      <c r="BL52" t="s">
        <v>866</v>
      </c>
    </row>
    <row r="53" spans="1:64">
      <c r="A53" s="30"/>
      <c r="B53" s="30">
        <v>42956.648611111108</v>
      </c>
      <c r="C53" t="s">
        <v>848</v>
      </c>
      <c r="D53" t="s">
        <v>780</v>
      </c>
      <c r="E53" t="s">
        <v>565</v>
      </c>
      <c r="F53" t="s">
        <v>172</v>
      </c>
      <c r="G53" t="s">
        <v>170</v>
      </c>
      <c r="H53" s="21" t="s">
        <v>94</v>
      </c>
      <c r="I53" s="86">
        <v>1</v>
      </c>
      <c r="J53" s="86">
        <v>0</v>
      </c>
      <c r="K53" t="s">
        <v>849</v>
      </c>
      <c r="L53" t="s">
        <v>582</v>
      </c>
      <c r="M53" t="s">
        <v>262</v>
      </c>
      <c r="N53" t="str">
        <f>IF(SUM(ckCodingTable[[#This Row],[NfmlPIs]:[NnonWhtAsnPIs]])&gt;0,"WMD","")</f>
        <v/>
      </c>
      <c r="O53" t="b">
        <f>_xlfn.XOR(IFERROR(MATCH(ckCodingTable[[#This Row],[st_code]],EpscorTable[],0)&gt;0,FALSE),IFERROR(FIND("9150",ckCodingTable[[#This Row],[propPRCs]])&gt;0,FALSE))</f>
        <v>0</v>
      </c>
      <c r="P53" s="21" t="b">
        <f>_xlfn.XOR(ckCodingTable[[#This Row],[wmd]]&lt;&gt;"",IFERROR(FIND("9102",ckCodingTable[[#This Row],[propPRCs]])&gt;0,FALSE))</f>
        <v>0</v>
      </c>
      <c r="Q53" t="s">
        <v>1495</v>
      </c>
      <c r="S53" s="109">
        <f>S52+(ckCodingTable[[#This Row],[ILN]]&lt;"M")</f>
        <v>52</v>
      </c>
      <c r="T53" s="21" t="s">
        <v>96</v>
      </c>
      <c r="U53" t="s">
        <v>1319</v>
      </c>
      <c r="V53" s="7" t="str">
        <f>HYPERLINK("https://www.ejacket.nsf.gov/ej/showProposal.do?ID="&amp;ckCodingTable[[#This Row],[prop_id]],"eJ")</f>
        <v>eJ</v>
      </c>
      <c r="W53" t="s">
        <v>781</v>
      </c>
      <c r="X53" t="s">
        <v>1319</v>
      </c>
      <c r="Y53" t="s">
        <v>1320</v>
      </c>
      <c r="Z53" t="s">
        <v>851</v>
      </c>
      <c r="AA53" t="s">
        <v>1508</v>
      </c>
      <c r="AB53" s="114" t="str">
        <f>HYPERLINK("mailto:"&amp;ckCodingTable[[#This Row],[email]]&amp;"&amp;subject=Your NSF Proposal:  "&amp;ckCodingTable[[#This Row],[Div]]&amp;" "&amp;ckCodingTable[[#This Row],[prop_id]], ckCodingTable[[#This Row],[email]])</f>
        <v>hhvcs@rit.edu</v>
      </c>
      <c r="AC53" s="30">
        <v>43344</v>
      </c>
      <c r="AD53">
        <v>24</v>
      </c>
      <c r="AE53">
        <v>1</v>
      </c>
      <c r="AG53" s="113">
        <v>1</v>
      </c>
      <c r="AH53" t="s">
        <v>1366</v>
      </c>
      <c r="AI53" s="26">
        <v>5.666666666666667</v>
      </c>
      <c r="AJ53" s="22">
        <v>43059.231249999997</v>
      </c>
      <c r="AL53">
        <v>3</v>
      </c>
      <c r="AN53" s="113">
        <v>3</v>
      </c>
      <c r="AO53" s="113"/>
      <c r="AP53" s="113"/>
      <c r="AQ53" s="113"/>
      <c r="AR53" s="122" t="str">
        <f>HYPERLINK("https://www.ejacket.nsf.gov/ej/showProposal.do?ID="&amp;ckCodingTable[[#This Row],[prop_id]],"eJ")</f>
        <v>eJ</v>
      </c>
      <c r="AS53" t="s">
        <v>173</v>
      </c>
      <c r="AT53" t="s">
        <v>1509</v>
      </c>
      <c r="AU53" t="b">
        <f>IF(ckCodingTable[[#This Row],[ILN]]="N",SUBSTITUTE(AT52," ","")&lt;&gt;SUBSTITUTE(ckCodingTable[[#This Row],[prop_titl_txt]]," ",""), FALSE)</f>
        <v>0</v>
      </c>
      <c r="AV53">
        <v>0</v>
      </c>
      <c r="AW53" s="13">
        <v>173878</v>
      </c>
      <c r="AX53" s="13">
        <v>173878</v>
      </c>
      <c r="AY53" s="13"/>
      <c r="AZ53" s="13">
        <v>3000</v>
      </c>
      <c r="BA53" s="13"/>
      <c r="BB53" s="13"/>
      <c r="BC53">
        <v>2</v>
      </c>
      <c r="BH53">
        <v>0</v>
      </c>
      <c r="BI53">
        <v>0</v>
      </c>
      <c r="BJ53">
        <v>0</v>
      </c>
      <c r="BK53">
        <v>0</v>
      </c>
      <c r="BL53" t="s">
        <v>1510</v>
      </c>
    </row>
    <row r="54" spans="1:64">
      <c r="A54" s="30"/>
      <c r="B54" s="30">
        <v>42956.678472222222</v>
      </c>
      <c r="C54" t="s">
        <v>848</v>
      </c>
      <c r="D54" t="s">
        <v>780</v>
      </c>
      <c r="E54" t="s">
        <v>565</v>
      </c>
      <c r="F54" t="s">
        <v>172</v>
      </c>
      <c r="G54" t="s">
        <v>170</v>
      </c>
      <c r="H54" s="21" t="s">
        <v>94</v>
      </c>
      <c r="I54" s="86">
        <v>1</v>
      </c>
      <c r="J54" s="86">
        <v>0</v>
      </c>
      <c r="K54" t="s">
        <v>849</v>
      </c>
      <c r="L54" t="s">
        <v>582</v>
      </c>
      <c r="M54" t="s">
        <v>347</v>
      </c>
      <c r="N54" t="str">
        <f>IF(SUM(ckCodingTable[[#This Row],[NfmlPIs]:[NnonWhtAsnPIs]])&gt;0,"WMD","")</f>
        <v/>
      </c>
      <c r="O54" t="b">
        <f>_xlfn.XOR(IFERROR(MATCH(ckCodingTable[[#This Row],[st_code]],EpscorTable[],0)&gt;0,FALSE),IFERROR(FIND("9150",ckCodingTable[[#This Row],[propPRCs]])&gt;0,FALSE))</f>
        <v>0</v>
      </c>
      <c r="P54" s="21" t="b">
        <f>_xlfn.XOR(ckCodingTable[[#This Row],[wmd]]&lt;&gt;"",IFERROR(FIND("9102",ckCodingTable[[#This Row],[propPRCs]])&gt;0,FALSE))</f>
        <v>0</v>
      </c>
      <c r="Q54" t="s">
        <v>1511</v>
      </c>
      <c r="S54" s="109">
        <f>S53+(ckCodingTable[[#This Row],[ILN]]&lt;"M")</f>
        <v>53</v>
      </c>
      <c r="T54" s="21" t="s">
        <v>96</v>
      </c>
      <c r="U54" t="s">
        <v>1326</v>
      </c>
      <c r="V54" s="7" t="str">
        <f>HYPERLINK("https://www.ejacket.nsf.gov/ej/showProposal.do?ID="&amp;ckCodingTable[[#This Row],[prop_id]],"eJ")</f>
        <v>eJ</v>
      </c>
      <c r="W54" t="s">
        <v>781</v>
      </c>
      <c r="X54" t="s">
        <v>1326</v>
      </c>
      <c r="Y54" t="s">
        <v>1327</v>
      </c>
      <c r="Z54" t="s">
        <v>1351</v>
      </c>
      <c r="AA54" t="s">
        <v>346</v>
      </c>
      <c r="AB54" s="114" t="str">
        <f>HYPERLINK("mailto:"&amp;ckCodingTable[[#This Row],[email]]&amp;"&amp;subject=Your NSF Proposal:  "&amp;ckCodingTable[[#This Row],[Div]]&amp;" "&amp;ckCodingTable[[#This Row],[prop_id]], ckCodingTable[[#This Row],[email]])</f>
        <v>miforbes@illinois.edu</v>
      </c>
      <c r="AC54" s="30">
        <v>43101</v>
      </c>
      <c r="AD54">
        <v>24</v>
      </c>
      <c r="AE54">
        <v>1</v>
      </c>
      <c r="AG54" s="113">
        <v>1</v>
      </c>
      <c r="AH54" t="s">
        <v>1367</v>
      </c>
      <c r="AI54" s="26">
        <v>8.6666666666666661</v>
      </c>
      <c r="AJ54" s="22">
        <v>43060.395833333336</v>
      </c>
      <c r="AL54">
        <v>3</v>
      </c>
      <c r="AN54" s="113">
        <v>3</v>
      </c>
      <c r="AO54" s="113"/>
      <c r="AP54" s="113"/>
      <c r="AQ54" s="113"/>
      <c r="AR54" s="122" t="str">
        <f>HYPERLINK("https://www.ejacket.nsf.gov/ej/showProposal.do?ID="&amp;ckCodingTable[[#This Row],[prop_id]],"eJ")</f>
        <v>eJ</v>
      </c>
      <c r="AS54" t="s">
        <v>173</v>
      </c>
      <c r="AT54" t="s">
        <v>1512</v>
      </c>
      <c r="AU54" t="b">
        <f>IF(ckCodingTable[[#This Row],[ILN]]="N",SUBSTITUTE(AT53," ","")&lt;&gt;SUBSTITUTE(ckCodingTable[[#This Row],[prop_titl_txt]]," ",""), FALSE)</f>
        <v>0</v>
      </c>
      <c r="AV54">
        <v>0</v>
      </c>
      <c r="AW54" s="13">
        <v>175000</v>
      </c>
      <c r="AX54" s="13">
        <v>175000</v>
      </c>
      <c r="AY54" s="13"/>
      <c r="AZ54" s="13">
        <v>8737</v>
      </c>
      <c r="BA54" s="13"/>
      <c r="BB54" s="13"/>
      <c r="BC54">
        <v>2</v>
      </c>
      <c r="BH54">
        <v>0</v>
      </c>
      <c r="BI54">
        <v>0</v>
      </c>
      <c r="BJ54">
        <v>0</v>
      </c>
      <c r="BK54">
        <v>0</v>
      </c>
      <c r="BL54" t="s">
        <v>1513</v>
      </c>
    </row>
    <row r="55" spans="1:64">
      <c r="A55" s="30"/>
      <c r="B55" s="30">
        <v>42956.695833333331</v>
      </c>
      <c r="C55" t="s">
        <v>848</v>
      </c>
      <c r="D55" t="s">
        <v>780</v>
      </c>
      <c r="E55" t="s">
        <v>565</v>
      </c>
      <c r="F55" t="s">
        <v>172</v>
      </c>
      <c r="G55" t="s">
        <v>170</v>
      </c>
      <c r="H55" s="21" t="s">
        <v>94</v>
      </c>
      <c r="I55" s="86">
        <v>1</v>
      </c>
      <c r="J55" s="86">
        <v>0</v>
      </c>
      <c r="K55" t="s">
        <v>849</v>
      </c>
      <c r="L55" t="s">
        <v>582</v>
      </c>
      <c r="M55" t="s">
        <v>1370</v>
      </c>
      <c r="N55" t="str">
        <f>IF(SUM(ckCodingTable[[#This Row],[NfmlPIs]:[NnonWhtAsnPIs]])&gt;0,"WMD","")</f>
        <v>WMD</v>
      </c>
      <c r="O55" t="b">
        <f>_xlfn.XOR(IFERROR(MATCH(ckCodingTable[[#This Row],[st_code]],EpscorTable[],0)&gt;0,FALSE),IFERROR(FIND("9150",ckCodingTable[[#This Row],[propPRCs]])&gt;0,FALSE))</f>
        <v>0</v>
      </c>
      <c r="P55" s="21" t="b">
        <f>_xlfn.XOR(ckCodingTable[[#This Row],[wmd]]&lt;&gt;"",IFERROR(FIND("9102",ckCodingTable[[#This Row],[propPRCs]])&gt;0,FALSE))</f>
        <v>1</v>
      </c>
      <c r="Q55" t="s">
        <v>1495</v>
      </c>
      <c r="S55" s="109">
        <f>S54+(ckCodingTable[[#This Row],[ILN]]&lt;"M")</f>
        <v>54</v>
      </c>
      <c r="T55" s="21" t="s">
        <v>96</v>
      </c>
      <c r="U55" t="s">
        <v>1333</v>
      </c>
      <c r="V55" s="7" t="str">
        <f>HYPERLINK("https://www.ejacket.nsf.gov/ej/showProposal.do?ID="&amp;ckCodingTable[[#This Row],[prop_id]],"eJ")</f>
        <v>eJ</v>
      </c>
      <c r="W55" t="s">
        <v>781</v>
      </c>
      <c r="X55" t="s">
        <v>1333</v>
      </c>
      <c r="Y55" t="s">
        <v>1334</v>
      </c>
      <c r="Z55" t="s">
        <v>1514</v>
      </c>
      <c r="AA55" t="s">
        <v>1515</v>
      </c>
      <c r="AB55" s="114" t="str">
        <f>HYPERLINK("mailto:"&amp;ckCodingTable[[#This Row],[email]]&amp;"&amp;subject=Your NSF Proposal:  "&amp;ckCodingTable[[#This Row],[Div]]&amp;" "&amp;ckCodingTable[[#This Row],[prop_id]], ckCodingTable[[#This Row],[email]])</f>
        <v>adres@asu.edu</v>
      </c>
      <c r="AC55" s="30">
        <v>43328</v>
      </c>
      <c r="AD55">
        <v>24</v>
      </c>
      <c r="AE55">
        <v>1</v>
      </c>
      <c r="AG55" s="113">
        <v>1</v>
      </c>
      <c r="AH55" t="s">
        <v>1516</v>
      </c>
      <c r="AI55" s="26">
        <v>5</v>
      </c>
      <c r="AJ55" s="22">
        <v>43058.972916666666</v>
      </c>
      <c r="AL55">
        <v>3</v>
      </c>
      <c r="AN55" s="113">
        <v>3</v>
      </c>
      <c r="AO55" s="113"/>
      <c r="AP55" s="113"/>
      <c r="AQ55" s="113"/>
      <c r="AR55" s="122" t="str">
        <f>HYPERLINK("https://www.ejacket.nsf.gov/ej/showProposal.do?ID="&amp;ckCodingTable[[#This Row],[prop_id]],"eJ")</f>
        <v>eJ</v>
      </c>
      <c r="AS55" t="s">
        <v>173</v>
      </c>
      <c r="AT55" t="s">
        <v>1517</v>
      </c>
      <c r="AU55" t="b">
        <f>IF(ckCodingTable[[#This Row],[ILN]]="N",SUBSTITUTE(AT54," ","")&lt;&gt;SUBSTITUTE(ckCodingTable[[#This Row],[prop_titl_txt]]," ",""), FALSE)</f>
        <v>0</v>
      </c>
      <c r="AV55">
        <v>0</v>
      </c>
      <c r="AW55" s="13">
        <v>175000</v>
      </c>
      <c r="AX55" s="13">
        <v>175000</v>
      </c>
      <c r="AY55" s="13"/>
      <c r="AZ55" s="13">
        <v>6581</v>
      </c>
      <c r="BA55" s="13"/>
      <c r="BB55" s="13"/>
      <c r="BC55">
        <v>3</v>
      </c>
      <c r="BH55">
        <v>0</v>
      </c>
      <c r="BI55">
        <v>1</v>
      </c>
      <c r="BJ55">
        <v>1</v>
      </c>
      <c r="BK55">
        <v>0</v>
      </c>
      <c r="BL55" t="s">
        <v>1518</v>
      </c>
    </row>
    <row r="56" spans="1:64">
      <c r="A56" s="30"/>
      <c r="B56" s="30">
        <v>42956.697222222225</v>
      </c>
      <c r="C56" t="s">
        <v>848</v>
      </c>
      <c r="D56" t="s">
        <v>780</v>
      </c>
      <c r="E56" t="s">
        <v>565</v>
      </c>
      <c r="F56" t="s">
        <v>172</v>
      </c>
      <c r="G56" t="s">
        <v>170</v>
      </c>
      <c r="H56" s="21" t="s">
        <v>94</v>
      </c>
      <c r="I56" s="86">
        <v>1</v>
      </c>
      <c r="J56" s="86">
        <v>0</v>
      </c>
      <c r="K56" t="s">
        <v>849</v>
      </c>
      <c r="L56" t="s">
        <v>579</v>
      </c>
      <c r="M56" t="s">
        <v>358</v>
      </c>
      <c r="N56" t="str">
        <f>IF(SUM(ckCodingTable[[#This Row],[NfmlPIs]:[NnonWhtAsnPIs]])&gt;0,"WMD","")</f>
        <v>WMD</v>
      </c>
      <c r="O56" t="b">
        <f>_xlfn.XOR(IFERROR(MATCH(ckCodingTable[[#This Row],[st_code]],EpscorTable[],0)&gt;0,FALSE),IFERROR(FIND("9150",ckCodingTable[[#This Row],[propPRCs]])&gt;0,FALSE))</f>
        <v>0</v>
      </c>
      <c r="P56" s="21" t="b">
        <f>_xlfn.XOR(ckCodingTable[[#This Row],[wmd]]&lt;&gt;"",IFERROR(FIND("9102",ckCodingTable[[#This Row],[propPRCs]])&gt;0,FALSE))</f>
        <v>1</v>
      </c>
      <c r="Q56" t="s">
        <v>856</v>
      </c>
      <c r="S56" s="109">
        <f>S55+(ckCodingTable[[#This Row],[ILN]]&lt;"M")</f>
        <v>55</v>
      </c>
      <c r="T56" s="21" t="s">
        <v>96</v>
      </c>
      <c r="U56" t="s">
        <v>762</v>
      </c>
      <c r="V56" s="7" t="str">
        <f>HYPERLINK("https://www.ejacket.nsf.gov/ej/showProposal.do?ID="&amp;ckCodingTable[[#This Row],[prop_id]],"eJ")</f>
        <v>eJ</v>
      </c>
      <c r="W56" t="s">
        <v>781</v>
      </c>
      <c r="X56" t="s">
        <v>762</v>
      </c>
      <c r="Y56" t="s">
        <v>763</v>
      </c>
      <c r="Z56" t="s">
        <v>867</v>
      </c>
      <c r="AA56" t="s">
        <v>868</v>
      </c>
      <c r="AB56" s="114" t="str">
        <f>HYPERLINK("mailto:"&amp;ckCodingTable[[#This Row],[email]]&amp;"&amp;subject=Your NSF Proposal:  "&amp;ckCodingTable[[#This Row],[Div]]&amp;" "&amp;ckCodingTable[[#This Row],[prop_id]], ckCodingTable[[#This Row],[email]])</f>
        <v>shima.hm@tamu.edu</v>
      </c>
      <c r="AC56" s="30">
        <v>43252</v>
      </c>
      <c r="AD56">
        <v>24</v>
      </c>
      <c r="AE56">
        <v>1</v>
      </c>
      <c r="AG56" s="113">
        <v>1</v>
      </c>
      <c r="AH56" t="s">
        <v>869</v>
      </c>
      <c r="AI56" s="26">
        <v>5.333333333333333</v>
      </c>
      <c r="AJ56" s="22">
        <v>43032.675694444442</v>
      </c>
      <c r="AL56">
        <v>3</v>
      </c>
      <c r="AN56" s="113">
        <v>3</v>
      </c>
      <c r="AO56" s="113"/>
      <c r="AP56" s="113"/>
      <c r="AQ56" s="113"/>
      <c r="AR56" s="122" t="str">
        <f>HYPERLINK("https://www.ejacket.nsf.gov/ej/showProposal.do?ID="&amp;ckCodingTable[[#This Row],[prop_id]],"eJ")</f>
        <v>eJ</v>
      </c>
      <c r="AS56" t="s">
        <v>173</v>
      </c>
      <c r="AT56" t="s">
        <v>870</v>
      </c>
      <c r="AU56" t="b">
        <f>IF(ckCodingTable[[#This Row],[ILN]]="N",SUBSTITUTE(AT55," ","")&lt;&gt;SUBSTITUTE(ckCodingTable[[#This Row],[prop_titl_txt]]," ",""), FALSE)</f>
        <v>0</v>
      </c>
      <c r="AV56">
        <v>0</v>
      </c>
      <c r="AW56" s="13">
        <v>175000</v>
      </c>
      <c r="AX56" s="13">
        <v>175000</v>
      </c>
      <c r="AY56" s="13"/>
      <c r="AZ56" s="13"/>
      <c r="BA56" s="13"/>
      <c r="BB56" s="13"/>
      <c r="BC56">
        <v>4</v>
      </c>
      <c r="BH56">
        <v>2</v>
      </c>
      <c r="BI56">
        <v>0</v>
      </c>
      <c r="BJ56">
        <v>0</v>
      </c>
      <c r="BK56">
        <v>0</v>
      </c>
      <c r="BL56" t="s">
        <v>871</v>
      </c>
    </row>
    <row r="57" spans="1:64">
      <c r="A57" s="30"/>
      <c r="B57" s="30">
        <v>42956.697916666664</v>
      </c>
      <c r="C57" t="s">
        <v>848</v>
      </c>
      <c r="D57" t="s">
        <v>780</v>
      </c>
      <c r="E57" t="s">
        <v>565</v>
      </c>
      <c r="F57" t="s">
        <v>172</v>
      </c>
      <c r="G57" t="s">
        <v>170</v>
      </c>
      <c r="H57" s="21" t="s">
        <v>94</v>
      </c>
      <c r="I57" s="86">
        <v>1</v>
      </c>
      <c r="J57" s="86">
        <v>0</v>
      </c>
      <c r="K57" t="s">
        <v>849</v>
      </c>
      <c r="L57" t="s">
        <v>582</v>
      </c>
      <c r="M57" t="s">
        <v>257</v>
      </c>
      <c r="N57" t="str">
        <f>IF(SUM(ckCodingTable[[#This Row],[NfmlPIs]:[NnonWhtAsnPIs]])&gt;0,"WMD","")</f>
        <v/>
      </c>
      <c r="O57" t="b">
        <f>_xlfn.XOR(IFERROR(MATCH(ckCodingTable[[#This Row],[st_code]],EpscorTable[],0)&gt;0,FALSE),IFERROR(FIND("9150",ckCodingTable[[#This Row],[propPRCs]])&gt;0,FALSE))</f>
        <v>0</v>
      </c>
      <c r="P57" s="21" t="b">
        <f>_xlfn.XOR(ckCodingTable[[#This Row],[wmd]]&lt;&gt;"",IFERROR(FIND("9102",ckCodingTable[[#This Row],[propPRCs]])&gt;0,FALSE))</f>
        <v>0</v>
      </c>
      <c r="Q57" t="s">
        <v>1495</v>
      </c>
      <c r="S57" s="109">
        <f>S56+(ckCodingTable[[#This Row],[ILN]]&lt;"M")</f>
        <v>56</v>
      </c>
      <c r="T57" s="21" t="s">
        <v>96</v>
      </c>
      <c r="U57" t="s">
        <v>1340</v>
      </c>
      <c r="V57" s="7" t="str">
        <f>HYPERLINK("https://www.ejacket.nsf.gov/ej/showProposal.do?ID="&amp;ckCodingTable[[#This Row],[prop_id]],"eJ")</f>
        <v>eJ</v>
      </c>
      <c r="W57" t="s">
        <v>781</v>
      </c>
      <c r="X57" t="s">
        <v>1340</v>
      </c>
      <c r="Y57" t="s">
        <v>1191</v>
      </c>
      <c r="Z57" t="s">
        <v>1460</v>
      </c>
      <c r="AA57" t="s">
        <v>1461</v>
      </c>
      <c r="AB57" s="114" t="str">
        <f>HYPERLINK("mailto:"&amp;ckCodingTable[[#This Row],[email]]&amp;"&amp;subject=Your NSF Proposal:  "&amp;ckCodingTable[[#This Row],[Div]]&amp;" "&amp;ckCodingTable[[#This Row],[prop_id]], ckCodingTable[[#This Row],[email]])</f>
        <v>gkatz@drexel.edu</v>
      </c>
      <c r="AC57" s="30">
        <v>43132</v>
      </c>
      <c r="AD57">
        <v>24</v>
      </c>
      <c r="AE57">
        <v>1</v>
      </c>
      <c r="AG57" s="113">
        <v>1</v>
      </c>
      <c r="AH57" t="s">
        <v>1501</v>
      </c>
      <c r="AI57" s="26">
        <v>7</v>
      </c>
      <c r="AJ57" s="22">
        <v>43060.397916666669</v>
      </c>
      <c r="AL57">
        <v>3</v>
      </c>
      <c r="AN57" s="113">
        <v>3</v>
      </c>
      <c r="AO57" s="113"/>
      <c r="AP57" s="113"/>
      <c r="AQ57" s="113"/>
      <c r="AR57" s="122" t="str">
        <f>HYPERLINK("https://www.ejacket.nsf.gov/ej/showProposal.do?ID="&amp;ckCodingTable[[#This Row],[prop_id]],"eJ")</f>
        <v>eJ</v>
      </c>
      <c r="AS57" t="s">
        <v>173</v>
      </c>
      <c r="AT57" t="s">
        <v>1519</v>
      </c>
      <c r="AU57" t="b">
        <f>IF(ckCodingTable[[#This Row],[ILN]]="N",SUBSTITUTE(AT56," ","")&lt;&gt;SUBSTITUTE(ckCodingTable[[#This Row],[prop_titl_txt]]," ",""), FALSE)</f>
        <v>0</v>
      </c>
      <c r="AV57">
        <v>0</v>
      </c>
      <c r="AW57" s="13">
        <v>174930</v>
      </c>
      <c r="AX57" s="13">
        <v>174930</v>
      </c>
      <c r="AY57" s="13"/>
      <c r="AZ57" s="13">
        <v>9000</v>
      </c>
      <c r="BA57" s="13"/>
      <c r="BB57" s="13"/>
      <c r="BC57">
        <v>2</v>
      </c>
      <c r="BH57">
        <v>0</v>
      </c>
      <c r="BI57">
        <v>0</v>
      </c>
      <c r="BJ57">
        <v>0</v>
      </c>
      <c r="BK57">
        <v>0</v>
      </c>
      <c r="BL57" t="s">
        <v>1463</v>
      </c>
    </row>
    <row r="58" spans="1:64">
      <c r="A58" s="30"/>
      <c r="B58" s="30">
        <v>42956.717361111114</v>
      </c>
      <c r="C58" t="s">
        <v>848</v>
      </c>
      <c r="D58" t="s">
        <v>780</v>
      </c>
      <c r="E58" t="s">
        <v>565</v>
      </c>
      <c r="F58" t="s">
        <v>172</v>
      </c>
      <c r="G58" t="s">
        <v>170</v>
      </c>
      <c r="H58" s="21" t="s">
        <v>94</v>
      </c>
      <c r="I58" s="86">
        <v>1</v>
      </c>
      <c r="J58" s="86">
        <v>0</v>
      </c>
      <c r="K58" t="s">
        <v>849</v>
      </c>
      <c r="L58" t="s">
        <v>579</v>
      </c>
      <c r="M58" t="s">
        <v>358</v>
      </c>
      <c r="N58" t="str">
        <f>IF(SUM(ckCodingTable[[#This Row],[NfmlPIs]:[NnonWhtAsnPIs]])&gt;0,"WMD","")</f>
        <v/>
      </c>
      <c r="O58" t="b">
        <f>_xlfn.XOR(IFERROR(MATCH(ckCodingTable[[#This Row],[st_code]],EpscorTable[],0)&gt;0,FALSE),IFERROR(FIND("9150",ckCodingTable[[#This Row],[propPRCs]])&gt;0,FALSE))</f>
        <v>0</v>
      </c>
      <c r="P58" s="21" t="b">
        <f>_xlfn.XOR(ckCodingTable[[#This Row],[wmd]]&lt;&gt;"",IFERROR(FIND("9102",ckCodingTable[[#This Row],[propPRCs]])&gt;0,FALSE))</f>
        <v>0</v>
      </c>
      <c r="Q58" t="s">
        <v>577</v>
      </c>
      <c r="S58" s="109">
        <f>S57+(ckCodingTable[[#This Row],[ILN]]&lt;"M")</f>
        <v>57</v>
      </c>
      <c r="T58" s="21" t="s">
        <v>96</v>
      </c>
      <c r="U58" t="s">
        <v>773</v>
      </c>
      <c r="V58" s="7" t="str">
        <f>HYPERLINK("https://www.ejacket.nsf.gov/ej/showProposal.do?ID="&amp;ckCodingTable[[#This Row],[prop_id]],"eJ")</f>
        <v>eJ</v>
      </c>
      <c r="W58" t="s">
        <v>781</v>
      </c>
      <c r="X58" t="s">
        <v>773</v>
      </c>
      <c r="Y58" t="s">
        <v>774</v>
      </c>
      <c r="Z58" t="s">
        <v>872</v>
      </c>
      <c r="AA58" t="s">
        <v>873</v>
      </c>
      <c r="AB58" s="114" t="str">
        <f>HYPERLINK("mailto:"&amp;ckCodingTable[[#This Row],[email]]&amp;"&amp;subject=Your NSF Proposal:  "&amp;ckCodingTable[[#This Row],[Div]]&amp;" "&amp;ckCodingTable[[#This Row],[prop_id]], ckCodingTable[[#This Row],[email]])</f>
        <v>harsha@smu.edu</v>
      </c>
      <c r="AC58" s="30">
        <v>43101</v>
      </c>
      <c r="AD58">
        <v>24</v>
      </c>
      <c r="AE58">
        <v>1</v>
      </c>
      <c r="AG58" s="113">
        <v>1</v>
      </c>
      <c r="AH58" t="s">
        <v>874</v>
      </c>
      <c r="AI58" s="26">
        <v>4.666666666666667</v>
      </c>
      <c r="AJ58" s="22">
        <v>43031.75</v>
      </c>
      <c r="AL58">
        <v>3</v>
      </c>
      <c r="AN58" s="113">
        <v>3</v>
      </c>
      <c r="AO58" s="113"/>
      <c r="AP58" s="113"/>
      <c r="AQ58" s="113"/>
      <c r="AR58" s="122" t="str">
        <f>HYPERLINK("https://www.ejacket.nsf.gov/ej/showProposal.do?ID="&amp;ckCodingTable[[#This Row],[prop_id]],"eJ")</f>
        <v>eJ</v>
      </c>
      <c r="AS58" t="s">
        <v>173</v>
      </c>
      <c r="AT58" t="s">
        <v>875</v>
      </c>
      <c r="AU58" t="b">
        <f>IF(ckCodingTable[[#This Row],[ILN]]="N",SUBSTITUTE(AT57," ","")&lt;&gt;SUBSTITUTE(ckCodingTable[[#This Row],[prop_titl_txt]]," ",""), FALSE)</f>
        <v>0</v>
      </c>
      <c r="AV58">
        <v>0</v>
      </c>
      <c r="AW58" s="13">
        <v>175000</v>
      </c>
      <c r="AX58" s="13">
        <v>175000</v>
      </c>
      <c r="AY58" s="13"/>
      <c r="AZ58" s="13"/>
      <c r="BA58" s="13"/>
      <c r="BB58" s="13"/>
      <c r="BC58">
        <v>4</v>
      </c>
      <c r="BH58">
        <v>0</v>
      </c>
      <c r="BI58">
        <v>0</v>
      </c>
      <c r="BJ58">
        <v>0</v>
      </c>
      <c r="BK58">
        <v>0</v>
      </c>
      <c r="BL58" t="s">
        <v>876</v>
      </c>
    </row>
    <row r="59" spans="1:64">
      <c r="A59" s="30"/>
      <c r="B59" s="30">
        <v>42956.746527777781</v>
      </c>
      <c r="C59" t="s">
        <v>848</v>
      </c>
      <c r="D59" t="s">
        <v>780</v>
      </c>
      <c r="E59" t="s">
        <v>565</v>
      </c>
      <c r="F59" t="s">
        <v>172</v>
      </c>
      <c r="G59" t="s">
        <v>170</v>
      </c>
      <c r="H59" s="21" t="s">
        <v>94</v>
      </c>
      <c r="I59" s="86">
        <v>1</v>
      </c>
      <c r="J59" s="86">
        <v>0</v>
      </c>
      <c r="K59" t="s">
        <v>849</v>
      </c>
      <c r="L59" t="s">
        <v>944</v>
      </c>
      <c r="M59" t="s">
        <v>358</v>
      </c>
      <c r="N59" t="str">
        <f>IF(SUM(ckCodingTable[[#This Row],[NfmlPIs]:[NnonWhtAsnPIs]])&gt;0,"WMD","")</f>
        <v/>
      </c>
      <c r="O59" t="b">
        <f>_xlfn.XOR(IFERROR(MATCH(ckCodingTable[[#This Row],[st_code]],EpscorTable[],0)&gt;0,FALSE),IFERROR(FIND("9150",ckCodingTable[[#This Row],[propPRCs]])&gt;0,FALSE))</f>
        <v>0</v>
      </c>
      <c r="P59" s="21" t="b">
        <f>_xlfn.XOR(ckCodingTable[[#This Row],[wmd]]&lt;&gt;"",IFERROR(FIND("9102",ckCodingTable[[#This Row],[propPRCs]])&gt;0,FALSE))</f>
        <v>0</v>
      </c>
      <c r="Q59" t="s">
        <v>850</v>
      </c>
      <c r="S59" s="109">
        <f>S58+(ckCodingTable[[#This Row],[ILN]]&lt;"M")</f>
        <v>58</v>
      </c>
      <c r="T59" s="21" t="s">
        <v>96</v>
      </c>
      <c r="U59" t="s">
        <v>1346</v>
      </c>
      <c r="V59" s="7" t="str">
        <f>HYPERLINK("https://www.ejacket.nsf.gov/ej/showProposal.do?ID="&amp;ckCodingTable[[#This Row],[prop_id]],"eJ")</f>
        <v>eJ</v>
      </c>
      <c r="W59" t="s">
        <v>781</v>
      </c>
      <c r="X59" t="s">
        <v>1346</v>
      </c>
      <c r="Y59" t="s">
        <v>666</v>
      </c>
      <c r="Z59" t="s">
        <v>925</v>
      </c>
      <c r="AA59" t="s">
        <v>1520</v>
      </c>
      <c r="AB59" s="114" t="str">
        <f>HYPERLINK("mailto:"&amp;ckCodingTable[[#This Row],[email]]&amp;"&amp;subject=Your NSF Proposal:  "&amp;ckCodingTable[[#This Row],[Div]]&amp;" "&amp;ckCodingTable[[#This Row],[prop_id]], ckCodingTable[[#This Row],[email]])</f>
        <v>lchen49@central.uh.edu</v>
      </c>
      <c r="AC59" s="30">
        <v>43252</v>
      </c>
      <c r="AD59">
        <v>24</v>
      </c>
      <c r="AE59">
        <v>1</v>
      </c>
      <c r="AG59" s="113">
        <v>1</v>
      </c>
      <c r="AH59" t="s">
        <v>1360</v>
      </c>
      <c r="AI59" s="26">
        <v>6</v>
      </c>
      <c r="AJ59" s="22">
        <v>43031.734027777777</v>
      </c>
      <c r="AL59">
        <v>3</v>
      </c>
      <c r="AN59" s="113">
        <v>3</v>
      </c>
      <c r="AO59" s="113"/>
      <c r="AP59" s="113"/>
      <c r="AQ59" s="113"/>
      <c r="AR59" s="122" t="str">
        <f>HYPERLINK("https://www.ejacket.nsf.gov/ej/showProposal.do?ID="&amp;ckCodingTable[[#This Row],[prop_id]],"eJ")</f>
        <v>eJ</v>
      </c>
      <c r="AS59" t="s">
        <v>173</v>
      </c>
      <c r="AT59" t="s">
        <v>1521</v>
      </c>
      <c r="AU59" t="b">
        <f>IF(ckCodingTable[[#This Row],[ILN]]="N",SUBSTITUTE(AT58," ","")&lt;&gt;SUBSTITUTE(ckCodingTable[[#This Row],[prop_titl_txt]]," ",""), FALSE)</f>
        <v>0</v>
      </c>
      <c r="AV59">
        <v>0</v>
      </c>
      <c r="AW59" s="13">
        <v>148477</v>
      </c>
      <c r="AX59" s="13">
        <v>148477</v>
      </c>
      <c r="AY59" s="13"/>
      <c r="AZ59" s="13">
        <v>7000</v>
      </c>
      <c r="BA59" s="13"/>
      <c r="BB59" s="13"/>
      <c r="BC59">
        <v>3</v>
      </c>
      <c r="BH59">
        <v>0</v>
      </c>
      <c r="BI59">
        <v>0</v>
      </c>
      <c r="BJ59">
        <v>0</v>
      </c>
      <c r="BK59">
        <v>0</v>
      </c>
      <c r="BL59" t="s">
        <v>1522</v>
      </c>
    </row>
  </sheetData>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59"/>
  <sheetViews>
    <sheetView workbookViewId="0">
      <selection activeCell="AG1" sqref="AG1"/>
    </sheetView>
  </sheetViews>
  <sheetFormatPr defaultRowHeight="14.6"/>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10"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10"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customWidth="1"/>
    <col min="34" max="34" width="9.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299999999999997" customHeight="1">
      <c r="A1" s="30" t="s">
        <v>87</v>
      </c>
      <c r="B1" s="30" t="s">
        <v>7</v>
      </c>
      <c r="C1" t="s">
        <v>8</v>
      </c>
      <c r="D1" t="s">
        <v>5</v>
      </c>
      <c r="E1" t="s">
        <v>4</v>
      </c>
      <c r="F1" t="s">
        <v>91</v>
      </c>
      <c r="G1" t="s">
        <v>166</v>
      </c>
      <c r="H1" t="s">
        <v>164</v>
      </c>
      <c r="I1" t="s">
        <v>436</v>
      </c>
      <c r="J1" t="s">
        <v>92</v>
      </c>
      <c r="K1" t="s">
        <v>17</v>
      </c>
      <c r="L1" s="22" t="s">
        <v>16</v>
      </c>
      <c r="M1" s="111" t="s">
        <v>102</v>
      </c>
      <c r="N1" t="s">
        <v>88</v>
      </c>
      <c r="O1" t="s">
        <v>9</v>
      </c>
      <c r="P1" t="s">
        <v>1</v>
      </c>
      <c r="Q1" t="s">
        <v>144</v>
      </c>
      <c r="R1" t="s">
        <v>0</v>
      </c>
      <c r="S1" t="s">
        <v>10</v>
      </c>
      <c r="T1" t="s">
        <v>18</v>
      </c>
      <c r="U1" t="s">
        <v>323</v>
      </c>
      <c r="V1" t="s">
        <v>93</v>
      </c>
      <c r="W1" s="111" t="s">
        <v>131</v>
      </c>
      <c r="X1" s="30" t="s">
        <v>19</v>
      </c>
      <c r="Y1" t="s">
        <v>20</v>
      </c>
      <c r="Z1" t="s">
        <v>89</v>
      </c>
      <c r="AA1" s="21" t="s">
        <v>469</v>
      </c>
      <c r="AB1" s="21" t="s">
        <v>470</v>
      </c>
      <c r="AC1" t="s">
        <v>90</v>
      </c>
      <c r="AD1" s="21" t="s">
        <v>471</v>
      </c>
      <c r="AE1" s="21" t="s">
        <v>132</v>
      </c>
      <c r="AF1" s="13" t="s">
        <v>21</v>
      </c>
      <c r="AG1" s="21" t="s">
        <v>332</v>
      </c>
      <c r="AH1" s="1" t="s">
        <v>22</v>
      </c>
      <c r="AI1" s="1" t="s">
        <v>333</v>
      </c>
      <c r="AJ1" s="1" t="s">
        <v>334</v>
      </c>
      <c r="AK1" s="1" t="s">
        <v>335</v>
      </c>
      <c r="AL1" s="1" t="s">
        <v>336</v>
      </c>
      <c r="AM1" s="21" t="s">
        <v>337</v>
      </c>
      <c r="AN1" s="21" t="s">
        <v>338</v>
      </c>
      <c r="AO1" s="21" t="s">
        <v>339</v>
      </c>
      <c r="AP1" s="21" t="s">
        <v>340</v>
      </c>
      <c r="AQ1" s="21" t="s">
        <v>341</v>
      </c>
      <c r="AR1" t="s">
        <v>167</v>
      </c>
      <c r="AS1" s="21" t="s">
        <v>444</v>
      </c>
      <c r="AT1" s="21" t="s">
        <v>498</v>
      </c>
      <c r="AU1" s="21" t="s">
        <v>133</v>
      </c>
      <c r="AV1" t="s">
        <v>36</v>
      </c>
      <c r="AW1" t="s">
        <v>483</v>
      </c>
      <c r="AX1" t="s">
        <v>146</v>
      </c>
      <c r="AY1"/>
      <c r="AZ1"/>
      <c r="BA1"/>
      <c r="BB1"/>
      <c r="BC1"/>
      <c r="BD1"/>
      <c r="BL1"/>
      <c r="BP1"/>
    </row>
    <row r="2" spans="1:68">
      <c r="B2" s="30">
        <v>42930.554166666669</v>
      </c>
      <c r="C2" t="s">
        <v>244</v>
      </c>
      <c r="D2" t="s">
        <v>780</v>
      </c>
      <c r="E2" t="s">
        <v>567</v>
      </c>
      <c r="F2" t="s">
        <v>579</v>
      </c>
      <c r="G2" s="8" t="s">
        <v>172</v>
      </c>
      <c r="H2" s="8" t="s">
        <v>170</v>
      </c>
      <c r="I2" s="8" t="s">
        <v>442</v>
      </c>
      <c r="J2" t="s">
        <v>94</v>
      </c>
      <c r="K2" t="s">
        <v>782</v>
      </c>
      <c r="L2" s="22"/>
      <c r="M2" s="110">
        <f xml:space="preserve"> M1+(ckAwdTable[ILN]&lt;"M")</f>
        <v>1</v>
      </c>
      <c r="N2" t="s">
        <v>96</v>
      </c>
      <c r="O2" t="s">
        <v>580</v>
      </c>
      <c r="P2" s="15" t="str">
        <f>HYPERLINK("https://www.ejacket.nsf.gov/ej/showProposal.do?ID="&amp;ckAwdTable[[#This Row],[prop_id]],"eJ")</f>
        <v>eJ</v>
      </c>
      <c r="Q2" s="8" t="s">
        <v>781</v>
      </c>
      <c r="R2" t="s">
        <v>580</v>
      </c>
      <c r="S2" t="s">
        <v>581</v>
      </c>
      <c r="T2" t="s">
        <v>785</v>
      </c>
      <c r="U2" s="8" t="s">
        <v>786</v>
      </c>
      <c r="V2" t="s">
        <v>784</v>
      </c>
      <c r="W2" s="114" t="str">
        <f>HYPERLINK("mailto:"&amp; ckAwdTable[[#This Row],[email]]&amp;"&amp;subject=Your NSF Proposal:  "&amp;ckAwdTable[[#This Row],[prop_id]], ckAwdTable[[#This Row],[email]])</f>
        <v>steffen.borgwardt@ucdenver.edu</v>
      </c>
      <c r="X2" s="30">
        <v>43101</v>
      </c>
      <c r="Y2">
        <v>60</v>
      </c>
      <c r="AA2" s="21" t="s">
        <v>13</v>
      </c>
      <c r="AB2" s="21" t="s">
        <v>449</v>
      </c>
      <c r="AC2"/>
      <c r="AD2" s="21" t="s">
        <v>13</v>
      </c>
      <c r="AE2" s="21" t="s">
        <v>256</v>
      </c>
      <c r="AF2" s="13">
        <v>470400</v>
      </c>
      <c r="AG2" s="21">
        <v>0</v>
      </c>
      <c r="AH2" s="1">
        <v>470400</v>
      </c>
      <c r="AI2" s="1"/>
      <c r="AJ2" s="1">
        <v>9600</v>
      </c>
      <c r="AM2" s="21">
        <v>5</v>
      </c>
      <c r="AN2" s="21">
        <v>5</v>
      </c>
      <c r="AO2" s="21">
        <v>7.5</v>
      </c>
      <c r="AP2" s="21"/>
      <c r="AQ2" s="21"/>
      <c r="AR2" s="8" t="s">
        <v>173</v>
      </c>
      <c r="AS2" s="21" t="s">
        <v>445</v>
      </c>
      <c r="AT2" s="21" t="str">
        <f>IFERROR(IF(FIND("?",#REF!),SummarizeQuestMarks(#REF!),""),"")</f>
        <v/>
      </c>
      <c r="AU2" s="21"/>
      <c r="AV2" t="s">
        <v>788</v>
      </c>
      <c r="AW2" t="b">
        <f>AND(ckAwdTable[[#This Row],[ILN]]&gt;"M", SUBSTITUTE(ckAwdTable[[#This Row],[prop_titl_txt]]," ","")&lt;&gt;SUBSTITUTE(AV1," ",""))</f>
        <v>0</v>
      </c>
      <c r="AX2" s="8" t="s">
        <v>789</v>
      </c>
      <c r="AY2"/>
      <c r="AZ2"/>
      <c r="BA2"/>
      <c r="BB2"/>
      <c r="BC2"/>
      <c r="BD2"/>
      <c r="BL2"/>
      <c r="BP2"/>
    </row>
    <row r="3" spans="1:68">
      <c r="B3" s="30">
        <v>42933.547222222223</v>
      </c>
      <c r="C3" t="s">
        <v>244</v>
      </c>
      <c r="D3" t="s">
        <v>780</v>
      </c>
      <c r="E3" t="s">
        <v>567</v>
      </c>
      <c r="F3" t="s">
        <v>579</v>
      </c>
      <c r="G3" s="8" t="s">
        <v>172</v>
      </c>
      <c r="H3" s="8" t="s">
        <v>170</v>
      </c>
      <c r="I3" s="8" t="s">
        <v>442</v>
      </c>
      <c r="J3" t="s">
        <v>94</v>
      </c>
      <c r="K3" t="s">
        <v>782</v>
      </c>
      <c r="L3" s="22"/>
      <c r="M3" s="110">
        <f xml:space="preserve"> M2+(ckAwdTable[ILN]&lt;"M")</f>
        <v>2</v>
      </c>
      <c r="N3" t="s">
        <v>96</v>
      </c>
      <c r="O3" t="s">
        <v>604</v>
      </c>
      <c r="P3" s="15" t="str">
        <f>HYPERLINK("https://www.ejacket.nsf.gov/ej/showProposal.do?ID="&amp;ckAwdTable[[#This Row],[prop_id]],"eJ")</f>
        <v>eJ</v>
      </c>
      <c r="Q3" s="8" t="s">
        <v>781</v>
      </c>
      <c r="R3" t="s">
        <v>604</v>
      </c>
      <c r="S3" t="s">
        <v>342</v>
      </c>
      <c r="T3" t="s">
        <v>792</v>
      </c>
      <c r="U3" s="8" t="s">
        <v>793</v>
      </c>
      <c r="V3" t="s">
        <v>791</v>
      </c>
      <c r="W3" s="114" t="str">
        <f>HYPERLINK("mailto:"&amp; ckAwdTable[[#This Row],[email]]&amp;"&amp;subject=Your NSF Proposal:  "&amp;ckAwdTable[[#This Row],[prop_id]], ckAwdTable[[#This Row],[email]])</f>
        <v>haitao.wang@usu.edu</v>
      </c>
      <c r="X3" s="30">
        <v>43221</v>
      </c>
      <c r="Y3">
        <v>60</v>
      </c>
      <c r="AA3" s="21" t="s">
        <v>13</v>
      </c>
      <c r="AB3" s="21" t="s">
        <v>449</v>
      </c>
      <c r="AC3"/>
      <c r="AD3" s="21" t="s">
        <v>13</v>
      </c>
      <c r="AE3" s="21" t="s">
        <v>1604</v>
      </c>
      <c r="AF3" s="13">
        <v>524898</v>
      </c>
      <c r="AG3" s="21">
        <v>0</v>
      </c>
      <c r="AH3" s="1">
        <v>524898</v>
      </c>
      <c r="AI3" s="1"/>
      <c r="AJ3" s="1">
        <v>15000</v>
      </c>
      <c r="AM3" s="21">
        <v>10</v>
      </c>
      <c r="AN3" s="21">
        <v>5</v>
      </c>
      <c r="AO3" s="21">
        <v>5</v>
      </c>
      <c r="AP3" s="21"/>
      <c r="AQ3" s="21"/>
      <c r="AR3" s="8" t="s">
        <v>173</v>
      </c>
      <c r="AS3" s="21" t="s">
        <v>445</v>
      </c>
      <c r="AT3" s="21" t="str">
        <f>IFERROR(IF(FIND("?",#REF!),SummarizeQuestMarks(#REF!),""),"")</f>
        <v/>
      </c>
      <c r="AU3" s="21"/>
      <c r="AV3" t="s">
        <v>795</v>
      </c>
      <c r="AW3" t="b">
        <f>AND(ckAwdTable[[#This Row],[ILN]]&gt;"M", SUBSTITUTE(ckAwdTable[[#This Row],[prop_titl_txt]]," ","")&lt;&gt;SUBSTITUTE(AV2," ",""))</f>
        <v>0</v>
      </c>
      <c r="AX3" s="8" t="s">
        <v>796</v>
      </c>
      <c r="AY3"/>
      <c r="AZ3"/>
      <c r="BA3"/>
      <c r="BB3"/>
      <c r="BC3"/>
      <c r="BD3"/>
      <c r="BL3"/>
      <c r="BP3"/>
    </row>
    <row r="4" spans="1:68">
      <c r="B4" s="30">
        <v>42933.579861111109</v>
      </c>
      <c r="C4" t="s">
        <v>244</v>
      </c>
      <c r="D4" t="s">
        <v>780</v>
      </c>
      <c r="E4" t="s">
        <v>567</v>
      </c>
      <c r="F4" t="s">
        <v>944</v>
      </c>
      <c r="G4" s="8" t="s">
        <v>172</v>
      </c>
      <c r="H4" s="8" t="s">
        <v>170</v>
      </c>
      <c r="I4" s="8" t="s">
        <v>442</v>
      </c>
      <c r="J4" t="s">
        <v>94</v>
      </c>
      <c r="K4" t="s">
        <v>782</v>
      </c>
      <c r="L4" s="22"/>
      <c r="M4" s="110">
        <f xml:space="preserve"> M3+(ckAwdTable[ILN]&lt;"M")</f>
        <v>3</v>
      </c>
      <c r="N4" t="s">
        <v>96</v>
      </c>
      <c r="O4" t="s">
        <v>936</v>
      </c>
      <c r="P4" s="15" t="str">
        <f>HYPERLINK("https://www.ejacket.nsf.gov/ej/showProposal.do?ID="&amp;ckAwdTable[[#This Row],[prop_id]],"eJ")</f>
        <v>eJ</v>
      </c>
      <c r="Q4" s="8" t="s">
        <v>781</v>
      </c>
      <c r="R4" t="s">
        <v>936</v>
      </c>
      <c r="S4" t="s">
        <v>937</v>
      </c>
      <c r="T4" t="s">
        <v>829</v>
      </c>
      <c r="U4" s="8" t="s">
        <v>343</v>
      </c>
      <c r="V4" t="s">
        <v>257</v>
      </c>
      <c r="W4" s="114" t="str">
        <f>HYPERLINK("mailto:"&amp; ckAwdTable[[#This Row],[email]]&amp;"&amp;subject=Your NSF Proposal:  "&amp;ckAwdTable[[#This Row],[prop_id]], ckAwdTable[[#This Row],[email]])</f>
        <v>bmoseley@seas.wustl.edu</v>
      </c>
      <c r="X4" s="30">
        <v>43282</v>
      </c>
      <c r="Y4">
        <v>60</v>
      </c>
      <c r="AA4" s="21" t="s">
        <v>13</v>
      </c>
      <c r="AB4" s="21" t="s">
        <v>449</v>
      </c>
      <c r="AC4"/>
      <c r="AD4" s="21" t="s">
        <v>13</v>
      </c>
      <c r="AF4" s="13">
        <v>545000</v>
      </c>
      <c r="AG4" s="21">
        <v>0</v>
      </c>
      <c r="AH4" s="1">
        <v>545000</v>
      </c>
      <c r="AI4" s="1"/>
      <c r="AJ4" s="1"/>
      <c r="AL4" s="1">
        <v>8000</v>
      </c>
      <c r="AM4" s="21">
        <v>5</v>
      </c>
      <c r="AN4" s="21">
        <v>5</v>
      </c>
      <c r="AO4" s="21">
        <v>6.5</v>
      </c>
      <c r="AP4" s="21"/>
      <c r="AQ4" s="21"/>
      <c r="AR4" s="8" t="s">
        <v>173</v>
      </c>
      <c r="AS4" s="21" t="s">
        <v>445</v>
      </c>
      <c r="AT4" s="21" t="str">
        <f>IFERROR(IF(FIND("?",#REF!),SummarizeQuestMarks(#REF!),""),"")</f>
        <v/>
      </c>
      <c r="AU4" s="21"/>
      <c r="AV4" t="s">
        <v>1374</v>
      </c>
      <c r="AW4" t="b">
        <f>AND(ckAwdTable[[#This Row],[ILN]]&gt;"M", SUBSTITUTE(ckAwdTable[[#This Row],[prop_titl_txt]]," ","")&lt;&gt;SUBSTITUTE(AV3," ",""))</f>
        <v>0</v>
      </c>
      <c r="AX4" s="8" t="s">
        <v>1375</v>
      </c>
      <c r="AY4"/>
      <c r="AZ4"/>
      <c r="BA4"/>
      <c r="BB4"/>
      <c r="BC4"/>
      <c r="BD4"/>
      <c r="BL4"/>
      <c r="BP4"/>
    </row>
    <row r="5" spans="1:68">
      <c r="B5" s="30">
        <v>42933.713888888888</v>
      </c>
      <c r="C5" t="s">
        <v>244</v>
      </c>
      <c r="D5" t="s">
        <v>780</v>
      </c>
      <c r="E5" t="s">
        <v>567</v>
      </c>
      <c r="F5" t="s">
        <v>579</v>
      </c>
      <c r="G5" s="8" t="s">
        <v>172</v>
      </c>
      <c r="H5" s="8" t="s">
        <v>170</v>
      </c>
      <c r="I5" s="8" t="s">
        <v>442</v>
      </c>
      <c r="J5" t="s">
        <v>94</v>
      </c>
      <c r="K5" t="s">
        <v>782</v>
      </c>
      <c r="L5" s="22"/>
      <c r="M5" s="110">
        <f xml:space="preserve"> M4+(ckAwdTable[ILN]&lt;"M")</f>
        <v>4</v>
      </c>
      <c r="N5" t="s">
        <v>96</v>
      </c>
      <c r="O5" t="s">
        <v>624</v>
      </c>
      <c r="P5" s="15" t="str">
        <f>HYPERLINK("https://www.ejacket.nsf.gov/ej/showProposal.do?ID="&amp;ckAwdTable[[#This Row],[prop_id]],"eJ")</f>
        <v>eJ</v>
      </c>
      <c r="Q5" s="8" t="s">
        <v>781</v>
      </c>
      <c r="R5" t="s">
        <v>624</v>
      </c>
      <c r="S5" t="s">
        <v>625</v>
      </c>
      <c r="T5" t="s">
        <v>797</v>
      </c>
      <c r="U5" s="8" t="s">
        <v>249</v>
      </c>
      <c r="V5" t="s">
        <v>258</v>
      </c>
      <c r="W5" s="114" t="str">
        <f>HYPERLINK("mailto:"&amp; ckAwdTable[[#This Row],[email]]&amp;"&amp;subject=Your NSF Proposal:  "&amp;ckAwdTable[[#This Row],[prop_id]], ckAwdTable[[#This Row],[email]])</f>
        <v>delpia@wisc.edu</v>
      </c>
      <c r="X5" s="30">
        <v>43344</v>
      </c>
      <c r="Y5">
        <v>60</v>
      </c>
      <c r="AA5" s="21" t="s">
        <v>13</v>
      </c>
      <c r="AB5" s="21" t="s">
        <v>449</v>
      </c>
      <c r="AC5"/>
      <c r="AD5" s="21" t="s">
        <v>13</v>
      </c>
      <c r="AE5" s="21" t="s">
        <v>256</v>
      </c>
      <c r="AF5" s="13">
        <v>500000</v>
      </c>
      <c r="AG5" s="21">
        <v>0</v>
      </c>
      <c r="AH5" s="1">
        <v>500000</v>
      </c>
      <c r="AI5" s="1"/>
      <c r="AJ5" s="1">
        <v>12416</v>
      </c>
      <c r="AM5" s="21">
        <v>5</v>
      </c>
      <c r="AN5" s="21">
        <v>5</v>
      </c>
      <c r="AO5" s="21">
        <v>5</v>
      </c>
      <c r="AP5" s="21"/>
      <c r="AQ5" s="21"/>
      <c r="AR5" s="8" t="s">
        <v>173</v>
      </c>
      <c r="AS5" s="21" t="s">
        <v>445</v>
      </c>
      <c r="AT5" s="21" t="str">
        <f>IFERROR(IF(FIND("?",#REF!),SummarizeQuestMarks(#REF!),""),"")</f>
        <v/>
      </c>
      <c r="AU5" s="21"/>
      <c r="AV5" t="s">
        <v>799</v>
      </c>
      <c r="AW5" t="b">
        <f>AND(ckAwdTable[[#This Row],[ILN]]&gt;"M", SUBSTITUTE(ckAwdTable[[#This Row],[prop_titl_txt]]," ","")&lt;&gt;SUBSTITUTE(AV4," ",""))</f>
        <v>0</v>
      </c>
      <c r="AX5" s="8" t="s">
        <v>800</v>
      </c>
      <c r="AY5"/>
      <c r="AZ5"/>
      <c r="BA5"/>
      <c r="BB5"/>
      <c r="BC5"/>
      <c r="BD5"/>
      <c r="BL5"/>
      <c r="BP5"/>
    </row>
    <row r="6" spans="1:68">
      <c r="B6" s="30">
        <v>42933.820138888892</v>
      </c>
      <c r="C6" t="s">
        <v>244</v>
      </c>
      <c r="D6" t="s">
        <v>780</v>
      </c>
      <c r="E6" t="s">
        <v>567</v>
      </c>
      <c r="F6" t="s">
        <v>579</v>
      </c>
      <c r="G6" s="8" t="s">
        <v>172</v>
      </c>
      <c r="H6" s="8" t="s">
        <v>170</v>
      </c>
      <c r="I6" s="8" t="s">
        <v>442</v>
      </c>
      <c r="J6" t="s">
        <v>94</v>
      </c>
      <c r="K6" t="s">
        <v>782</v>
      </c>
      <c r="L6" s="22"/>
      <c r="M6" s="110">
        <f xml:space="preserve"> M5+(ckAwdTable[ILN]&lt;"M")</f>
        <v>5</v>
      </c>
      <c r="N6" t="s">
        <v>96</v>
      </c>
      <c r="O6" t="s">
        <v>635</v>
      </c>
      <c r="P6" s="15" t="str">
        <f>HYPERLINK("https://www.ejacket.nsf.gov/ej/showProposal.do?ID="&amp;ckAwdTable[[#This Row],[prop_id]],"eJ")</f>
        <v>eJ</v>
      </c>
      <c r="Q6" s="8" t="s">
        <v>781</v>
      </c>
      <c r="R6" t="s">
        <v>635</v>
      </c>
      <c r="S6" t="s">
        <v>344</v>
      </c>
      <c r="T6" t="s">
        <v>801</v>
      </c>
      <c r="U6" s="8" t="s">
        <v>246</v>
      </c>
      <c r="V6" t="s">
        <v>259</v>
      </c>
      <c r="W6" s="114" t="str">
        <f>HYPERLINK("mailto:"&amp; ckAwdTable[[#This Row],[email]]&amp;"&amp;subject=Your NSF Proposal:  "&amp;ckAwdTable[[#This Row],[prop_id]], ckAwdTable[[#This Row],[email]])</f>
        <v>yintat@uw.edu</v>
      </c>
      <c r="X6" s="30">
        <v>43175</v>
      </c>
      <c r="Y6">
        <v>60</v>
      </c>
      <c r="AA6" s="21" t="s">
        <v>13</v>
      </c>
      <c r="AB6" s="21" t="s">
        <v>449</v>
      </c>
      <c r="AC6"/>
      <c r="AD6" s="21" t="s">
        <v>13</v>
      </c>
      <c r="AF6" s="13">
        <v>549841</v>
      </c>
      <c r="AG6" s="21">
        <v>0</v>
      </c>
      <c r="AH6" s="1">
        <v>549841</v>
      </c>
      <c r="AI6" s="1"/>
      <c r="AJ6" s="1"/>
      <c r="AM6" s="21">
        <v>5</v>
      </c>
      <c r="AN6" s="21">
        <v>5</v>
      </c>
      <c r="AO6" s="21">
        <v>2.5</v>
      </c>
      <c r="AP6" s="21"/>
      <c r="AQ6" s="21">
        <v>2.5</v>
      </c>
      <c r="AR6" s="8" t="s">
        <v>173</v>
      </c>
      <c r="AS6" s="21" t="s">
        <v>445</v>
      </c>
      <c r="AT6" s="21" t="str">
        <f>IFERROR(IF(FIND("?",#REF!),SummarizeQuestMarks(#REF!),""),"")</f>
        <v/>
      </c>
      <c r="AU6" s="21"/>
      <c r="AV6" t="s">
        <v>803</v>
      </c>
      <c r="AW6" t="b">
        <f>AND(ckAwdTable[[#This Row],[ILN]]&gt;"M", SUBSTITUTE(ckAwdTable[[#This Row],[prop_titl_txt]]," ","")&lt;&gt;SUBSTITUTE(AV5," ",""))</f>
        <v>0</v>
      </c>
      <c r="AX6" s="8" t="s">
        <v>804</v>
      </c>
      <c r="AY6"/>
      <c r="AZ6"/>
      <c r="BA6"/>
      <c r="BB6"/>
      <c r="BC6"/>
      <c r="BD6"/>
      <c r="BL6"/>
      <c r="BP6"/>
    </row>
    <row r="7" spans="1:68">
      <c r="B7" s="30">
        <v>42934.453472222223</v>
      </c>
      <c r="C7" t="s">
        <v>244</v>
      </c>
      <c r="D7" t="s">
        <v>780</v>
      </c>
      <c r="E7" t="s">
        <v>567</v>
      </c>
      <c r="F7" t="s">
        <v>944</v>
      </c>
      <c r="G7" s="8" t="s">
        <v>172</v>
      </c>
      <c r="H7" s="8" t="s">
        <v>170</v>
      </c>
      <c r="I7" s="8" t="s">
        <v>442</v>
      </c>
      <c r="J7" t="s">
        <v>94</v>
      </c>
      <c r="K7" t="s">
        <v>782</v>
      </c>
      <c r="L7" s="22"/>
      <c r="M7" s="110">
        <f xml:space="preserve"> M6+(ckAwdTable[ILN]&lt;"M")</f>
        <v>6</v>
      </c>
      <c r="N7" t="s">
        <v>96</v>
      </c>
      <c r="O7" t="s">
        <v>946</v>
      </c>
      <c r="P7" s="15" t="str">
        <f>HYPERLINK("https://www.ejacket.nsf.gov/ej/showProposal.do?ID="&amp;ckAwdTable[[#This Row],[prop_id]],"eJ")</f>
        <v>eJ</v>
      </c>
      <c r="Q7" s="8" t="s">
        <v>781</v>
      </c>
      <c r="R7" t="s">
        <v>946</v>
      </c>
      <c r="S7" t="s">
        <v>947</v>
      </c>
      <c r="T7" t="s">
        <v>1376</v>
      </c>
      <c r="U7" s="8" t="s">
        <v>1377</v>
      </c>
      <c r="V7" t="s">
        <v>260</v>
      </c>
      <c r="W7" s="114" t="str">
        <f>HYPERLINK("mailto:"&amp; ckAwdTable[[#This Row],[email]]&amp;"&amp;subject=Your NSF Proposal:  "&amp;ckAwdTable[[#This Row],[prop_id]], ckAwdTable[[#This Row],[email]])</f>
        <v>sim3@ucmerced.edu</v>
      </c>
      <c r="X7" s="30">
        <v>43282</v>
      </c>
      <c r="Y7">
        <v>60</v>
      </c>
      <c r="AA7" s="21" t="s">
        <v>13</v>
      </c>
      <c r="AB7" s="21" t="s">
        <v>449</v>
      </c>
      <c r="AC7"/>
      <c r="AD7" s="21" t="s">
        <v>13</v>
      </c>
      <c r="AF7" s="13">
        <v>514477</v>
      </c>
      <c r="AG7" s="21">
        <v>0</v>
      </c>
      <c r="AH7" s="1">
        <v>514477</v>
      </c>
      <c r="AI7" s="1"/>
      <c r="AJ7" s="1"/>
      <c r="AM7" s="21">
        <v>10</v>
      </c>
      <c r="AN7" s="21">
        <v>4</v>
      </c>
      <c r="AO7" s="21">
        <v>7</v>
      </c>
      <c r="AP7" s="21"/>
      <c r="AQ7" s="21"/>
      <c r="AR7" s="8" t="s">
        <v>173</v>
      </c>
      <c r="AS7" s="21" t="s">
        <v>445</v>
      </c>
      <c r="AT7" s="21" t="str">
        <f>IFERROR(IF(FIND("?",#REF!),SummarizeQuestMarks(#REF!),""),"")</f>
        <v/>
      </c>
      <c r="AU7" s="21"/>
      <c r="AV7" t="s">
        <v>1378</v>
      </c>
      <c r="AW7" t="b">
        <f>AND(ckAwdTable[[#This Row],[ILN]]&gt;"M", SUBSTITUTE(ckAwdTable[[#This Row],[prop_titl_txt]]," ","")&lt;&gt;SUBSTITUTE(AV6," ",""))</f>
        <v>0</v>
      </c>
      <c r="AX7" s="8" t="s">
        <v>1379</v>
      </c>
    </row>
    <row r="8" spans="1:68">
      <c r="B8" s="30">
        <v>42934.507638888892</v>
      </c>
      <c r="C8" t="s">
        <v>244</v>
      </c>
      <c r="D8" t="s">
        <v>780</v>
      </c>
      <c r="E8" t="s">
        <v>567</v>
      </c>
      <c r="F8" t="s">
        <v>944</v>
      </c>
      <c r="G8" s="8" t="s">
        <v>172</v>
      </c>
      <c r="H8" s="8" t="s">
        <v>170</v>
      </c>
      <c r="I8" s="8" t="s">
        <v>442</v>
      </c>
      <c r="J8" t="s">
        <v>94</v>
      </c>
      <c r="K8" t="s">
        <v>782</v>
      </c>
      <c r="L8" s="22"/>
      <c r="M8" s="110">
        <f xml:space="preserve"> M7+(ckAwdTable[ILN]&lt;"M")</f>
        <v>7</v>
      </c>
      <c r="N8" t="s">
        <v>96</v>
      </c>
      <c r="O8" t="s">
        <v>954</v>
      </c>
      <c r="P8" s="15" t="str">
        <f>HYPERLINK("https://www.ejacket.nsf.gov/ej/showProposal.do?ID="&amp;ckAwdTable[[#This Row],[prop_id]],"eJ")</f>
        <v>eJ</v>
      </c>
      <c r="Q8" s="8" t="s">
        <v>781</v>
      </c>
      <c r="R8" t="s">
        <v>954</v>
      </c>
      <c r="S8" t="s">
        <v>955</v>
      </c>
      <c r="T8" t="s">
        <v>1380</v>
      </c>
      <c r="U8" s="8" t="s">
        <v>1357</v>
      </c>
      <c r="V8" t="s">
        <v>260</v>
      </c>
      <c r="W8" s="114" t="str">
        <f>HYPERLINK("mailto:"&amp; ckAwdTable[[#This Row],[email]]&amp;"&amp;subject=Your NSF Proposal:  "&amp;ckAwdTable[[#This Row],[prop_id]], ckAwdTable[[#This Row],[email]])</f>
        <v>sidford@stanford.edu</v>
      </c>
      <c r="X8" s="30">
        <v>43009</v>
      </c>
      <c r="Y8">
        <v>60</v>
      </c>
      <c r="AA8" s="21" t="s">
        <v>13</v>
      </c>
      <c r="AB8" s="21" t="s">
        <v>449</v>
      </c>
      <c r="AC8"/>
      <c r="AD8" s="21" t="s">
        <v>13</v>
      </c>
      <c r="AF8" s="13">
        <v>500000</v>
      </c>
      <c r="AG8" s="21">
        <v>0</v>
      </c>
      <c r="AH8" s="1">
        <v>500000</v>
      </c>
      <c r="AI8" s="1"/>
      <c r="AJ8" s="1"/>
      <c r="AL8" s="1">
        <v>7500</v>
      </c>
      <c r="AM8" s="21">
        <v>5</v>
      </c>
      <c r="AN8" s="21">
        <v>5</v>
      </c>
      <c r="AO8" s="21">
        <v>6.75</v>
      </c>
      <c r="AP8" s="21"/>
      <c r="AQ8" s="21"/>
      <c r="AR8" s="8" t="s">
        <v>173</v>
      </c>
      <c r="AS8" s="21" t="s">
        <v>445</v>
      </c>
      <c r="AT8" s="21" t="str">
        <f>IFERROR(IF(FIND("?",#REF!),SummarizeQuestMarks(#REF!),""),"")</f>
        <v/>
      </c>
      <c r="AU8" s="21"/>
      <c r="AV8" t="s">
        <v>1381</v>
      </c>
      <c r="AW8" t="b">
        <f>AND(ckAwdTable[[#This Row],[ILN]]&gt;"M", SUBSTITUTE(ckAwdTable[[#This Row],[prop_titl_txt]]," ","")&lt;&gt;SUBSTITUTE(AV7," ",""))</f>
        <v>0</v>
      </c>
      <c r="AX8" s="8" t="s">
        <v>1382</v>
      </c>
    </row>
    <row r="9" spans="1:68">
      <c r="B9" s="30">
        <v>42934.524305555555</v>
      </c>
      <c r="C9" t="s">
        <v>244</v>
      </c>
      <c r="D9" t="s">
        <v>780</v>
      </c>
      <c r="E9" t="s">
        <v>567</v>
      </c>
      <c r="F9" t="s">
        <v>582</v>
      </c>
      <c r="G9" s="8" t="s">
        <v>172</v>
      </c>
      <c r="H9" s="8" t="s">
        <v>170</v>
      </c>
      <c r="I9" s="8" t="s">
        <v>442</v>
      </c>
      <c r="J9" t="s">
        <v>94</v>
      </c>
      <c r="K9" t="s">
        <v>782</v>
      </c>
      <c r="L9" s="22"/>
      <c r="M9" s="110">
        <f xml:space="preserve"> M8+(ckAwdTable[ILN]&lt;"M")</f>
        <v>8</v>
      </c>
      <c r="N9" t="s">
        <v>96</v>
      </c>
      <c r="O9" t="s">
        <v>961</v>
      </c>
      <c r="P9" s="15" t="str">
        <f>HYPERLINK("https://www.ejacket.nsf.gov/ej/showProposal.do?ID="&amp;ckAwdTable[[#This Row],[prop_id]],"eJ")</f>
        <v>eJ</v>
      </c>
      <c r="Q9" s="8" t="s">
        <v>781</v>
      </c>
      <c r="R9" t="s">
        <v>961</v>
      </c>
      <c r="S9" t="s">
        <v>962</v>
      </c>
      <c r="T9" t="s">
        <v>1384</v>
      </c>
      <c r="U9" s="8" t="s">
        <v>453</v>
      </c>
      <c r="V9" t="s">
        <v>262</v>
      </c>
      <c r="W9" s="114" t="str">
        <f>HYPERLINK("mailto:"&amp; ckAwdTable[[#This Row],[email]]&amp;"&amp;subject=Your NSF Proposal:  "&amp;ckAwdTable[[#This Row],[prop_id]], ckAwdTable[[#This Row],[email]])</f>
        <v>omri@cs.columbia.edu</v>
      </c>
      <c r="X9" s="30">
        <v>42979</v>
      </c>
      <c r="Y9">
        <v>60</v>
      </c>
      <c r="AA9" s="21" t="s">
        <v>13</v>
      </c>
      <c r="AB9" s="21" t="s">
        <v>449</v>
      </c>
      <c r="AC9"/>
      <c r="AD9" s="21" t="s">
        <v>13</v>
      </c>
      <c r="AF9" s="13">
        <v>400000</v>
      </c>
      <c r="AG9" s="21">
        <v>0</v>
      </c>
      <c r="AH9" s="1">
        <v>400000</v>
      </c>
      <c r="AI9" s="1"/>
      <c r="AJ9" s="1"/>
      <c r="AM9" s="21">
        <v>3</v>
      </c>
      <c r="AN9" s="21">
        <v>5</v>
      </c>
      <c r="AO9" s="21">
        <v>1</v>
      </c>
      <c r="AP9" s="21"/>
      <c r="AQ9" s="21">
        <v>3.5</v>
      </c>
      <c r="AR9" s="8" t="s">
        <v>173</v>
      </c>
      <c r="AS9" s="21" t="s">
        <v>445</v>
      </c>
      <c r="AT9" s="21" t="str">
        <f>IFERROR(IF(FIND("?",#REF!),SummarizeQuestMarks(#REF!),""),"")</f>
        <v/>
      </c>
      <c r="AU9" s="21"/>
      <c r="AV9" t="s">
        <v>1386</v>
      </c>
      <c r="AW9" t="b">
        <f>AND(ckAwdTable[[#This Row],[ILN]]&gt;"M", SUBSTITUTE(ckAwdTable[[#This Row],[prop_titl_txt]]," ","")&lt;&gt;SUBSTITUTE(AV8," ",""))</f>
        <v>0</v>
      </c>
      <c r="AX9" s="8" t="s">
        <v>1387</v>
      </c>
    </row>
    <row r="10" spans="1:68">
      <c r="B10" s="30">
        <v>42934.524305555555</v>
      </c>
      <c r="C10" t="s">
        <v>244</v>
      </c>
      <c r="D10" t="s">
        <v>780</v>
      </c>
      <c r="E10" t="s">
        <v>567</v>
      </c>
      <c r="F10" t="s">
        <v>582</v>
      </c>
      <c r="G10" s="8" t="s">
        <v>172</v>
      </c>
      <c r="H10" s="8" t="s">
        <v>170</v>
      </c>
      <c r="I10" s="8" t="s">
        <v>442</v>
      </c>
      <c r="J10" t="s">
        <v>94</v>
      </c>
      <c r="K10" t="s">
        <v>782</v>
      </c>
      <c r="L10" s="22"/>
      <c r="M10" s="110">
        <f xml:space="preserve"> M9+(ckAwdTable[ILN]&lt;"M")</f>
        <v>9</v>
      </c>
      <c r="N10" t="s">
        <v>96</v>
      </c>
      <c r="O10" t="s">
        <v>642</v>
      </c>
      <c r="P10" s="15" t="str">
        <f>HYPERLINK("https://www.ejacket.nsf.gov/ej/showProposal.do?ID="&amp;ckAwdTable[[#This Row],[prop_id]],"eJ")</f>
        <v>eJ</v>
      </c>
      <c r="Q10" s="8" t="s">
        <v>781</v>
      </c>
      <c r="R10" t="s">
        <v>642</v>
      </c>
      <c r="S10" t="s">
        <v>643</v>
      </c>
      <c r="T10" t="s">
        <v>805</v>
      </c>
      <c r="U10" s="8" t="s">
        <v>346</v>
      </c>
      <c r="V10" t="s">
        <v>347</v>
      </c>
      <c r="W10" s="114" t="str">
        <f>HYPERLINK("mailto:"&amp; ckAwdTable[[#This Row],[email]]&amp;"&amp;subject=Your NSF Proposal:  "&amp;ckAwdTable[[#This Row],[prop_id]], ckAwdTable[[#This Row],[email]])</f>
        <v>karthe@illinois.edu</v>
      </c>
      <c r="X10" s="30">
        <v>43115</v>
      </c>
      <c r="Y10">
        <v>60</v>
      </c>
      <c r="AA10" s="21" t="s">
        <v>13</v>
      </c>
      <c r="AB10" s="21" t="s">
        <v>449</v>
      </c>
      <c r="AC10"/>
      <c r="AD10" s="21" t="s">
        <v>13</v>
      </c>
      <c r="AE10" s="21" t="s">
        <v>256</v>
      </c>
      <c r="AF10" s="13">
        <v>446040</v>
      </c>
      <c r="AG10" s="21">
        <v>0</v>
      </c>
      <c r="AH10" s="1">
        <v>446040</v>
      </c>
      <c r="AI10" s="1"/>
      <c r="AJ10" s="1">
        <v>20000</v>
      </c>
      <c r="AM10" s="21">
        <v>5</v>
      </c>
      <c r="AN10" s="21">
        <v>5</v>
      </c>
      <c r="AO10" s="21">
        <v>5</v>
      </c>
      <c r="AP10" s="21"/>
      <c r="AQ10" s="21"/>
      <c r="AR10" s="8" t="s">
        <v>173</v>
      </c>
      <c r="AS10" s="21" t="s">
        <v>445</v>
      </c>
      <c r="AT10" s="21" t="str">
        <f>IFERROR(IF(FIND("?",#REF!),SummarizeQuestMarks(#REF!),""),"")</f>
        <v/>
      </c>
      <c r="AU10" s="21"/>
      <c r="AV10" t="s">
        <v>807</v>
      </c>
      <c r="AW10" t="b">
        <f>AND(ckAwdTable[[#This Row],[ILN]]&gt;"M", SUBSTITUTE(ckAwdTable[[#This Row],[prop_titl_txt]]," ","")&lt;&gt;SUBSTITUTE(AV9," ",""))</f>
        <v>0</v>
      </c>
      <c r="AX10" s="8" t="s">
        <v>808</v>
      </c>
    </row>
    <row r="11" spans="1:68">
      <c r="B11" s="30">
        <v>42934.625694444447</v>
      </c>
      <c r="C11" t="s">
        <v>244</v>
      </c>
      <c r="D11" t="s">
        <v>780</v>
      </c>
      <c r="E11" t="s">
        <v>567</v>
      </c>
      <c r="F11" t="s">
        <v>579</v>
      </c>
      <c r="G11" s="8" t="s">
        <v>172</v>
      </c>
      <c r="H11" s="8" t="s">
        <v>170</v>
      </c>
      <c r="I11" s="8" t="s">
        <v>442</v>
      </c>
      <c r="J11" t="s">
        <v>94</v>
      </c>
      <c r="K11" t="s">
        <v>782</v>
      </c>
      <c r="L11" s="22"/>
      <c r="M11" s="110">
        <f xml:space="preserve"> M10+(ckAwdTable[ILN]&lt;"M")</f>
        <v>10</v>
      </c>
      <c r="N11" t="s">
        <v>96</v>
      </c>
      <c r="O11" t="s">
        <v>656</v>
      </c>
      <c r="P11" s="15" t="str">
        <f>HYPERLINK("https://www.ejacket.nsf.gov/ej/showProposal.do?ID="&amp;ckAwdTable[[#This Row],[prop_id]],"eJ")</f>
        <v>eJ</v>
      </c>
      <c r="Q11" s="8" t="s">
        <v>781</v>
      </c>
      <c r="R11" t="s">
        <v>656</v>
      </c>
      <c r="S11" t="s">
        <v>657</v>
      </c>
      <c r="T11" t="s">
        <v>809</v>
      </c>
      <c r="U11" s="8" t="s">
        <v>810</v>
      </c>
      <c r="V11" t="s">
        <v>262</v>
      </c>
      <c r="W11" s="114" t="str">
        <f>HYPERLINK("mailto:"&amp; ckAwdTable[[#This Row],[email]]&amp;"&amp;subject=Your NSF Proposal:  "&amp;ckAwdTable[[#This Row],[prop_id]], ckAwdTable[[#This Row],[email]])</f>
        <v>francesco@cs.stonybrook.edu</v>
      </c>
      <c r="X11" s="30">
        <v>43101</v>
      </c>
      <c r="Y11">
        <v>60</v>
      </c>
      <c r="AA11" s="21" t="s">
        <v>13</v>
      </c>
      <c r="AB11" s="21" t="s">
        <v>449</v>
      </c>
      <c r="AC11"/>
      <c r="AD11" s="21" t="s">
        <v>13</v>
      </c>
      <c r="AE11" s="21" t="s">
        <v>256</v>
      </c>
      <c r="AF11" s="13">
        <v>516750</v>
      </c>
      <c r="AG11" s="21">
        <v>0</v>
      </c>
      <c r="AH11" s="1">
        <v>516750</v>
      </c>
      <c r="AI11" s="1"/>
      <c r="AJ11" s="1">
        <v>10000</v>
      </c>
      <c r="AM11" s="21">
        <v>9</v>
      </c>
      <c r="AN11" s="21">
        <v>5</v>
      </c>
      <c r="AO11" s="21">
        <v>5</v>
      </c>
      <c r="AP11" s="21"/>
      <c r="AQ11" s="21"/>
      <c r="AR11" s="8" t="s">
        <v>173</v>
      </c>
      <c r="AS11" s="21" t="s">
        <v>445</v>
      </c>
      <c r="AT11" s="21" t="str">
        <f>IFERROR(IF(FIND("?",#REF!),SummarizeQuestMarks(#REF!),""),"")</f>
        <v/>
      </c>
      <c r="AU11" s="21"/>
      <c r="AV11" t="s">
        <v>812</v>
      </c>
      <c r="AW11" t="b">
        <f>AND(ckAwdTable[[#This Row],[ILN]]&gt;"M", SUBSTITUTE(ckAwdTable[[#This Row],[prop_titl_txt]]," ","")&lt;&gt;SUBSTITUTE(AV10," ",""))</f>
        <v>0</v>
      </c>
      <c r="AX11" s="8" t="s">
        <v>813</v>
      </c>
    </row>
    <row r="12" spans="1:68">
      <c r="B12" s="30">
        <v>42934.695138888892</v>
      </c>
      <c r="C12" t="s">
        <v>244</v>
      </c>
      <c r="D12" t="s">
        <v>780</v>
      </c>
      <c r="E12" t="s">
        <v>567</v>
      </c>
      <c r="F12" t="s">
        <v>579</v>
      </c>
      <c r="G12" s="8" t="s">
        <v>172</v>
      </c>
      <c r="H12" s="8" t="s">
        <v>170</v>
      </c>
      <c r="I12" s="8" t="s">
        <v>442</v>
      </c>
      <c r="J12" t="s">
        <v>94</v>
      </c>
      <c r="K12" t="s">
        <v>782</v>
      </c>
      <c r="L12" s="22"/>
      <c r="M12" s="110">
        <f xml:space="preserve"> M11+(ckAwdTable[ILN]&lt;"M")</f>
        <v>11</v>
      </c>
      <c r="N12" t="s">
        <v>96</v>
      </c>
      <c r="O12" t="s">
        <v>678</v>
      </c>
      <c r="P12" s="15" t="str">
        <f>HYPERLINK("https://www.ejacket.nsf.gov/ej/showProposal.do?ID="&amp;ckAwdTable[[#This Row],[prop_id]],"eJ")</f>
        <v>eJ</v>
      </c>
      <c r="Q12" s="8" t="s">
        <v>781</v>
      </c>
      <c r="R12" t="s">
        <v>678</v>
      </c>
      <c r="S12" t="s">
        <v>679</v>
      </c>
      <c r="T12" t="s">
        <v>814</v>
      </c>
      <c r="U12" s="8" t="s">
        <v>815</v>
      </c>
      <c r="V12" t="s">
        <v>261</v>
      </c>
      <c r="W12" s="114" t="str">
        <f>HYPERLINK("mailto:"&amp; ckAwdTable[[#This Row],[email]]&amp;"&amp;subject=Your NSF Proposal:  "&amp;ckAwdTable[[#This Row],[prop_id]], ckAwdTable[[#This Row],[email]])</f>
        <v>jsolomon@mit.edu</v>
      </c>
      <c r="X12" s="30">
        <v>43101</v>
      </c>
      <c r="Y12">
        <v>60</v>
      </c>
      <c r="AA12" s="21" t="s">
        <v>13</v>
      </c>
      <c r="AB12" s="21" t="s">
        <v>449</v>
      </c>
      <c r="AC12"/>
      <c r="AD12" s="21" t="s">
        <v>13</v>
      </c>
      <c r="AF12" s="13">
        <v>550000</v>
      </c>
      <c r="AG12" s="21">
        <v>0</v>
      </c>
      <c r="AH12" s="1">
        <v>550000</v>
      </c>
      <c r="AI12" s="1"/>
      <c r="AJ12" s="1"/>
      <c r="AM12" s="21">
        <v>5</v>
      </c>
      <c r="AN12" s="21">
        <v>5</v>
      </c>
      <c r="AO12" s="21">
        <v>2.5</v>
      </c>
      <c r="AP12" s="21"/>
      <c r="AQ12" s="21"/>
      <c r="AR12" s="8" t="s">
        <v>173</v>
      </c>
      <c r="AS12" s="21" t="s">
        <v>445</v>
      </c>
      <c r="AT12" s="21" t="str">
        <f>IFERROR(IF(FIND("?",#REF!),SummarizeQuestMarks(#REF!),""),"")</f>
        <v/>
      </c>
      <c r="AU12" s="21"/>
      <c r="AV12" t="s">
        <v>817</v>
      </c>
      <c r="AW12" t="b">
        <f>AND(ckAwdTable[[#This Row],[ILN]]&gt;"M", SUBSTITUTE(ckAwdTable[[#This Row],[prop_titl_txt]]," ","")&lt;&gt;SUBSTITUTE(AV11," ",""))</f>
        <v>0</v>
      </c>
      <c r="AX12" s="8" t="s">
        <v>818</v>
      </c>
    </row>
    <row r="13" spans="1:68">
      <c r="B13" s="30">
        <v>42934.734722222223</v>
      </c>
      <c r="C13" t="s">
        <v>244</v>
      </c>
      <c r="D13" t="s">
        <v>780</v>
      </c>
      <c r="E13" t="s">
        <v>567</v>
      </c>
      <c r="F13" t="s">
        <v>582</v>
      </c>
      <c r="G13" s="8" t="s">
        <v>172</v>
      </c>
      <c r="H13" s="8" t="s">
        <v>170</v>
      </c>
      <c r="I13" s="8" t="s">
        <v>442</v>
      </c>
      <c r="J13" t="s">
        <v>94</v>
      </c>
      <c r="K13" t="s">
        <v>782</v>
      </c>
      <c r="L13" s="22"/>
      <c r="M13" s="110">
        <f xml:space="preserve"> M12+(ckAwdTable[ILN]&lt;"M")</f>
        <v>12</v>
      </c>
      <c r="N13" t="s">
        <v>96</v>
      </c>
      <c r="O13" t="s">
        <v>974</v>
      </c>
      <c r="P13" s="15" t="str">
        <f>HYPERLINK("https://www.ejacket.nsf.gov/ej/showProposal.do?ID="&amp;ckAwdTable[[#This Row],[prop_id]],"eJ")</f>
        <v>eJ</v>
      </c>
      <c r="Q13" s="8" t="s">
        <v>781</v>
      </c>
      <c r="R13" t="s">
        <v>974</v>
      </c>
      <c r="S13" t="s">
        <v>975</v>
      </c>
      <c r="T13" t="s">
        <v>814</v>
      </c>
      <c r="U13" s="8" t="s">
        <v>1356</v>
      </c>
      <c r="V13" t="s">
        <v>1355</v>
      </c>
      <c r="W13" s="114" t="str">
        <f>HYPERLINK("mailto:"&amp; ckAwdTable[[#This Row],[email]]&amp;"&amp;subject=Your NSF Proposal:  "&amp;ckAwdTable[[#This Row],[prop_id]], ckAwdTable[[#This Row],[email]])</f>
        <v>jt1157@georgetown.edu</v>
      </c>
      <c r="X13" s="30">
        <v>43252</v>
      </c>
      <c r="Y13">
        <v>60</v>
      </c>
      <c r="AA13" s="21" t="s">
        <v>13</v>
      </c>
      <c r="AB13" s="21" t="s">
        <v>449</v>
      </c>
      <c r="AC13"/>
      <c r="AD13" s="21" t="s">
        <v>13</v>
      </c>
      <c r="AE13" s="21" t="s">
        <v>256</v>
      </c>
      <c r="AF13" s="13">
        <v>525636</v>
      </c>
      <c r="AG13" s="21">
        <v>0</v>
      </c>
      <c r="AH13" s="1">
        <v>525636</v>
      </c>
      <c r="AI13" s="1"/>
      <c r="AJ13" s="1">
        <v>12500</v>
      </c>
      <c r="AM13" s="21">
        <v>4</v>
      </c>
      <c r="AN13" s="21">
        <v>5</v>
      </c>
      <c r="AO13" s="21">
        <v>7</v>
      </c>
      <c r="AP13" s="21"/>
      <c r="AQ13" s="21"/>
      <c r="AR13" s="8" t="s">
        <v>173</v>
      </c>
      <c r="AS13" s="21" t="s">
        <v>445</v>
      </c>
      <c r="AT13" s="21" t="str">
        <f>IFERROR(IF(FIND("?",#REF!),SummarizeQuestMarks(#REF!),""),"")</f>
        <v/>
      </c>
      <c r="AU13" s="21"/>
      <c r="AV13" t="s">
        <v>1388</v>
      </c>
      <c r="AW13" t="b">
        <f>AND(ckAwdTable[[#This Row],[ILN]]&gt;"M", SUBSTITUTE(ckAwdTable[[#This Row],[prop_titl_txt]]," ","")&lt;&gt;SUBSTITUTE(AV12," ",""))</f>
        <v>0</v>
      </c>
      <c r="AX13" s="8" t="s">
        <v>1389</v>
      </c>
    </row>
    <row r="14" spans="1:68">
      <c r="B14" s="30">
        <v>42934.737500000003</v>
      </c>
      <c r="C14" t="s">
        <v>244</v>
      </c>
      <c r="D14" t="s">
        <v>780</v>
      </c>
      <c r="E14" t="s">
        <v>567</v>
      </c>
      <c r="F14" t="s">
        <v>582</v>
      </c>
      <c r="G14" s="8" t="s">
        <v>172</v>
      </c>
      <c r="H14" s="8" t="s">
        <v>170</v>
      </c>
      <c r="I14" s="8" t="s">
        <v>442</v>
      </c>
      <c r="J14" t="s">
        <v>94</v>
      </c>
      <c r="K14" t="s">
        <v>782</v>
      </c>
      <c r="L14" s="22"/>
      <c r="M14" s="110">
        <f xml:space="preserve"> M13+(ckAwdTable[ILN]&lt;"M")</f>
        <v>13</v>
      </c>
      <c r="N14" t="s">
        <v>96</v>
      </c>
      <c r="O14" t="s">
        <v>686</v>
      </c>
      <c r="P14" s="15" t="str">
        <f>HYPERLINK("https://www.ejacket.nsf.gov/ej/showProposal.do?ID="&amp;ckAwdTable[[#This Row],[prop_id]],"eJ")</f>
        <v>eJ</v>
      </c>
      <c r="Q14" s="8" t="s">
        <v>781</v>
      </c>
      <c r="R14" t="s">
        <v>686</v>
      </c>
      <c r="S14" t="s">
        <v>687</v>
      </c>
      <c r="T14" t="s">
        <v>820</v>
      </c>
      <c r="U14" s="8" t="s">
        <v>346</v>
      </c>
      <c r="V14" t="s">
        <v>347</v>
      </c>
      <c r="W14" s="114" t="str">
        <f>HYPERLINK("mailto:"&amp; ckAwdTable[[#This Row],[email]]&amp;"&amp;subject=Your NSF Proposal:  "&amp;ckAwdTable[[#This Row],[prop_id]], ckAwdTable[[#This Row],[email]])</f>
        <v>solomon2@illinois.edu</v>
      </c>
      <c r="X14" s="30">
        <v>43132</v>
      </c>
      <c r="Y14">
        <v>60</v>
      </c>
      <c r="AA14" s="21" t="s">
        <v>13</v>
      </c>
      <c r="AB14" s="21" t="s">
        <v>449</v>
      </c>
      <c r="AC14"/>
      <c r="AD14" s="21" t="s">
        <v>13</v>
      </c>
      <c r="AE14" s="21" t="s">
        <v>256</v>
      </c>
      <c r="AF14" s="13">
        <v>524117</v>
      </c>
      <c r="AG14" s="21">
        <v>0</v>
      </c>
      <c r="AH14" s="1">
        <v>524117</v>
      </c>
      <c r="AI14" s="1"/>
      <c r="AJ14" s="1">
        <v>11250</v>
      </c>
      <c r="AM14" s="21">
        <v>5</v>
      </c>
      <c r="AN14" s="21">
        <v>5</v>
      </c>
      <c r="AO14" s="21">
        <v>2.5</v>
      </c>
      <c r="AP14" s="21"/>
      <c r="AQ14" s="21"/>
      <c r="AR14" s="8" t="s">
        <v>173</v>
      </c>
      <c r="AS14" s="21" t="s">
        <v>445</v>
      </c>
      <c r="AT14" s="21" t="str">
        <f>IFERROR(IF(FIND("?",#REF!),SummarizeQuestMarks(#REF!),""),"")</f>
        <v/>
      </c>
      <c r="AU14" s="21"/>
      <c r="AV14" t="s">
        <v>822</v>
      </c>
      <c r="AW14" t="b">
        <f>AND(ckAwdTable[[#This Row],[ILN]]&gt;"M", SUBSTITUTE(ckAwdTable[[#This Row],[prop_titl_txt]]," ","")&lt;&gt;SUBSTITUTE(AV13," ",""))</f>
        <v>0</v>
      </c>
      <c r="AX14" s="8" t="s">
        <v>823</v>
      </c>
    </row>
    <row r="15" spans="1:68">
      <c r="B15" s="30">
        <v>42934.806944444441</v>
      </c>
      <c r="C15" t="s">
        <v>244</v>
      </c>
      <c r="D15" t="s">
        <v>780</v>
      </c>
      <c r="E15" t="s">
        <v>567</v>
      </c>
      <c r="F15" t="s">
        <v>944</v>
      </c>
      <c r="G15" s="8" t="s">
        <v>172</v>
      </c>
      <c r="H15" s="8" t="s">
        <v>170</v>
      </c>
      <c r="I15" s="8" t="s">
        <v>442</v>
      </c>
      <c r="J15" t="s">
        <v>94</v>
      </c>
      <c r="K15" t="s">
        <v>782</v>
      </c>
      <c r="L15" s="22"/>
      <c r="M15" s="110">
        <f xml:space="preserve"> M14+(ckAwdTable[ILN]&lt;"M")</f>
        <v>14</v>
      </c>
      <c r="N15" t="s">
        <v>96</v>
      </c>
      <c r="O15" t="s">
        <v>985</v>
      </c>
      <c r="P15" s="15" t="str">
        <f>HYPERLINK("https://www.ejacket.nsf.gov/ej/showProposal.do?ID="&amp;ckAwdTable[[#This Row],[prop_id]],"eJ")</f>
        <v>eJ</v>
      </c>
      <c r="Q15" s="8" t="s">
        <v>781</v>
      </c>
      <c r="R15" t="s">
        <v>985</v>
      </c>
      <c r="S15" t="s">
        <v>986</v>
      </c>
      <c r="T15" t="s">
        <v>1390</v>
      </c>
      <c r="U15" s="8" t="s">
        <v>452</v>
      </c>
      <c r="V15" t="s">
        <v>260</v>
      </c>
      <c r="W15" s="114" t="str">
        <f>HYPERLINK("mailto:"&amp; ckAwdTable[[#This Row],[email]]&amp;"&amp;subject=Your NSF Proposal:  "&amp;ckAwdTable[[#This Row],[prop_id]], ckAwdTable[[#This Row],[email]])</f>
        <v>razaviya@usc.edu</v>
      </c>
      <c r="X15" s="30">
        <v>43236</v>
      </c>
      <c r="Y15">
        <v>60</v>
      </c>
      <c r="AA15" s="21" t="s">
        <v>13</v>
      </c>
      <c r="AB15" s="21" t="s">
        <v>449</v>
      </c>
      <c r="AC15"/>
      <c r="AD15" s="21" t="s">
        <v>13</v>
      </c>
      <c r="AE15" s="21" t="s">
        <v>256</v>
      </c>
      <c r="AF15" s="13">
        <v>539673</v>
      </c>
      <c r="AG15" s="21">
        <v>0</v>
      </c>
      <c r="AH15" s="1">
        <v>539673</v>
      </c>
      <c r="AI15" s="1"/>
      <c r="AJ15" s="1"/>
      <c r="AL15" s="1">
        <v>13000</v>
      </c>
      <c r="AM15" s="21">
        <v>5</v>
      </c>
      <c r="AN15" s="21">
        <v>5</v>
      </c>
      <c r="AO15" s="21">
        <v>5</v>
      </c>
      <c r="AP15" s="21"/>
      <c r="AQ15" s="21"/>
      <c r="AR15" s="8" t="s">
        <v>173</v>
      </c>
      <c r="AS15" s="21" t="s">
        <v>445</v>
      </c>
      <c r="AT15" s="21" t="str">
        <f>IFERROR(IF(FIND("?",#REF!),SummarizeQuestMarks(#REF!),""),"")</f>
        <v/>
      </c>
      <c r="AU15" s="21"/>
      <c r="AV15" t="s">
        <v>1392</v>
      </c>
      <c r="AW15" t="b">
        <f>AND(ckAwdTable[[#This Row],[ILN]]&gt;"M", SUBSTITUTE(ckAwdTable[[#This Row],[prop_titl_txt]]," ","")&lt;&gt;SUBSTITUTE(AV14," ",""))</f>
        <v>0</v>
      </c>
      <c r="AX15" s="8" t="s">
        <v>1393</v>
      </c>
    </row>
    <row r="16" spans="1:68">
      <c r="B16" s="30">
        <v>42934.808333333334</v>
      </c>
      <c r="C16" t="s">
        <v>244</v>
      </c>
      <c r="D16" t="s">
        <v>780</v>
      </c>
      <c r="E16" t="s">
        <v>567</v>
      </c>
      <c r="F16" t="s">
        <v>579</v>
      </c>
      <c r="G16" s="8" t="s">
        <v>172</v>
      </c>
      <c r="H16" s="8" t="s">
        <v>170</v>
      </c>
      <c r="I16" s="8" t="s">
        <v>442</v>
      </c>
      <c r="J16" t="s">
        <v>94</v>
      </c>
      <c r="K16" t="s">
        <v>782</v>
      </c>
      <c r="L16" s="22"/>
      <c r="M16" s="110">
        <f xml:space="preserve"> M15+(ckAwdTable[ILN]&lt;"M")</f>
        <v>15</v>
      </c>
      <c r="N16" t="s">
        <v>96</v>
      </c>
      <c r="O16" t="s">
        <v>697</v>
      </c>
      <c r="P16" s="15" t="str">
        <f>HYPERLINK("https://www.ejacket.nsf.gov/ej/showProposal.do?ID="&amp;ckAwdTable[[#This Row],[prop_id]],"eJ")</f>
        <v>eJ</v>
      </c>
      <c r="Q16" s="8" t="s">
        <v>781</v>
      </c>
      <c r="R16" t="s">
        <v>697</v>
      </c>
      <c r="S16" t="s">
        <v>698</v>
      </c>
      <c r="T16" t="s">
        <v>825</v>
      </c>
      <c r="U16" s="8" t="s">
        <v>348</v>
      </c>
      <c r="V16" t="s">
        <v>260</v>
      </c>
      <c r="W16" s="114" t="str">
        <f>HYPERLINK("mailto:"&amp; ckAwdTable[[#This Row],[email]]&amp;"&amp;subject=Your NSF Proposal:  "&amp;ckAwdTable[[#This Row],[prop_id]], ckAwdTable[[#This Row],[email]])</f>
        <v>craig@ucr.edu</v>
      </c>
      <c r="X16" s="30">
        <v>43101</v>
      </c>
      <c r="Y16">
        <v>60</v>
      </c>
      <c r="AA16" s="21" t="s">
        <v>13</v>
      </c>
      <c r="AB16" s="21" t="s">
        <v>449</v>
      </c>
      <c r="AC16"/>
      <c r="AD16" s="21" t="s">
        <v>13</v>
      </c>
      <c r="AF16" s="13">
        <v>440331</v>
      </c>
      <c r="AG16" s="21">
        <v>0</v>
      </c>
      <c r="AH16" s="1">
        <v>440331</v>
      </c>
      <c r="AI16" s="1"/>
      <c r="AJ16" s="1"/>
      <c r="AM16" s="21">
        <v>5</v>
      </c>
      <c r="AN16" s="21">
        <v>5</v>
      </c>
      <c r="AO16" s="21">
        <v>5</v>
      </c>
      <c r="AP16" s="21"/>
      <c r="AQ16" s="21"/>
      <c r="AR16" s="8" t="s">
        <v>173</v>
      </c>
      <c r="AS16" s="21" t="s">
        <v>445</v>
      </c>
      <c r="AT16" s="21" t="str">
        <f>IFERROR(IF(FIND("?",#REF!),SummarizeQuestMarks(#REF!),""),"")</f>
        <v/>
      </c>
      <c r="AU16" s="21"/>
      <c r="AV16" t="s">
        <v>827</v>
      </c>
      <c r="AW16" t="b">
        <f>AND(ckAwdTable[[#This Row],[ILN]]&gt;"M", SUBSTITUTE(ckAwdTable[[#This Row],[prop_titl_txt]]," ","")&lt;&gt;SUBSTITUTE(AV15," ",""))</f>
        <v>0</v>
      </c>
      <c r="AX16" s="8" t="s">
        <v>828</v>
      </c>
    </row>
    <row r="17" spans="2:50">
      <c r="B17" s="30">
        <v>42935.359027777777</v>
      </c>
      <c r="C17" t="s">
        <v>244</v>
      </c>
      <c r="D17" t="s">
        <v>780</v>
      </c>
      <c r="E17" t="s">
        <v>567</v>
      </c>
      <c r="F17" t="s">
        <v>944</v>
      </c>
      <c r="G17" s="8" t="s">
        <v>172</v>
      </c>
      <c r="H17" s="8" t="s">
        <v>170</v>
      </c>
      <c r="I17" s="8" t="s">
        <v>442</v>
      </c>
      <c r="J17" t="s">
        <v>94</v>
      </c>
      <c r="K17" t="s">
        <v>782</v>
      </c>
      <c r="L17" s="22"/>
      <c r="M17" s="110">
        <f xml:space="preserve"> M16+(ckAwdTable[ILN]&lt;"M")</f>
        <v>16</v>
      </c>
      <c r="N17" t="s">
        <v>96</v>
      </c>
      <c r="O17" t="s">
        <v>1021</v>
      </c>
      <c r="P17" s="15" t="str">
        <f>HYPERLINK("https://www.ejacket.nsf.gov/ej/showProposal.do?ID="&amp;ckAwdTable[[#This Row],[prop_id]],"eJ")</f>
        <v>eJ</v>
      </c>
      <c r="Q17" s="8" t="s">
        <v>781</v>
      </c>
      <c r="R17" t="s">
        <v>1021</v>
      </c>
      <c r="S17" t="s">
        <v>349</v>
      </c>
      <c r="T17" t="s">
        <v>1394</v>
      </c>
      <c r="U17" s="8" t="s">
        <v>213</v>
      </c>
      <c r="V17" t="s">
        <v>262</v>
      </c>
      <c r="W17" s="114" t="str">
        <f>HYPERLINK("mailto:"&amp; ckAwdTable[[#This Row],[email]]&amp;"&amp;subject=Your NSF Proposal:  "&amp;ckAwdTable[[#This Row],[prop_id]], ckAwdTable[[#This Row],[email]])</f>
        <v>shil@buffalo.edu</v>
      </c>
      <c r="X17" s="30">
        <v>43344</v>
      </c>
      <c r="Y17">
        <v>60</v>
      </c>
      <c r="AA17" s="21" t="s">
        <v>13</v>
      </c>
      <c r="AB17" s="21" t="s">
        <v>449</v>
      </c>
      <c r="AC17"/>
      <c r="AD17" s="21" t="s">
        <v>13</v>
      </c>
      <c r="AE17" s="21" t="s">
        <v>1605</v>
      </c>
      <c r="AF17" s="13">
        <v>530842</v>
      </c>
      <c r="AG17" s="21">
        <v>0</v>
      </c>
      <c r="AH17" s="1">
        <v>530842</v>
      </c>
      <c r="AI17" s="1"/>
      <c r="AJ17" s="1">
        <v>10000</v>
      </c>
      <c r="AM17" s="21">
        <v>5</v>
      </c>
      <c r="AN17" s="21">
        <v>5</v>
      </c>
      <c r="AO17" s="21">
        <v>5</v>
      </c>
      <c r="AP17" s="21"/>
      <c r="AQ17" s="21"/>
      <c r="AR17" s="8" t="s">
        <v>173</v>
      </c>
      <c r="AS17" s="21" t="s">
        <v>445</v>
      </c>
      <c r="AT17" s="21" t="str">
        <f>IFERROR(IF(FIND("?",#REF!),SummarizeQuestMarks(#REF!),""),"")</f>
        <v/>
      </c>
      <c r="AU17" s="21"/>
      <c r="AV17" t="s">
        <v>1395</v>
      </c>
      <c r="AW17" t="b">
        <f>AND(ckAwdTable[[#This Row],[ILN]]&gt;"M", SUBSTITUTE(ckAwdTable[[#This Row],[prop_titl_txt]]," ","")&lt;&gt;SUBSTITUTE(AV16," ",""))</f>
        <v>0</v>
      </c>
      <c r="AX17" s="8" t="s">
        <v>1396</v>
      </c>
    </row>
    <row r="18" spans="2:50">
      <c r="B18" s="30">
        <v>42935.374305555553</v>
      </c>
      <c r="C18" t="s">
        <v>244</v>
      </c>
      <c r="D18" t="s">
        <v>780</v>
      </c>
      <c r="E18" t="s">
        <v>567</v>
      </c>
      <c r="F18" t="s">
        <v>944</v>
      </c>
      <c r="G18" s="8" t="s">
        <v>172</v>
      </c>
      <c r="H18" s="8" t="s">
        <v>170</v>
      </c>
      <c r="I18" s="8" t="s">
        <v>442</v>
      </c>
      <c r="J18" t="s">
        <v>94</v>
      </c>
      <c r="K18" t="s">
        <v>782</v>
      </c>
      <c r="L18" s="22"/>
      <c r="M18" s="110">
        <f xml:space="preserve"> M17+(ckAwdTable[ILN]&lt;"M")</f>
        <v>17</v>
      </c>
      <c r="N18" t="s">
        <v>96</v>
      </c>
      <c r="O18" t="s">
        <v>1028</v>
      </c>
      <c r="P18" s="15" t="str">
        <f>HYPERLINK("https://www.ejacket.nsf.gov/ej/showProposal.do?ID="&amp;ckAwdTable[[#This Row],[prop_id]],"eJ")</f>
        <v>eJ</v>
      </c>
      <c r="Q18" s="8" t="s">
        <v>781</v>
      </c>
      <c r="R18" t="s">
        <v>1028</v>
      </c>
      <c r="S18" t="s">
        <v>1029</v>
      </c>
      <c r="T18" t="s">
        <v>1397</v>
      </c>
      <c r="U18" s="8" t="s">
        <v>351</v>
      </c>
      <c r="V18" t="s">
        <v>352</v>
      </c>
      <c r="W18" s="114" t="str">
        <f>HYPERLINK("mailto:"&amp; ckAwdTable[[#This Row],[email]]&amp;"&amp;subject=Your NSF Proposal:  "&amp;ckAwdTable[[#This Row],[prop_id]], ckAwdTable[[#This Row],[email]])</f>
        <v>viswa@umich.edu</v>
      </c>
      <c r="X18" s="30">
        <v>43221</v>
      </c>
      <c r="Y18">
        <v>60</v>
      </c>
      <c r="AA18" s="21" t="s">
        <v>13</v>
      </c>
      <c r="AB18" s="21" t="s">
        <v>449</v>
      </c>
      <c r="AC18"/>
      <c r="AD18" s="21" t="s">
        <v>13</v>
      </c>
      <c r="AF18" s="13">
        <v>524840</v>
      </c>
      <c r="AG18" s="21">
        <v>0</v>
      </c>
      <c r="AH18" s="1">
        <v>524840</v>
      </c>
      <c r="AI18" s="1"/>
      <c r="AJ18" s="1"/>
      <c r="AL18" s="1">
        <v>3000</v>
      </c>
      <c r="AM18" s="21">
        <v>5</v>
      </c>
      <c r="AN18" s="21">
        <v>5</v>
      </c>
      <c r="AO18" s="21">
        <v>5</v>
      </c>
      <c r="AP18" s="21"/>
      <c r="AQ18" s="21"/>
      <c r="AR18" s="8" t="s">
        <v>173</v>
      </c>
      <c r="AS18" s="21" t="s">
        <v>445</v>
      </c>
      <c r="AT18" s="21" t="str">
        <f>IFERROR(IF(FIND("?",#REF!),SummarizeQuestMarks(#REF!),""),"")</f>
        <v/>
      </c>
      <c r="AU18" s="21"/>
      <c r="AV18" t="s">
        <v>1398</v>
      </c>
      <c r="AW18" t="b">
        <f>AND(ckAwdTable[[#This Row],[ILN]]&gt;"M", SUBSTITUTE(ckAwdTable[[#This Row],[prop_titl_txt]]," ","")&lt;&gt;SUBSTITUTE(AV17," ",""))</f>
        <v>0</v>
      </c>
      <c r="AX18" s="8" t="s">
        <v>1399</v>
      </c>
    </row>
    <row r="19" spans="2:50">
      <c r="B19" s="30">
        <v>42935.387499999997</v>
      </c>
      <c r="C19" t="s">
        <v>244</v>
      </c>
      <c r="D19" t="s">
        <v>780</v>
      </c>
      <c r="E19" t="s">
        <v>567</v>
      </c>
      <c r="F19" t="s">
        <v>944</v>
      </c>
      <c r="G19" s="8" t="s">
        <v>172</v>
      </c>
      <c r="H19" s="8" t="s">
        <v>170</v>
      </c>
      <c r="I19" s="8" t="s">
        <v>442</v>
      </c>
      <c r="J19" t="s">
        <v>94</v>
      </c>
      <c r="K19" t="s">
        <v>782</v>
      </c>
      <c r="L19" s="22"/>
      <c r="M19" s="110">
        <f xml:space="preserve"> M18+(ckAwdTable[ILN]&lt;"M")</f>
        <v>18</v>
      </c>
      <c r="N19" t="s">
        <v>96</v>
      </c>
      <c r="O19" t="s">
        <v>1036</v>
      </c>
      <c r="P19" s="15" t="str">
        <f>HYPERLINK("https://www.ejacket.nsf.gov/ej/showProposal.do?ID="&amp;ckAwdTable[[#This Row],[prop_id]],"eJ")</f>
        <v>eJ</v>
      </c>
      <c r="Q19" s="8" t="s">
        <v>781</v>
      </c>
      <c r="R19" t="s">
        <v>1036</v>
      </c>
      <c r="S19" t="s">
        <v>1037</v>
      </c>
      <c r="T19" t="s">
        <v>1400</v>
      </c>
      <c r="U19" s="8" t="s">
        <v>353</v>
      </c>
      <c r="V19" t="s">
        <v>354</v>
      </c>
      <c r="W19" s="114" t="str">
        <f>HYPERLINK("mailto:"&amp; ckAwdTable[[#This Row],[email]]&amp;"&amp;subject=Your NSF Proposal:  "&amp;ckAwdTable[[#This Row],[prop_id]], ckAwdTable[[#This Row],[email]])</f>
        <v>debmalya.panigrahi@gmail.com</v>
      </c>
      <c r="X19" s="30">
        <v>43160</v>
      </c>
      <c r="Y19">
        <v>60</v>
      </c>
      <c r="AA19" s="21" t="s">
        <v>13</v>
      </c>
      <c r="AB19" s="21" t="s">
        <v>449</v>
      </c>
      <c r="AC19"/>
      <c r="AD19" s="21" t="s">
        <v>13</v>
      </c>
      <c r="AE19" s="21" t="s">
        <v>256</v>
      </c>
      <c r="AF19" s="13">
        <v>602288</v>
      </c>
      <c r="AG19" s="21">
        <v>0</v>
      </c>
      <c r="AH19" s="1">
        <v>602288</v>
      </c>
      <c r="AI19" s="1"/>
      <c r="AJ19" s="1">
        <v>21026</v>
      </c>
      <c r="AL19" s="1">
        <v>16000</v>
      </c>
      <c r="AM19" s="21">
        <v>5</v>
      </c>
      <c r="AN19" s="21">
        <v>5</v>
      </c>
      <c r="AO19" s="21">
        <v>7</v>
      </c>
      <c r="AP19" s="21"/>
      <c r="AQ19" s="21"/>
      <c r="AR19" s="8" t="s">
        <v>173</v>
      </c>
      <c r="AS19" s="21" t="s">
        <v>445</v>
      </c>
      <c r="AT19" s="21" t="str">
        <f>IFERROR(IF(FIND("?",#REF!),SummarizeQuestMarks(#REF!),""),"")</f>
        <v/>
      </c>
      <c r="AU19" s="21"/>
      <c r="AV19" t="s">
        <v>1402</v>
      </c>
      <c r="AW19" t="b">
        <f>AND(ckAwdTable[[#This Row],[ILN]]&gt;"M", SUBSTITUTE(ckAwdTable[[#This Row],[prop_titl_txt]]," ","")&lt;&gt;SUBSTITUTE(AV18," ",""))</f>
        <v>0</v>
      </c>
      <c r="AX19" s="8" t="s">
        <v>1403</v>
      </c>
    </row>
    <row r="20" spans="2:50">
      <c r="B20" s="30">
        <v>42935.475694444445</v>
      </c>
      <c r="C20" t="s">
        <v>244</v>
      </c>
      <c r="D20" t="s">
        <v>780</v>
      </c>
      <c r="E20" t="s">
        <v>567</v>
      </c>
      <c r="F20" t="s">
        <v>944</v>
      </c>
      <c r="G20" s="8" t="s">
        <v>172</v>
      </c>
      <c r="H20" s="8" t="s">
        <v>170</v>
      </c>
      <c r="I20" s="8" t="s">
        <v>442</v>
      </c>
      <c r="J20" t="s">
        <v>94</v>
      </c>
      <c r="K20" t="s">
        <v>782</v>
      </c>
      <c r="L20" s="22"/>
      <c r="M20" s="110">
        <f xml:space="preserve"> M19+(ckAwdTable[ILN]&lt;"M")</f>
        <v>19</v>
      </c>
      <c r="N20" t="s">
        <v>96</v>
      </c>
      <c r="O20" t="s">
        <v>1044</v>
      </c>
      <c r="P20" s="15" t="str">
        <f>HYPERLINK("https://www.ejacket.nsf.gov/ej/showProposal.do?ID="&amp;ckAwdTable[[#This Row],[prop_id]],"eJ")</f>
        <v>eJ</v>
      </c>
      <c r="Q20" s="8" t="s">
        <v>781</v>
      </c>
      <c r="R20" t="s">
        <v>1044</v>
      </c>
      <c r="S20" t="s">
        <v>1045</v>
      </c>
      <c r="T20" t="s">
        <v>1351</v>
      </c>
      <c r="U20" s="8" t="s">
        <v>1353</v>
      </c>
      <c r="V20" t="s">
        <v>263</v>
      </c>
      <c r="W20" s="114" t="str">
        <f>HYPERLINK("mailto:"&amp; ckAwdTable[[#This Row],[email]]&amp;"&amp;subject=Your NSF Proposal:  "&amp;ckAwdTable[[#This Row],[prop_id]], ckAwdTable[[#This Row],[email]])</f>
        <v>mdinitz@cs.jhu.edu</v>
      </c>
      <c r="X20" s="30">
        <v>43282</v>
      </c>
      <c r="Y20">
        <v>60</v>
      </c>
      <c r="AA20" s="21" t="s">
        <v>13</v>
      </c>
      <c r="AB20" s="21" t="s">
        <v>449</v>
      </c>
      <c r="AC20"/>
      <c r="AD20" s="21" t="s">
        <v>13</v>
      </c>
      <c r="AE20" s="21" t="s">
        <v>256</v>
      </c>
      <c r="AF20" s="13">
        <v>507459</v>
      </c>
      <c r="AG20" s="21">
        <v>0</v>
      </c>
      <c r="AH20" s="1">
        <v>507459</v>
      </c>
      <c r="AI20" s="1"/>
      <c r="AJ20" s="1">
        <v>4200</v>
      </c>
      <c r="AM20" s="21">
        <v>5</v>
      </c>
      <c r="AN20" s="21">
        <v>5</v>
      </c>
      <c r="AO20" s="21"/>
      <c r="AP20" s="21"/>
      <c r="AQ20" s="21">
        <v>5</v>
      </c>
      <c r="AR20" s="8" t="s">
        <v>173</v>
      </c>
      <c r="AS20" s="21" t="s">
        <v>445</v>
      </c>
      <c r="AT20" s="21" t="str">
        <f>IFERROR(IF(FIND("?",#REF!),SummarizeQuestMarks(#REF!),""),"")</f>
        <v/>
      </c>
      <c r="AU20" s="21"/>
      <c r="AV20" t="s">
        <v>1404</v>
      </c>
      <c r="AW20" t="b">
        <f>AND(ckAwdTable[[#This Row],[ILN]]&gt;"M", SUBSTITUTE(ckAwdTable[[#This Row],[prop_titl_txt]]," ","")&lt;&gt;SUBSTITUTE(AV19," ",""))</f>
        <v>0</v>
      </c>
      <c r="AX20" s="8" t="s">
        <v>1405</v>
      </c>
    </row>
    <row r="21" spans="2:50">
      <c r="B21" s="30">
        <v>42935.488888888889</v>
      </c>
      <c r="C21" t="s">
        <v>244</v>
      </c>
      <c r="D21" t="s">
        <v>780</v>
      </c>
      <c r="E21" t="s">
        <v>567</v>
      </c>
      <c r="F21" t="s">
        <v>944</v>
      </c>
      <c r="G21" s="8" t="s">
        <v>172</v>
      </c>
      <c r="H21" s="8" t="s">
        <v>170</v>
      </c>
      <c r="I21" s="8" t="s">
        <v>442</v>
      </c>
      <c r="J21" t="s">
        <v>94</v>
      </c>
      <c r="K21" t="s">
        <v>782</v>
      </c>
      <c r="L21" s="22"/>
      <c r="M21" s="110">
        <f xml:space="preserve"> M20+(ckAwdTable[ILN]&lt;"M")</f>
        <v>20</v>
      </c>
      <c r="N21" t="s">
        <v>96</v>
      </c>
      <c r="O21" t="s">
        <v>1052</v>
      </c>
      <c r="P21" s="15" t="str">
        <f>HYPERLINK("https://www.ejacket.nsf.gov/ej/showProposal.do?ID="&amp;ckAwdTable[[#This Row],[prop_id]],"eJ")</f>
        <v>eJ</v>
      </c>
      <c r="Q21" s="8" t="s">
        <v>781</v>
      </c>
      <c r="R21" t="s">
        <v>1052</v>
      </c>
      <c r="S21" t="s">
        <v>1053</v>
      </c>
      <c r="T21" t="s">
        <v>1406</v>
      </c>
      <c r="U21" s="8" t="s">
        <v>1369</v>
      </c>
      <c r="V21" t="s">
        <v>261</v>
      </c>
      <c r="W21" s="114" t="str">
        <f>HYPERLINK("mailto:"&amp; ckAwdTable[[#This Row],[email]]&amp;"&amp;subject=Your NSF Proposal:  "&amp;ckAwdTable[[#This Row],[prop_id]], ckAwdTable[[#This Row],[email]])</f>
        <v>aene@bu.edu</v>
      </c>
      <c r="X21" s="30">
        <v>43101</v>
      </c>
      <c r="Y21">
        <v>60</v>
      </c>
      <c r="AA21" s="21" t="s">
        <v>13</v>
      </c>
      <c r="AB21" s="21" t="s">
        <v>449</v>
      </c>
      <c r="AC21"/>
      <c r="AD21" s="21" t="s">
        <v>13</v>
      </c>
      <c r="AE21" s="21" t="s">
        <v>256</v>
      </c>
      <c r="AF21" s="13">
        <v>507423</v>
      </c>
      <c r="AG21" s="21">
        <v>0</v>
      </c>
      <c r="AH21" s="1">
        <v>507423</v>
      </c>
      <c r="AI21" s="1"/>
      <c r="AJ21" s="1">
        <v>15000</v>
      </c>
      <c r="AM21" s="21">
        <v>5</v>
      </c>
      <c r="AN21" s="21">
        <v>5</v>
      </c>
      <c r="AO21" s="21">
        <v>5</v>
      </c>
      <c r="AP21" s="21"/>
      <c r="AQ21" s="21"/>
      <c r="AR21" s="8" t="s">
        <v>173</v>
      </c>
      <c r="AS21" s="21" t="s">
        <v>445</v>
      </c>
      <c r="AT21" s="21" t="str">
        <f>IFERROR(IF(FIND("?",#REF!),SummarizeQuestMarks(#REF!),""),"")</f>
        <v/>
      </c>
      <c r="AU21" s="21"/>
      <c r="AV21" t="s">
        <v>1408</v>
      </c>
      <c r="AW21" t="b">
        <f>AND(ckAwdTable[[#This Row],[ILN]]&gt;"M", SUBSTITUTE(ckAwdTable[[#This Row],[prop_titl_txt]]," ","")&lt;&gt;SUBSTITUTE(AV20," ",""))</f>
        <v>0</v>
      </c>
      <c r="AX21" s="8" t="s">
        <v>1409</v>
      </c>
    </row>
    <row r="22" spans="2:50">
      <c r="B22" s="30">
        <v>42935.491666666669</v>
      </c>
      <c r="C22" t="s">
        <v>244</v>
      </c>
      <c r="D22" t="s">
        <v>780</v>
      </c>
      <c r="E22" t="s">
        <v>567</v>
      </c>
      <c r="F22" t="s">
        <v>944</v>
      </c>
      <c r="G22" s="8" t="s">
        <v>172</v>
      </c>
      <c r="H22" s="8" t="s">
        <v>170</v>
      </c>
      <c r="I22" s="8" t="s">
        <v>442</v>
      </c>
      <c r="J22" t="s">
        <v>94</v>
      </c>
      <c r="K22" t="s">
        <v>782</v>
      </c>
      <c r="L22" s="22"/>
      <c r="M22" s="110">
        <f xml:space="preserve"> M21+(ckAwdTable[ILN]&lt;"M")</f>
        <v>21</v>
      </c>
      <c r="N22" t="s">
        <v>96</v>
      </c>
      <c r="O22" t="s">
        <v>1059</v>
      </c>
      <c r="P22" s="15" t="str">
        <f>HYPERLINK("https://www.ejacket.nsf.gov/ej/showProposal.do?ID="&amp;ckAwdTable[[#This Row],[prop_id]],"eJ")</f>
        <v>eJ</v>
      </c>
      <c r="Q22" s="8" t="s">
        <v>781</v>
      </c>
      <c r="R22" t="s">
        <v>1059</v>
      </c>
      <c r="S22" t="s">
        <v>926</v>
      </c>
      <c r="T22" t="s">
        <v>838</v>
      </c>
      <c r="U22" s="8" t="s">
        <v>1359</v>
      </c>
      <c r="V22" t="s">
        <v>98</v>
      </c>
      <c r="W22" s="114" t="str">
        <f>HYPERLINK("mailto:"&amp; ckAwdTable[[#This Row],[email]]&amp;"&amp;subject=Your NSF Proposal:  "&amp;ckAwdTable[[#This Row],[prop_id]], ckAwdTable[[#This Row],[email]])</f>
        <v>pvaliant@gmail.com</v>
      </c>
      <c r="X22" s="30">
        <v>43252</v>
      </c>
      <c r="Y22">
        <v>60</v>
      </c>
      <c r="AA22" s="21" t="s">
        <v>13</v>
      </c>
      <c r="AB22" s="21" t="s">
        <v>449</v>
      </c>
      <c r="AC22"/>
      <c r="AD22" s="21" t="s">
        <v>13</v>
      </c>
      <c r="AE22" s="21" t="s">
        <v>256</v>
      </c>
      <c r="AF22" s="13">
        <v>666111</v>
      </c>
      <c r="AG22" s="21">
        <v>0</v>
      </c>
      <c r="AH22" s="1">
        <v>666111</v>
      </c>
      <c r="AI22" s="1"/>
      <c r="AJ22" s="1">
        <v>10618</v>
      </c>
      <c r="AM22" s="21">
        <v>5</v>
      </c>
      <c r="AN22" s="21">
        <v>5</v>
      </c>
      <c r="AO22" s="21">
        <v>5</v>
      </c>
      <c r="AP22" s="21"/>
      <c r="AQ22" s="21"/>
      <c r="AR22" s="8" t="s">
        <v>173</v>
      </c>
      <c r="AS22" s="21" t="s">
        <v>445</v>
      </c>
      <c r="AT22" s="21" t="str">
        <f>IFERROR(IF(FIND("?",#REF!),SummarizeQuestMarks(#REF!),""),"")</f>
        <v/>
      </c>
      <c r="AU22" s="21"/>
      <c r="AV22" t="s">
        <v>1412</v>
      </c>
      <c r="AW22" t="b">
        <f>AND(ckAwdTable[[#This Row],[ILN]]&gt;"M", SUBSTITUTE(ckAwdTable[[#This Row],[prop_titl_txt]]," ","")&lt;&gt;SUBSTITUTE(AV21," ",""))</f>
        <v>0</v>
      </c>
      <c r="AX22" s="8" t="s">
        <v>1413</v>
      </c>
    </row>
    <row r="23" spans="2:50">
      <c r="B23" s="30">
        <v>42935.535416666666</v>
      </c>
      <c r="C23" t="s">
        <v>244</v>
      </c>
      <c r="D23" t="s">
        <v>780</v>
      </c>
      <c r="E23" t="s">
        <v>567</v>
      </c>
      <c r="F23" t="s">
        <v>582</v>
      </c>
      <c r="G23" s="8" t="s">
        <v>172</v>
      </c>
      <c r="H23" s="8" t="s">
        <v>170</v>
      </c>
      <c r="I23" s="8" t="s">
        <v>442</v>
      </c>
      <c r="J23" t="s">
        <v>94</v>
      </c>
      <c r="K23" t="s">
        <v>782</v>
      </c>
      <c r="L23" s="22"/>
      <c r="M23" s="110">
        <f xml:space="preserve"> M22+(ckAwdTable[ILN]&lt;"M")</f>
        <v>22</v>
      </c>
      <c r="N23" t="s">
        <v>96</v>
      </c>
      <c r="O23" t="s">
        <v>1066</v>
      </c>
      <c r="P23" s="15" t="str">
        <f>HYPERLINK("https://www.ejacket.nsf.gov/ej/showProposal.do?ID="&amp;ckAwdTable[[#This Row],[prop_id]],"eJ")</f>
        <v>eJ</v>
      </c>
      <c r="Q23" s="8" t="s">
        <v>781</v>
      </c>
      <c r="R23" t="s">
        <v>1066</v>
      </c>
      <c r="S23" t="s">
        <v>1067</v>
      </c>
      <c r="T23" t="s">
        <v>1415</v>
      </c>
      <c r="U23" s="8" t="s">
        <v>346</v>
      </c>
      <c r="V23" t="s">
        <v>347</v>
      </c>
      <c r="W23" s="114" t="str">
        <f>HYPERLINK("mailto:"&amp; ckAwdTable[[#This Row],[email]]&amp;"&amp;subject=Your NSF Proposal:  "&amp;ckAwdTable[[#This Row],[prop_id]], ckAwdTable[[#This Row],[email]])</f>
        <v>rutameht@illinois.edu</v>
      </c>
      <c r="X23" s="30">
        <v>43132</v>
      </c>
      <c r="Y23">
        <v>60</v>
      </c>
      <c r="AA23" s="21" t="s">
        <v>13</v>
      </c>
      <c r="AB23" s="21" t="s">
        <v>449</v>
      </c>
      <c r="AC23"/>
      <c r="AD23" s="21" t="s">
        <v>13</v>
      </c>
      <c r="AE23" s="21" t="s">
        <v>256</v>
      </c>
      <c r="AF23" s="13">
        <v>499906</v>
      </c>
      <c r="AG23" s="21">
        <v>0</v>
      </c>
      <c r="AH23" s="1">
        <v>499906</v>
      </c>
      <c r="AI23" s="1"/>
      <c r="AJ23" s="1">
        <v>10000</v>
      </c>
      <c r="AM23" s="21">
        <v>5</v>
      </c>
      <c r="AN23" s="21">
        <v>4</v>
      </c>
      <c r="AO23" s="21">
        <v>4</v>
      </c>
      <c r="AP23" s="21"/>
      <c r="AQ23" s="21"/>
      <c r="AR23" s="8" t="s">
        <v>173</v>
      </c>
      <c r="AS23" s="21" t="s">
        <v>445</v>
      </c>
      <c r="AT23" s="21" t="str">
        <f>IFERROR(IF(FIND("?",#REF!),SummarizeQuestMarks(#REF!),""),"")</f>
        <v/>
      </c>
      <c r="AU23" s="21"/>
      <c r="AV23" t="s">
        <v>1417</v>
      </c>
      <c r="AW23" t="b">
        <f>AND(ckAwdTable[[#This Row],[ILN]]&gt;"M", SUBSTITUTE(ckAwdTable[[#This Row],[prop_titl_txt]]," ","")&lt;&gt;SUBSTITUTE(AV22," ",""))</f>
        <v>0</v>
      </c>
      <c r="AX23" s="8" t="s">
        <v>1418</v>
      </c>
    </row>
    <row r="24" spans="2:50">
      <c r="B24" s="30">
        <v>42935.536805555559</v>
      </c>
      <c r="C24" t="s">
        <v>244</v>
      </c>
      <c r="D24" t="s">
        <v>780</v>
      </c>
      <c r="E24" t="s">
        <v>567</v>
      </c>
      <c r="F24" t="s">
        <v>582</v>
      </c>
      <c r="G24" s="8" t="s">
        <v>172</v>
      </c>
      <c r="H24" s="8" t="s">
        <v>170</v>
      </c>
      <c r="I24" s="8" t="s">
        <v>442</v>
      </c>
      <c r="J24" t="s">
        <v>94</v>
      </c>
      <c r="K24" t="s">
        <v>782</v>
      </c>
      <c r="L24" s="22"/>
      <c r="M24" s="110">
        <f xml:space="preserve"> M23+(ckAwdTable[ILN]&lt;"M")</f>
        <v>23</v>
      </c>
      <c r="N24" t="s">
        <v>96</v>
      </c>
      <c r="O24" t="s">
        <v>1077</v>
      </c>
      <c r="P24" s="15" t="str">
        <f>HYPERLINK("https://www.ejacket.nsf.gov/ej/showProposal.do?ID="&amp;ckAwdTable[[#This Row],[prop_id]],"eJ")</f>
        <v>eJ</v>
      </c>
      <c r="Q24" s="8" t="s">
        <v>781</v>
      </c>
      <c r="R24" t="s">
        <v>1077</v>
      </c>
      <c r="S24" t="s">
        <v>1078</v>
      </c>
      <c r="T24" t="s">
        <v>1419</v>
      </c>
      <c r="U24" s="8" t="s">
        <v>1364</v>
      </c>
      <c r="V24" t="s">
        <v>1363</v>
      </c>
      <c r="W24" s="114" t="str">
        <f>HYPERLINK("mailto:"&amp; ckAwdTable[[#This Row],[email]]&amp;"&amp;subject=Your NSF Proposal:  "&amp;ckAwdTable[[#This Row],[prop_id]], ckAwdTable[[#This Row],[email]])</f>
        <v>gillat.kol@gmail.com</v>
      </c>
      <c r="X24" s="30">
        <v>43132</v>
      </c>
      <c r="Y24">
        <v>60</v>
      </c>
      <c r="AA24" s="21" t="s">
        <v>13</v>
      </c>
      <c r="AB24" s="21" t="s">
        <v>449</v>
      </c>
      <c r="AC24"/>
      <c r="AD24" s="21" t="s">
        <v>13</v>
      </c>
      <c r="AF24" s="13">
        <v>550000</v>
      </c>
      <c r="AG24" s="21">
        <v>0</v>
      </c>
      <c r="AH24" s="1">
        <v>550000</v>
      </c>
      <c r="AI24" s="1"/>
      <c r="AJ24" s="1"/>
      <c r="AM24" s="21">
        <v>5</v>
      </c>
      <c r="AN24" s="21">
        <v>5</v>
      </c>
      <c r="AO24" s="21">
        <v>5</v>
      </c>
      <c r="AP24" s="21"/>
      <c r="AQ24" s="21"/>
      <c r="AR24" s="8" t="s">
        <v>173</v>
      </c>
      <c r="AS24" s="21" t="s">
        <v>445</v>
      </c>
      <c r="AT24" s="21" t="str">
        <f>IFERROR(IF(FIND("?",#REF!),SummarizeQuestMarks(#REF!),""),"")</f>
        <v/>
      </c>
      <c r="AU24" s="21"/>
      <c r="AV24" t="s">
        <v>1421</v>
      </c>
      <c r="AW24" t="b">
        <f>AND(ckAwdTable[[#This Row],[ILN]]&gt;"M", SUBSTITUTE(ckAwdTable[[#This Row],[prop_titl_txt]]," ","")&lt;&gt;SUBSTITUTE(AV23," ",""))</f>
        <v>0</v>
      </c>
      <c r="AX24" s="8" t="s">
        <v>1422</v>
      </c>
    </row>
    <row r="25" spans="2:50">
      <c r="B25" s="30">
        <v>42935.54583333333</v>
      </c>
      <c r="C25" t="s">
        <v>244</v>
      </c>
      <c r="D25" t="s">
        <v>780</v>
      </c>
      <c r="E25" t="s">
        <v>567</v>
      </c>
      <c r="F25" t="s">
        <v>944</v>
      </c>
      <c r="G25" s="8" t="s">
        <v>172</v>
      </c>
      <c r="H25" s="8" t="s">
        <v>170</v>
      </c>
      <c r="I25" s="8" t="s">
        <v>442</v>
      </c>
      <c r="J25" t="s">
        <v>94</v>
      </c>
      <c r="K25" t="s">
        <v>782</v>
      </c>
      <c r="L25" s="22"/>
      <c r="M25" s="110">
        <f xml:space="preserve"> M24+(ckAwdTable[ILN]&lt;"M")</f>
        <v>24</v>
      </c>
      <c r="N25" t="s">
        <v>96</v>
      </c>
      <c r="O25" t="s">
        <v>1108</v>
      </c>
      <c r="P25" s="15" t="str">
        <f>HYPERLINK("https://www.ejacket.nsf.gov/ej/showProposal.do?ID="&amp;ckAwdTable[[#This Row],[prop_id]],"eJ")</f>
        <v>eJ</v>
      </c>
      <c r="Q25" s="8" t="s">
        <v>781</v>
      </c>
      <c r="R25" t="s">
        <v>1108</v>
      </c>
      <c r="S25" t="s">
        <v>1109</v>
      </c>
      <c r="T25" t="s">
        <v>1423</v>
      </c>
      <c r="U25" s="8" t="s">
        <v>356</v>
      </c>
      <c r="V25" t="s">
        <v>357</v>
      </c>
      <c r="W25" s="114" t="str">
        <f>HYPERLINK("mailto:"&amp; ckAwdTable[[#This Row],[email]]&amp;"&amp;subject=Your NSF Proposal:  "&amp;ckAwdTable[[#This Row],[prop_id]], ckAwdTable[[#This Row],[email]])</f>
        <v>sharathr@vt.edu</v>
      </c>
      <c r="X25" s="30">
        <v>43110</v>
      </c>
      <c r="Y25">
        <v>60</v>
      </c>
      <c r="AA25" s="21" t="s">
        <v>13</v>
      </c>
      <c r="AB25" s="21" t="s">
        <v>449</v>
      </c>
      <c r="AC25"/>
      <c r="AD25" s="21" t="s">
        <v>13</v>
      </c>
      <c r="AE25" s="21" t="s">
        <v>256</v>
      </c>
      <c r="AF25" s="13">
        <v>533991</v>
      </c>
      <c r="AG25" s="21">
        <v>0</v>
      </c>
      <c r="AH25" s="1">
        <v>533991</v>
      </c>
      <c r="AI25" s="1"/>
      <c r="AJ25" s="1">
        <v>7500</v>
      </c>
      <c r="AM25" s="21">
        <v>5</v>
      </c>
      <c r="AN25" s="21">
        <v>5</v>
      </c>
      <c r="AO25" s="21">
        <v>6.5</v>
      </c>
      <c r="AP25" s="21"/>
      <c r="AQ25" s="21"/>
      <c r="AR25" s="8" t="s">
        <v>173</v>
      </c>
      <c r="AS25" s="21" t="s">
        <v>445</v>
      </c>
      <c r="AT25" s="21" t="str">
        <f>IFERROR(IF(FIND("?",#REF!),SummarizeQuestMarks(#REF!),""),"")</f>
        <v/>
      </c>
      <c r="AU25" s="21"/>
      <c r="AV25" t="s">
        <v>1425</v>
      </c>
      <c r="AW25" t="b">
        <f>AND(ckAwdTable[[#This Row],[ILN]]&gt;"M", SUBSTITUTE(ckAwdTable[[#This Row],[prop_titl_txt]]," ","")&lt;&gt;SUBSTITUTE(AV24," ",""))</f>
        <v>0</v>
      </c>
      <c r="AX25" s="8" t="s">
        <v>1426</v>
      </c>
    </row>
    <row r="26" spans="2:50">
      <c r="B26" s="30">
        <v>42935.576388888891</v>
      </c>
      <c r="C26" t="s">
        <v>244</v>
      </c>
      <c r="D26" t="s">
        <v>780</v>
      </c>
      <c r="E26" t="s">
        <v>567</v>
      </c>
      <c r="F26" t="s">
        <v>582</v>
      </c>
      <c r="G26" s="8" t="s">
        <v>172</v>
      </c>
      <c r="H26" s="8" t="s">
        <v>170</v>
      </c>
      <c r="I26" s="8" t="s">
        <v>442</v>
      </c>
      <c r="J26" t="s">
        <v>94</v>
      </c>
      <c r="K26" t="s">
        <v>782</v>
      </c>
      <c r="L26" s="22"/>
      <c r="M26" s="110">
        <f xml:space="preserve"> M25+(ckAwdTable[ILN]&lt;"M")</f>
        <v>25</v>
      </c>
      <c r="N26" t="s">
        <v>96</v>
      </c>
      <c r="O26" t="s">
        <v>1116</v>
      </c>
      <c r="P26" s="15" t="str">
        <f>HYPERLINK("https://www.ejacket.nsf.gov/ej/showProposal.do?ID="&amp;ckAwdTable[[#This Row],[prop_id]],"eJ")</f>
        <v>eJ</v>
      </c>
      <c r="Q26" s="8" t="s">
        <v>781</v>
      </c>
      <c r="R26" t="s">
        <v>1116</v>
      </c>
      <c r="S26" t="s">
        <v>1117</v>
      </c>
      <c r="T26" t="s">
        <v>1427</v>
      </c>
      <c r="U26" s="8" t="s">
        <v>530</v>
      </c>
      <c r="V26" t="s">
        <v>260</v>
      </c>
      <c r="W26" s="114" t="str">
        <f>HYPERLINK("mailto:"&amp; ckAwdTable[[#This Row],[email]]&amp;"&amp;subject=Your NSF Proposal:  "&amp;ckAwdTable[[#This Row],[prop_id]], ckAwdTable[[#This Row],[email]])</f>
        <v xml:space="preserve"> hardt@eecs.berkeley.edu</v>
      </c>
      <c r="X26" s="30">
        <v>43132</v>
      </c>
      <c r="Y26">
        <v>60</v>
      </c>
      <c r="AA26" s="21" t="s">
        <v>13</v>
      </c>
      <c r="AB26" s="21" t="s">
        <v>449</v>
      </c>
      <c r="AC26"/>
      <c r="AD26" s="21" t="s">
        <v>13</v>
      </c>
      <c r="AF26" s="13">
        <v>499434</v>
      </c>
      <c r="AG26" s="21">
        <v>0</v>
      </c>
      <c r="AH26" s="1">
        <v>499434</v>
      </c>
      <c r="AI26" s="1"/>
      <c r="AJ26" s="1"/>
      <c r="AM26" s="21">
        <v>5</v>
      </c>
      <c r="AN26" s="21">
        <v>5</v>
      </c>
      <c r="AO26" s="21">
        <v>0.8</v>
      </c>
      <c r="AP26" s="21"/>
      <c r="AQ26" s="21"/>
      <c r="AR26" s="8" t="s">
        <v>173</v>
      </c>
      <c r="AS26" s="21" t="s">
        <v>445</v>
      </c>
      <c r="AT26" s="21" t="str">
        <f>IFERROR(IF(FIND("?",#REF!),SummarizeQuestMarks(#REF!),""),"")</f>
        <v/>
      </c>
      <c r="AU26" s="21"/>
      <c r="AV26" t="s">
        <v>1429</v>
      </c>
      <c r="AW26" t="b">
        <f>AND(ckAwdTable[[#This Row],[ILN]]&gt;"M", SUBSTITUTE(ckAwdTable[[#This Row],[prop_titl_txt]]," ","")&lt;&gt;SUBSTITUTE(AV25," ",""))</f>
        <v>0</v>
      </c>
      <c r="AX26" s="8" t="s">
        <v>1430</v>
      </c>
    </row>
    <row r="27" spans="2:50">
      <c r="B27" s="30">
        <v>42935.599305555559</v>
      </c>
      <c r="C27" t="s">
        <v>244</v>
      </c>
      <c r="D27" t="s">
        <v>780</v>
      </c>
      <c r="E27" t="s">
        <v>567</v>
      </c>
      <c r="F27" t="s">
        <v>582</v>
      </c>
      <c r="G27" s="8" t="s">
        <v>172</v>
      </c>
      <c r="H27" s="8" t="s">
        <v>170</v>
      </c>
      <c r="I27" s="8" t="s">
        <v>442</v>
      </c>
      <c r="J27" t="s">
        <v>94</v>
      </c>
      <c r="K27" t="s">
        <v>782</v>
      </c>
      <c r="L27" s="22"/>
      <c r="M27" s="110">
        <f xml:space="preserve"> M26+(ckAwdTable[ILN]&lt;"M")</f>
        <v>26</v>
      </c>
      <c r="N27" t="s">
        <v>96</v>
      </c>
      <c r="O27" t="s">
        <v>1124</v>
      </c>
      <c r="P27" s="15" t="str">
        <f>HYPERLINK("https://www.ejacket.nsf.gov/ej/showProposal.do?ID="&amp;ckAwdTable[[#This Row],[prop_id]],"eJ")</f>
        <v>eJ</v>
      </c>
      <c r="Q27" s="8" t="s">
        <v>781</v>
      </c>
      <c r="R27" t="s">
        <v>1124</v>
      </c>
      <c r="S27" t="s">
        <v>1125</v>
      </c>
      <c r="T27" t="s">
        <v>1431</v>
      </c>
      <c r="U27" s="8" t="s">
        <v>1432</v>
      </c>
      <c r="V27" t="s">
        <v>261</v>
      </c>
      <c r="W27" s="114" t="str">
        <f>HYPERLINK("mailto:"&amp; ckAwdTable[[#This Row],[email]]&amp;"&amp;subject=Your NSF Proposal:  "&amp;ckAwdTable[[#This Row],[prop_id]], ckAwdTable[[#This Row],[email]])</f>
        <v>jullman@ccs.neu.edu</v>
      </c>
      <c r="X27" s="30">
        <v>43282</v>
      </c>
      <c r="Y27">
        <v>60</v>
      </c>
      <c r="AA27" s="21" t="s">
        <v>13</v>
      </c>
      <c r="AB27" s="21" t="s">
        <v>449</v>
      </c>
      <c r="AC27"/>
      <c r="AD27" s="21" t="s">
        <v>13</v>
      </c>
      <c r="AE27" s="21" t="s">
        <v>256</v>
      </c>
      <c r="AF27" s="13">
        <v>545883</v>
      </c>
      <c r="AG27" s="21">
        <v>0</v>
      </c>
      <c r="AH27" s="1">
        <v>545883</v>
      </c>
      <c r="AI27" s="1"/>
      <c r="AJ27" s="1">
        <v>15928</v>
      </c>
      <c r="AM27" s="21">
        <v>5</v>
      </c>
      <c r="AN27" s="21">
        <v>5</v>
      </c>
      <c r="AO27" s="21">
        <v>5</v>
      </c>
      <c r="AP27" s="21"/>
      <c r="AQ27" s="21"/>
      <c r="AR27" s="8" t="s">
        <v>173</v>
      </c>
      <c r="AS27" s="21" t="s">
        <v>445</v>
      </c>
      <c r="AT27" s="21" t="str">
        <f>IFERROR(IF(FIND("?",#REF!),SummarizeQuestMarks(#REF!),""),"")</f>
        <v/>
      </c>
      <c r="AU27" s="21"/>
      <c r="AV27" t="s">
        <v>1434</v>
      </c>
      <c r="AW27" t="b">
        <f>AND(ckAwdTable[[#This Row],[ILN]]&gt;"M", SUBSTITUTE(ckAwdTable[[#This Row],[prop_titl_txt]]," ","")&lt;&gt;SUBSTITUTE(AV26," ",""))</f>
        <v>0</v>
      </c>
      <c r="AX27" s="8" t="s">
        <v>1435</v>
      </c>
    </row>
    <row r="28" spans="2:50">
      <c r="B28" s="30">
        <v>42935.603472222225</v>
      </c>
      <c r="C28" t="s">
        <v>244</v>
      </c>
      <c r="D28" t="s">
        <v>780</v>
      </c>
      <c r="E28" t="s">
        <v>567</v>
      </c>
      <c r="F28" t="s">
        <v>582</v>
      </c>
      <c r="G28" s="8" t="s">
        <v>172</v>
      </c>
      <c r="H28" s="8" t="s">
        <v>170</v>
      </c>
      <c r="I28" s="8" t="s">
        <v>442</v>
      </c>
      <c r="J28" t="s">
        <v>94</v>
      </c>
      <c r="K28" t="s">
        <v>782</v>
      </c>
      <c r="L28" s="22"/>
      <c r="M28" s="110">
        <f xml:space="preserve"> M27+(ckAwdTable[ILN]&lt;"M")</f>
        <v>27</v>
      </c>
      <c r="N28" t="s">
        <v>96</v>
      </c>
      <c r="O28" t="s">
        <v>1132</v>
      </c>
      <c r="P28" s="15" t="str">
        <f>HYPERLINK("https://www.ejacket.nsf.gov/ej/showProposal.do?ID="&amp;ckAwdTable[[#This Row],[prop_id]],"eJ")</f>
        <v>eJ</v>
      </c>
      <c r="Q28" s="8" t="s">
        <v>781</v>
      </c>
      <c r="R28" t="s">
        <v>1132</v>
      </c>
      <c r="S28" t="s">
        <v>1133</v>
      </c>
      <c r="T28" t="s">
        <v>1436</v>
      </c>
      <c r="U28" s="8" t="s">
        <v>1368</v>
      </c>
      <c r="V28" t="s">
        <v>1363</v>
      </c>
      <c r="W28" s="114" t="str">
        <f>HYPERLINK("mailto:"&amp; ckAwdTable[[#This Row],[email]]&amp;"&amp;subject=Your NSF Proposal:  "&amp;ckAwdTable[[#This Row],[prop_id]], ckAwdTable[[#This Row],[email]])</f>
        <v>pranjal.iitm@gmail.com</v>
      </c>
      <c r="X28" s="30">
        <v>43101</v>
      </c>
      <c r="Y28">
        <v>60</v>
      </c>
      <c r="AA28" s="21" t="s">
        <v>13</v>
      </c>
      <c r="AB28" s="21" t="s">
        <v>449</v>
      </c>
      <c r="AC28"/>
      <c r="AD28" s="21" t="s">
        <v>13</v>
      </c>
      <c r="AE28" s="21" t="s">
        <v>1606</v>
      </c>
      <c r="AF28" s="13">
        <v>695874</v>
      </c>
      <c r="AG28" s="21">
        <v>0</v>
      </c>
      <c r="AH28" s="1">
        <v>695874</v>
      </c>
      <c r="AI28" s="1"/>
      <c r="AJ28" s="1">
        <v>12875</v>
      </c>
      <c r="AM28" s="21">
        <v>5</v>
      </c>
      <c r="AN28" s="21">
        <v>5</v>
      </c>
      <c r="AO28" s="21">
        <v>5</v>
      </c>
      <c r="AP28" s="21"/>
      <c r="AQ28" s="21"/>
      <c r="AR28" s="8" t="s">
        <v>173</v>
      </c>
      <c r="AS28" s="21" t="s">
        <v>445</v>
      </c>
      <c r="AT28" s="21" t="str">
        <f>IFERROR(IF(FIND("?",#REF!),SummarizeQuestMarks(#REF!),""),"")</f>
        <v/>
      </c>
      <c r="AU28" s="21"/>
      <c r="AV28" t="s">
        <v>1437</v>
      </c>
      <c r="AW28" t="b">
        <f>AND(ckAwdTable[[#This Row],[ILN]]&gt;"M", SUBSTITUTE(ckAwdTable[[#This Row],[prop_titl_txt]]," ","")&lt;&gt;SUBSTITUTE(AV27," ",""))</f>
        <v>0</v>
      </c>
      <c r="AX28" s="8" t="s">
        <v>1438</v>
      </c>
    </row>
    <row r="29" spans="2:50">
      <c r="B29" s="30">
        <v>42935.620138888888</v>
      </c>
      <c r="C29" t="s">
        <v>244</v>
      </c>
      <c r="D29" t="s">
        <v>780</v>
      </c>
      <c r="E29" t="s">
        <v>567</v>
      </c>
      <c r="F29" t="s">
        <v>944</v>
      </c>
      <c r="G29" s="8" t="s">
        <v>172</v>
      </c>
      <c r="H29" s="8" t="s">
        <v>170</v>
      </c>
      <c r="I29" s="8" t="s">
        <v>442</v>
      </c>
      <c r="J29" t="s">
        <v>94</v>
      </c>
      <c r="K29" t="s">
        <v>782</v>
      </c>
      <c r="L29" s="22"/>
      <c r="M29" s="110">
        <f xml:space="preserve"> M28+(ckAwdTable[ILN]&lt;"M")</f>
        <v>28</v>
      </c>
      <c r="N29" t="s">
        <v>96</v>
      </c>
      <c r="O29" t="s">
        <v>1140</v>
      </c>
      <c r="P29" s="15" t="str">
        <f>HYPERLINK("https://www.ejacket.nsf.gov/ej/showProposal.do?ID="&amp;ckAwdTable[[#This Row],[prop_id]],"eJ")</f>
        <v>eJ</v>
      </c>
      <c r="Q29" s="8" t="s">
        <v>781</v>
      </c>
      <c r="R29" t="s">
        <v>1140</v>
      </c>
      <c r="S29" t="s">
        <v>1141</v>
      </c>
      <c r="T29" t="s">
        <v>1439</v>
      </c>
      <c r="U29" s="8" t="s">
        <v>1432</v>
      </c>
      <c r="V29" t="s">
        <v>261</v>
      </c>
      <c r="W29" s="114" t="str">
        <f>HYPERLINK("mailto:"&amp; ckAwdTable[[#This Row],[email]]&amp;"&amp;subject=Your NSF Proposal:  "&amp;ckAwdTable[[#This Row],[prop_id]], ckAwdTable[[#This Row],[email]])</f>
        <v>hu.nguyen@neu.edu</v>
      </c>
      <c r="X29" s="30">
        <v>43252</v>
      </c>
      <c r="Y29">
        <v>60</v>
      </c>
      <c r="AA29" s="21" t="s">
        <v>13</v>
      </c>
      <c r="AB29" s="21" t="s">
        <v>449</v>
      </c>
      <c r="AC29"/>
      <c r="AD29" s="21" t="s">
        <v>13</v>
      </c>
      <c r="AE29" s="21" t="s">
        <v>256</v>
      </c>
      <c r="AF29" s="13">
        <v>551453</v>
      </c>
      <c r="AG29" s="21">
        <v>0</v>
      </c>
      <c r="AH29" s="1">
        <v>551453</v>
      </c>
      <c r="AI29" s="1"/>
      <c r="AJ29" s="1">
        <v>13273</v>
      </c>
      <c r="AM29" s="21">
        <v>5</v>
      </c>
      <c r="AN29" s="21">
        <v>5</v>
      </c>
      <c r="AO29" s="21">
        <v>5</v>
      </c>
      <c r="AP29" s="21"/>
      <c r="AQ29" s="21"/>
      <c r="AR29" s="8" t="s">
        <v>173</v>
      </c>
      <c r="AS29" s="21" t="s">
        <v>445</v>
      </c>
      <c r="AT29" s="21" t="str">
        <f>IFERROR(IF(FIND("?",#REF!),SummarizeQuestMarks(#REF!),""),"")</f>
        <v/>
      </c>
      <c r="AU29" s="21"/>
      <c r="AV29" t="s">
        <v>1441</v>
      </c>
      <c r="AW29" t="b">
        <f>AND(ckAwdTable[[#This Row],[ILN]]&gt;"M", SUBSTITUTE(ckAwdTable[[#This Row],[prop_titl_txt]]," ","")&lt;&gt;SUBSTITUTE(AV28," ",""))</f>
        <v>0</v>
      </c>
      <c r="AX29" s="8" t="s">
        <v>1442</v>
      </c>
    </row>
    <row r="30" spans="2:50">
      <c r="B30" s="30">
        <v>42935.633333333331</v>
      </c>
      <c r="C30" t="s">
        <v>244</v>
      </c>
      <c r="D30" t="s">
        <v>780</v>
      </c>
      <c r="E30" t="s">
        <v>567</v>
      </c>
      <c r="F30" t="s">
        <v>579</v>
      </c>
      <c r="G30" s="8" t="s">
        <v>172</v>
      </c>
      <c r="H30" s="8" t="s">
        <v>170</v>
      </c>
      <c r="I30" s="8" t="s">
        <v>442</v>
      </c>
      <c r="J30" t="s">
        <v>94</v>
      </c>
      <c r="K30" t="s">
        <v>782</v>
      </c>
      <c r="L30" s="22"/>
      <c r="M30" s="110">
        <f xml:space="preserve"> M29+(ckAwdTable[ILN]&lt;"M")</f>
        <v>29</v>
      </c>
      <c r="N30" t="s">
        <v>96</v>
      </c>
      <c r="O30" t="s">
        <v>705</v>
      </c>
      <c r="P30" s="15" t="str">
        <f>HYPERLINK("https://www.ejacket.nsf.gov/ej/showProposal.do?ID="&amp;ckAwdTable[[#This Row],[prop_id]],"eJ")</f>
        <v>eJ</v>
      </c>
      <c r="Q30" s="8" t="s">
        <v>781</v>
      </c>
      <c r="R30" t="s">
        <v>705</v>
      </c>
      <c r="S30" t="s">
        <v>706</v>
      </c>
      <c r="T30" t="s">
        <v>829</v>
      </c>
      <c r="U30" s="8" t="s">
        <v>830</v>
      </c>
      <c r="V30" t="s">
        <v>358</v>
      </c>
      <c r="W30" s="114" t="str">
        <f>HYPERLINK("mailto:"&amp; ckAwdTable[[#This Row],[email]]&amp;"&amp;subject=Your NSF Proposal:  "&amp;ckAwdTable[[#This Row],[prop_id]], ckAwdTable[[#This Row],[email]])</f>
        <v>Benjamin.Raichel@utdallas.edu</v>
      </c>
      <c r="X30" s="30">
        <v>43344</v>
      </c>
      <c r="Y30">
        <v>60</v>
      </c>
      <c r="AA30" s="21" t="s">
        <v>13</v>
      </c>
      <c r="AB30" s="21" t="s">
        <v>449</v>
      </c>
      <c r="AC30"/>
      <c r="AD30" s="21" t="s">
        <v>13</v>
      </c>
      <c r="AE30" s="21" t="s">
        <v>256</v>
      </c>
      <c r="AF30" s="13">
        <v>582785</v>
      </c>
      <c r="AG30" s="21">
        <v>0</v>
      </c>
      <c r="AH30" s="1">
        <v>582785</v>
      </c>
      <c r="AI30" s="1"/>
      <c r="AJ30" s="1">
        <v>7500</v>
      </c>
      <c r="AM30" s="21">
        <v>10</v>
      </c>
      <c r="AN30" s="21">
        <v>5</v>
      </c>
      <c r="AO30" s="21">
        <v>5</v>
      </c>
      <c r="AP30" s="21"/>
      <c r="AQ30" s="21"/>
      <c r="AR30" s="8" t="s">
        <v>173</v>
      </c>
      <c r="AS30" s="21" t="s">
        <v>445</v>
      </c>
      <c r="AT30" s="21" t="str">
        <f>IFERROR(IF(FIND("?",#REF!),SummarizeQuestMarks(#REF!),""),"")</f>
        <v/>
      </c>
      <c r="AU30" s="21"/>
      <c r="AV30" t="s">
        <v>832</v>
      </c>
      <c r="AW30" t="b">
        <f>AND(ckAwdTable[[#This Row],[ILN]]&gt;"M", SUBSTITUTE(ckAwdTable[[#This Row],[prop_titl_txt]]," ","")&lt;&gt;SUBSTITUTE(AV29," ",""))</f>
        <v>0</v>
      </c>
      <c r="AX30" s="8" t="s">
        <v>833</v>
      </c>
    </row>
    <row r="31" spans="2:50">
      <c r="B31" s="30">
        <v>42935.638888888891</v>
      </c>
      <c r="C31" t="s">
        <v>244</v>
      </c>
      <c r="D31" t="s">
        <v>780</v>
      </c>
      <c r="E31" t="s">
        <v>567</v>
      </c>
      <c r="F31" t="s">
        <v>944</v>
      </c>
      <c r="G31" s="8" t="s">
        <v>172</v>
      </c>
      <c r="H31" s="8" t="s">
        <v>170</v>
      </c>
      <c r="I31" s="8" t="s">
        <v>442</v>
      </c>
      <c r="J31" t="s">
        <v>94</v>
      </c>
      <c r="K31" t="s">
        <v>782</v>
      </c>
      <c r="L31" s="22"/>
      <c r="M31" s="110">
        <f xml:space="preserve"> M30+(ckAwdTable[ILN]&lt;"M")</f>
        <v>30</v>
      </c>
      <c r="N31" t="s">
        <v>96</v>
      </c>
      <c r="O31" t="s">
        <v>1151</v>
      </c>
      <c r="P31" s="15" t="str">
        <f>HYPERLINK("https://www.ejacket.nsf.gov/ej/showProposal.do?ID="&amp;ckAwdTable[[#This Row],[prop_id]],"eJ")</f>
        <v>eJ</v>
      </c>
      <c r="Q31" s="8" t="s">
        <v>781</v>
      </c>
      <c r="R31" t="s">
        <v>1151</v>
      </c>
      <c r="S31" t="s">
        <v>1152</v>
      </c>
      <c r="T31" t="s">
        <v>1443</v>
      </c>
      <c r="U31" s="8" t="s">
        <v>343</v>
      </c>
      <c r="V31" t="s">
        <v>257</v>
      </c>
      <c r="W31" s="114" t="str">
        <f>HYPERLINK("mailto:"&amp; ckAwdTable[[#This Row],[email]]&amp;"&amp;subject=Your NSF Proposal:  "&amp;ckAwdTable[[#This Row],[prop_id]], ckAwdTable[[#This Row],[email]])</f>
        <v>haeupler@cs.cmu.edu</v>
      </c>
      <c r="X31" s="30">
        <v>43101</v>
      </c>
      <c r="Y31">
        <v>60</v>
      </c>
      <c r="AA31" s="21" t="s">
        <v>13</v>
      </c>
      <c r="AB31" s="21" t="s">
        <v>449</v>
      </c>
      <c r="AC31"/>
      <c r="AD31" s="21" t="s">
        <v>13</v>
      </c>
      <c r="AF31" s="13">
        <v>613868</v>
      </c>
      <c r="AG31" s="21">
        <v>0</v>
      </c>
      <c r="AH31" s="1">
        <v>613868</v>
      </c>
      <c r="AI31" s="1"/>
      <c r="AJ31" s="1"/>
      <c r="AM31" s="21">
        <v>5</v>
      </c>
      <c r="AN31" s="21">
        <v>5</v>
      </c>
      <c r="AO31" s="21">
        <v>1.25</v>
      </c>
      <c r="AP31" s="21"/>
      <c r="AQ31" s="21"/>
      <c r="AR31" s="8" t="s">
        <v>173</v>
      </c>
      <c r="AS31" s="21" t="s">
        <v>445</v>
      </c>
      <c r="AT31" s="21" t="str">
        <f>IFERROR(IF(FIND("?",#REF!),SummarizeQuestMarks(#REF!),""),"")</f>
        <v/>
      </c>
      <c r="AU31" s="21"/>
      <c r="AV31" t="s">
        <v>1445</v>
      </c>
      <c r="AW31" t="b">
        <f>AND(ckAwdTable[[#This Row],[ILN]]&gt;"M", SUBSTITUTE(ckAwdTable[[#This Row],[prop_titl_txt]]," ","")&lt;&gt;SUBSTITUTE(AV30," ",""))</f>
        <v>0</v>
      </c>
      <c r="AX31" s="8" t="s">
        <v>1446</v>
      </c>
    </row>
    <row r="32" spans="2:50">
      <c r="B32" s="30">
        <v>42935.654166666667</v>
      </c>
      <c r="C32" t="s">
        <v>244</v>
      </c>
      <c r="D32" t="s">
        <v>780</v>
      </c>
      <c r="E32" t="s">
        <v>567</v>
      </c>
      <c r="F32" t="s">
        <v>582</v>
      </c>
      <c r="G32" s="8" t="s">
        <v>172</v>
      </c>
      <c r="H32" s="8" t="s">
        <v>170</v>
      </c>
      <c r="I32" s="8" t="s">
        <v>442</v>
      </c>
      <c r="J32" t="s">
        <v>94</v>
      </c>
      <c r="K32" t="s">
        <v>782</v>
      </c>
      <c r="L32" s="22"/>
      <c r="M32" s="110">
        <f xml:space="preserve"> M31+(ckAwdTable[ILN]&lt;"M")</f>
        <v>31</v>
      </c>
      <c r="N32" t="s">
        <v>96</v>
      </c>
      <c r="O32" t="s">
        <v>1164</v>
      </c>
      <c r="P32" s="15" t="str">
        <f>HYPERLINK("https://www.ejacket.nsf.gov/ej/showProposal.do?ID="&amp;ckAwdTable[[#This Row],[prop_id]],"eJ")</f>
        <v>eJ</v>
      </c>
      <c r="Q32" s="8" t="s">
        <v>781</v>
      </c>
      <c r="R32" t="s">
        <v>1164</v>
      </c>
      <c r="S32" t="s">
        <v>534</v>
      </c>
      <c r="T32" t="s">
        <v>1447</v>
      </c>
      <c r="U32" s="8" t="s">
        <v>1448</v>
      </c>
      <c r="V32" t="s">
        <v>363</v>
      </c>
      <c r="W32" s="114" t="str">
        <f>HYPERLINK("mailto:"&amp; ckAwdTable[[#This Row],[email]]&amp;"&amp;subject=Your NSF Proposal:  "&amp;ckAwdTable[[#This Row],[prop_id]], ckAwdTable[[#This Row],[email]])</f>
        <v>nxie@cs.fiu.edu</v>
      </c>
      <c r="X32" s="30">
        <v>43221</v>
      </c>
      <c r="Y32">
        <v>60</v>
      </c>
      <c r="AA32" s="21" t="s">
        <v>13</v>
      </c>
      <c r="AB32" s="21" t="s">
        <v>449</v>
      </c>
      <c r="AC32"/>
      <c r="AD32" s="21" t="s">
        <v>13</v>
      </c>
      <c r="AE32" s="21" t="s">
        <v>1607</v>
      </c>
      <c r="AF32" s="13">
        <v>520820</v>
      </c>
      <c r="AG32" s="21">
        <v>0</v>
      </c>
      <c r="AH32" s="1">
        <v>520820</v>
      </c>
      <c r="AI32" s="1"/>
      <c r="AJ32" s="1">
        <v>15000</v>
      </c>
      <c r="AM32" s="21">
        <v>5</v>
      </c>
      <c r="AN32" s="21">
        <v>5</v>
      </c>
      <c r="AO32" s="21">
        <v>7.5</v>
      </c>
      <c r="AP32" s="21"/>
      <c r="AQ32" s="21"/>
      <c r="AR32" s="8" t="s">
        <v>173</v>
      </c>
      <c r="AS32" s="21" t="s">
        <v>445</v>
      </c>
      <c r="AT32" s="21" t="str">
        <f>IFERROR(IF(FIND("?",#REF!),SummarizeQuestMarks(#REF!),""),"")</f>
        <v/>
      </c>
      <c r="AU32" s="21"/>
      <c r="AV32" t="s">
        <v>1450</v>
      </c>
      <c r="AW32" t="b">
        <f>AND(ckAwdTable[[#This Row],[ILN]]&gt;"M", SUBSTITUTE(ckAwdTable[[#This Row],[prop_titl_txt]]," ","")&lt;&gt;SUBSTITUTE(AV31," ",""))</f>
        <v>0</v>
      </c>
      <c r="AX32" s="8" t="s">
        <v>1451</v>
      </c>
    </row>
    <row r="33" spans="2:50">
      <c r="B33" s="30">
        <v>42935.679166666669</v>
      </c>
      <c r="C33" t="s">
        <v>244</v>
      </c>
      <c r="D33" t="s">
        <v>780</v>
      </c>
      <c r="E33" t="s">
        <v>567</v>
      </c>
      <c r="F33" t="s">
        <v>582</v>
      </c>
      <c r="G33" s="8" t="s">
        <v>172</v>
      </c>
      <c r="H33" s="8" t="s">
        <v>170</v>
      </c>
      <c r="I33" s="8" t="s">
        <v>442</v>
      </c>
      <c r="J33" t="s">
        <v>94</v>
      </c>
      <c r="K33" t="s">
        <v>782</v>
      </c>
      <c r="L33" s="22"/>
      <c r="M33" s="110">
        <f xml:space="preserve"> M32+(ckAwdTable[ILN]&lt;"M")</f>
        <v>32</v>
      </c>
      <c r="N33" t="s">
        <v>96</v>
      </c>
      <c r="O33" t="s">
        <v>1174</v>
      </c>
      <c r="P33" s="15" t="str">
        <f>HYPERLINK("https://www.ejacket.nsf.gov/ej/showProposal.do?ID="&amp;ckAwdTable[[#This Row],[prop_id]],"eJ")</f>
        <v>eJ</v>
      </c>
      <c r="Q33" s="8" t="s">
        <v>781</v>
      </c>
      <c r="R33" t="s">
        <v>1174</v>
      </c>
      <c r="S33" t="s">
        <v>1175</v>
      </c>
      <c r="T33" t="s">
        <v>1452</v>
      </c>
      <c r="U33" s="8" t="s">
        <v>839</v>
      </c>
      <c r="V33" t="s">
        <v>358</v>
      </c>
      <c r="W33" s="114" t="str">
        <f>HYPERLINK("mailto:"&amp; ckAwdTable[[#This Row],[email]]&amp;"&amp;subject=Your NSF Proposal:  "&amp;ckAwdTable[[#This Row],[prop_id]], ckAwdTable[[#This Row],[email]])</f>
        <v>ecprice@cs.utexas.edu</v>
      </c>
      <c r="X33" s="30">
        <v>43344</v>
      </c>
      <c r="Y33">
        <v>60</v>
      </c>
      <c r="AA33" s="21" t="s">
        <v>13</v>
      </c>
      <c r="AB33" s="21" t="s">
        <v>449</v>
      </c>
      <c r="AC33"/>
      <c r="AD33" s="21" t="s">
        <v>13</v>
      </c>
      <c r="AF33" s="13">
        <v>499575</v>
      </c>
      <c r="AG33" s="21">
        <v>0</v>
      </c>
      <c r="AH33" s="1">
        <v>499575</v>
      </c>
      <c r="AI33" s="1"/>
      <c r="AJ33" s="1"/>
      <c r="AM33" s="21">
        <v>5</v>
      </c>
      <c r="AN33" s="21">
        <v>5</v>
      </c>
      <c r="AO33" s="21">
        <v>5</v>
      </c>
      <c r="AP33" s="21"/>
      <c r="AQ33" s="21"/>
      <c r="AR33" s="8" t="s">
        <v>173</v>
      </c>
      <c r="AS33" s="21" t="s">
        <v>445</v>
      </c>
      <c r="AT33" s="21" t="str">
        <f>IFERROR(IF(FIND("?",#REF!),SummarizeQuestMarks(#REF!),""),"")</f>
        <v/>
      </c>
      <c r="AU33" s="21"/>
      <c r="AV33" t="s">
        <v>1453</v>
      </c>
      <c r="AW33" t="b">
        <f>AND(ckAwdTable[[#This Row],[ILN]]&gt;"M", SUBSTITUTE(ckAwdTable[[#This Row],[prop_titl_txt]]," ","")&lt;&gt;SUBSTITUTE(AV32," ",""))</f>
        <v>0</v>
      </c>
      <c r="AX33" s="8" t="s">
        <v>1454</v>
      </c>
    </row>
    <row r="34" spans="2:50">
      <c r="B34" s="30">
        <v>42935.680555555555</v>
      </c>
      <c r="C34" t="s">
        <v>244</v>
      </c>
      <c r="D34" t="s">
        <v>780</v>
      </c>
      <c r="E34" t="s">
        <v>567</v>
      </c>
      <c r="F34" t="s">
        <v>579</v>
      </c>
      <c r="G34" s="8" t="s">
        <v>172</v>
      </c>
      <c r="H34" s="8" t="s">
        <v>170</v>
      </c>
      <c r="I34" s="8" t="s">
        <v>442</v>
      </c>
      <c r="J34" t="s">
        <v>94</v>
      </c>
      <c r="K34" t="s">
        <v>782</v>
      </c>
      <c r="L34" s="22"/>
      <c r="M34" s="110">
        <f xml:space="preserve"> M33+(ckAwdTable[ILN]&lt;"M")</f>
        <v>33</v>
      </c>
      <c r="N34" t="s">
        <v>96</v>
      </c>
      <c r="O34" t="s">
        <v>717</v>
      </c>
      <c r="P34" s="15" t="str">
        <f>HYPERLINK("https://www.ejacket.nsf.gov/ej/showProposal.do?ID="&amp;ckAwdTable[[#This Row],[prop_id]],"eJ")</f>
        <v>eJ</v>
      </c>
      <c r="Q34" s="8" t="s">
        <v>781</v>
      </c>
      <c r="R34" t="s">
        <v>717</v>
      </c>
      <c r="S34" t="s">
        <v>718</v>
      </c>
      <c r="T34" t="s">
        <v>834</v>
      </c>
      <c r="U34" s="8" t="s">
        <v>835</v>
      </c>
      <c r="V34" t="s">
        <v>358</v>
      </c>
      <c r="W34" s="114" t="str">
        <f>HYPERLINK("mailto:"&amp; ckAwdTable[[#This Row],[email]]&amp;"&amp;subject=Your NSF Proposal:  "&amp;ckAwdTable[[#This Row],[prop_id]], ckAwdTable[[#This Row],[email]])</f>
        <v>MATTHEW.GIBSON@UTSA.EDU</v>
      </c>
      <c r="X34" s="30">
        <v>43132</v>
      </c>
      <c r="Y34">
        <v>60</v>
      </c>
      <c r="AA34" s="21" t="s">
        <v>13</v>
      </c>
      <c r="AB34" s="21" t="s">
        <v>449</v>
      </c>
      <c r="AC34"/>
      <c r="AD34" s="21" t="s">
        <v>13</v>
      </c>
      <c r="AE34" s="21" t="s">
        <v>256</v>
      </c>
      <c r="AF34" s="13">
        <v>415497</v>
      </c>
      <c r="AG34" s="21">
        <v>0</v>
      </c>
      <c r="AH34" s="1">
        <v>415497</v>
      </c>
      <c r="AI34" s="1"/>
      <c r="AJ34" s="1">
        <v>12250</v>
      </c>
      <c r="AL34" s="1">
        <v>16000</v>
      </c>
      <c r="AM34" s="21">
        <v>5</v>
      </c>
      <c r="AN34" s="21">
        <v>5</v>
      </c>
      <c r="AO34" s="21">
        <v>5</v>
      </c>
      <c r="AP34" s="21"/>
      <c r="AQ34" s="21"/>
      <c r="AR34" s="8" t="s">
        <v>173</v>
      </c>
      <c r="AS34" s="21" t="s">
        <v>445</v>
      </c>
      <c r="AT34" s="21" t="str">
        <f>IFERROR(IF(FIND("?",#REF!),SummarizeQuestMarks(#REF!),""),"")</f>
        <v/>
      </c>
      <c r="AU34" s="21"/>
      <c r="AV34" t="s">
        <v>836</v>
      </c>
      <c r="AW34" t="b">
        <f>AND(ckAwdTable[[#This Row],[ILN]]&gt;"M", SUBSTITUTE(ckAwdTable[[#This Row],[prop_titl_txt]]," ","")&lt;&gt;SUBSTITUTE(AV33," ",""))</f>
        <v>0</v>
      </c>
      <c r="AX34" s="8" t="s">
        <v>837</v>
      </c>
    </row>
    <row r="35" spans="2:50">
      <c r="B35" s="30">
        <v>42935.680555555555</v>
      </c>
      <c r="C35" t="s">
        <v>244</v>
      </c>
      <c r="D35" t="s">
        <v>780</v>
      </c>
      <c r="E35" t="s">
        <v>567</v>
      </c>
      <c r="F35" t="s">
        <v>582</v>
      </c>
      <c r="G35" s="8" t="s">
        <v>172</v>
      </c>
      <c r="H35" s="8" t="s">
        <v>170</v>
      </c>
      <c r="I35" s="8" t="s">
        <v>442</v>
      </c>
      <c r="J35" t="s">
        <v>94</v>
      </c>
      <c r="K35" t="s">
        <v>782</v>
      </c>
      <c r="L35" s="22"/>
      <c r="M35" s="110">
        <f xml:space="preserve"> M34+(ckAwdTable[ILN]&lt;"M")</f>
        <v>34</v>
      </c>
      <c r="N35" t="s">
        <v>96</v>
      </c>
      <c r="O35" t="s">
        <v>1182</v>
      </c>
      <c r="P35" s="15" t="str">
        <f>HYPERLINK("https://www.ejacket.nsf.gov/ej/showProposal.do?ID="&amp;ckAwdTable[[#This Row],[prop_id]],"eJ")</f>
        <v>eJ</v>
      </c>
      <c r="Q35" s="8" t="s">
        <v>781</v>
      </c>
      <c r="R35" t="s">
        <v>1182</v>
      </c>
      <c r="S35" t="s">
        <v>1183</v>
      </c>
      <c r="T35" t="s">
        <v>1455</v>
      </c>
      <c r="U35" s="8" t="s">
        <v>1456</v>
      </c>
      <c r="V35" t="s">
        <v>1363</v>
      </c>
      <c r="W35" s="114" t="str">
        <f>HYPERLINK("mailto:"&amp; ckAwdTable[[#This Row],[email]]&amp;"&amp;subject=Your NSF Proposal:  "&amp;ckAwdTable[[#This Row],[prop_id]], ckAwdTable[[#This Row],[email]])</f>
        <v>periklis.research@gmail.com</v>
      </c>
      <c r="X35" s="30">
        <v>43252</v>
      </c>
      <c r="Y35">
        <v>60</v>
      </c>
      <c r="AA35" s="21" t="s">
        <v>13</v>
      </c>
      <c r="AB35" s="21" t="s">
        <v>449</v>
      </c>
      <c r="AC35"/>
      <c r="AD35" s="21" t="s">
        <v>13</v>
      </c>
      <c r="AE35" s="21" t="s">
        <v>1608</v>
      </c>
      <c r="AF35" s="13">
        <v>667571</v>
      </c>
      <c r="AG35" s="21">
        <v>0</v>
      </c>
      <c r="AH35" s="1">
        <v>667571</v>
      </c>
      <c r="AI35" s="1"/>
      <c r="AJ35" s="1">
        <v>25000</v>
      </c>
      <c r="AM35" s="21">
        <v>5</v>
      </c>
      <c r="AN35" s="21">
        <v>5</v>
      </c>
      <c r="AO35" s="21">
        <v>5</v>
      </c>
      <c r="AP35" s="21"/>
      <c r="AQ35" s="21"/>
      <c r="AR35" s="8" t="s">
        <v>173</v>
      </c>
      <c r="AS35" s="21" t="s">
        <v>445</v>
      </c>
      <c r="AT35" s="21" t="str">
        <f>IFERROR(IF(FIND("?",#REF!),SummarizeQuestMarks(#REF!),""),"")</f>
        <v/>
      </c>
      <c r="AU35" s="21"/>
      <c r="AV35" t="s">
        <v>1458</v>
      </c>
      <c r="AW35" t="b">
        <f>AND(ckAwdTable[[#This Row],[ILN]]&gt;"M", SUBSTITUTE(ckAwdTable[[#This Row],[prop_titl_txt]]," ","")&lt;&gt;SUBSTITUTE(AV34," ",""))</f>
        <v>0</v>
      </c>
      <c r="AX35" s="8" t="s">
        <v>1459</v>
      </c>
    </row>
    <row r="36" spans="2:50">
      <c r="B36" s="30">
        <v>42935.68472222222</v>
      </c>
      <c r="C36" t="s">
        <v>244</v>
      </c>
      <c r="D36" t="s">
        <v>780</v>
      </c>
      <c r="E36" t="s">
        <v>567</v>
      </c>
      <c r="F36" t="s">
        <v>582</v>
      </c>
      <c r="G36" s="8" t="s">
        <v>172</v>
      </c>
      <c r="H36" s="8" t="s">
        <v>170</v>
      </c>
      <c r="I36" s="8" t="s">
        <v>442</v>
      </c>
      <c r="J36" t="s">
        <v>94</v>
      </c>
      <c r="K36" t="s">
        <v>782</v>
      </c>
      <c r="L36" s="22"/>
      <c r="M36" s="110">
        <f xml:space="preserve"> M35+(ckAwdTable[ILN]&lt;"M")</f>
        <v>35</v>
      </c>
      <c r="N36" t="s">
        <v>96</v>
      </c>
      <c r="O36" t="s">
        <v>1190</v>
      </c>
      <c r="P36" s="15" t="str">
        <f>HYPERLINK("https://www.ejacket.nsf.gov/ej/showProposal.do?ID="&amp;ckAwdTable[[#This Row],[prop_id]],"eJ")</f>
        <v>eJ</v>
      </c>
      <c r="Q36" s="8" t="s">
        <v>781</v>
      </c>
      <c r="R36" t="s">
        <v>1190</v>
      </c>
      <c r="S36" t="s">
        <v>1191</v>
      </c>
      <c r="T36" t="s">
        <v>1460</v>
      </c>
      <c r="U36" s="8" t="s">
        <v>1461</v>
      </c>
      <c r="V36" t="s">
        <v>257</v>
      </c>
      <c r="W36" s="114" t="str">
        <f>HYPERLINK("mailto:"&amp; ckAwdTable[[#This Row],[email]]&amp;"&amp;subject=Your NSF Proposal:  "&amp;ckAwdTable[[#This Row],[prop_id]], ckAwdTable[[#This Row],[email]])</f>
        <v>gkatz@drexel.edu</v>
      </c>
      <c r="X36" s="30">
        <v>43132</v>
      </c>
      <c r="Y36">
        <v>60</v>
      </c>
      <c r="AA36" s="21" t="s">
        <v>13</v>
      </c>
      <c r="AB36" s="21" t="s">
        <v>449</v>
      </c>
      <c r="AC36"/>
      <c r="AD36" s="21" t="s">
        <v>13</v>
      </c>
      <c r="AE36" s="21" t="s">
        <v>256</v>
      </c>
      <c r="AF36" s="13">
        <v>559983</v>
      </c>
      <c r="AG36" s="21">
        <v>0</v>
      </c>
      <c r="AH36" s="1">
        <v>559983</v>
      </c>
      <c r="AI36" s="1"/>
      <c r="AJ36" s="1">
        <v>10000</v>
      </c>
      <c r="AM36" s="21">
        <v>5</v>
      </c>
      <c r="AN36" s="21">
        <v>5</v>
      </c>
      <c r="AO36" s="21">
        <v>5</v>
      </c>
      <c r="AP36" s="21"/>
      <c r="AQ36" s="21"/>
      <c r="AR36" s="8" t="s">
        <v>173</v>
      </c>
      <c r="AS36" s="21" t="s">
        <v>445</v>
      </c>
      <c r="AT36" s="21" t="str">
        <f>IFERROR(IF(FIND("?",#REF!),SummarizeQuestMarks(#REF!),""),"")</f>
        <v/>
      </c>
      <c r="AU36" s="21"/>
      <c r="AV36" t="s">
        <v>1462</v>
      </c>
      <c r="AW36" t="b">
        <f>AND(ckAwdTable[[#This Row],[ILN]]&gt;"M", SUBSTITUTE(ckAwdTable[[#This Row],[prop_titl_txt]]," ","")&lt;&gt;SUBSTITUTE(AV35," ",""))</f>
        <v>0</v>
      </c>
      <c r="AX36" s="8" t="s">
        <v>1463</v>
      </c>
    </row>
    <row r="37" spans="2:50">
      <c r="B37" s="30">
        <v>42935.69027777778</v>
      </c>
      <c r="C37" t="s">
        <v>244</v>
      </c>
      <c r="D37" t="s">
        <v>780</v>
      </c>
      <c r="E37" t="s">
        <v>567</v>
      </c>
      <c r="F37" t="s">
        <v>579</v>
      </c>
      <c r="G37" s="8" t="s">
        <v>172</v>
      </c>
      <c r="H37" s="8" t="s">
        <v>170</v>
      </c>
      <c r="I37" s="8" t="s">
        <v>442</v>
      </c>
      <c r="J37" t="s">
        <v>94</v>
      </c>
      <c r="K37" t="s">
        <v>782</v>
      </c>
      <c r="L37" s="22"/>
      <c r="M37" s="110">
        <f xml:space="preserve"> M36+(ckAwdTable[ILN]&lt;"M")</f>
        <v>36</v>
      </c>
      <c r="N37" t="s">
        <v>96</v>
      </c>
      <c r="O37" t="s">
        <v>725</v>
      </c>
      <c r="P37" s="15" t="str">
        <f>HYPERLINK("https://www.ejacket.nsf.gov/ej/showProposal.do?ID="&amp;ckAwdTable[[#This Row],[prop_id]],"eJ")</f>
        <v>eJ</v>
      </c>
      <c r="Q37" s="8" t="s">
        <v>781</v>
      </c>
      <c r="R37" t="s">
        <v>725</v>
      </c>
      <c r="S37" t="s">
        <v>726</v>
      </c>
      <c r="T37" t="s">
        <v>838</v>
      </c>
      <c r="U37" s="8" t="s">
        <v>839</v>
      </c>
      <c r="V37" t="s">
        <v>358</v>
      </c>
      <c r="W37" s="114" t="str">
        <f>HYPERLINK("mailto:"&amp; ckAwdTable[[#This Row],[email]]&amp;"&amp;subject=Your NSF Proposal:  "&amp;ckAwdTable[[#This Row],[prop_id]], ckAwdTable[[#This Row],[email]])</f>
        <v>evouga@cs.utexas.edu</v>
      </c>
      <c r="X37" s="30">
        <v>43344</v>
      </c>
      <c r="Y37">
        <v>60</v>
      </c>
      <c r="AA37" s="21" t="s">
        <v>13</v>
      </c>
      <c r="AB37" s="21" t="s">
        <v>449</v>
      </c>
      <c r="AC37"/>
      <c r="AD37" s="21" t="s">
        <v>13</v>
      </c>
      <c r="AE37" s="21" t="s">
        <v>256</v>
      </c>
      <c r="AF37" s="13">
        <v>523537</v>
      </c>
      <c r="AG37" s="21">
        <v>0</v>
      </c>
      <c r="AH37" s="1">
        <v>523537</v>
      </c>
      <c r="AI37" s="1"/>
      <c r="AJ37" s="1">
        <v>15000</v>
      </c>
      <c r="AM37" s="21">
        <v>7</v>
      </c>
      <c r="AN37" s="21">
        <v>5</v>
      </c>
      <c r="AO37" s="21">
        <v>2</v>
      </c>
      <c r="AP37" s="21"/>
      <c r="AQ37" s="21"/>
      <c r="AR37" s="8" t="s">
        <v>173</v>
      </c>
      <c r="AS37" s="21" t="s">
        <v>445</v>
      </c>
      <c r="AT37" s="21" t="str">
        <f>IFERROR(IF(FIND("?",#REF!),SummarizeQuestMarks(#REF!),""),"")</f>
        <v/>
      </c>
      <c r="AU37" s="21"/>
      <c r="AV37" t="s">
        <v>840</v>
      </c>
      <c r="AW37" t="b">
        <f>AND(ckAwdTable[[#This Row],[ILN]]&gt;"M", SUBSTITUTE(ckAwdTable[[#This Row],[prop_titl_txt]]," ","")&lt;&gt;SUBSTITUTE(AV36," ",""))</f>
        <v>0</v>
      </c>
      <c r="AX37" s="8" t="s">
        <v>841</v>
      </c>
    </row>
    <row r="38" spans="2:50">
      <c r="B38" s="30">
        <v>42935.696527777778</v>
      </c>
      <c r="C38" t="s">
        <v>244</v>
      </c>
      <c r="D38" t="s">
        <v>780</v>
      </c>
      <c r="E38" t="s">
        <v>567</v>
      </c>
      <c r="F38" t="s">
        <v>579</v>
      </c>
      <c r="G38" s="8" t="s">
        <v>172</v>
      </c>
      <c r="H38" s="8" t="s">
        <v>170</v>
      </c>
      <c r="I38" s="8" t="s">
        <v>442</v>
      </c>
      <c r="J38" t="s">
        <v>94</v>
      </c>
      <c r="K38" t="s">
        <v>782</v>
      </c>
      <c r="L38" s="22"/>
      <c r="M38" s="110">
        <f xml:space="preserve"> M37+(ckAwdTable[ILN]&lt;"M")</f>
        <v>37</v>
      </c>
      <c r="N38" t="s">
        <v>96</v>
      </c>
      <c r="O38" t="s">
        <v>734</v>
      </c>
      <c r="P38" s="15" t="str">
        <f>HYPERLINK("https://www.ejacket.nsf.gov/ej/showProposal.do?ID="&amp;ckAwdTable[[#This Row],[prop_id]],"eJ")</f>
        <v>eJ</v>
      </c>
      <c r="Q38" s="8" t="s">
        <v>781</v>
      </c>
      <c r="R38" t="s">
        <v>734</v>
      </c>
      <c r="S38" t="s">
        <v>735</v>
      </c>
      <c r="T38" t="s">
        <v>843</v>
      </c>
      <c r="U38" s="8" t="s">
        <v>844</v>
      </c>
      <c r="V38" t="s">
        <v>842</v>
      </c>
      <c r="W38" s="114" t="str">
        <f>HYPERLINK("mailto:"&amp; ckAwdTable[[#This Row],[email]]&amp;"&amp;subject=Your NSF Proposal:  "&amp;ckAwdTable[[#This Row],[prop_id]], ckAwdTable[[#This Row],[email]])</f>
        <v>nayyeria@eecs.oregonstate.edu</v>
      </c>
      <c r="X38" s="30">
        <v>43344</v>
      </c>
      <c r="Y38">
        <v>60</v>
      </c>
      <c r="AA38" s="21" t="s">
        <v>13</v>
      </c>
      <c r="AB38" s="21" t="s">
        <v>449</v>
      </c>
      <c r="AC38"/>
      <c r="AD38" s="21" t="s">
        <v>13</v>
      </c>
      <c r="AE38" s="21" t="s">
        <v>256</v>
      </c>
      <c r="AF38" s="13">
        <v>607459</v>
      </c>
      <c r="AG38" s="21">
        <v>0</v>
      </c>
      <c r="AH38" s="1">
        <v>607459</v>
      </c>
      <c r="AI38" s="1"/>
      <c r="AJ38" s="1">
        <v>23133</v>
      </c>
      <c r="AL38" s="1">
        <v>5500</v>
      </c>
      <c r="AM38" s="21">
        <v>5</v>
      </c>
      <c r="AN38" s="21">
        <v>5</v>
      </c>
      <c r="AO38" s="21">
        <v>4.5</v>
      </c>
      <c r="AP38" s="21"/>
      <c r="AQ38" s="21"/>
      <c r="AR38" s="8" t="s">
        <v>173</v>
      </c>
      <c r="AS38" s="21" t="s">
        <v>445</v>
      </c>
      <c r="AT38" s="21" t="str">
        <f>IFERROR(IF(FIND("?",#REF!),SummarizeQuestMarks(#REF!),""),"")</f>
        <v/>
      </c>
      <c r="AU38" s="21"/>
      <c r="AV38" t="s">
        <v>846</v>
      </c>
      <c r="AW38" t="b">
        <f>AND(ckAwdTable[[#This Row],[ILN]]&gt;"M", SUBSTITUTE(ckAwdTable[[#This Row],[prop_titl_txt]]," ","")&lt;&gt;SUBSTITUTE(AV37," ",""))</f>
        <v>0</v>
      </c>
      <c r="AX38" s="8" t="s">
        <v>847</v>
      </c>
    </row>
    <row r="39" spans="2:50">
      <c r="B39" s="30">
        <v>42935.70416666667</v>
      </c>
      <c r="C39" t="s">
        <v>244</v>
      </c>
      <c r="D39" t="s">
        <v>780</v>
      </c>
      <c r="E39" t="s">
        <v>567</v>
      </c>
      <c r="F39" t="s">
        <v>944</v>
      </c>
      <c r="G39" s="8" t="s">
        <v>172</v>
      </c>
      <c r="H39" s="8" t="s">
        <v>170</v>
      </c>
      <c r="I39" s="8" t="s">
        <v>442</v>
      </c>
      <c r="J39" t="s">
        <v>94</v>
      </c>
      <c r="K39" t="s">
        <v>782</v>
      </c>
      <c r="L39" s="22"/>
      <c r="M39" s="110">
        <f xml:space="preserve"> M38+(ckAwdTable[ILN]&lt;"M")</f>
        <v>38</v>
      </c>
      <c r="N39" t="s">
        <v>96</v>
      </c>
      <c r="O39" t="s">
        <v>1198</v>
      </c>
      <c r="P39" s="15" t="str">
        <f>HYPERLINK("https://www.ejacket.nsf.gov/ej/showProposal.do?ID="&amp;ckAwdTable[[#This Row],[prop_id]],"eJ")</f>
        <v>eJ</v>
      </c>
      <c r="Q39" s="8" t="s">
        <v>781</v>
      </c>
      <c r="R39" t="s">
        <v>1198</v>
      </c>
      <c r="S39" t="s">
        <v>1199</v>
      </c>
      <c r="T39" t="s">
        <v>1465</v>
      </c>
      <c r="U39" s="8" t="s">
        <v>1466</v>
      </c>
      <c r="V39" t="s">
        <v>112</v>
      </c>
      <c r="W39" s="114" t="str">
        <f>HYPERLINK("mailto:"&amp; ckAwdTable[[#This Row],[email]]&amp;"&amp;subject=Your NSF Proposal:  "&amp;ckAwdTable[[#This Row],[prop_id]], ckAwdTable[[#This Row],[email]])</f>
        <v>maxwelly@outlook.com</v>
      </c>
      <c r="X39" s="30">
        <v>43344</v>
      </c>
      <c r="Y39">
        <v>60</v>
      </c>
      <c r="AA39" s="21" t="s">
        <v>13</v>
      </c>
      <c r="AB39" s="21" t="s">
        <v>449</v>
      </c>
      <c r="AC39"/>
      <c r="AD39" s="21" t="s">
        <v>13</v>
      </c>
      <c r="AE39" s="21" t="s">
        <v>256</v>
      </c>
      <c r="AF39" s="13">
        <v>400000</v>
      </c>
      <c r="AG39" s="21">
        <v>0</v>
      </c>
      <c r="AH39" s="1">
        <v>400000</v>
      </c>
      <c r="AI39" s="1"/>
      <c r="AJ39" s="1">
        <v>15000</v>
      </c>
      <c r="AM39" s="21">
        <v>5</v>
      </c>
      <c r="AN39" s="21">
        <v>5</v>
      </c>
      <c r="AO39" s="21">
        <v>2.5</v>
      </c>
      <c r="AP39" s="21"/>
      <c r="AQ39" s="21"/>
      <c r="AR39" s="8" t="s">
        <v>173</v>
      </c>
      <c r="AS39" s="21" t="s">
        <v>445</v>
      </c>
      <c r="AT39" s="21" t="str">
        <f>IFERROR(IF(FIND("?",#REF!),SummarizeQuestMarks(#REF!),""),"")</f>
        <v/>
      </c>
      <c r="AU39" s="21"/>
      <c r="AV39" t="s">
        <v>1468</v>
      </c>
      <c r="AW39" t="b">
        <f>AND(ckAwdTable[[#This Row],[ILN]]&gt;"M", SUBSTITUTE(ckAwdTable[[#This Row],[prop_titl_txt]]," ","")&lt;&gt;SUBSTITUTE(AV38," ",""))</f>
        <v>0</v>
      </c>
      <c r="AX39" s="8" t="s">
        <v>1469</v>
      </c>
    </row>
    <row r="40" spans="2:50">
      <c r="B40" s="30">
        <v>42935.717361111114</v>
      </c>
      <c r="C40" t="s">
        <v>244</v>
      </c>
      <c r="D40" t="s">
        <v>780</v>
      </c>
      <c r="E40" t="s">
        <v>567</v>
      </c>
      <c r="F40" t="s">
        <v>582</v>
      </c>
      <c r="G40" s="8" t="s">
        <v>172</v>
      </c>
      <c r="H40" s="8" t="s">
        <v>170</v>
      </c>
      <c r="I40" s="8" t="s">
        <v>442</v>
      </c>
      <c r="J40" t="s">
        <v>94</v>
      </c>
      <c r="K40" t="s">
        <v>782</v>
      </c>
      <c r="L40" s="22"/>
      <c r="M40" s="110">
        <f xml:space="preserve"> M39+(ckAwdTable[ILN]&lt;"M")</f>
        <v>39</v>
      </c>
      <c r="N40" t="s">
        <v>96</v>
      </c>
      <c r="O40" t="s">
        <v>1206</v>
      </c>
      <c r="P40" s="15" t="str">
        <f>HYPERLINK("https://www.ejacket.nsf.gov/ej/showProposal.do?ID="&amp;ckAwdTable[[#This Row],[prop_id]],"eJ")</f>
        <v>eJ</v>
      </c>
      <c r="Q40" s="8" t="s">
        <v>781</v>
      </c>
      <c r="R40" t="s">
        <v>1206</v>
      </c>
      <c r="S40" t="s">
        <v>1207</v>
      </c>
      <c r="T40" t="s">
        <v>1470</v>
      </c>
      <c r="U40" s="8" t="s">
        <v>1361</v>
      </c>
      <c r="V40" t="s">
        <v>791</v>
      </c>
      <c r="W40" s="114" t="str">
        <f>HYPERLINK("mailto:"&amp; ckAwdTable[[#This Row],[email]]&amp;"&amp;subject=Your NSF Proposal:  "&amp;ckAwdTable[[#This Row],[prop_id]], ckAwdTable[[#This Row],[email]])</f>
        <v>bhaskara@cs.utah.edu</v>
      </c>
      <c r="X40" s="30">
        <v>43313</v>
      </c>
      <c r="Y40">
        <v>60</v>
      </c>
      <c r="AA40" s="21" t="s">
        <v>13</v>
      </c>
      <c r="AB40" s="21" t="s">
        <v>449</v>
      </c>
      <c r="AC40"/>
      <c r="AD40" s="21" t="s">
        <v>13</v>
      </c>
      <c r="AE40" s="21" t="s">
        <v>256</v>
      </c>
      <c r="AF40" s="13">
        <v>536841</v>
      </c>
      <c r="AG40" s="21">
        <v>0</v>
      </c>
      <c r="AH40" s="1">
        <v>536841</v>
      </c>
      <c r="AI40" s="1"/>
      <c r="AJ40" s="1">
        <v>27500</v>
      </c>
      <c r="AL40" s="1">
        <v>20000</v>
      </c>
      <c r="AM40" s="21">
        <v>5</v>
      </c>
      <c r="AN40" s="21">
        <v>5</v>
      </c>
      <c r="AO40" s="21">
        <v>5</v>
      </c>
      <c r="AP40" s="21"/>
      <c r="AQ40" s="21"/>
      <c r="AR40" s="8" t="s">
        <v>173</v>
      </c>
      <c r="AS40" s="21" t="s">
        <v>445</v>
      </c>
      <c r="AT40" s="21" t="str">
        <f>IFERROR(IF(FIND("?",#REF!),SummarizeQuestMarks(#REF!),""),"")</f>
        <v/>
      </c>
      <c r="AU40" s="21"/>
      <c r="AV40" t="s">
        <v>1471</v>
      </c>
      <c r="AW40" t="b">
        <f>AND(ckAwdTable[[#This Row],[ILN]]&gt;"M", SUBSTITUTE(ckAwdTable[[#This Row],[prop_titl_txt]]," ","")&lt;&gt;SUBSTITUTE(AV39," ",""))</f>
        <v>0</v>
      </c>
      <c r="AX40" s="8" t="s">
        <v>1472</v>
      </c>
    </row>
    <row r="41" spans="2:50">
      <c r="B41" s="30">
        <v>42935.723611111112</v>
      </c>
      <c r="C41" t="s">
        <v>244</v>
      </c>
      <c r="D41" t="s">
        <v>780</v>
      </c>
      <c r="E41" t="s">
        <v>567</v>
      </c>
      <c r="F41" t="s">
        <v>582</v>
      </c>
      <c r="G41" s="8" t="s">
        <v>172</v>
      </c>
      <c r="H41" s="8" t="s">
        <v>170</v>
      </c>
      <c r="I41" s="8" t="s">
        <v>442</v>
      </c>
      <c r="J41" t="s">
        <v>94</v>
      </c>
      <c r="K41" t="s">
        <v>782</v>
      </c>
      <c r="L41" s="22"/>
      <c r="M41" s="110">
        <f xml:space="preserve"> M40+(ckAwdTable[ILN]&lt;"M")</f>
        <v>40</v>
      </c>
      <c r="N41" t="s">
        <v>96</v>
      </c>
      <c r="O41" t="s">
        <v>1214</v>
      </c>
      <c r="P41" s="15" t="str">
        <f>HYPERLINK("https://www.ejacket.nsf.gov/ej/showProposal.do?ID="&amp;ckAwdTable[[#This Row],[prop_id]],"eJ")</f>
        <v>eJ</v>
      </c>
      <c r="Q41" s="8" t="s">
        <v>781</v>
      </c>
      <c r="R41" t="s">
        <v>1214</v>
      </c>
      <c r="S41" t="s">
        <v>1215</v>
      </c>
      <c r="T41" t="s">
        <v>1474</v>
      </c>
      <c r="U41" s="8" t="s">
        <v>1362</v>
      </c>
      <c r="V41" t="s">
        <v>1354</v>
      </c>
      <c r="W41" s="114" t="str">
        <f>HYPERLINK("mailto:"&amp; ckAwdTable[[#This Row],[email]]&amp;"&amp;subject=Your NSF Proposal:  "&amp;ckAwdTable[[#This Row],[prop_id]], ckAwdTable[[#This Row],[email]])</f>
        <v>brittany@cs.montana.edu</v>
      </c>
      <c r="X41" s="30">
        <v>43344</v>
      </c>
      <c r="Y41">
        <v>60</v>
      </c>
      <c r="Z41" t="s">
        <v>446</v>
      </c>
      <c r="AA41" s="21" t="s">
        <v>13</v>
      </c>
      <c r="AB41" s="21" t="s">
        <v>449</v>
      </c>
      <c r="AC41"/>
      <c r="AD41" s="21" t="s">
        <v>13</v>
      </c>
      <c r="AE41" s="21" t="s">
        <v>447</v>
      </c>
      <c r="AF41" s="13">
        <v>552355</v>
      </c>
      <c r="AG41" s="21">
        <v>0</v>
      </c>
      <c r="AH41" s="1">
        <v>552355</v>
      </c>
      <c r="AI41" s="1"/>
      <c r="AJ41" s="1">
        <v>13000</v>
      </c>
      <c r="AM41" s="21">
        <v>12</v>
      </c>
      <c r="AN41" s="21">
        <v>5</v>
      </c>
      <c r="AO41" s="21">
        <v>5</v>
      </c>
      <c r="AP41" s="21"/>
      <c r="AQ41" s="21"/>
      <c r="AR41" s="8" t="s">
        <v>173</v>
      </c>
      <c r="AS41" s="21" t="s">
        <v>445</v>
      </c>
      <c r="AT41" s="21" t="str">
        <f>IFERROR(IF(FIND("?",#REF!),SummarizeQuestMarks(#REF!),""),"")</f>
        <v/>
      </c>
      <c r="AU41" s="21"/>
      <c r="AV41" t="s">
        <v>1475</v>
      </c>
      <c r="AW41" t="b">
        <f>AND(ckAwdTable[[#This Row],[ILN]]&gt;"M", SUBSTITUTE(ckAwdTable[[#This Row],[prop_titl_txt]]," ","")&lt;&gt;SUBSTITUTE(AV40," ",""))</f>
        <v>0</v>
      </c>
      <c r="AX41" s="8" t="s">
        <v>1476</v>
      </c>
    </row>
    <row r="42" spans="2:50">
      <c r="B42" s="30">
        <v>42935.851388888892</v>
      </c>
      <c r="C42" t="s">
        <v>244</v>
      </c>
      <c r="D42" t="s">
        <v>780</v>
      </c>
      <c r="E42" t="s">
        <v>567</v>
      </c>
      <c r="F42" t="s">
        <v>944</v>
      </c>
      <c r="G42" s="8" t="s">
        <v>172</v>
      </c>
      <c r="H42" s="8" t="s">
        <v>170</v>
      </c>
      <c r="I42" s="8" t="s">
        <v>442</v>
      </c>
      <c r="J42" t="s">
        <v>94</v>
      </c>
      <c r="K42" t="s">
        <v>782</v>
      </c>
      <c r="L42" s="22"/>
      <c r="M42" s="110">
        <f xml:space="preserve"> M41+(ckAwdTable[ILN]&lt;"M")</f>
        <v>41</v>
      </c>
      <c r="N42" t="s">
        <v>96</v>
      </c>
      <c r="O42" t="s">
        <v>1222</v>
      </c>
      <c r="P42" s="15" t="str">
        <f>HYPERLINK("https://www.ejacket.nsf.gov/ej/showProposal.do?ID="&amp;ckAwdTable[[#This Row],[prop_id]],"eJ")</f>
        <v>eJ</v>
      </c>
      <c r="Q42" s="8" t="s">
        <v>781</v>
      </c>
      <c r="R42" t="s">
        <v>1222</v>
      </c>
      <c r="S42" t="s">
        <v>1223</v>
      </c>
      <c r="T42" t="s">
        <v>1477</v>
      </c>
      <c r="U42" s="8" t="s">
        <v>360</v>
      </c>
      <c r="V42" t="s">
        <v>101</v>
      </c>
      <c r="W42" s="114" t="str">
        <f>HYPERLINK("mailto:"&amp; ckAwdTable[[#This Row],[email]]&amp;"&amp;subject=Your NSF Proposal:  "&amp;ckAwdTable[[#This Row],[prop_id]], ckAwdTable[[#This Row],[email]])</f>
        <v>nodari@hawaii.edu</v>
      </c>
      <c r="X42" s="30">
        <v>43160</v>
      </c>
      <c r="Y42">
        <v>60</v>
      </c>
      <c r="AA42" s="21" t="s">
        <v>13</v>
      </c>
      <c r="AB42" s="21" t="s">
        <v>449</v>
      </c>
      <c r="AC42"/>
      <c r="AD42" s="21" t="s">
        <v>13</v>
      </c>
      <c r="AE42" s="21" t="s">
        <v>256</v>
      </c>
      <c r="AF42" s="13">
        <v>549999</v>
      </c>
      <c r="AG42" s="21">
        <v>0</v>
      </c>
      <c r="AH42" s="1">
        <v>549999</v>
      </c>
      <c r="AI42" s="1"/>
      <c r="AJ42" s="1">
        <v>20000</v>
      </c>
      <c r="AM42" s="21">
        <v>5</v>
      </c>
      <c r="AN42" s="21">
        <v>5</v>
      </c>
      <c r="AO42" s="21">
        <v>5</v>
      </c>
      <c r="AP42" s="21">
        <v>4.5199999999999996</v>
      </c>
      <c r="AQ42" s="21"/>
      <c r="AR42" s="8" t="s">
        <v>173</v>
      </c>
      <c r="AS42" s="21" t="s">
        <v>445</v>
      </c>
      <c r="AT42" s="21" t="str">
        <f>IFERROR(IF(FIND("?",#REF!),SummarizeQuestMarks(#REF!),""),"")</f>
        <v/>
      </c>
      <c r="AU42" s="21"/>
      <c r="AV42" t="s">
        <v>1478</v>
      </c>
      <c r="AW42" t="b">
        <f>AND(ckAwdTable[[#This Row],[ILN]]&gt;"M", SUBSTITUTE(ckAwdTable[[#This Row],[prop_titl_txt]]," ","")&lt;&gt;SUBSTITUTE(AV41," ",""))</f>
        <v>0</v>
      </c>
      <c r="AX42" s="8" t="s">
        <v>1479</v>
      </c>
    </row>
    <row r="43" spans="2:50">
      <c r="B43" s="30">
        <v>42950.663888888892</v>
      </c>
      <c r="C43" t="s">
        <v>848</v>
      </c>
      <c r="D43" t="s">
        <v>1371</v>
      </c>
      <c r="E43" t="s">
        <v>531</v>
      </c>
      <c r="F43" t="s">
        <v>1233</v>
      </c>
      <c r="G43" s="8" t="s">
        <v>172</v>
      </c>
      <c r="H43" s="8" t="s">
        <v>170</v>
      </c>
      <c r="I43" s="8" t="s">
        <v>442</v>
      </c>
      <c r="J43" t="s">
        <v>94</v>
      </c>
      <c r="K43" t="s">
        <v>1480</v>
      </c>
      <c r="L43" s="22"/>
      <c r="M43" s="110">
        <f xml:space="preserve"> M42+(ckAwdTable[ILN]&lt;"M")</f>
        <v>42</v>
      </c>
      <c r="N43" t="s">
        <v>96</v>
      </c>
      <c r="O43" t="s">
        <v>1230</v>
      </c>
      <c r="P43" s="15" t="str">
        <f>HYPERLINK("https://www.ejacket.nsf.gov/ej/showProposal.do?ID="&amp;ckAwdTable[[#This Row],[prop_id]],"eJ")</f>
        <v>eJ</v>
      </c>
      <c r="Q43" s="8" t="s">
        <v>1372</v>
      </c>
      <c r="R43" t="s">
        <v>1230</v>
      </c>
      <c r="S43" t="s">
        <v>1231</v>
      </c>
      <c r="T43" t="s">
        <v>1482</v>
      </c>
      <c r="U43" s="8" t="s">
        <v>1364</v>
      </c>
      <c r="V43" t="s">
        <v>1363</v>
      </c>
      <c r="W43" s="114" t="str">
        <f>HYPERLINK("mailto:"&amp; ckAwdTable[[#This Row],[email]]&amp;"&amp;subject=Your NSF Proposal:  "&amp;ckAwdTable[[#This Row],[prop_id]], ckAwdTable[[#This Row],[email]])</f>
        <v>ani.majumdar@princeton.edu</v>
      </c>
      <c r="X43" s="30">
        <v>42979</v>
      </c>
      <c r="Y43">
        <v>24</v>
      </c>
      <c r="AA43" s="21" t="s">
        <v>13</v>
      </c>
      <c r="AB43" s="21" t="s">
        <v>449</v>
      </c>
      <c r="AC43"/>
      <c r="AD43" s="21" t="s">
        <v>13</v>
      </c>
      <c r="AF43" s="13">
        <v>175000</v>
      </c>
      <c r="AG43" s="21">
        <v>0</v>
      </c>
      <c r="AH43" s="1">
        <v>175000</v>
      </c>
      <c r="AI43" s="1"/>
      <c r="AJ43" s="1"/>
      <c r="AM43" s="21">
        <v>2</v>
      </c>
      <c r="AN43" s="21"/>
      <c r="AO43" s="21"/>
      <c r="AP43" s="21"/>
      <c r="AQ43" s="21"/>
      <c r="AR43" s="8" t="s">
        <v>173</v>
      </c>
      <c r="AS43" s="21" t="s">
        <v>445</v>
      </c>
      <c r="AT43" s="21" t="str">
        <f>IFERROR(IF(FIND("?",#REF!),SummarizeQuestMarks(#REF!),""),"")</f>
        <v/>
      </c>
      <c r="AU43" s="21"/>
      <c r="AV43" t="s">
        <v>1484</v>
      </c>
      <c r="AW43" t="b">
        <f>AND(ckAwdTable[[#This Row],[ILN]]&gt;"M", SUBSTITUTE(ckAwdTable[[#This Row],[prop_titl_txt]]," ","")&lt;&gt;SUBSTITUTE(AV42," ",""))</f>
        <v>0</v>
      </c>
      <c r="AX43" s="8" t="s">
        <v>1485</v>
      </c>
    </row>
    <row r="44" spans="2:50">
      <c r="B44" s="30">
        <v>42954.456944444442</v>
      </c>
      <c r="C44" t="s">
        <v>848</v>
      </c>
      <c r="D44" t="s">
        <v>780</v>
      </c>
      <c r="E44" t="s">
        <v>565</v>
      </c>
      <c r="F44" t="s">
        <v>582</v>
      </c>
      <c r="G44" s="8" t="s">
        <v>172</v>
      </c>
      <c r="H44" s="8" t="s">
        <v>170</v>
      </c>
      <c r="I44" s="8" t="s">
        <v>442</v>
      </c>
      <c r="J44" t="s">
        <v>94</v>
      </c>
      <c r="K44" t="s">
        <v>849</v>
      </c>
      <c r="L44" s="22"/>
      <c r="M44" s="110">
        <f xml:space="preserve"> M43+(ckAwdTable[ILN]&lt;"M")</f>
        <v>43</v>
      </c>
      <c r="N44" t="s">
        <v>96</v>
      </c>
      <c r="O44" t="s">
        <v>1256</v>
      </c>
      <c r="P44" s="15" t="str">
        <f>HYPERLINK("https://www.ejacket.nsf.gov/ej/showProposal.do?ID="&amp;ckAwdTable[[#This Row],[prop_id]],"eJ")</f>
        <v>eJ</v>
      </c>
      <c r="Q44" s="8" t="s">
        <v>781</v>
      </c>
      <c r="R44" t="s">
        <v>1256</v>
      </c>
      <c r="S44" t="s">
        <v>1257</v>
      </c>
      <c r="T44" t="s">
        <v>1486</v>
      </c>
      <c r="U44" s="8" t="s">
        <v>1487</v>
      </c>
      <c r="V44" t="s">
        <v>264</v>
      </c>
      <c r="W44" s="114" t="str">
        <f>HYPERLINK("mailto:"&amp; ckAwdTable[[#This Row],[email]]&amp;"&amp;subject=Your NSF Proposal:  "&amp;ckAwdTable[[#This Row],[prop_id]], ckAwdTable[[#This Row],[email]])</f>
        <v>wtong@georgiasouthern.edu</v>
      </c>
      <c r="X44" s="30">
        <v>43235</v>
      </c>
      <c r="Y44">
        <v>24</v>
      </c>
      <c r="AA44" s="21" t="s">
        <v>13</v>
      </c>
      <c r="AB44" s="21" t="s">
        <v>449</v>
      </c>
      <c r="AC44"/>
      <c r="AD44" s="21" t="s">
        <v>13</v>
      </c>
      <c r="AE44" s="21" t="s">
        <v>1609</v>
      </c>
      <c r="AF44" s="13">
        <v>162689</v>
      </c>
      <c r="AG44" s="21">
        <v>0</v>
      </c>
      <c r="AH44" s="1">
        <v>162689</v>
      </c>
      <c r="AI44" s="1"/>
      <c r="AJ44" s="1">
        <v>8120</v>
      </c>
      <c r="AM44" s="21">
        <v>4</v>
      </c>
      <c r="AN44" s="21"/>
      <c r="AO44" s="21"/>
      <c r="AP44" s="21"/>
      <c r="AQ44" s="21"/>
      <c r="AR44" s="8" t="s">
        <v>173</v>
      </c>
      <c r="AS44" s="21" t="s">
        <v>445</v>
      </c>
      <c r="AT44" s="21" t="str">
        <f>IFERROR(IF(FIND("?",#REF!),SummarizeQuestMarks(#REF!),""),"")</f>
        <v/>
      </c>
      <c r="AU44" s="21"/>
      <c r="AV44" t="s">
        <v>1488</v>
      </c>
      <c r="AW44" t="b">
        <f>AND(ckAwdTable[[#This Row],[ILN]]&gt;"M", SUBSTITUTE(ckAwdTable[[#This Row],[prop_titl_txt]]," ","")&lt;&gt;SUBSTITUTE(AV43," ",""))</f>
        <v>0</v>
      </c>
      <c r="AX44" s="8" t="s">
        <v>1489</v>
      </c>
    </row>
    <row r="45" spans="2:50">
      <c r="B45" s="30">
        <v>42954.500694444447</v>
      </c>
      <c r="C45" t="s">
        <v>848</v>
      </c>
      <c r="D45" t="s">
        <v>780</v>
      </c>
      <c r="E45" t="s">
        <v>565</v>
      </c>
      <c r="F45" t="s">
        <v>944</v>
      </c>
      <c r="G45" s="8" t="s">
        <v>172</v>
      </c>
      <c r="H45" s="8" t="s">
        <v>170</v>
      </c>
      <c r="I45" s="8" t="s">
        <v>442</v>
      </c>
      <c r="J45" t="s">
        <v>94</v>
      </c>
      <c r="K45" t="s">
        <v>849</v>
      </c>
      <c r="L45" s="22"/>
      <c r="M45" s="110">
        <f xml:space="preserve"> M44+(ckAwdTable[ILN]&lt;"M")</f>
        <v>44</v>
      </c>
      <c r="N45" t="s">
        <v>96</v>
      </c>
      <c r="O45" t="s">
        <v>1263</v>
      </c>
      <c r="P45" s="15" t="str">
        <f>HYPERLINK("https://www.ejacket.nsf.gov/ej/showProposal.do?ID="&amp;ckAwdTable[[#This Row],[prop_id]],"eJ")</f>
        <v>eJ</v>
      </c>
      <c r="Q45" s="8" t="s">
        <v>781</v>
      </c>
      <c r="R45" t="s">
        <v>1263</v>
      </c>
      <c r="S45" t="s">
        <v>342</v>
      </c>
      <c r="T45" t="s">
        <v>1490</v>
      </c>
      <c r="U45" s="8" t="s">
        <v>1487</v>
      </c>
      <c r="V45" t="s">
        <v>264</v>
      </c>
      <c r="W45" s="114" t="str">
        <f>HYPERLINK("mailto:"&amp; ckAwdTable[[#This Row],[email]]&amp;"&amp;subject=Your NSF Proposal:  "&amp;ckAwdTable[[#This Row],[prop_id]], ckAwdTable[[#This Row],[email]])</f>
        <v>kwang@georgiasouthern.edu</v>
      </c>
      <c r="X45" s="30">
        <v>43101</v>
      </c>
      <c r="Y45">
        <v>24</v>
      </c>
      <c r="AA45" s="21" t="s">
        <v>13</v>
      </c>
      <c r="AB45" s="21" t="s">
        <v>449</v>
      </c>
      <c r="AC45"/>
      <c r="AD45" s="21" t="s">
        <v>13</v>
      </c>
      <c r="AF45" s="13">
        <v>168126</v>
      </c>
      <c r="AG45" s="21">
        <v>0</v>
      </c>
      <c r="AH45" s="1">
        <v>168126</v>
      </c>
      <c r="AI45" s="1"/>
      <c r="AJ45" s="1"/>
      <c r="AM45" s="21">
        <v>4</v>
      </c>
      <c r="AN45" s="21"/>
      <c r="AO45" s="21"/>
      <c r="AP45" s="21"/>
      <c r="AQ45" s="21"/>
      <c r="AR45" s="8" t="s">
        <v>173</v>
      </c>
      <c r="AS45" s="21" t="s">
        <v>445</v>
      </c>
      <c r="AT45" s="21" t="str">
        <f>IFERROR(IF(FIND("?",#REF!),SummarizeQuestMarks(#REF!),""),"")</f>
        <v/>
      </c>
      <c r="AU45" s="21"/>
      <c r="AV45" t="s">
        <v>1491</v>
      </c>
      <c r="AW45" t="b">
        <f>AND(ckAwdTable[[#This Row],[ILN]]&gt;"M", SUBSTITUTE(ckAwdTable[[#This Row],[prop_titl_txt]]," ","")&lt;&gt;SUBSTITUTE(AV44," ",""))</f>
        <v>0</v>
      </c>
      <c r="AX45" s="8" t="s">
        <v>1492</v>
      </c>
    </row>
    <row r="46" spans="2:50">
      <c r="B46" s="30">
        <v>42955.429861111108</v>
      </c>
      <c r="C46" t="s">
        <v>848</v>
      </c>
      <c r="D46" t="s">
        <v>780</v>
      </c>
      <c r="E46" t="s">
        <v>565</v>
      </c>
      <c r="F46" t="s">
        <v>944</v>
      </c>
      <c r="G46" s="8" t="s">
        <v>172</v>
      </c>
      <c r="H46" s="8" t="s">
        <v>170</v>
      </c>
      <c r="I46" s="8" t="s">
        <v>442</v>
      </c>
      <c r="J46" t="s">
        <v>94</v>
      </c>
      <c r="K46" t="s">
        <v>849</v>
      </c>
      <c r="L46" s="22"/>
      <c r="M46" s="110">
        <f xml:space="preserve"> M45+(ckAwdTable[ILN]&lt;"M")</f>
        <v>45</v>
      </c>
      <c r="N46" t="s">
        <v>96</v>
      </c>
      <c r="O46" t="s">
        <v>1269</v>
      </c>
      <c r="P46" s="15" t="str">
        <f>HYPERLINK("https://www.ejacket.nsf.gov/ej/showProposal.do?ID="&amp;ckAwdTable[[#This Row],[prop_id]],"eJ")</f>
        <v>eJ</v>
      </c>
      <c r="Q46" s="8" t="s">
        <v>781</v>
      </c>
      <c r="R46" t="s">
        <v>1269</v>
      </c>
      <c r="S46" t="s">
        <v>1270</v>
      </c>
      <c r="T46" t="s">
        <v>537</v>
      </c>
      <c r="U46" s="8" t="s">
        <v>1358</v>
      </c>
      <c r="V46" t="s">
        <v>450</v>
      </c>
      <c r="W46" s="114" t="str">
        <f>HYPERLINK("mailto:"&amp; ckAwdTable[[#This Row],[email]]&amp;"&amp;subject=Your NSF Proposal:  "&amp;ckAwdTable[[#This Row],[prop_id]], ckAwdTable[[#This Row],[email]])</f>
        <v>yzhoucs@indiana.edu</v>
      </c>
      <c r="X46" s="30">
        <v>43101</v>
      </c>
      <c r="Y46">
        <v>24</v>
      </c>
      <c r="AA46" s="21" t="s">
        <v>13</v>
      </c>
      <c r="AB46" s="21" t="s">
        <v>449</v>
      </c>
      <c r="AC46"/>
      <c r="AD46" s="21" t="s">
        <v>13</v>
      </c>
      <c r="AE46" s="21" t="s">
        <v>256</v>
      </c>
      <c r="AF46" s="13">
        <v>174974</v>
      </c>
      <c r="AG46" s="21">
        <v>0</v>
      </c>
      <c r="AH46" s="1">
        <v>174974</v>
      </c>
      <c r="AI46" s="1"/>
      <c r="AJ46" s="1">
        <v>8400</v>
      </c>
      <c r="AM46" s="21">
        <v>3</v>
      </c>
      <c r="AN46" s="21"/>
      <c r="AO46" s="21"/>
      <c r="AP46" s="21"/>
      <c r="AQ46" s="21"/>
      <c r="AR46" s="8" t="s">
        <v>173</v>
      </c>
      <c r="AS46" s="21" t="s">
        <v>445</v>
      </c>
      <c r="AT46" s="21" t="str">
        <f>IFERROR(IF(FIND("?",#REF!),SummarizeQuestMarks(#REF!),""),"")</f>
        <v/>
      </c>
      <c r="AU46" s="21"/>
      <c r="AV46" t="s">
        <v>1493</v>
      </c>
      <c r="AW46" t="b">
        <f>AND(ckAwdTable[[#This Row],[ILN]]&gt;"M", SUBSTITUTE(ckAwdTable[[#This Row],[prop_titl_txt]]," ","")&lt;&gt;SUBSTITUTE(AV45," ",""))</f>
        <v>0</v>
      </c>
      <c r="AX46" s="8" t="s">
        <v>1494</v>
      </c>
    </row>
    <row r="47" spans="2:50">
      <c r="B47" s="30">
        <v>42955.700694444444</v>
      </c>
      <c r="C47" t="s">
        <v>848</v>
      </c>
      <c r="D47" t="s">
        <v>780</v>
      </c>
      <c r="E47" t="s">
        <v>565</v>
      </c>
      <c r="F47" t="s">
        <v>582</v>
      </c>
      <c r="G47" s="8" t="s">
        <v>172</v>
      </c>
      <c r="H47" s="8" t="s">
        <v>170</v>
      </c>
      <c r="I47" s="8" t="s">
        <v>442</v>
      </c>
      <c r="J47" t="s">
        <v>94</v>
      </c>
      <c r="K47" t="s">
        <v>849</v>
      </c>
      <c r="L47" s="22"/>
      <c r="M47" s="110">
        <f xml:space="preserve"> M46+(ckAwdTable[ILN]&lt;"M")</f>
        <v>46</v>
      </c>
      <c r="N47" t="s">
        <v>96</v>
      </c>
      <c r="O47" t="s">
        <v>1277</v>
      </c>
      <c r="P47" s="15" t="str">
        <f>HYPERLINK("https://www.ejacket.nsf.gov/ej/showProposal.do?ID="&amp;ckAwdTable[[#This Row],[prop_id]],"eJ")</f>
        <v>eJ</v>
      </c>
      <c r="Q47" s="8" t="s">
        <v>781</v>
      </c>
      <c r="R47" t="s">
        <v>1277</v>
      </c>
      <c r="S47" t="s">
        <v>1145</v>
      </c>
      <c r="T47" t="s">
        <v>1496</v>
      </c>
      <c r="U47" s="8" t="s">
        <v>346</v>
      </c>
      <c r="V47" t="s">
        <v>347</v>
      </c>
      <c r="W47" s="114" t="str">
        <f>HYPERLINK("mailto:"&amp; ckAwdTable[[#This Row],[email]]&amp;"&amp;subject=Your NSF Proposal:  "&amp;ckAwdTable[[#This Row],[prop_id]], ckAwdTable[[#This Row],[email]])</f>
        <v>jugal@illinois.edu</v>
      </c>
      <c r="X47" s="30">
        <v>43146</v>
      </c>
      <c r="Y47">
        <v>24</v>
      </c>
      <c r="AA47" s="21" t="s">
        <v>13</v>
      </c>
      <c r="AB47" s="21" t="s">
        <v>449</v>
      </c>
      <c r="AC47"/>
      <c r="AD47" s="21" t="s">
        <v>13</v>
      </c>
      <c r="AE47" s="21" t="s">
        <v>256</v>
      </c>
      <c r="AF47" s="13">
        <v>175000</v>
      </c>
      <c r="AG47" s="21">
        <v>0</v>
      </c>
      <c r="AH47" s="1">
        <v>175000</v>
      </c>
      <c r="AI47" s="1"/>
      <c r="AJ47" s="1">
        <v>4000</v>
      </c>
      <c r="AM47" s="21">
        <v>4</v>
      </c>
      <c r="AN47" s="21"/>
      <c r="AO47" s="21"/>
      <c r="AP47" s="21"/>
      <c r="AQ47" s="21"/>
      <c r="AR47" s="8" t="s">
        <v>173</v>
      </c>
      <c r="AS47" s="21" t="s">
        <v>445</v>
      </c>
      <c r="AT47" s="21" t="str">
        <f>IFERROR(IF(FIND("?",#REF!),SummarizeQuestMarks(#REF!),""),"")</f>
        <v/>
      </c>
      <c r="AU47" s="21"/>
      <c r="AV47" t="s">
        <v>1497</v>
      </c>
      <c r="AW47" t="b">
        <f>AND(ckAwdTable[[#This Row],[ILN]]&gt;"M", SUBSTITUTE(ckAwdTable[[#This Row],[prop_titl_txt]]," ","")&lt;&gt;SUBSTITUTE(AV46," ",""))</f>
        <v>0</v>
      </c>
      <c r="AX47" s="8" t="s">
        <v>1498</v>
      </c>
    </row>
    <row r="48" spans="2:50">
      <c r="B48" s="30">
        <v>42956.472222222219</v>
      </c>
      <c r="C48" t="s">
        <v>848</v>
      </c>
      <c r="D48" t="s">
        <v>780</v>
      </c>
      <c r="E48" t="s">
        <v>565</v>
      </c>
      <c r="F48" t="s">
        <v>579</v>
      </c>
      <c r="G48" s="8" t="s">
        <v>172</v>
      </c>
      <c r="H48" s="8" t="s">
        <v>170</v>
      </c>
      <c r="I48" s="8" t="s">
        <v>442</v>
      </c>
      <c r="J48" t="s">
        <v>94</v>
      </c>
      <c r="K48" t="s">
        <v>849</v>
      </c>
      <c r="L48" s="22"/>
      <c r="M48" s="110">
        <f xml:space="preserve"> M47+(ckAwdTable[ILN]&lt;"M")</f>
        <v>47</v>
      </c>
      <c r="N48" t="s">
        <v>96</v>
      </c>
      <c r="O48" t="s">
        <v>742</v>
      </c>
      <c r="P48" s="15" t="str">
        <f>HYPERLINK("https://www.ejacket.nsf.gov/ej/showProposal.do?ID="&amp;ckAwdTable[[#This Row],[prop_id]],"eJ")</f>
        <v>eJ</v>
      </c>
      <c r="Q48" s="8" t="s">
        <v>781</v>
      </c>
      <c r="R48" t="s">
        <v>742</v>
      </c>
      <c r="S48" t="s">
        <v>743</v>
      </c>
      <c r="T48" t="s">
        <v>851</v>
      </c>
      <c r="U48" s="8" t="s">
        <v>852</v>
      </c>
      <c r="V48" t="s">
        <v>363</v>
      </c>
      <c r="W48" s="114" t="str">
        <f>HYPERLINK("mailto:"&amp; ckAwdTable[[#This Row],[email]]&amp;"&amp;subject=Your NSF Proposal:  "&amp;ckAwdTable[[#This Row],[prop_id]], ckAwdTable[[#This Row],[email]])</f>
        <v>hcharkhgard@usf.edu</v>
      </c>
      <c r="X48" s="30">
        <v>43221</v>
      </c>
      <c r="Y48">
        <v>24</v>
      </c>
      <c r="AA48" s="21" t="s">
        <v>13</v>
      </c>
      <c r="AB48" s="21" t="s">
        <v>449</v>
      </c>
      <c r="AC48"/>
      <c r="AD48" s="21" t="s">
        <v>13</v>
      </c>
      <c r="AF48" s="13">
        <v>172682</v>
      </c>
      <c r="AG48" s="21">
        <v>0</v>
      </c>
      <c r="AH48" s="1">
        <v>172682</v>
      </c>
      <c r="AI48" s="1"/>
      <c r="AJ48" s="1"/>
      <c r="AM48" s="21">
        <v>4</v>
      </c>
      <c r="AN48" s="21"/>
      <c r="AO48" s="21"/>
      <c r="AP48" s="21"/>
      <c r="AQ48" s="21"/>
      <c r="AR48" s="8" t="s">
        <v>173</v>
      </c>
      <c r="AS48" s="21" t="s">
        <v>445</v>
      </c>
      <c r="AT48" s="21" t="str">
        <f>IFERROR(IF(FIND("?",#REF!),SummarizeQuestMarks(#REF!),""),"")</f>
        <v/>
      </c>
      <c r="AU48" s="21"/>
      <c r="AV48" t="s">
        <v>854</v>
      </c>
      <c r="AW48" t="b">
        <f>AND(ckAwdTable[[#This Row],[ILN]]&gt;"M", SUBSTITUTE(ckAwdTable[[#This Row],[prop_titl_txt]]," ","")&lt;&gt;SUBSTITUTE(AV47," ",""))</f>
        <v>0</v>
      </c>
      <c r="AX48" s="8" t="s">
        <v>855</v>
      </c>
    </row>
    <row r="49" spans="2:50">
      <c r="B49" s="30">
        <v>42956.581944444442</v>
      </c>
      <c r="C49" t="s">
        <v>848</v>
      </c>
      <c r="D49" t="s">
        <v>780</v>
      </c>
      <c r="E49" t="s">
        <v>565</v>
      </c>
      <c r="F49" t="s">
        <v>944</v>
      </c>
      <c r="G49" s="8" t="s">
        <v>172</v>
      </c>
      <c r="H49" s="8" t="s">
        <v>170</v>
      </c>
      <c r="I49" s="8" t="s">
        <v>442</v>
      </c>
      <c r="J49" t="s">
        <v>94</v>
      </c>
      <c r="K49" t="s">
        <v>849</v>
      </c>
      <c r="L49" s="22"/>
      <c r="M49" s="110">
        <f xml:space="preserve"> M48+(ckAwdTable[ILN]&lt;"M")</f>
        <v>48</v>
      </c>
      <c r="N49" t="s">
        <v>96</v>
      </c>
      <c r="O49" t="s">
        <v>1283</v>
      </c>
      <c r="P49" s="15" t="str">
        <f>HYPERLINK("https://www.ejacket.nsf.gov/ej/showProposal.do?ID="&amp;ckAwdTable[[#This Row],[prop_id]],"eJ")</f>
        <v>eJ</v>
      </c>
      <c r="Q49" s="8" t="s">
        <v>781</v>
      </c>
      <c r="R49" t="s">
        <v>1283</v>
      </c>
      <c r="S49" t="s">
        <v>1284</v>
      </c>
      <c r="T49" t="s">
        <v>1499</v>
      </c>
      <c r="U49" s="8" t="s">
        <v>1500</v>
      </c>
      <c r="V49" t="s">
        <v>262</v>
      </c>
      <c r="W49" s="114" t="str">
        <f>HYPERLINK("mailto:"&amp; ckAwdTable[[#This Row],[email]]&amp;"&amp;subject=Your NSF Proposal:  "&amp;ckAwdTable[[#This Row],[prop_id]], ckAwdTable[[#This Row],[email]])</f>
        <v>Mayank.Goswami@qc.cuny.edu</v>
      </c>
      <c r="X49" s="30">
        <v>43344</v>
      </c>
      <c r="Y49">
        <v>24</v>
      </c>
      <c r="AA49" s="21" t="s">
        <v>13</v>
      </c>
      <c r="AB49" s="21" t="s">
        <v>449</v>
      </c>
      <c r="AC49"/>
      <c r="AD49" s="21" t="s">
        <v>13</v>
      </c>
      <c r="AE49" s="21" t="s">
        <v>1610</v>
      </c>
      <c r="AF49" s="13">
        <v>175000</v>
      </c>
      <c r="AG49" s="21">
        <v>0</v>
      </c>
      <c r="AH49" s="1">
        <v>175000</v>
      </c>
      <c r="AI49" s="1"/>
      <c r="AJ49" s="1">
        <v>10000</v>
      </c>
      <c r="AM49" s="21">
        <v>2</v>
      </c>
      <c r="AN49" s="21"/>
      <c r="AO49" s="21"/>
      <c r="AP49" s="21"/>
      <c r="AQ49" s="21"/>
      <c r="AR49" s="8" t="s">
        <v>173</v>
      </c>
      <c r="AS49" s="21" t="s">
        <v>445</v>
      </c>
      <c r="AT49" s="21" t="str">
        <f>IFERROR(IF(FIND("?",#REF!),SummarizeQuestMarks(#REF!),""),"")</f>
        <v/>
      </c>
      <c r="AU49" s="21" t="s">
        <v>1287</v>
      </c>
      <c r="AV49" t="s">
        <v>1502</v>
      </c>
      <c r="AW49" t="b">
        <f>AND(ckAwdTable[[#This Row],[ILN]]&gt;"M", SUBSTITUTE(ckAwdTable[[#This Row],[prop_titl_txt]]," ","")&lt;&gt;SUBSTITUTE(AV48," ",""))</f>
        <v>0</v>
      </c>
      <c r="AX49" s="8" t="s">
        <v>1503</v>
      </c>
    </row>
    <row r="50" spans="2:50">
      <c r="B50" s="30">
        <v>42956.588888888888</v>
      </c>
      <c r="C50" t="s">
        <v>848</v>
      </c>
      <c r="D50" t="s">
        <v>1371</v>
      </c>
      <c r="E50" t="s">
        <v>531</v>
      </c>
      <c r="F50" t="s">
        <v>929</v>
      </c>
      <c r="G50" s="8" t="s">
        <v>172</v>
      </c>
      <c r="H50" s="8" t="s">
        <v>170</v>
      </c>
      <c r="I50" s="8" t="s">
        <v>442</v>
      </c>
      <c r="J50" t="s">
        <v>94</v>
      </c>
      <c r="K50" t="s">
        <v>1480</v>
      </c>
      <c r="L50" s="22"/>
      <c r="M50" s="110">
        <f xml:space="preserve"> M49+(ckAwdTable[ILN]&lt;"M")</f>
        <v>49</v>
      </c>
      <c r="N50" t="s">
        <v>96</v>
      </c>
      <c r="O50" t="s">
        <v>1291</v>
      </c>
      <c r="P50" s="15" t="str">
        <f>HYPERLINK("https://www.ejacket.nsf.gov/ej/showProposal.do?ID="&amp;ckAwdTable[[#This Row],[prop_id]],"eJ")</f>
        <v>eJ</v>
      </c>
      <c r="Q50" s="8" t="s">
        <v>1372</v>
      </c>
      <c r="R50" t="s">
        <v>1291</v>
      </c>
      <c r="S50" t="s">
        <v>1292</v>
      </c>
      <c r="T50" t="s">
        <v>1504</v>
      </c>
      <c r="U50" s="8" t="s">
        <v>451</v>
      </c>
      <c r="V50" t="s">
        <v>264</v>
      </c>
      <c r="W50" s="114" t="str">
        <f>HYPERLINK("mailto:"&amp; ckAwdTable[[#This Row],[email]]&amp;"&amp;subject=Your NSF Proposal:  "&amp;ckAwdTable[[#This Row],[prop_id]], ckAwdTable[[#This Row],[email]])</f>
        <v>tzhao80@gatech.edu</v>
      </c>
      <c r="X50" s="30">
        <v>43235</v>
      </c>
      <c r="Y50">
        <v>24</v>
      </c>
      <c r="AA50" s="21" t="s">
        <v>13</v>
      </c>
      <c r="AB50" s="21" t="s">
        <v>449</v>
      </c>
      <c r="AC50"/>
      <c r="AD50" s="21" t="s">
        <v>13</v>
      </c>
      <c r="AF50" s="13">
        <v>175000</v>
      </c>
      <c r="AG50" s="21">
        <v>0</v>
      </c>
      <c r="AH50" s="1">
        <v>175000</v>
      </c>
      <c r="AI50" s="1"/>
      <c r="AJ50" s="1"/>
      <c r="AM50" s="21">
        <v>6</v>
      </c>
      <c r="AN50" s="21"/>
      <c r="AO50" s="21"/>
      <c r="AP50" s="21"/>
      <c r="AQ50" s="21"/>
      <c r="AR50" s="8" t="s">
        <v>173</v>
      </c>
      <c r="AS50" s="21" t="s">
        <v>445</v>
      </c>
      <c r="AT50" s="21" t="str">
        <f>IFERROR(IF(FIND("?",#REF!),SummarizeQuestMarks(#REF!),""),"")</f>
        <v/>
      </c>
      <c r="AU50" s="21"/>
      <c r="AV50" t="s">
        <v>1506</v>
      </c>
      <c r="AW50" t="b">
        <f>AND(ckAwdTable[[#This Row],[ILN]]&gt;"M", SUBSTITUTE(ckAwdTable[[#This Row],[prop_titl_txt]]," ","")&lt;&gt;SUBSTITUTE(AV49," ",""))</f>
        <v>0</v>
      </c>
      <c r="AX50" s="8" t="s">
        <v>1507</v>
      </c>
    </row>
    <row r="51" spans="2:50">
      <c r="B51" s="30">
        <v>42956.621527777781</v>
      </c>
      <c r="C51" t="s">
        <v>848</v>
      </c>
      <c r="D51" t="s">
        <v>780</v>
      </c>
      <c r="E51" t="s">
        <v>565</v>
      </c>
      <c r="F51" t="s">
        <v>582</v>
      </c>
      <c r="G51" s="8" t="s">
        <v>172</v>
      </c>
      <c r="H51" s="8" t="s">
        <v>170</v>
      </c>
      <c r="I51" s="8" t="s">
        <v>442</v>
      </c>
      <c r="J51" t="s">
        <v>94</v>
      </c>
      <c r="K51" t="s">
        <v>849</v>
      </c>
      <c r="L51" s="22"/>
      <c r="M51" s="110">
        <f xml:space="preserve"> M50+(ckAwdTable[ILN]&lt;"M")</f>
        <v>50</v>
      </c>
      <c r="N51" t="s">
        <v>96</v>
      </c>
      <c r="O51" t="s">
        <v>749</v>
      </c>
      <c r="P51" s="15" t="str">
        <f>HYPERLINK("https://www.ejacket.nsf.gov/ej/showProposal.do?ID="&amp;ckAwdTable[[#This Row],[prop_id]],"eJ")</f>
        <v>eJ</v>
      </c>
      <c r="Q51" s="8" t="s">
        <v>781</v>
      </c>
      <c r="R51" t="s">
        <v>749</v>
      </c>
      <c r="S51" t="s">
        <v>364</v>
      </c>
      <c r="T51" t="s">
        <v>857</v>
      </c>
      <c r="U51" s="8" t="s">
        <v>346</v>
      </c>
      <c r="V51" t="s">
        <v>347</v>
      </c>
      <c r="W51" s="114" t="str">
        <f>HYPERLINK("mailto:"&amp; ckAwdTable[[#This Row],[email]]&amp;"&amp;subject=Your NSF Proposal:  "&amp;ckAwdTable[[#This Row],[prop_id]], ckAwdTable[[#This Row],[email]])</f>
        <v>ruoyus@illinois.edu</v>
      </c>
      <c r="X51" s="30">
        <v>43282</v>
      </c>
      <c r="Y51">
        <v>24</v>
      </c>
      <c r="AA51" s="21" t="s">
        <v>13</v>
      </c>
      <c r="AB51" s="21" t="s">
        <v>449</v>
      </c>
      <c r="AC51"/>
      <c r="AD51" s="21" t="s">
        <v>13</v>
      </c>
      <c r="AE51" s="21" t="s">
        <v>256</v>
      </c>
      <c r="AF51" s="13">
        <v>175000</v>
      </c>
      <c r="AG51" s="21">
        <v>0</v>
      </c>
      <c r="AH51" s="1">
        <v>175000</v>
      </c>
      <c r="AI51" s="1"/>
      <c r="AJ51" s="1">
        <v>4000</v>
      </c>
      <c r="AM51" s="21">
        <v>4</v>
      </c>
      <c r="AN51" s="21"/>
      <c r="AO51" s="21"/>
      <c r="AP51" s="21"/>
      <c r="AQ51" s="21"/>
      <c r="AR51" s="8" t="s">
        <v>173</v>
      </c>
      <c r="AS51" s="21" t="s">
        <v>445</v>
      </c>
      <c r="AT51" s="21" t="str">
        <f>IFERROR(IF(FIND("?",#REF!),SummarizeQuestMarks(#REF!),""),"")</f>
        <v/>
      </c>
      <c r="AU51" s="21"/>
      <c r="AV51" t="s">
        <v>859</v>
      </c>
      <c r="AW51" t="b">
        <f>AND(ckAwdTable[[#This Row],[ILN]]&gt;"M", SUBSTITUTE(ckAwdTable[[#This Row],[prop_titl_txt]]," ","")&lt;&gt;SUBSTITUTE(AV50," ",""))</f>
        <v>0</v>
      </c>
      <c r="AX51" s="8" t="s">
        <v>860</v>
      </c>
    </row>
    <row r="52" spans="2:50">
      <c r="B52" s="30">
        <v>42956.647916666669</v>
      </c>
      <c r="C52" t="s">
        <v>848</v>
      </c>
      <c r="D52" t="s">
        <v>780</v>
      </c>
      <c r="E52" t="s">
        <v>565</v>
      </c>
      <c r="F52" t="s">
        <v>579</v>
      </c>
      <c r="G52" s="8" t="s">
        <v>172</v>
      </c>
      <c r="H52" s="8" t="s">
        <v>170</v>
      </c>
      <c r="I52" s="8" t="s">
        <v>442</v>
      </c>
      <c r="J52" t="s">
        <v>94</v>
      </c>
      <c r="K52" t="s">
        <v>849</v>
      </c>
      <c r="L52" s="22"/>
      <c r="M52" s="110">
        <f xml:space="preserve"> M51+(ckAwdTable[ILN]&lt;"M")</f>
        <v>51</v>
      </c>
      <c r="N52" t="s">
        <v>96</v>
      </c>
      <c r="O52" t="s">
        <v>755</v>
      </c>
      <c r="P52" s="15" t="str">
        <f>HYPERLINK("https://www.ejacket.nsf.gov/ej/showProposal.do?ID="&amp;ckAwdTable[[#This Row],[prop_id]],"eJ")</f>
        <v>eJ</v>
      </c>
      <c r="Q52" s="8" t="s">
        <v>781</v>
      </c>
      <c r="R52" t="s">
        <v>755</v>
      </c>
      <c r="S52" t="s">
        <v>756</v>
      </c>
      <c r="T52" t="s">
        <v>862</v>
      </c>
      <c r="U52" s="8" t="s">
        <v>863</v>
      </c>
      <c r="V52" t="s">
        <v>118</v>
      </c>
      <c r="W52" s="114" t="str">
        <f>HYPERLINK("mailto:"&amp; ckAwdTable[[#This Row],[email]]&amp;"&amp;subject=Your NSF Proposal:  "&amp;ckAwdTable[[#This Row],[prop_id]], ckAwdTable[[#This Row],[email]])</f>
        <v>osan@okstate.edu</v>
      </c>
      <c r="X52" s="30">
        <v>43252</v>
      </c>
      <c r="Y52">
        <v>24</v>
      </c>
      <c r="AA52" s="21" t="s">
        <v>13</v>
      </c>
      <c r="AB52" s="21" t="s">
        <v>449</v>
      </c>
      <c r="AC52"/>
      <c r="AD52" s="21" t="s">
        <v>13</v>
      </c>
      <c r="AF52" s="13">
        <v>170144</v>
      </c>
      <c r="AG52" s="21">
        <v>0</v>
      </c>
      <c r="AH52" s="1">
        <v>170144</v>
      </c>
      <c r="AI52" s="1"/>
      <c r="AJ52" s="1"/>
      <c r="AM52" s="21">
        <v>4</v>
      </c>
      <c r="AN52" s="21"/>
      <c r="AO52" s="21"/>
      <c r="AP52" s="21"/>
      <c r="AQ52" s="21"/>
      <c r="AR52" s="8" t="s">
        <v>173</v>
      </c>
      <c r="AS52" s="21" t="s">
        <v>445</v>
      </c>
      <c r="AT52" s="21" t="str">
        <f>IFERROR(IF(FIND("?",#REF!),SummarizeQuestMarks(#REF!),""),"")</f>
        <v/>
      </c>
      <c r="AU52" s="21"/>
      <c r="AV52" t="s">
        <v>865</v>
      </c>
      <c r="AW52" t="b">
        <f>AND(ckAwdTable[[#This Row],[ILN]]&gt;"M", SUBSTITUTE(ckAwdTable[[#This Row],[prop_titl_txt]]," ","")&lt;&gt;SUBSTITUTE(AV51," ",""))</f>
        <v>0</v>
      </c>
      <c r="AX52" s="8" t="s">
        <v>866</v>
      </c>
    </row>
    <row r="53" spans="2:50">
      <c r="B53" s="30">
        <v>42956.648611111108</v>
      </c>
      <c r="C53" t="s">
        <v>848</v>
      </c>
      <c r="D53" t="s">
        <v>780</v>
      </c>
      <c r="E53" t="s">
        <v>565</v>
      </c>
      <c r="F53" t="s">
        <v>582</v>
      </c>
      <c r="G53" s="8" t="s">
        <v>172</v>
      </c>
      <c r="H53" s="8" t="s">
        <v>170</v>
      </c>
      <c r="I53" s="8" t="s">
        <v>442</v>
      </c>
      <c r="J53" t="s">
        <v>94</v>
      </c>
      <c r="K53" t="s">
        <v>849</v>
      </c>
      <c r="L53" s="22"/>
      <c r="M53" s="110">
        <f xml:space="preserve"> M52+(ckAwdTable[ILN]&lt;"M")</f>
        <v>52</v>
      </c>
      <c r="N53" t="s">
        <v>96</v>
      </c>
      <c r="O53" t="s">
        <v>1319</v>
      </c>
      <c r="P53" s="15" t="str">
        <f>HYPERLINK("https://www.ejacket.nsf.gov/ej/showProposal.do?ID="&amp;ckAwdTable[[#This Row],[prop_id]],"eJ")</f>
        <v>eJ</v>
      </c>
      <c r="Q53" s="8" t="s">
        <v>781</v>
      </c>
      <c r="R53" t="s">
        <v>1319</v>
      </c>
      <c r="S53" t="s">
        <v>1320</v>
      </c>
      <c r="T53" t="s">
        <v>851</v>
      </c>
      <c r="U53" s="8" t="s">
        <v>1508</v>
      </c>
      <c r="V53" t="s">
        <v>262</v>
      </c>
      <c r="W53" s="114" t="str">
        <f>HYPERLINK("mailto:"&amp; ckAwdTable[[#This Row],[email]]&amp;"&amp;subject=Your NSF Proposal:  "&amp;ckAwdTable[[#This Row],[prop_id]], ckAwdTable[[#This Row],[email]])</f>
        <v>hhvcs@rit.edu</v>
      </c>
      <c r="X53" s="30">
        <v>43344</v>
      </c>
      <c r="Y53">
        <v>24</v>
      </c>
      <c r="AA53" s="21" t="s">
        <v>13</v>
      </c>
      <c r="AB53" s="21" t="s">
        <v>449</v>
      </c>
      <c r="AC53"/>
      <c r="AD53" s="21" t="s">
        <v>13</v>
      </c>
      <c r="AE53" s="21" t="s">
        <v>539</v>
      </c>
      <c r="AF53" s="13">
        <v>173878</v>
      </c>
      <c r="AG53" s="21">
        <v>0</v>
      </c>
      <c r="AH53" s="1">
        <v>173878</v>
      </c>
      <c r="AI53" s="1"/>
      <c r="AJ53" s="1">
        <v>3000</v>
      </c>
      <c r="AM53" s="21">
        <v>2</v>
      </c>
      <c r="AN53" s="21"/>
      <c r="AO53" s="21"/>
      <c r="AP53" s="21"/>
      <c r="AQ53" s="21"/>
      <c r="AR53" s="8" t="s">
        <v>173</v>
      </c>
      <c r="AS53" s="21" t="s">
        <v>445</v>
      </c>
      <c r="AT53" s="21" t="str">
        <f>IFERROR(IF(FIND("?",#REF!),SummarizeQuestMarks(#REF!),""),"")</f>
        <v/>
      </c>
      <c r="AU53" s="21"/>
      <c r="AV53" t="s">
        <v>1509</v>
      </c>
      <c r="AW53" t="b">
        <f>AND(ckAwdTable[[#This Row],[ILN]]&gt;"M", SUBSTITUTE(ckAwdTable[[#This Row],[prop_titl_txt]]," ","")&lt;&gt;SUBSTITUTE(AV52," ",""))</f>
        <v>0</v>
      </c>
      <c r="AX53" s="8" t="s">
        <v>1510</v>
      </c>
    </row>
    <row r="54" spans="2:50">
      <c r="B54" s="30">
        <v>42956.678472222222</v>
      </c>
      <c r="C54" t="s">
        <v>848</v>
      </c>
      <c r="D54" t="s">
        <v>780</v>
      </c>
      <c r="E54" t="s">
        <v>565</v>
      </c>
      <c r="F54" t="s">
        <v>582</v>
      </c>
      <c r="G54" s="8" t="s">
        <v>172</v>
      </c>
      <c r="H54" s="8" t="s">
        <v>170</v>
      </c>
      <c r="I54" s="8" t="s">
        <v>442</v>
      </c>
      <c r="J54" t="s">
        <v>94</v>
      </c>
      <c r="K54" t="s">
        <v>849</v>
      </c>
      <c r="L54" s="22"/>
      <c r="M54" s="110">
        <f xml:space="preserve"> M53+(ckAwdTable[ILN]&lt;"M")</f>
        <v>53</v>
      </c>
      <c r="N54" t="s">
        <v>96</v>
      </c>
      <c r="O54" t="s">
        <v>1326</v>
      </c>
      <c r="P54" s="15" t="str">
        <f>HYPERLINK("https://www.ejacket.nsf.gov/ej/showProposal.do?ID="&amp;ckAwdTable[[#This Row],[prop_id]],"eJ")</f>
        <v>eJ</v>
      </c>
      <c r="Q54" s="8" t="s">
        <v>781</v>
      </c>
      <c r="R54" t="s">
        <v>1326</v>
      </c>
      <c r="S54" t="s">
        <v>1327</v>
      </c>
      <c r="T54" t="s">
        <v>1351</v>
      </c>
      <c r="U54" s="8" t="s">
        <v>346</v>
      </c>
      <c r="V54" t="s">
        <v>347</v>
      </c>
      <c r="W54" s="114" t="str">
        <f>HYPERLINK("mailto:"&amp; ckAwdTable[[#This Row],[email]]&amp;"&amp;subject=Your NSF Proposal:  "&amp;ckAwdTable[[#This Row],[prop_id]], ckAwdTable[[#This Row],[email]])</f>
        <v>miforbes@illinois.edu</v>
      </c>
      <c r="X54" s="30">
        <v>43101</v>
      </c>
      <c r="Y54">
        <v>24</v>
      </c>
      <c r="AA54" s="21" t="s">
        <v>13</v>
      </c>
      <c r="AB54" s="21" t="s">
        <v>449</v>
      </c>
      <c r="AC54"/>
      <c r="AD54" s="21" t="s">
        <v>13</v>
      </c>
      <c r="AE54" s="21" t="s">
        <v>1610</v>
      </c>
      <c r="AF54" s="13">
        <v>175000</v>
      </c>
      <c r="AG54" s="21">
        <v>0</v>
      </c>
      <c r="AH54" s="1">
        <v>175000</v>
      </c>
      <c r="AI54" s="1"/>
      <c r="AJ54" s="1">
        <v>8737</v>
      </c>
      <c r="AM54" s="21">
        <v>2</v>
      </c>
      <c r="AN54" s="21"/>
      <c r="AO54" s="21"/>
      <c r="AP54" s="21"/>
      <c r="AQ54" s="21"/>
      <c r="AR54" s="8" t="s">
        <v>173</v>
      </c>
      <c r="AS54" s="21" t="s">
        <v>445</v>
      </c>
      <c r="AT54" s="21" t="str">
        <f>IFERROR(IF(FIND("?",#REF!),SummarizeQuestMarks(#REF!),""),"")</f>
        <v/>
      </c>
      <c r="AU54" s="21"/>
      <c r="AV54" t="s">
        <v>1512</v>
      </c>
      <c r="AW54" t="b">
        <f>AND(ckAwdTable[[#This Row],[ILN]]&gt;"M", SUBSTITUTE(ckAwdTable[[#This Row],[prop_titl_txt]]," ","")&lt;&gt;SUBSTITUTE(AV53," ",""))</f>
        <v>0</v>
      </c>
      <c r="AX54" s="8" t="s">
        <v>1513</v>
      </c>
    </row>
    <row r="55" spans="2:50">
      <c r="B55" s="30">
        <v>42956.695833333331</v>
      </c>
      <c r="C55" t="s">
        <v>848</v>
      </c>
      <c r="D55" t="s">
        <v>780</v>
      </c>
      <c r="E55" t="s">
        <v>565</v>
      </c>
      <c r="F55" t="s">
        <v>582</v>
      </c>
      <c r="G55" s="8" t="s">
        <v>172</v>
      </c>
      <c r="H55" s="8" t="s">
        <v>170</v>
      </c>
      <c r="I55" s="8" t="s">
        <v>442</v>
      </c>
      <c r="J55" t="s">
        <v>94</v>
      </c>
      <c r="K55" t="s">
        <v>849</v>
      </c>
      <c r="L55" s="22"/>
      <c r="M55" s="110">
        <f xml:space="preserve"> M54+(ckAwdTable[ILN]&lt;"M")</f>
        <v>54</v>
      </c>
      <c r="N55" t="s">
        <v>96</v>
      </c>
      <c r="O55" t="s">
        <v>1333</v>
      </c>
      <c r="P55" s="15" t="str">
        <f>HYPERLINK("https://www.ejacket.nsf.gov/ej/showProposal.do?ID="&amp;ckAwdTable[[#This Row],[prop_id]],"eJ")</f>
        <v>eJ</v>
      </c>
      <c r="Q55" s="8" t="s">
        <v>781</v>
      </c>
      <c r="R55" t="s">
        <v>1333</v>
      </c>
      <c r="S55" t="s">
        <v>1334</v>
      </c>
      <c r="T55" t="s">
        <v>1514</v>
      </c>
      <c r="U55" s="8" t="s">
        <v>1515</v>
      </c>
      <c r="V55" t="s">
        <v>1370</v>
      </c>
      <c r="W55" s="114" t="str">
        <f>HYPERLINK("mailto:"&amp; ckAwdTable[[#This Row],[email]]&amp;"&amp;subject=Your NSF Proposal:  "&amp;ckAwdTable[[#This Row],[prop_id]], ckAwdTable[[#This Row],[email]])</f>
        <v>adres@asu.edu</v>
      </c>
      <c r="X55" s="30">
        <v>43328</v>
      </c>
      <c r="Y55">
        <v>24</v>
      </c>
      <c r="AA55" s="21" t="s">
        <v>13</v>
      </c>
      <c r="AB55" s="21" t="s">
        <v>449</v>
      </c>
      <c r="AC55"/>
      <c r="AD55" s="21" t="s">
        <v>13</v>
      </c>
      <c r="AE55" s="21" t="s">
        <v>1610</v>
      </c>
      <c r="AF55" s="13">
        <v>175000</v>
      </c>
      <c r="AG55" s="21">
        <v>0</v>
      </c>
      <c r="AH55" s="1">
        <v>175000</v>
      </c>
      <c r="AI55" s="1"/>
      <c r="AJ55" s="1">
        <v>6581</v>
      </c>
      <c r="AM55" s="21">
        <v>3</v>
      </c>
      <c r="AN55" s="21"/>
      <c r="AO55" s="21"/>
      <c r="AP55" s="21"/>
      <c r="AQ55" s="21"/>
      <c r="AR55" s="8" t="s">
        <v>173</v>
      </c>
      <c r="AS55" s="21" t="s">
        <v>445</v>
      </c>
      <c r="AT55" s="21" t="str">
        <f>IFERROR(IF(FIND("?",#REF!),SummarizeQuestMarks(#REF!),""),"")</f>
        <v/>
      </c>
      <c r="AU55" s="21"/>
      <c r="AV55" t="s">
        <v>1517</v>
      </c>
      <c r="AW55" t="b">
        <f>AND(ckAwdTable[[#This Row],[ILN]]&gt;"M", SUBSTITUTE(ckAwdTable[[#This Row],[prop_titl_txt]]," ","")&lt;&gt;SUBSTITUTE(AV54," ",""))</f>
        <v>0</v>
      </c>
      <c r="AX55" s="8" t="s">
        <v>1518</v>
      </c>
    </row>
    <row r="56" spans="2:50">
      <c r="B56" s="30">
        <v>42956.697222222225</v>
      </c>
      <c r="C56" t="s">
        <v>848</v>
      </c>
      <c r="D56" t="s">
        <v>780</v>
      </c>
      <c r="E56" t="s">
        <v>565</v>
      </c>
      <c r="F56" t="s">
        <v>579</v>
      </c>
      <c r="G56" s="8" t="s">
        <v>172</v>
      </c>
      <c r="H56" s="8" t="s">
        <v>170</v>
      </c>
      <c r="I56" s="8" t="s">
        <v>442</v>
      </c>
      <c r="J56" t="s">
        <v>94</v>
      </c>
      <c r="K56" t="s">
        <v>849</v>
      </c>
      <c r="L56" s="22"/>
      <c r="M56" s="110">
        <f xml:space="preserve"> M55+(ckAwdTable[ILN]&lt;"M")</f>
        <v>55</v>
      </c>
      <c r="N56" t="s">
        <v>96</v>
      </c>
      <c r="O56" t="s">
        <v>762</v>
      </c>
      <c r="P56" s="15" t="str">
        <f>HYPERLINK("https://www.ejacket.nsf.gov/ej/showProposal.do?ID="&amp;ckAwdTable[[#This Row],[prop_id]],"eJ")</f>
        <v>eJ</v>
      </c>
      <c r="Q56" s="8" t="s">
        <v>781</v>
      </c>
      <c r="R56" t="s">
        <v>762</v>
      </c>
      <c r="S56" t="s">
        <v>763</v>
      </c>
      <c r="T56" t="s">
        <v>867</v>
      </c>
      <c r="U56" s="8" t="s">
        <v>868</v>
      </c>
      <c r="V56" t="s">
        <v>358</v>
      </c>
      <c r="W56" s="114" t="str">
        <f>HYPERLINK("mailto:"&amp; ckAwdTable[[#This Row],[email]]&amp;"&amp;subject=Your NSF Proposal:  "&amp;ckAwdTable[[#This Row],[prop_id]], ckAwdTable[[#This Row],[email]])</f>
        <v>shima.hm@tamu.edu</v>
      </c>
      <c r="X56" s="30">
        <v>43252</v>
      </c>
      <c r="Y56">
        <v>24</v>
      </c>
      <c r="AA56" s="21" t="s">
        <v>13</v>
      </c>
      <c r="AB56" s="21" t="s">
        <v>449</v>
      </c>
      <c r="AC56"/>
      <c r="AD56" s="21" t="s">
        <v>13</v>
      </c>
      <c r="AF56" s="13">
        <v>175000</v>
      </c>
      <c r="AG56" s="21">
        <v>0</v>
      </c>
      <c r="AH56" s="1">
        <v>175000</v>
      </c>
      <c r="AI56" s="1"/>
      <c r="AJ56" s="1"/>
      <c r="AM56" s="21">
        <v>4</v>
      </c>
      <c r="AN56" s="21"/>
      <c r="AO56" s="21"/>
      <c r="AP56" s="21"/>
      <c r="AQ56" s="21"/>
      <c r="AR56" s="8" t="s">
        <v>173</v>
      </c>
      <c r="AS56" s="21" t="s">
        <v>445</v>
      </c>
      <c r="AT56" s="21" t="str">
        <f>IFERROR(IF(FIND("?",#REF!),SummarizeQuestMarks(#REF!),""),"")</f>
        <v/>
      </c>
      <c r="AU56" s="21"/>
      <c r="AV56" t="s">
        <v>870</v>
      </c>
      <c r="AW56" t="b">
        <f>AND(ckAwdTable[[#This Row],[ILN]]&gt;"M", SUBSTITUTE(ckAwdTable[[#This Row],[prop_titl_txt]]," ","")&lt;&gt;SUBSTITUTE(AV55," ",""))</f>
        <v>0</v>
      </c>
      <c r="AX56" s="8" t="s">
        <v>871</v>
      </c>
    </row>
    <row r="57" spans="2:50">
      <c r="B57" s="30">
        <v>42956.697916666664</v>
      </c>
      <c r="C57" t="s">
        <v>848</v>
      </c>
      <c r="D57" t="s">
        <v>780</v>
      </c>
      <c r="E57" t="s">
        <v>565</v>
      </c>
      <c r="F57" t="s">
        <v>582</v>
      </c>
      <c r="G57" s="8" t="s">
        <v>172</v>
      </c>
      <c r="H57" s="8" t="s">
        <v>170</v>
      </c>
      <c r="I57" s="8" t="s">
        <v>442</v>
      </c>
      <c r="J57" t="s">
        <v>94</v>
      </c>
      <c r="K57" t="s">
        <v>849</v>
      </c>
      <c r="L57" s="22"/>
      <c r="M57" s="110">
        <f xml:space="preserve"> M56+(ckAwdTable[ILN]&lt;"M")</f>
        <v>56</v>
      </c>
      <c r="N57" t="s">
        <v>96</v>
      </c>
      <c r="O57" t="s">
        <v>1340</v>
      </c>
      <c r="P57" s="15" t="str">
        <f>HYPERLINK("https://www.ejacket.nsf.gov/ej/showProposal.do?ID="&amp;ckAwdTable[[#This Row],[prop_id]],"eJ")</f>
        <v>eJ</v>
      </c>
      <c r="Q57" s="8" t="s">
        <v>781</v>
      </c>
      <c r="R57" t="s">
        <v>1340</v>
      </c>
      <c r="S57" t="s">
        <v>1191</v>
      </c>
      <c r="T57" t="s">
        <v>1460</v>
      </c>
      <c r="U57" s="8" t="s">
        <v>1461</v>
      </c>
      <c r="V57" t="s">
        <v>257</v>
      </c>
      <c r="W57" s="114" t="str">
        <f>HYPERLINK("mailto:"&amp; ckAwdTable[[#This Row],[email]]&amp;"&amp;subject=Your NSF Proposal:  "&amp;ckAwdTable[[#This Row],[prop_id]], ckAwdTable[[#This Row],[email]])</f>
        <v>gkatz@drexel.edu</v>
      </c>
      <c r="X57" s="30">
        <v>43132</v>
      </c>
      <c r="Y57">
        <v>24</v>
      </c>
      <c r="AA57" s="21" t="s">
        <v>13</v>
      </c>
      <c r="AB57" s="21" t="s">
        <v>449</v>
      </c>
      <c r="AC57"/>
      <c r="AD57" s="21" t="s">
        <v>13</v>
      </c>
      <c r="AE57" s="21" t="s">
        <v>256</v>
      </c>
      <c r="AF57" s="13">
        <v>174930</v>
      </c>
      <c r="AG57" s="21">
        <v>0</v>
      </c>
      <c r="AH57" s="1">
        <v>174930</v>
      </c>
      <c r="AI57" s="1"/>
      <c r="AJ57" s="1">
        <v>9000</v>
      </c>
      <c r="AM57" s="21">
        <v>2</v>
      </c>
      <c r="AN57" s="21"/>
      <c r="AO57" s="21"/>
      <c r="AP57" s="21"/>
      <c r="AQ57" s="21"/>
      <c r="AR57" s="8" t="s">
        <v>173</v>
      </c>
      <c r="AS57" s="21" t="s">
        <v>445</v>
      </c>
      <c r="AT57" s="21" t="str">
        <f>IFERROR(IF(FIND("?",#REF!),SummarizeQuestMarks(#REF!),""),"")</f>
        <v/>
      </c>
      <c r="AU57" s="21"/>
      <c r="AV57" t="s">
        <v>1519</v>
      </c>
      <c r="AW57" t="b">
        <f>AND(ckAwdTable[[#This Row],[ILN]]&gt;"M", SUBSTITUTE(ckAwdTable[[#This Row],[prop_titl_txt]]," ","")&lt;&gt;SUBSTITUTE(AV56," ",""))</f>
        <v>0</v>
      </c>
      <c r="AX57" s="8" t="s">
        <v>1463</v>
      </c>
    </row>
    <row r="58" spans="2:50">
      <c r="B58" s="30">
        <v>42956.717361111114</v>
      </c>
      <c r="C58" t="s">
        <v>848</v>
      </c>
      <c r="D58" t="s">
        <v>780</v>
      </c>
      <c r="E58" t="s">
        <v>565</v>
      </c>
      <c r="F58" t="s">
        <v>579</v>
      </c>
      <c r="G58" s="8" t="s">
        <v>172</v>
      </c>
      <c r="H58" s="8" t="s">
        <v>170</v>
      </c>
      <c r="I58" s="8" t="s">
        <v>442</v>
      </c>
      <c r="J58" t="s">
        <v>94</v>
      </c>
      <c r="K58" t="s">
        <v>849</v>
      </c>
      <c r="L58" s="22"/>
      <c r="M58" s="110">
        <f xml:space="preserve"> M57+(ckAwdTable[ILN]&lt;"M")</f>
        <v>57</v>
      </c>
      <c r="N58" t="s">
        <v>96</v>
      </c>
      <c r="O58" t="s">
        <v>773</v>
      </c>
      <c r="P58" s="15" t="str">
        <f>HYPERLINK("https://www.ejacket.nsf.gov/ej/showProposal.do?ID="&amp;ckAwdTable[[#This Row],[prop_id]],"eJ")</f>
        <v>eJ</v>
      </c>
      <c r="Q58" s="8" t="s">
        <v>781</v>
      </c>
      <c r="R58" t="s">
        <v>773</v>
      </c>
      <c r="S58" t="s">
        <v>774</v>
      </c>
      <c r="T58" t="s">
        <v>872</v>
      </c>
      <c r="U58" s="8" t="s">
        <v>873</v>
      </c>
      <c r="V58" t="s">
        <v>358</v>
      </c>
      <c r="W58" s="114" t="str">
        <f>HYPERLINK("mailto:"&amp; ckAwdTable[[#This Row],[email]]&amp;"&amp;subject=Your NSF Proposal:  "&amp;ckAwdTable[[#This Row],[prop_id]], ckAwdTable[[#This Row],[email]])</f>
        <v>harsha@smu.edu</v>
      </c>
      <c r="X58" s="30">
        <v>43101</v>
      </c>
      <c r="Y58">
        <v>24</v>
      </c>
      <c r="AA58" s="21" t="s">
        <v>13</v>
      </c>
      <c r="AB58" s="21" t="s">
        <v>449</v>
      </c>
      <c r="AC58"/>
      <c r="AD58" s="21" t="s">
        <v>13</v>
      </c>
      <c r="AF58" s="13">
        <v>175000</v>
      </c>
      <c r="AG58" s="21">
        <v>0</v>
      </c>
      <c r="AH58" s="1">
        <v>175000</v>
      </c>
      <c r="AI58" s="1"/>
      <c r="AJ58" s="1"/>
      <c r="AM58" s="21">
        <v>4</v>
      </c>
      <c r="AN58" s="21"/>
      <c r="AO58" s="21"/>
      <c r="AP58" s="21"/>
      <c r="AQ58" s="21"/>
      <c r="AR58" s="8" t="s">
        <v>173</v>
      </c>
      <c r="AS58" s="21" t="s">
        <v>445</v>
      </c>
      <c r="AT58" s="21" t="str">
        <f>IFERROR(IF(FIND("?",#REF!),SummarizeQuestMarks(#REF!),""),"")</f>
        <v/>
      </c>
      <c r="AU58" s="21"/>
      <c r="AV58" t="s">
        <v>875</v>
      </c>
      <c r="AW58" t="b">
        <f>AND(ckAwdTable[[#This Row],[ILN]]&gt;"M", SUBSTITUTE(ckAwdTable[[#This Row],[prop_titl_txt]]," ","")&lt;&gt;SUBSTITUTE(AV57," ",""))</f>
        <v>0</v>
      </c>
      <c r="AX58" s="8" t="s">
        <v>876</v>
      </c>
    </row>
    <row r="59" spans="2:50">
      <c r="B59" s="30">
        <v>42956.746527777781</v>
      </c>
      <c r="C59" t="s">
        <v>848</v>
      </c>
      <c r="D59" t="s">
        <v>780</v>
      </c>
      <c r="E59" t="s">
        <v>565</v>
      </c>
      <c r="F59" t="s">
        <v>944</v>
      </c>
      <c r="G59" s="8" t="s">
        <v>172</v>
      </c>
      <c r="H59" s="8" t="s">
        <v>170</v>
      </c>
      <c r="I59" s="8" t="s">
        <v>442</v>
      </c>
      <c r="J59" t="s">
        <v>94</v>
      </c>
      <c r="K59" t="s">
        <v>849</v>
      </c>
      <c r="L59" s="22"/>
      <c r="M59" s="110">
        <f xml:space="preserve"> M58+(ckAwdTable[ILN]&lt;"M")</f>
        <v>58</v>
      </c>
      <c r="N59" t="s">
        <v>96</v>
      </c>
      <c r="O59" t="s">
        <v>1346</v>
      </c>
      <c r="P59" s="15" t="str">
        <f>HYPERLINK("https://www.ejacket.nsf.gov/ej/showProposal.do?ID="&amp;ckAwdTable[[#This Row],[prop_id]],"eJ")</f>
        <v>eJ</v>
      </c>
      <c r="Q59" s="8" t="s">
        <v>781</v>
      </c>
      <c r="R59" t="s">
        <v>1346</v>
      </c>
      <c r="S59" t="s">
        <v>666</v>
      </c>
      <c r="T59" t="s">
        <v>925</v>
      </c>
      <c r="U59" s="8" t="s">
        <v>1520</v>
      </c>
      <c r="V59" t="s">
        <v>358</v>
      </c>
      <c r="W59" s="114" t="str">
        <f>HYPERLINK("mailto:"&amp; ckAwdTable[[#This Row],[email]]&amp;"&amp;subject=Your NSF Proposal:  "&amp;ckAwdTable[[#This Row],[prop_id]], ckAwdTable[[#This Row],[email]])</f>
        <v>lchen49@central.uh.edu</v>
      </c>
      <c r="X59" s="30">
        <v>43252</v>
      </c>
      <c r="Y59">
        <v>24</v>
      </c>
      <c r="AA59" s="21" t="s">
        <v>13</v>
      </c>
      <c r="AB59" s="21" t="s">
        <v>449</v>
      </c>
      <c r="AC59"/>
      <c r="AD59" s="21" t="s">
        <v>13</v>
      </c>
      <c r="AE59" s="21" t="s">
        <v>256</v>
      </c>
      <c r="AF59" s="13">
        <v>148477</v>
      </c>
      <c r="AG59" s="21">
        <v>0</v>
      </c>
      <c r="AH59" s="1">
        <v>148477</v>
      </c>
      <c r="AI59" s="1"/>
      <c r="AJ59" s="1">
        <v>7000</v>
      </c>
      <c r="AM59" s="21">
        <v>3</v>
      </c>
      <c r="AN59" s="21"/>
      <c r="AO59" s="21"/>
      <c r="AP59" s="21"/>
      <c r="AQ59" s="21"/>
      <c r="AR59" s="8" t="s">
        <v>173</v>
      </c>
      <c r="AS59" s="21" t="s">
        <v>445</v>
      </c>
      <c r="AT59" s="21" t="str">
        <f>IFERROR(IF(FIND("?",#REF!),SummarizeQuestMarks(#REF!),""),"")</f>
        <v/>
      </c>
      <c r="AU59" s="21"/>
      <c r="AV59" t="s">
        <v>1521</v>
      </c>
      <c r="AW59" t="b">
        <f>AND(ckAwdTable[[#This Row],[ILN]]&gt;"M", SUBSTITUTE(ckAwdTable[[#This Row],[prop_titl_txt]]," ","")&lt;&gt;SUBSTITUTE(AV58," ",""))</f>
        <v>0</v>
      </c>
      <c r="AX59" s="8" t="s">
        <v>1522</v>
      </c>
    </row>
  </sheetData>
  <conditionalFormatting sqref="A2:AX59">
    <cfRule type="expression" dxfId="13" priority="2020">
      <formula>MOD($M2,2)</formula>
    </cfRule>
  </conditionalFormatting>
  <conditionalFormatting sqref="AV2:AV59">
    <cfRule type="expression" dxfId="12" priority="2">
      <formula>$AW2</formula>
    </cfRule>
  </conditionalFormatting>
  <conditionalFormatting sqref="X2:AE59 AR2:AU59">
    <cfRule type="expression" dxfId="11" priority="2023">
      <formula>AND($N2="N", TRIM(X2)&lt;&gt;TRIM(#REF!))</formula>
    </cfRule>
  </conditionalFormatting>
  <conditionalFormatting sqref="C2:K59">
    <cfRule type="expression" dxfId="10" priority="2025">
      <formula>AND($N2="N",C2&lt;&gt;#REF!)</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300"/>
  <sheetViews>
    <sheetView topLeftCell="P3" workbookViewId="0">
      <selection activeCell="Y11" sqref="Y11:AD15"/>
    </sheetView>
  </sheetViews>
  <sheetFormatPr defaultRowHeight="14.6"/>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c r="A1" s="6" t="s">
        <v>130</v>
      </c>
      <c r="Q1" s="3"/>
    </row>
    <row r="2" spans="1:30" s="99" customFormat="1">
      <c r="A2" s="98"/>
      <c r="F2" s="100" t="s">
        <v>15</v>
      </c>
      <c r="G2" s="100"/>
      <c r="I2" s="101" t="s">
        <v>510</v>
      </c>
      <c r="K2" s="12" t="str">
        <f>LOWER(I300)</f>
        <v>rshah</v>
      </c>
      <c r="L2" s="101" t="s">
        <v>14</v>
      </c>
      <c r="M2" s="103">
        <f ca="1">YEAR(NOW())+(MONTH(NOW())&gt;9)-2000</f>
        <v>18</v>
      </c>
      <c r="Q2" s="100" t="s">
        <v>128</v>
      </c>
      <c r="R2" s="100"/>
      <c r="S2" s="102"/>
      <c r="U2" s="99" t="s">
        <v>129</v>
      </c>
      <c r="Y2" s="99" t="s">
        <v>511</v>
      </c>
    </row>
    <row r="3" spans="1:30" ht="33" customHeight="1">
      <c r="A3" s="6" t="s">
        <v>0</v>
      </c>
      <c r="B3" t="s">
        <v>88</v>
      </c>
      <c r="C3" t="s">
        <v>417</v>
      </c>
      <c r="D3" t="s">
        <v>102</v>
      </c>
      <c r="E3" s="30" t="s">
        <v>7</v>
      </c>
      <c r="F3" t="s">
        <v>8</v>
      </c>
      <c r="G3" t="s">
        <v>5</v>
      </c>
      <c r="H3" t="s">
        <v>4</v>
      </c>
      <c r="I3" t="s">
        <v>91</v>
      </c>
      <c r="J3" t="s">
        <v>443</v>
      </c>
      <c r="K3" t="s">
        <v>9</v>
      </c>
      <c r="L3" t="s">
        <v>1</v>
      </c>
      <c r="M3" s="21" t="s">
        <v>2</v>
      </c>
      <c r="N3" t="s">
        <v>10</v>
      </c>
      <c r="O3" s="14" t="s">
        <v>489</v>
      </c>
      <c r="P3" t="s">
        <v>11</v>
      </c>
      <c r="Q3" t="s">
        <v>419</v>
      </c>
      <c r="R3" t="s">
        <v>420</v>
      </c>
      <c r="S3" s="13" t="s">
        <v>421</v>
      </c>
      <c r="T3" t="s">
        <v>422</v>
      </c>
      <c r="U3" t="s">
        <v>423</v>
      </c>
      <c r="V3" s="6" t="s">
        <v>424</v>
      </c>
      <c r="W3" t="s">
        <v>425</v>
      </c>
      <c r="X3" t="s">
        <v>426</v>
      </c>
      <c r="Y3" t="s">
        <v>6</v>
      </c>
      <c r="Z3" t="s">
        <v>427</v>
      </c>
      <c r="AA3" t="s">
        <v>428</v>
      </c>
      <c r="AB3" t="s">
        <v>429</v>
      </c>
      <c r="AC3" t="s">
        <v>529</v>
      </c>
      <c r="AD3" t="s">
        <v>12</v>
      </c>
    </row>
    <row r="4" spans="1:30">
      <c r="A4" s="10" t="s">
        <v>580</v>
      </c>
      <c r="B4" s="77" t="s">
        <v>96</v>
      </c>
      <c r="C4" s="77">
        <f>C3+(BudgetsTable[[#This Row],[lead]]&lt;&gt;K3)</f>
        <v>11</v>
      </c>
      <c r="D4" s="77">
        <f>D3*(BudgetsTable[[#This Row],[lead]]=K3)+(BudgetsTable[[#This Row],[prop_id]]&lt;&gt;A3)</f>
        <v>1</v>
      </c>
      <c r="E4" s="78">
        <v>42930.554166666669</v>
      </c>
      <c r="F4" s="79" t="s">
        <v>244</v>
      </c>
      <c r="G4" s="79" t="s">
        <v>780</v>
      </c>
      <c r="H4" s="79" t="s">
        <v>567</v>
      </c>
      <c r="I4" s="77" t="s">
        <v>579</v>
      </c>
      <c r="J4" s="77" t="s">
        <v>789</v>
      </c>
      <c r="K4" s="79" t="s">
        <v>580</v>
      </c>
      <c r="L4" s="7" t="str">
        <f>IF(BudgetsTable[[#This Row],[pi_last_name]]=" ","",HYPERLINK("https://www.ejacket.nsf.gov/ej/showProposal.do?Continue=Y&amp;ID="&amp;BudgetsTable[[#This Row],[prop_id]],BudgetsTable[[#This Row],[prop_id]]))</f>
        <v>1749173</v>
      </c>
      <c r="M4" s="15" t="str">
        <f>IF(BudgetsTable[[#This Row],[pi_last_name]]=" ","",HYPERLINK("https://www.ejacket.nsf.gov/ej/processReviewAnalysis.do?dispatch=add&amp;uniqId="&amp;BudgetsTable[[#This Row],[prop_id]]&amp;PO_id,"&gt;ra"))</f>
        <v>&gt;ra</v>
      </c>
      <c r="N4" s="79" t="s">
        <v>581</v>
      </c>
      <c r="O4" s="7" t="str">
        <f>IF(BudgetsTable[[#This Row],[pi_last_name]]=" ","",HYPERLINK("mailto:"&amp;BudgetsTable[[#This Row],[pi_email]]&amp;"&amp;subject=Your NSF Proposal:  "&amp;BudgetsTable[[#This Row],[prop_id]],BudgetsTable[[#This Row],[pi_email]]))</f>
        <v>steffen.borgwardt@ucdenver.edu</v>
      </c>
      <c r="P4" s="79" t="s">
        <v>786</v>
      </c>
      <c r="Q4" s="79"/>
      <c r="R4" s="79"/>
      <c r="S4" s="80"/>
      <c r="T4" s="80"/>
      <c r="U4" s="80"/>
      <c r="V4" s="81"/>
      <c r="W4" s="79">
        <v>0</v>
      </c>
      <c r="X4" s="79"/>
      <c r="Y4" s="11" t="str">
        <f ca="1">IF(ISBLANK(BudgetsTable[[#This Row],[budg_seq_yr]]),"FY"&amp;fiscalyear,"FY"&amp;fiscalyear-1+BudgetsTable[[#This Row],[budg_seq_yr]])</f>
        <v>FY18</v>
      </c>
      <c r="Z4" s="80">
        <v>470400</v>
      </c>
      <c r="AA4" s="79" t="s">
        <v>780</v>
      </c>
      <c r="AB4" s="79" t="s">
        <v>567</v>
      </c>
      <c r="AC4" s="104" t="s">
        <v>94</v>
      </c>
      <c r="AD4" s="79" t="s">
        <v>783</v>
      </c>
    </row>
    <row r="5" spans="1:30">
      <c r="A5" s="10" t="s">
        <v>580</v>
      </c>
      <c r="B5" s="77" t="s">
        <v>96</v>
      </c>
      <c r="C5" s="77">
        <f>C4+(BudgetsTable[[#This Row],[lead]]&lt;&gt;K4)</f>
        <v>11</v>
      </c>
      <c r="D5" s="77">
        <f>D4*(BudgetsTable[[#This Row],[lead]]=K4)+(BudgetsTable[[#This Row],[prop_id]]&lt;&gt;A4)</f>
        <v>1</v>
      </c>
      <c r="E5" s="78">
        <v>42930.554166666669</v>
      </c>
      <c r="F5" s="79" t="s">
        <v>244</v>
      </c>
      <c r="G5" s="79" t="s">
        <v>780</v>
      </c>
      <c r="H5" s="79" t="s">
        <v>567</v>
      </c>
      <c r="I5" s="77" t="s">
        <v>579</v>
      </c>
      <c r="J5" s="77" t="s">
        <v>13</v>
      </c>
      <c r="K5" s="79" t="s">
        <v>580</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1</v>
      </c>
      <c r="R5" s="79">
        <v>1.5</v>
      </c>
      <c r="S5" s="80">
        <v>0</v>
      </c>
      <c r="T5" s="80">
        <v>1920</v>
      </c>
      <c r="U5" s="80">
        <v>0</v>
      </c>
      <c r="V5" s="81">
        <v>87855</v>
      </c>
      <c r="W5" s="79">
        <v>0</v>
      </c>
      <c r="X5" s="79">
        <v>1</v>
      </c>
      <c r="Y5" s="11" t="str">
        <f ca="1">IF(ISBLANK(BudgetsTable[[#This Row],[budg_seq_yr]]),"FY"&amp;fiscalyear,"FY"&amp;fiscalyear-1+BudgetsTable[[#This Row],[budg_seq_yr]])</f>
        <v>FY18</v>
      </c>
      <c r="Z5" s="80">
        <v>87855</v>
      </c>
      <c r="AA5" s="79" t="s">
        <v>780</v>
      </c>
      <c r="AB5" s="79" t="s">
        <v>567</v>
      </c>
      <c r="AC5" s="77" t="s">
        <v>94</v>
      </c>
      <c r="AD5" s="79" t="s">
        <v>783</v>
      </c>
    </row>
    <row r="6" spans="1:30">
      <c r="A6" s="10" t="s">
        <v>580</v>
      </c>
      <c r="B6" s="77" t="s">
        <v>96</v>
      </c>
      <c r="C6" s="77">
        <f>C5+(BudgetsTable[[#This Row],[lead]]&lt;&gt;K5)</f>
        <v>11</v>
      </c>
      <c r="D6" s="77">
        <f>D5*(BudgetsTable[[#This Row],[lead]]=K5)+(BudgetsTable[[#This Row],[prop_id]]&lt;&gt;A5)</f>
        <v>1</v>
      </c>
      <c r="E6" s="78">
        <v>42930.554166666669</v>
      </c>
      <c r="F6" s="79" t="s">
        <v>244</v>
      </c>
      <c r="G6" s="79" t="s">
        <v>780</v>
      </c>
      <c r="H6" s="79" t="s">
        <v>567</v>
      </c>
      <c r="I6" s="77" t="s">
        <v>579</v>
      </c>
      <c r="J6" s="77" t="s">
        <v>13</v>
      </c>
      <c r="K6" s="79" t="s">
        <v>580</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1</v>
      </c>
      <c r="R6" s="79">
        <v>1.5</v>
      </c>
      <c r="S6" s="80">
        <v>0</v>
      </c>
      <c r="T6" s="80">
        <v>1920</v>
      </c>
      <c r="U6" s="80">
        <v>0</v>
      </c>
      <c r="V6" s="81">
        <v>90367</v>
      </c>
      <c r="W6" s="79">
        <v>0</v>
      </c>
      <c r="X6" s="79">
        <v>2</v>
      </c>
      <c r="Y6" s="11" t="str">
        <f ca="1">IF(ISBLANK(BudgetsTable[[#This Row],[budg_seq_yr]]),"FY"&amp;fiscalyear,"FY"&amp;fiscalyear-1+BudgetsTable[[#This Row],[budg_seq_yr]])</f>
        <v>FY19</v>
      </c>
      <c r="Z6" s="80">
        <v>90367</v>
      </c>
      <c r="AA6" s="79" t="s">
        <v>780</v>
      </c>
      <c r="AB6" s="79" t="s">
        <v>567</v>
      </c>
      <c r="AC6" s="106" t="s">
        <v>94</v>
      </c>
      <c r="AD6" s="79" t="s">
        <v>783</v>
      </c>
    </row>
    <row r="7" spans="1:30">
      <c r="A7" s="10" t="s">
        <v>580</v>
      </c>
      <c r="B7" s="77" t="s">
        <v>96</v>
      </c>
      <c r="C7" s="77">
        <f>C6+(BudgetsTable[[#This Row],[lead]]&lt;&gt;K6)</f>
        <v>11</v>
      </c>
      <c r="D7" s="77">
        <f>D6*(BudgetsTable[[#This Row],[lead]]=K6)+(BudgetsTable[[#This Row],[prop_id]]&lt;&gt;A6)</f>
        <v>1</v>
      </c>
      <c r="E7" s="78">
        <v>42930.554166666669</v>
      </c>
      <c r="F7" s="79" t="s">
        <v>244</v>
      </c>
      <c r="G7" s="79" t="s">
        <v>780</v>
      </c>
      <c r="H7" s="79" t="s">
        <v>567</v>
      </c>
      <c r="I7" s="77" t="s">
        <v>579</v>
      </c>
      <c r="J7" s="77" t="s">
        <v>13</v>
      </c>
      <c r="K7" s="79" t="s">
        <v>580</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1</v>
      </c>
      <c r="R7" s="79">
        <v>1.5</v>
      </c>
      <c r="S7" s="80">
        <v>0</v>
      </c>
      <c r="T7" s="80">
        <v>1920</v>
      </c>
      <c r="U7" s="80">
        <v>0</v>
      </c>
      <c r="V7" s="81">
        <v>94608</v>
      </c>
      <c r="W7" s="79">
        <v>0</v>
      </c>
      <c r="X7" s="79">
        <v>3</v>
      </c>
      <c r="Y7" s="11" t="str">
        <f ca="1">IF(ISBLANK(BudgetsTable[[#This Row],[budg_seq_yr]]),"FY"&amp;fiscalyear,"FY"&amp;fiscalyear-1+BudgetsTable[[#This Row],[budg_seq_yr]])</f>
        <v>FY20</v>
      </c>
      <c r="Z7" s="80">
        <v>94608</v>
      </c>
      <c r="AA7" s="79" t="s">
        <v>780</v>
      </c>
      <c r="AB7" s="79" t="s">
        <v>567</v>
      </c>
      <c r="AC7" s="106" t="s">
        <v>94</v>
      </c>
      <c r="AD7" s="79" t="s">
        <v>783</v>
      </c>
    </row>
    <row r="8" spans="1:30">
      <c r="A8" s="10" t="s">
        <v>580</v>
      </c>
      <c r="B8" s="77" t="s">
        <v>96</v>
      </c>
      <c r="C8" s="77">
        <f>C7+(BudgetsTable[[#This Row],[lead]]&lt;&gt;K7)</f>
        <v>11</v>
      </c>
      <c r="D8" s="77">
        <f>D7*(BudgetsTable[[#This Row],[lead]]=K7)+(BudgetsTable[[#This Row],[prop_id]]&lt;&gt;A7)</f>
        <v>1</v>
      </c>
      <c r="E8" s="78">
        <v>42930.554166666669</v>
      </c>
      <c r="F8" s="79" t="s">
        <v>244</v>
      </c>
      <c r="G8" s="79" t="s">
        <v>780</v>
      </c>
      <c r="H8" s="79" t="s">
        <v>567</v>
      </c>
      <c r="I8" s="77" t="s">
        <v>579</v>
      </c>
      <c r="J8" s="77" t="s">
        <v>13</v>
      </c>
      <c r="K8" s="79" t="s">
        <v>580</v>
      </c>
      <c r="L8" s="7" t="str">
        <f>IF(BudgetsTable[[#This Row],[pi_last_name]]=" ","",HYPERLINK("https://www.ejacket.nsf.gov/ej/showProposal.do?Continue=Y&amp;ID="&amp;BudgetsTable[[#This Row],[prop_id]],BudgetsTable[[#This Row],[prop_id]]))</f>
        <v/>
      </c>
      <c r="M8" s="15" t="str">
        <f>IF(BudgetsTable[[#This Row],[pi_last_name]]=" ","",HYPERLINK("https://www.ejacket.nsf.gov/ej/processReviewAnalysis.do?dispatch=add&amp;uniqId="&amp;BudgetsTable[[#This Row],[prop_id]]&amp;PO_id,"&gt;ra"))</f>
        <v/>
      </c>
      <c r="N8" s="79" t="s">
        <v>13</v>
      </c>
      <c r="O8" s="7" t="str">
        <f>IF(BudgetsTable[[#This Row],[pi_last_name]]=" ","",HYPERLINK("mailto:"&amp;BudgetsTable[[#This Row],[pi_email]]&amp;"&amp;subject=Your NSF Proposal:  "&amp;BudgetsTable[[#This Row],[prop_id]],BudgetsTable[[#This Row],[pi_email]]))</f>
        <v/>
      </c>
      <c r="P8" s="79" t="s">
        <v>13</v>
      </c>
      <c r="Q8" s="79">
        <v>1</v>
      </c>
      <c r="R8" s="79">
        <v>1.5</v>
      </c>
      <c r="S8" s="80">
        <v>0</v>
      </c>
      <c r="T8" s="80">
        <v>1920</v>
      </c>
      <c r="U8" s="80">
        <v>0</v>
      </c>
      <c r="V8" s="81">
        <v>97358</v>
      </c>
      <c r="W8" s="79">
        <v>0</v>
      </c>
      <c r="X8" s="79">
        <v>4</v>
      </c>
      <c r="Y8" s="11" t="str">
        <f ca="1">IF(ISBLANK(BudgetsTable[[#This Row],[budg_seq_yr]]),"FY"&amp;fiscalyear,"FY"&amp;fiscalyear-1+BudgetsTable[[#This Row],[budg_seq_yr]])</f>
        <v>FY21</v>
      </c>
      <c r="Z8" s="80">
        <v>97358</v>
      </c>
      <c r="AA8" s="79" t="s">
        <v>780</v>
      </c>
      <c r="AB8" s="79" t="s">
        <v>567</v>
      </c>
      <c r="AC8" s="106" t="s">
        <v>94</v>
      </c>
      <c r="AD8" s="79" t="s">
        <v>783</v>
      </c>
    </row>
    <row r="9" spans="1:30">
      <c r="A9" s="10" t="s">
        <v>580</v>
      </c>
      <c r="B9" s="77" t="s">
        <v>96</v>
      </c>
      <c r="C9" s="77">
        <f>C8+(BudgetsTable[[#This Row],[lead]]&lt;&gt;K8)</f>
        <v>11</v>
      </c>
      <c r="D9" s="77">
        <f>D8*(BudgetsTable[[#This Row],[lead]]=K8)+(BudgetsTable[[#This Row],[prop_id]]&lt;&gt;A8)</f>
        <v>1</v>
      </c>
      <c r="E9" s="78">
        <v>42930.554166666669</v>
      </c>
      <c r="F9" s="79" t="s">
        <v>244</v>
      </c>
      <c r="G9" s="79" t="s">
        <v>780</v>
      </c>
      <c r="H9" s="79" t="s">
        <v>567</v>
      </c>
      <c r="I9" s="77" t="s">
        <v>579</v>
      </c>
      <c r="J9" s="77" t="s">
        <v>13</v>
      </c>
      <c r="K9" s="79" t="s">
        <v>580</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1</v>
      </c>
      <c r="R9" s="79">
        <v>1.5</v>
      </c>
      <c r="S9" s="80">
        <v>0</v>
      </c>
      <c r="T9" s="80">
        <v>1920</v>
      </c>
      <c r="U9" s="80">
        <v>0</v>
      </c>
      <c r="V9" s="81">
        <v>100212</v>
      </c>
      <c r="W9" s="79">
        <v>0</v>
      </c>
      <c r="X9" s="79">
        <v>5</v>
      </c>
      <c r="Y9" s="11" t="str">
        <f ca="1">IF(ISBLANK(BudgetsTable[[#This Row],[budg_seq_yr]]),"FY"&amp;fiscalyear,"FY"&amp;fiscalyear-1+BudgetsTable[[#This Row],[budg_seq_yr]])</f>
        <v>FY22</v>
      </c>
      <c r="Z9" s="80">
        <v>100212</v>
      </c>
      <c r="AA9" s="79" t="s">
        <v>780</v>
      </c>
      <c r="AB9" s="79" t="s">
        <v>567</v>
      </c>
      <c r="AC9" s="106" t="s">
        <v>94</v>
      </c>
      <c r="AD9" s="79" t="s">
        <v>783</v>
      </c>
    </row>
    <row r="10" spans="1:30">
      <c r="A10" s="10" t="s">
        <v>604</v>
      </c>
      <c r="B10" s="77" t="s">
        <v>96</v>
      </c>
      <c r="C10" s="77">
        <f>C9+(BudgetsTable[[#This Row],[lead]]&lt;&gt;K9)</f>
        <v>12</v>
      </c>
      <c r="D10" s="77">
        <f>D9*(BudgetsTable[[#This Row],[lead]]=K9)+(BudgetsTable[[#This Row],[prop_id]]&lt;&gt;A9)</f>
        <v>1</v>
      </c>
      <c r="E10" s="78">
        <v>42933.547222222223</v>
      </c>
      <c r="F10" s="79" t="s">
        <v>244</v>
      </c>
      <c r="G10" s="79" t="s">
        <v>780</v>
      </c>
      <c r="H10" s="79" t="s">
        <v>567</v>
      </c>
      <c r="I10" s="77" t="s">
        <v>579</v>
      </c>
      <c r="J10" s="77" t="s">
        <v>796</v>
      </c>
      <c r="K10" s="79" t="s">
        <v>604</v>
      </c>
      <c r="L10" s="7" t="str">
        <f>IF(BudgetsTable[[#This Row],[pi_last_name]]=" ","",HYPERLINK("https://www.ejacket.nsf.gov/ej/showProposal.do?Continue=Y&amp;ID="&amp;BudgetsTable[[#This Row],[prop_id]],BudgetsTable[[#This Row],[prop_id]]))</f>
        <v>1749385</v>
      </c>
      <c r="M10" s="15" t="str">
        <f>IF(BudgetsTable[[#This Row],[pi_last_name]]=" ","",HYPERLINK("https://www.ejacket.nsf.gov/ej/processReviewAnalysis.do?dispatch=add&amp;uniqId="&amp;BudgetsTable[[#This Row],[prop_id]]&amp;PO_id,"&gt;ra"))</f>
        <v>&gt;ra</v>
      </c>
      <c r="N10" s="79" t="s">
        <v>342</v>
      </c>
      <c r="O10" s="7" t="str">
        <f>IF(BudgetsTable[[#This Row],[pi_last_name]]=" ","",HYPERLINK("mailto:"&amp;BudgetsTable[[#This Row],[pi_email]]&amp;"&amp;subject=Your NSF Proposal:  "&amp;BudgetsTable[[#This Row],[prop_id]],BudgetsTable[[#This Row],[pi_email]]))</f>
        <v>haitao.wang@usu.edu</v>
      </c>
      <c r="P10" s="79" t="s">
        <v>793</v>
      </c>
      <c r="Q10" s="79"/>
      <c r="R10" s="79"/>
      <c r="S10" s="80"/>
      <c r="T10" s="80"/>
      <c r="U10" s="80"/>
      <c r="V10" s="81"/>
      <c r="W10" s="79">
        <v>0</v>
      </c>
      <c r="X10" s="79"/>
      <c r="Y10" s="11" t="str">
        <f ca="1">IF(ISBLANK(BudgetsTable[[#This Row],[budg_seq_yr]]),"FY"&amp;fiscalyear,"FY"&amp;fiscalyear-1+BudgetsTable[[#This Row],[budg_seq_yr]])</f>
        <v>FY18</v>
      </c>
      <c r="Z10" s="80">
        <v>524898</v>
      </c>
      <c r="AA10" s="79" t="s">
        <v>780</v>
      </c>
      <c r="AB10" s="79" t="s">
        <v>567</v>
      </c>
      <c r="AC10" s="106" t="s">
        <v>94</v>
      </c>
      <c r="AD10" s="79" t="s">
        <v>790</v>
      </c>
    </row>
    <row r="11" spans="1:30">
      <c r="A11" s="10" t="s">
        <v>604</v>
      </c>
      <c r="B11" s="77" t="s">
        <v>96</v>
      </c>
      <c r="C11" s="77">
        <f>C10+(BudgetsTable[[#This Row],[lead]]&lt;&gt;K10)</f>
        <v>12</v>
      </c>
      <c r="D11" s="77">
        <f>D10*(BudgetsTable[[#This Row],[lead]]=K10)+(BudgetsTable[[#This Row],[prop_id]]&lt;&gt;A10)</f>
        <v>1</v>
      </c>
      <c r="E11" s="78">
        <v>42933.547222222223</v>
      </c>
      <c r="F11" s="79" t="s">
        <v>244</v>
      </c>
      <c r="G11" s="79" t="s">
        <v>780</v>
      </c>
      <c r="H11" s="79" t="s">
        <v>567</v>
      </c>
      <c r="I11" s="77" t="s">
        <v>579</v>
      </c>
      <c r="J11" s="77" t="s">
        <v>13</v>
      </c>
      <c r="K11" s="79" t="s">
        <v>604</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1</v>
      </c>
      <c r="R11" s="79">
        <v>1</v>
      </c>
      <c r="S11" s="80">
        <v>0</v>
      </c>
      <c r="T11" s="80">
        <v>3000</v>
      </c>
      <c r="U11" s="80">
        <v>0</v>
      </c>
      <c r="V11" s="81">
        <v>101597</v>
      </c>
      <c r="W11" s="79">
        <v>0</v>
      </c>
      <c r="X11" s="79">
        <v>1</v>
      </c>
      <c r="Y11" s="11" t="str">
        <f ca="1">IF(ISBLANK(BudgetsTable[[#This Row],[budg_seq_yr]]),"FY"&amp;fiscalyear,"FY"&amp;fiscalyear-1+BudgetsTable[[#This Row],[budg_seq_yr]])</f>
        <v>FY18</v>
      </c>
      <c r="Z11" s="80">
        <v>101597</v>
      </c>
      <c r="AA11" s="79" t="s">
        <v>780</v>
      </c>
      <c r="AB11" s="79" t="s">
        <v>567</v>
      </c>
      <c r="AC11" s="106" t="s">
        <v>94</v>
      </c>
      <c r="AD11" s="79" t="s">
        <v>790</v>
      </c>
    </row>
    <row r="12" spans="1:30">
      <c r="A12" s="10" t="s">
        <v>604</v>
      </c>
      <c r="B12" s="77" t="s">
        <v>96</v>
      </c>
      <c r="C12" s="77">
        <f>C11+(BudgetsTable[[#This Row],[lead]]&lt;&gt;K11)</f>
        <v>12</v>
      </c>
      <c r="D12" s="77">
        <f>D11*(BudgetsTable[[#This Row],[lead]]=K11)+(BudgetsTable[[#This Row],[prop_id]]&lt;&gt;A11)</f>
        <v>1</v>
      </c>
      <c r="E12" s="78">
        <v>42933.547222222223</v>
      </c>
      <c r="F12" s="79" t="s">
        <v>244</v>
      </c>
      <c r="G12" s="79" t="s">
        <v>780</v>
      </c>
      <c r="H12" s="79" t="s">
        <v>567</v>
      </c>
      <c r="I12" s="77" t="s">
        <v>579</v>
      </c>
      <c r="J12" s="77" t="s">
        <v>13</v>
      </c>
      <c r="K12" s="79" t="s">
        <v>604</v>
      </c>
      <c r="L12" s="7" t="str">
        <f>IF(BudgetsTable[[#This Row],[pi_last_name]]=" ","",HYPERLINK("https://www.ejacket.nsf.gov/ej/showProposal.do?Continue=Y&amp;ID="&amp;BudgetsTable[[#This Row],[prop_id]],BudgetsTable[[#This Row],[prop_id]]))</f>
        <v/>
      </c>
      <c r="M12" s="15" t="str">
        <f>IF(BudgetsTable[[#This Row],[pi_last_name]]=" ","",HYPERLINK("https://www.ejacket.nsf.gov/ej/processReviewAnalysis.do?dispatch=add&amp;uniqId="&amp;BudgetsTable[[#This Row],[prop_id]]&amp;PO_id,"&gt;ra"))</f>
        <v/>
      </c>
      <c r="N12" s="79" t="s">
        <v>13</v>
      </c>
      <c r="O12" s="7" t="str">
        <f>IF(BudgetsTable[[#This Row],[pi_last_name]]=" ","",HYPERLINK("mailto:"&amp;BudgetsTable[[#This Row],[pi_email]]&amp;"&amp;subject=Your NSF Proposal:  "&amp;BudgetsTable[[#This Row],[prop_id]],BudgetsTable[[#This Row],[pi_email]]))</f>
        <v/>
      </c>
      <c r="P12" s="79" t="s">
        <v>13</v>
      </c>
      <c r="Q12" s="79">
        <v>1</v>
      </c>
      <c r="R12" s="79">
        <v>1</v>
      </c>
      <c r="S12" s="80">
        <v>0</v>
      </c>
      <c r="T12" s="80">
        <v>3000</v>
      </c>
      <c r="U12" s="80">
        <v>0</v>
      </c>
      <c r="V12" s="81">
        <v>103235</v>
      </c>
      <c r="W12" s="79">
        <v>0</v>
      </c>
      <c r="X12" s="79">
        <v>2</v>
      </c>
      <c r="Y12" s="11" t="str">
        <f ca="1">IF(ISBLANK(BudgetsTable[[#This Row],[budg_seq_yr]]),"FY"&amp;fiscalyear,"FY"&amp;fiscalyear-1+BudgetsTable[[#This Row],[budg_seq_yr]])</f>
        <v>FY19</v>
      </c>
      <c r="Z12" s="80">
        <v>103235</v>
      </c>
      <c r="AA12" s="79" t="s">
        <v>780</v>
      </c>
      <c r="AB12" s="79" t="s">
        <v>567</v>
      </c>
      <c r="AC12" s="106" t="s">
        <v>94</v>
      </c>
      <c r="AD12" s="79" t="s">
        <v>790</v>
      </c>
    </row>
    <row r="13" spans="1:30">
      <c r="A13" s="10" t="s">
        <v>604</v>
      </c>
      <c r="B13" s="77" t="s">
        <v>96</v>
      </c>
      <c r="C13" s="77">
        <f>C12+(BudgetsTable[[#This Row],[lead]]&lt;&gt;K12)</f>
        <v>12</v>
      </c>
      <c r="D13" s="77">
        <f>D12*(BudgetsTable[[#This Row],[lead]]=K12)+(BudgetsTable[[#This Row],[prop_id]]&lt;&gt;A12)</f>
        <v>1</v>
      </c>
      <c r="E13" s="78">
        <v>42933.547222222223</v>
      </c>
      <c r="F13" s="79" t="s">
        <v>244</v>
      </c>
      <c r="G13" s="79" t="s">
        <v>780</v>
      </c>
      <c r="H13" s="79" t="s">
        <v>567</v>
      </c>
      <c r="I13" s="77" t="s">
        <v>579</v>
      </c>
      <c r="J13" s="77" t="s">
        <v>13</v>
      </c>
      <c r="K13" s="79" t="s">
        <v>604</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3000</v>
      </c>
      <c r="U13" s="80">
        <v>0</v>
      </c>
      <c r="V13" s="81">
        <v>104944</v>
      </c>
      <c r="W13" s="79">
        <v>0</v>
      </c>
      <c r="X13" s="79">
        <v>3</v>
      </c>
      <c r="Y13" s="11" t="str">
        <f ca="1">IF(ISBLANK(BudgetsTable[[#This Row],[budg_seq_yr]]),"FY"&amp;fiscalyear,"FY"&amp;fiscalyear-1+BudgetsTable[[#This Row],[budg_seq_yr]])</f>
        <v>FY20</v>
      </c>
      <c r="Z13" s="80">
        <v>104944</v>
      </c>
      <c r="AA13" s="79" t="s">
        <v>780</v>
      </c>
      <c r="AB13" s="79" t="s">
        <v>567</v>
      </c>
      <c r="AC13" s="106" t="s">
        <v>94</v>
      </c>
      <c r="AD13" s="79" t="s">
        <v>790</v>
      </c>
    </row>
    <row r="14" spans="1:30">
      <c r="A14" s="10" t="s">
        <v>604</v>
      </c>
      <c r="B14" s="77" t="s">
        <v>96</v>
      </c>
      <c r="C14" s="77">
        <f>C13+(BudgetsTable[[#This Row],[lead]]&lt;&gt;K13)</f>
        <v>12</v>
      </c>
      <c r="D14" s="77">
        <f>D13*(BudgetsTable[[#This Row],[lead]]=K13)+(BudgetsTable[[#This Row],[prop_id]]&lt;&gt;A13)</f>
        <v>1</v>
      </c>
      <c r="E14" s="78">
        <v>42933.547222222223</v>
      </c>
      <c r="F14" s="79" t="s">
        <v>244</v>
      </c>
      <c r="G14" s="79" t="s">
        <v>780</v>
      </c>
      <c r="H14" s="79" t="s">
        <v>567</v>
      </c>
      <c r="I14" s="77" t="s">
        <v>579</v>
      </c>
      <c r="J14" s="77" t="s">
        <v>13</v>
      </c>
      <c r="K14" s="79" t="s">
        <v>604</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3000</v>
      </c>
      <c r="U14" s="80">
        <v>0</v>
      </c>
      <c r="V14" s="81">
        <v>106666</v>
      </c>
      <c r="W14" s="79">
        <v>0</v>
      </c>
      <c r="X14" s="79">
        <v>4</v>
      </c>
      <c r="Y14" s="11" t="str">
        <f ca="1">IF(ISBLANK(BudgetsTable[[#This Row],[budg_seq_yr]]),"FY"&amp;fiscalyear,"FY"&amp;fiscalyear-1+BudgetsTable[[#This Row],[budg_seq_yr]])</f>
        <v>FY21</v>
      </c>
      <c r="Z14" s="80">
        <v>106666</v>
      </c>
      <c r="AA14" s="79" t="s">
        <v>780</v>
      </c>
      <c r="AB14" s="79" t="s">
        <v>567</v>
      </c>
      <c r="AC14" s="106" t="s">
        <v>94</v>
      </c>
      <c r="AD14" s="79" t="s">
        <v>790</v>
      </c>
    </row>
    <row r="15" spans="1:30">
      <c r="A15" s="10" t="s">
        <v>604</v>
      </c>
      <c r="B15" s="77" t="s">
        <v>96</v>
      </c>
      <c r="C15" s="77">
        <f>C14+(BudgetsTable[[#This Row],[lead]]&lt;&gt;K14)</f>
        <v>12</v>
      </c>
      <c r="D15" s="77">
        <f>D14*(BudgetsTable[[#This Row],[lead]]=K14)+(BudgetsTable[[#This Row],[prop_id]]&lt;&gt;A14)</f>
        <v>1</v>
      </c>
      <c r="E15" s="78">
        <v>42933.547222222223</v>
      </c>
      <c r="F15" s="79" t="s">
        <v>244</v>
      </c>
      <c r="G15" s="79" t="s">
        <v>780</v>
      </c>
      <c r="H15" s="79" t="s">
        <v>567</v>
      </c>
      <c r="I15" s="77" t="s">
        <v>579</v>
      </c>
      <c r="J15" s="77" t="s">
        <v>13</v>
      </c>
      <c r="K15" s="79" t="s">
        <v>604</v>
      </c>
      <c r="L15" s="7" t="str">
        <f>IF(BudgetsTable[[#This Row],[pi_last_name]]=" ","",HYPERLINK("https://www.ejacket.nsf.gov/ej/showProposal.do?Continue=Y&amp;ID="&amp;BudgetsTable[[#This Row],[prop_id]],BudgetsTable[[#This Row],[prop_id]]))</f>
        <v/>
      </c>
      <c r="M15" s="15" t="str">
        <f>IF(BudgetsTable[[#This Row],[pi_last_name]]=" ","",HYPERLINK("https://www.ejacket.nsf.gov/ej/processReviewAnalysis.do?dispatch=add&amp;uniqId="&amp;BudgetsTable[[#This Row],[prop_id]]&amp;PO_id,"&gt;ra"))</f>
        <v/>
      </c>
      <c r="N15" s="79" t="s">
        <v>13</v>
      </c>
      <c r="O15" s="7" t="str">
        <f>IF(BudgetsTable[[#This Row],[pi_last_name]]=" ","",HYPERLINK("mailto:"&amp;BudgetsTable[[#This Row],[pi_email]]&amp;"&amp;subject=Your NSF Proposal:  "&amp;BudgetsTable[[#This Row],[prop_id]],BudgetsTable[[#This Row],[pi_email]]))</f>
        <v/>
      </c>
      <c r="P15" s="79" t="s">
        <v>13</v>
      </c>
      <c r="Q15" s="79">
        <v>1</v>
      </c>
      <c r="R15" s="79">
        <v>1</v>
      </c>
      <c r="S15" s="80">
        <v>0</v>
      </c>
      <c r="T15" s="80">
        <v>3000</v>
      </c>
      <c r="U15" s="80">
        <v>0</v>
      </c>
      <c r="V15" s="81">
        <v>108456</v>
      </c>
      <c r="W15" s="79">
        <v>0</v>
      </c>
      <c r="X15" s="79">
        <v>5</v>
      </c>
      <c r="Y15" s="11" t="str">
        <f ca="1">IF(ISBLANK(BudgetsTable[[#This Row],[budg_seq_yr]]),"FY"&amp;fiscalyear,"FY"&amp;fiscalyear-1+BudgetsTable[[#This Row],[budg_seq_yr]])</f>
        <v>FY22</v>
      </c>
      <c r="Z15" s="80">
        <v>108456</v>
      </c>
      <c r="AA15" s="79" t="s">
        <v>780</v>
      </c>
      <c r="AB15" s="79" t="s">
        <v>567</v>
      </c>
      <c r="AC15" s="106" t="s">
        <v>94</v>
      </c>
      <c r="AD15" s="79" t="s">
        <v>790</v>
      </c>
    </row>
    <row r="16" spans="1:30">
      <c r="A16" s="10" t="s">
        <v>936</v>
      </c>
      <c r="B16" s="77" t="s">
        <v>96</v>
      </c>
      <c r="C16" s="77">
        <f>C15+(BudgetsTable[[#This Row],[lead]]&lt;&gt;K15)</f>
        <v>13</v>
      </c>
      <c r="D16" s="77">
        <f>D15*(BudgetsTable[[#This Row],[lead]]=K15)+(BudgetsTable[[#This Row],[prop_id]]&lt;&gt;A15)</f>
        <v>1</v>
      </c>
      <c r="E16" s="78">
        <v>42933.579861111109</v>
      </c>
      <c r="F16" s="79" t="s">
        <v>244</v>
      </c>
      <c r="G16" s="79" t="s">
        <v>780</v>
      </c>
      <c r="H16" s="79" t="s">
        <v>567</v>
      </c>
      <c r="I16" s="77" t="s">
        <v>944</v>
      </c>
      <c r="J16" s="77" t="s">
        <v>1375</v>
      </c>
      <c r="K16" s="79" t="s">
        <v>936</v>
      </c>
      <c r="L16" s="7" t="str">
        <f>IF(BudgetsTable[[#This Row],[pi_last_name]]=" ","",HYPERLINK("https://www.ejacket.nsf.gov/ej/showProposal.do?Continue=Y&amp;ID="&amp;BudgetsTable[[#This Row],[prop_id]],BudgetsTable[[#This Row],[prop_id]]))</f>
        <v>1749414</v>
      </c>
      <c r="M16" s="15" t="str">
        <f>IF(BudgetsTable[[#This Row],[pi_last_name]]=" ","",HYPERLINK("https://www.ejacket.nsf.gov/ej/processReviewAnalysis.do?dispatch=add&amp;uniqId="&amp;BudgetsTable[[#This Row],[prop_id]]&amp;PO_id,"&gt;ra"))</f>
        <v>&gt;ra</v>
      </c>
      <c r="N16" s="79" t="s">
        <v>937</v>
      </c>
      <c r="O16" s="7" t="str">
        <f>IF(BudgetsTable[[#This Row],[pi_last_name]]=" ","",HYPERLINK("mailto:"&amp;BudgetsTable[[#This Row],[pi_email]]&amp;"&amp;subject=Your NSF Proposal:  "&amp;BudgetsTable[[#This Row],[prop_id]],BudgetsTable[[#This Row],[pi_email]]))</f>
        <v>bmoseley@seas.wustl.edu</v>
      </c>
      <c r="P16" s="79" t="s">
        <v>343</v>
      </c>
      <c r="Q16" s="79"/>
      <c r="R16" s="79"/>
      <c r="S16" s="80"/>
      <c r="T16" s="80"/>
      <c r="U16" s="80"/>
      <c r="V16" s="81"/>
      <c r="W16" s="79">
        <v>0</v>
      </c>
      <c r="X16" s="79"/>
      <c r="Y16" s="11" t="str">
        <f ca="1">IF(ISBLANK(BudgetsTable[[#This Row],[budg_seq_yr]]),"FY"&amp;fiscalyear,"FY"&amp;fiscalyear-1+BudgetsTable[[#This Row],[budg_seq_yr]])</f>
        <v>FY18</v>
      </c>
      <c r="Z16" s="80">
        <v>545000</v>
      </c>
      <c r="AA16" s="79" t="s">
        <v>780</v>
      </c>
      <c r="AB16" s="79" t="s">
        <v>567</v>
      </c>
      <c r="AC16" s="106" t="s">
        <v>94</v>
      </c>
      <c r="AD16" s="79" t="s">
        <v>819</v>
      </c>
    </row>
    <row r="17" spans="1:30">
      <c r="A17" s="10" t="s">
        <v>936</v>
      </c>
      <c r="B17" s="77" t="s">
        <v>96</v>
      </c>
      <c r="C17" s="77">
        <f>C16+(BudgetsTable[[#This Row],[lead]]&lt;&gt;K16)</f>
        <v>13</v>
      </c>
      <c r="D17" s="77">
        <f>D16*(BudgetsTable[[#This Row],[lead]]=K16)+(BudgetsTable[[#This Row],[prop_id]]&lt;&gt;A16)</f>
        <v>1</v>
      </c>
      <c r="E17" s="78">
        <v>42933.579861111109</v>
      </c>
      <c r="F17" s="79" t="s">
        <v>244</v>
      </c>
      <c r="G17" s="79" t="s">
        <v>780</v>
      </c>
      <c r="H17" s="79" t="s">
        <v>567</v>
      </c>
      <c r="I17" s="77" t="s">
        <v>944</v>
      </c>
      <c r="J17" s="77" t="s">
        <v>13</v>
      </c>
      <c r="K17" s="79" t="s">
        <v>936</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1.3</v>
      </c>
      <c r="S17" s="80">
        <v>0</v>
      </c>
      <c r="T17" s="80">
        <v>0</v>
      </c>
      <c r="U17" s="80">
        <v>8000</v>
      </c>
      <c r="V17" s="81">
        <v>118096</v>
      </c>
      <c r="W17" s="79">
        <v>0</v>
      </c>
      <c r="X17" s="79">
        <v>1</v>
      </c>
      <c r="Y17" s="11" t="str">
        <f ca="1">IF(ISBLANK(BudgetsTable[[#This Row],[budg_seq_yr]]),"FY"&amp;fiscalyear,"FY"&amp;fiscalyear-1+BudgetsTable[[#This Row],[budg_seq_yr]])</f>
        <v>FY18</v>
      </c>
      <c r="Z17" s="80">
        <v>118096</v>
      </c>
      <c r="AA17" s="79" t="s">
        <v>780</v>
      </c>
      <c r="AB17" s="79" t="s">
        <v>567</v>
      </c>
      <c r="AC17" s="106" t="s">
        <v>94</v>
      </c>
      <c r="AD17" s="79" t="s">
        <v>819</v>
      </c>
    </row>
    <row r="18" spans="1:30">
      <c r="A18" s="10" t="s">
        <v>936</v>
      </c>
      <c r="B18" s="77" t="s">
        <v>96</v>
      </c>
      <c r="C18" s="77">
        <f>C17+(BudgetsTable[[#This Row],[lead]]&lt;&gt;K17)</f>
        <v>13</v>
      </c>
      <c r="D18" s="77">
        <f>D17*(BudgetsTable[[#This Row],[lead]]=K17)+(BudgetsTable[[#This Row],[prop_id]]&lt;&gt;A17)</f>
        <v>1</v>
      </c>
      <c r="E18" s="78">
        <v>42933.579861111109</v>
      </c>
      <c r="F18" s="79" t="s">
        <v>244</v>
      </c>
      <c r="G18" s="79" t="s">
        <v>780</v>
      </c>
      <c r="H18" s="79" t="s">
        <v>567</v>
      </c>
      <c r="I18" s="77" t="s">
        <v>944</v>
      </c>
      <c r="J18" s="77" t="s">
        <v>13</v>
      </c>
      <c r="K18" s="79" t="s">
        <v>936</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1.3</v>
      </c>
      <c r="S18" s="80">
        <v>0</v>
      </c>
      <c r="T18" s="80">
        <v>0</v>
      </c>
      <c r="U18" s="80">
        <v>0</v>
      </c>
      <c r="V18" s="81">
        <v>103981</v>
      </c>
      <c r="W18" s="79">
        <v>0</v>
      </c>
      <c r="X18" s="79">
        <v>2</v>
      </c>
      <c r="Y18" s="11" t="str">
        <f ca="1">IF(ISBLANK(BudgetsTable[[#This Row],[budg_seq_yr]]),"FY"&amp;fiscalyear,"FY"&amp;fiscalyear-1+BudgetsTable[[#This Row],[budg_seq_yr]])</f>
        <v>FY19</v>
      </c>
      <c r="Z18" s="80">
        <v>103981</v>
      </c>
      <c r="AA18" s="79" t="s">
        <v>780</v>
      </c>
      <c r="AB18" s="79" t="s">
        <v>567</v>
      </c>
      <c r="AC18" s="106" t="s">
        <v>94</v>
      </c>
      <c r="AD18" s="79" t="s">
        <v>819</v>
      </c>
    </row>
    <row r="19" spans="1:30">
      <c r="A19" s="10" t="s">
        <v>936</v>
      </c>
      <c r="B19" s="77" t="s">
        <v>96</v>
      </c>
      <c r="C19" s="77">
        <f>C18+(BudgetsTable[[#This Row],[lead]]&lt;&gt;K18)</f>
        <v>13</v>
      </c>
      <c r="D19" s="77">
        <f>D18*(BudgetsTable[[#This Row],[lead]]=K18)+(BudgetsTable[[#This Row],[prop_id]]&lt;&gt;A18)</f>
        <v>1</v>
      </c>
      <c r="E19" s="78">
        <v>42933.579861111109</v>
      </c>
      <c r="F19" s="79" t="s">
        <v>244</v>
      </c>
      <c r="G19" s="79" t="s">
        <v>780</v>
      </c>
      <c r="H19" s="79" t="s">
        <v>567</v>
      </c>
      <c r="I19" s="77" t="s">
        <v>944</v>
      </c>
      <c r="J19" s="77" t="s">
        <v>13</v>
      </c>
      <c r="K19" s="79" t="s">
        <v>936</v>
      </c>
      <c r="L19" s="7" t="str">
        <f>IF(BudgetsTable[[#This Row],[pi_last_name]]=" ","",HYPERLINK("https://www.ejacket.nsf.gov/ej/showProposal.do?Continue=Y&amp;ID="&amp;BudgetsTable[[#This Row],[prop_id]],BudgetsTable[[#This Row],[prop_id]]))</f>
        <v/>
      </c>
      <c r="M19" s="15" t="str">
        <f>IF(BudgetsTable[[#This Row],[pi_last_name]]=" ","",HYPERLINK("https://www.ejacket.nsf.gov/ej/processReviewAnalysis.do?dispatch=add&amp;uniqId="&amp;BudgetsTable[[#This Row],[prop_id]]&amp;PO_id,"&gt;ra"))</f>
        <v/>
      </c>
      <c r="N19" s="79" t="s">
        <v>13</v>
      </c>
      <c r="O19" s="7" t="str">
        <f>IF(BudgetsTable[[#This Row],[pi_last_name]]=" ","",HYPERLINK("mailto:"&amp;BudgetsTable[[#This Row],[pi_email]]&amp;"&amp;subject=Your NSF Proposal:  "&amp;BudgetsTable[[#This Row],[prop_id]],BudgetsTable[[#This Row],[pi_email]]))</f>
        <v/>
      </c>
      <c r="P19" s="79" t="s">
        <v>13</v>
      </c>
      <c r="Q19" s="79">
        <v>1</v>
      </c>
      <c r="R19" s="79">
        <v>1.3</v>
      </c>
      <c r="S19" s="80">
        <v>0</v>
      </c>
      <c r="T19" s="80">
        <v>0</v>
      </c>
      <c r="U19" s="80">
        <v>0</v>
      </c>
      <c r="V19" s="81">
        <v>105714</v>
      </c>
      <c r="W19" s="79">
        <v>0</v>
      </c>
      <c r="X19" s="79">
        <v>3</v>
      </c>
      <c r="Y19" s="11" t="str">
        <f ca="1">IF(ISBLANK(BudgetsTable[[#This Row],[budg_seq_yr]]),"FY"&amp;fiscalyear,"FY"&amp;fiscalyear-1+BudgetsTable[[#This Row],[budg_seq_yr]])</f>
        <v>FY20</v>
      </c>
      <c r="Z19" s="80">
        <v>105714</v>
      </c>
      <c r="AA19" s="79" t="s">
        <v>780</v>
      </c>
      <c r="AB19" s="79" t="s">
        <v>567</v>
      </c>
      <c r="AC19" s="106" t="s">
        <v>94</v>
      </c>
      <c r="AD19" s="79" t="s">
        <v>819</v>
      </c>
    </row>
    <row r="20" spans="1:30">
      <c r="A20" s="10" t="s">
        <v>936</v>
      </c>
      <c r="B20" s="77" t="s">
        <v>96</v>
      </c>
      <c r="C20" s="77">
        <f>C19+(BudgetsTable[[#This Row],[lead]]&lt;&gt;K19)</f>
        <v>13</v>
      </c>
      <c r="D20" s="77">
        <f>D19*(BudgetsTable[[#This Row],[lead]]=K19)+(BudgetsTable[[#This Row],[prop_id]]&lt;&gt;A19)</f>
        <v>1</v>
      </c>
      <c r="E20" s="78">
        <v>42933.579861111109</v>
      </c>
      <c r="F20" s="79" t="s">
        <v>244</v>
      </c>
      <c r="G20" s="79" t="s">
        <v>780</v>
      </c>
      <c r="H20" s="79" t="s">
        <v>567</v>
      </c>
      <c r="I20" s="77" t="s">
        <v>944</v>
      </c>
      <c r="J20" s="77" t="s">
        <v>13</v>
      </c>
      <c r="K20" s="79" t="s">
        <v>936</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1.3</v>
      </c>
      <c r="S20" s="80">
        <v>0</v>
      </c>
      <c r="T20" s="80">
        <v>0</v>
      </c>
      <c r="U20" s="80">
        <v>0</v>
      </c>
      <c r="V20" s="81">
        <v>107658</v>
      </c>
      <c r="W20" s="79">
        <v>0</v>
      </c>
      <c r="X20" s="79">
        <v>4</v>
      </c>
      <c r="Y20" s="11" t="str">
        <f ca="1">IF(ISBLANK(BudgetsTable[[#This Row],[budg_seq_yr]]),"FY"&amp;fiscalyear,"FY"&amp;fiscalyear-1+BudgetsTable[[#This Row],[budg_seq_yr]])</f>
        <v>FY21</v>
      </c>
      <c r="Z20" s="80">
        <v>107658</v>
      </c>
      <c r="AA20" s="79" t="s">
        <v>780</v>
      </c>
      <c r="AB20" s="79" t="s">
        <v>567</v>
      </c>
      <c r="AC20" s="106" t="s">
        <v>94</v>
      </c>
      <c r="AD20" s="79" t="s">
        <v>819</v>
      </c>
    </row>
    <row r="21" spans="1:30">
      <c r="A21" s="10" t="s">
        <v>936</v>
      </c>
      <c r="B21" s="77" t="s">
        <v>96</v>
      </c>
      <c r="C21" s="77">
        <f>C20+(BudgetsTable[[#This Row],[lead]]&lt;&gt;K20)</f>
        <v>13</v>
      </c>
      <c r="D21" s="77">
        <f>D20*(BudgetsTable[[#This Row],[lead]]=K20)+(BudgetsTable[[#This Row],[prop_id]]&lt;&gt;A20)</f>
        <v>1</v>
      </c>
      <c r="E21" s="78">
        <v>42933.579861111109</v>
      </c>
      <c r="F21" s="79" t="s">
        <v>244</v>
      </c>
      <c r="G21" s="79" t="s">
        <v>780</v>
      </c>
      <c r="H21" s="79" t="s">
        <v>567</v>
      </c>
      <c r="I21" s="77" t="s">
        <v>944</v>
      </c>
      <c r="J21" s="77" t="s">
        <v>13</v>
      </c>
      <c r="K21" s="79" t="s">
        <v>936</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1.3</v>
      </c>
      <c r="S21" s="80">
        <v>0</v>
      </c>
      <c r="T21" s="80">
        <v>0</v>
      </c>
      <c r="U21" s="80">
        <v>0</v>
      </c>
      <c r="V21" s="81">
        <v>109551</v>
      </c>
      <c r="W21" s="79">
        <v>0</v>
      </c>
      <c r="X21" s="79">
        <v>5</v>
      </c>
      <c r="Y21" s="11" t="str">
        <f ca="1">IF(ISBLANK(BudgetsTable[[#This Row],[budg_seq_yr]]),"FY"&amp;fiscalyear,"FY"&amp;fiscalyear-1+BudgetsTable[[#This Row],[budg_seq_yr]])</f>
        <v>FY22</v>
      </c>
      <c r="Z21" s="80">
        <v>109551</v>
      </c>
      <c r="AA21" s="79" t="s">
        <v>780</v>
      </c>
      <c r="AB21" s="79" t="s">
        <v>567</v>
      </c>
      <c r="AC21" s="106" t="s">
        <v>94</v>
      </c>
      <c r="AD21" s="79" t="s">
        <v>819</v>
      </c>
    </row>
    <row r="22" spans="1:30">
      <c r="A22" s="10" t="s">
        <v>624</v>
      </c>
      <c r="B22" s="77" t="s">
        <v>96</v>
      </c>
      <c r="C22" s="77">
        <f>C21+(BudgetsTable[[#This Row],[lead]]&lt;&gt;K21)</f>
        <v>14</v>
      </c>
      <c r="D22" s="77">
        <f>D21*(BudgetsTable[[#This Row],[lead]]=K21)+(BudgetsTable[[#This Row],[prop_id]]&lt;&gt;A21)</f>
        <v>1</v>
      </c>
      <c r="E22" s="78">
        <v>42933.713888888888</v>
      </c>
      <c r="F22" s="79" t="s">
        <v>244</v>
      </c>
      <c r="G22" s="79" t="s">
        <v>780</v>
      </c>
      <c r="H22" s="79" t="s">
        <v>567</v>
      </c>
      <c r="I22" s="77" t="s">
        <v>579</v>
      </c>
      <c r="J22" s="77" t="s">
        <v>800</v>
      </c>
      <c r="K22" s="79" t="s">
        <v>624</v>
      </c>
      <c r="L22" s="7" t="str">
        <f>IF(BudgetsTable[[#This Row],[pi_last_name]]=" ","",HYPERLINK("https://www.ejacket.nsf.gov/ej/showProposal.do?Continue=Y&amp;ID="&amp;BudgetsTable[[#This Row],[prop_id]],BudgetsTable[[#This Row],[prop_id]]))</f>
        <v>1749563</v>
      </c>
      <c r="M22" s="15" t="str">
        <f>IF(BudgetsTable[[#This Row],[pi_last_name]]=" ","",HYPERLINK("https://www.ejacket.nsf.gov/ej/processReviewAnalysis.do?dispatch=add&amp;uniqId="&amp;BudgetsTable[[#This Row],[prop_id]]&amp;PO_id,"&gt;ra"))</f>
        <v>&gt;ra</v>
      </c>
      <c r="N22" s="79" t="s">
        <v>625</v>
      </c>
      <c r="O22" s="7" t="str">
        <f>IF(BudgetsTable[[#This Row],[pi_last_name]]=" ","",HYPERLINK("mailto:"&amp;BudgetsTable[[#This Row],[pi_email]]&amp;"&amp;subject=Your NSF Proposal:  "&amp;BudgetsTable[[#This Row],[prop_id]],BudgetsTable[[#This Row],[pi_email]]))</f>
        <v>delpia@wisc.edu</v>
      </c>
      <c r="P22" s="79" t="s">
        <v>249</v>
      </c>
      <c r="Q22" s="79"/>
      <c r="R22" s="79"/>
      <c r="S22" s="80"/>
      <c r="T22" s="80"/>
      <c r="U22" s="80"/>
      <c r="V22" s="81"/>
      <c r="W22" s="79">
        <v>0</v>
      </c>
      <c r="X22" s="79"/>
      <c r="Y22" s="11" t="str">
        <f ca="1">IF(ISBLANK(BudgetsTable[[#This Row],[budg_seq_yr]]),"FY"&amp;fiscalyear,"FY"&amp;fiscalyear-1+BudgetsTable[[#This Row],[budg_seq_yr]])</f>
        <v>FY18</v>
      </c>
      <c r="Z22" s="80">
        <v>500000</v>
      </c>
      <c r="AA22" s="79" t="s">
        <v>780</v>
      </c>
      <c r="AB22" s="79" t="s">
        <v>567</v>
      </c>
      <c r="AC22" s="106" t="s">
        <v>94</v>
      </c>
      <c r="AD22" s="79" t="s">
        <v>783</v>
      </c>
    </row>
    <row r="23" spans="1:30">
      <c r="A23" s="10" t="s">
        <v>624</v>
      </c>
      <c r="B23" s="77" t="s">
        <v>96</v>
      </c>
      <c r="C23" s="77">
        <f>C22+(BudgetsTable[[#This Row],[lead]]&lt;&gt;K22)</f>
        <v>14</v>
      </c>
      <c r="D23" s="77">
        <f>D22*(BudgetsTable[[#This Row],[lead]]=K22)+(BudgetsTable[[#This Row],[prop_id]]&lt;&gt;A22)</f>
        <v>1</v>
      </c>
      <c r="E23" s="78">
        <v>42933.713888888888</v>
      </c>
      <c r="F23" s="79" t="s">
        <v>244</v>
      </c>
      <c r="G23" s="79" t="s">
        <v>780</v>
      </c>
      <c r="H23" s="79" t="s">
        <v>567</v>
      </c>
      <c r="I23" s="77" t="s">
        <v>579</v>
      </c>
      <c r="J23" s="77" t="s">
        <v>13</v>
      </c>
      <c r="K23" s="79" t="s">
        <v>624</v>
      </c>
      <c r="L23" s="7" t="str">
        <f>IF(BudgetsTable[[#This Row],[pi_last_name]]=" ","",HYPERLINK("https://www.ejacket.nsf.gov/ej/showProposal.do?Continue=Y&amp;ID="&amp;BudgetsTable[[#This Row],[prop_id]],BudgetsTable[[#This Row],[prop_id]]))</f>
        <v/>
      </c>
      <c r="M23" s="15" t="str">
        <f>IF(BudgetsTable[[#This Row],[pi_last_name]]=" ","",HYPERLINK("https://www.ejacket.nsf.gov/ej/processReviewAnalysis.do?dispatch=add&amp;uniqId="&amp;BudgetsTable[[#This Row],[prop_id]]&amp;PO_id,"&gt;ra"))</f>
        <v/>
      </c>
      <c r="N23" s="79" t="s">
        <v>13</v>
      </c>
      <c r="O23" s="7" t="str">
        <f>IF(BudgetsTable[[#This Row],[pi_last_name]]=" ","",HYPERLINK("mailto:"&amp;BudgetsTable[[#This Row],[pi_email]]&amp;"&amp;subject=Your NSF Proposal:  "&amp;BudgetsTable[[#This Row],[prop_id]],BudgetsTable[[#This Row],[pi_email]]))</f>
        <v/>
      </c>
      <c r="P23" s="79" t="s">
        <v>13</v>
      </c>
      <c r="Q23" s="79">
        <v>1</v>
      </c>
      <c r="R23" s="79">
        <v>1</v>
      </c>
      <c r="S23" s="80">
        <v>0</v>
      </c>
      <c r="T23" s="80">
        <v>2483</v>
      </c>
      <c r="U23" s="80">
        <v>0</v>
      </c>
      <c r="V23" s="81">
        <v>103953</v>
      </c>
      <c r="W23" s="79">
        <v>0</v>
      </c>
      <c r="X23" s="79">
        <v>1</v>
      </c>
      <c r="Y23" s="11" t="str">
        <f ca="1">IF(ISBLANK(BudgetsTable[[#This Row],[budg_seq_yr]]),"FY"&amp;fiscalyear,"FY"&amp;fiscalyear-1+BudgetsTable[[#This Row],[budg_seq_yr]])</f>
        <v>FY18</v>
      </c>
      <c r="Z23" s="80">
        <v>103953</v>
      </c>
      <c r="AA23" s="79" t="s">
        <v>780</v>
      </c>
      <c r="AB23" s="79" t="s">
        <v>567</v>
      </c>
      <c r="AC23" s="106" t="s">
        <v>94</v>
      </c>
      <c r="AD23" s="79" t="s">
        <v>783</v>
      </c>
    </row>
    <row r="24" spans="1:30">
      <c r="A24" s="10" t="s">
        <v>624</v>
      </c>
      <c r="B24" s="77" t="s">
        <v>96</v>
      </c>
      <c r="C24" s="77">
        <f>C23+(BudgetsTable[[#This Row],[lead]]&lt;&gt;K23)</f>
        <v>14</v>
      </c>
      <c r="D24" s="77">
        <f>D23*(BudgetsTable[[#This Row],[lead]]=K23)+(BudgetsTable[[#This Row],[prop_id]]&lt;&gt;A23)</f>
        <v>1</v>
      </c>
      <c r="E24" s="78">
        <v>42933.713888888888</v>
      </c>
      <c r="F24" s="79" t="s">
        <v>244</v>
      </c>
      <c r="G24" s="79" t="s">
        <v>780</v>
      </c>
      <c r="H24" s="79" t="s">
        <v>567</v>
      </c>
      <c r="I24" s="77" t="s">
        <v>579</v>
      </c>
      <c r="J24" s="77" t="s">
        <v>13</v>
      </c>
      <c r="K24" s="79" t="s">
        <v>624</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0</v>
      </c>
      <c r="T24" s="80">
        <v>2483</v>
      </c>
      <c r="U24" s="80">
        <v>0</v>
      </c>
      <c r="V24" s="81">
        <v>95986</v>
      </c>
      <c r="W24" s="79">
        <v>0</v>
      </c>
      <c r="X24" s="79">
        <v>2</v>
      </c>
      <c r="Y24" s="11" t="str">
        <f ca="1">IF(ISBLANK(BudgetsTable[[#This Row],[budg_seq_yr]]),"FY"&amp;fiscalyear,"FY"&amp;fiscalyear-1+BudgetsTable[[#This Row],[budg_seq_yr]])</f>
        <v>FY19</v>
      </c>
      <c r="Z24" s="80">
        <v>95986</v>
      </c>
      <c r="AA24" s="79" t="s">
        <v>780</v>
      </c>
      <c r="AB24" s="79" t="s">
        <v>567</v>
      </c>
      <c r="AC24" s="106" t="s">
        <v>94</v>
      </c>
      <c r="AD24" s="79" t="s">
        <v>783</v>
      </c>
    </row>
    <row r="25" spans="1:30">
      <c r="A25" s="10" t="s">
        <v>624</v>
      </c>
      <c r="B25" s="77" t="s">
        <v>96</v>
      </c>
      <c r="C25" s="77">
        <f>C24+(BudgetsTable[[#This Row],[lead]]&lt;&gt;K24)</f>
        <v>14</v>
      </c>
      <c r="D25" s="77">
        <f>D24*(BudgetsTable[[#This Row],[lead]]=K24)+(BudgetsTable[[#This Row],[prop_id]]&lt;&gt;A24)</f>
        <v>1</v>
      </c>
      <c r="E25" s="78">
        <v>42933.713888888888</v>
      </c>
      <c r="F25" s="79" t="s">
        <v>244</v>
      </c>
      <c r="G25" s="79" t="s">
        <v>780</v>
      </c>
      <c r="H25" s="79" t="s">
        <v>567</v>
      </c>
      <c r="I25" s="77" t="s">
        <v>579</v>
      </c>
      <c r="J25" s="77" t="s">
        <v>13</v>
      </c>
      <c r="K25" s="79" t="s">
        <v>624</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0</v>
      </c>
      <c r="T25" s="80">
        <v>2483</v>
      </c>
      <c r="U25" s="80">
        <v>0</v>
      </c>
      <c r="V25" s="81">
        <v>97655</v>
      </c>
      <c r="W25" s="79">
        <v>0</v>
      </c>
      <c r="X25" s="79">
        <v>3</v>
      </c>
      <c r="Y25" s="11" t="str">
        <f ca="1">IF(ISBLANK(BudgetsTable[[#This Row],[budg_seq_yr]]),"FY"&amp;fiscalyear,"FY"&amp;fiscalyear-1+BudgetsTable[[#This Row],[budg_seq_yr]])</f>
        <v>FY20</v>
      </c>
      <c r="Z25" s="80">
        <v>97655</v>
      </c>
      <c r="AA25" s="79" t="s">
        <v>780</v>
      </c>
      <c r="AB25" s="79" t="s">
        <v>567</v>
      </c>
      <c r="AC25" s="106" t="s">
        <v>94</v>
      </c>
      <c r="AD25" s="79" t="s">
        <v>783</v>
      </c>
    </row>
    <row r="26" spans="1:30">
      <c r="A26" s="10" t="s">
        <v>624</v>
      </c>
      <c r="B26" s="77" t="s">
        <v>96</v>
      </c>
      <c r="C26" s="77">
        <f>C25+(BudgetsTable[[#This Row],[lead]]&lt;&gt;K25)</f>
        <v>14</v>
      </c>
      <c r="D26" s="77">
        <f>D25*(BudgetsTable[[#This Row],[lead]]=K25)+(BudgetsTable[[#This Row],[prop_id]]&lt;&gt;A25)</f>
        <v>1</v>
      </c>
      <c r="E26" s="78">
        <v>42933.713888888888</v>
      </c>
      <c r="F26" s="79" t="s">
        <v>244</v>
      </c>
      <c r="G26" s="79" t="s">
        <v>780</v>
      </c>
      <c r="H26" s="79" t="s">
        <v>567</v>
      </c>
      <c r="I26" s="77" t="s">
        <v>579</v>
      </c>
      <c r="J26" s="77" t="s">
        <v>13</v>
      </c>
      <c r="K26" s="79" t="s">
        <v>624</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0</v>
      </c>
      <c r="T26" s="80">
        <v>2483</v>
      </c>
      <c r="U26" s="80">
        <v>0</v>
      </c>
      <c r="V26" s="81">
        <v>99915</v>
      </c>
      <c r="W26" s="79">
        <v>0</v>
      </c>
      <c r="X26" s="79">
        <v>4</v>
      </c>
      <c r="Y26" s="11" t="str">
        <f ca="1">IF(ISBLANK(BudgetsTable[[#This Row],[budg_seq_yr]]),"FY"&amp;fiscalyear,"FY"&amp;fiscalyear-1+BudgetsTable[[#This Row],[budg_seq_yr]])</f>
        <v>FY21</v>
      </c>
      <c r="Z26" s="80">
        <v>99915</v>
      </c>
      <c r="AA26" s="79" t="s">
        <v>780</v>
      </c>
      <c r="AB26" s="79" t="s">
        <v>567</v>
      </c>
      <c r="AC26" s="106" t="s">
        <v>94</v>
      </c>
      <c r="AD26" s="79" t="s">
        <v>783</v>
      </c>
    </row>
    <row r="27" spans="1:30">
      <c r="A27" s="10" t="s">
        <v>624</v>
      </c>
      <c r="B27" s="77" t="s">
        <v>96</v>
      </c>
      <c r="C27" s="77">
        <f>C26+(BudgetsTable[[#This Row],[lead]]&lt;&gt;K26)</f>
        <v>14</v>
      </c>
      <c r="D27" s="77">
        <f>D26*(BudgetsTable[[#This Row],[lead]]=K26)+(BudgetsTable[[#This Row],[prop_id]]&lt;&gt;A26)</f>
        <v>1</v>
      </c>
      <c r="E27" s="78">
        <v>42933.713888888888</v>
      </c>
      <c r="F27" s="79" t="s">
        <v>244</v>
      </c>
      <c r="G27" s="79" t="s">
        <v>780</v>
      </c>
      <c r="H27" s="79" t="s">
        <v>567</v>
      </c>
      <c r="I27" s="77" t="s">
        <v>579</v>
      </c>
      <c r="J27" s="77" t="s">
        <v>13</v>
      </c>
      <c r="K27" s="79" t="s">
        <v>624</v>
      </c>
      <c r="L27" s="7" t="str">
        <f>IF(BudgetsTable[[#This Row],[pi_last_name]]=" ","",HYPERLINK("https://www.ejacket.nsf.gov/ej/showProposal.do?Continue=Y&amp;ID="&amp;BudgetsTable[[#This Row],[prop_id]],BudgetsTable[[#This Row],[prop_id]]))</f>
        <v/>
      </c>
      <c r="M27" s="15" t="str">
        <f>IF(BudgetsTable[[#This Row],[pi_last_name]]=" ","",HYPERLINK("https://www.ejacket.nsf.gov/ej/processReviewAnalysis.do?dispatch=add&amp;uniqId="&amp;BudgetsTable[[#This Row],[prop_id]]&amp;PO_id,"&gt;ra"))</f>
        <v/>
      </c>
      <c r="N27" s="79" t="s">
        <v>13</v>
      </c>
      <c r="O27" s="7" t="str">
        <f>IF(BudgetsTable[[#This Row],[pi_last_name]]=" ","",HYPERLINK("mailto:"&amp;BudgetsTable[[#This Row],[pi_email]]&amp;"&amp;subject=Your NSF Proposal:  "&amp;BudgetsTable[[#This Row],[prop_id]],BudgetsTable[[#This Row],[pi_email]]))</f>
        <v/>
      </c>
      <c r="P27" s="79" t="s">
        <v>13</v>
      </c>
      <c r="Q27" s="79">
        <v>1</v>
      </c>
      <c r="R27" s="79">
        <v>1</v>
      </c>
      <c r="S27" s="80">
        <v>0</v>
      </c>
      <c r="T27" s="80">
        <v>2484</v>
      </c>
      <c r="U27" s="80">
        <v>0</v>
      </c>
      <c r="V27" s="81">
        <v>102491</v>
      </c>
      <c r="W27" s="79">
        <v>0</v>
      </c>
      <c r="X27" s="79">
        <v>5</v>
      </c>
      <c r="Y27" s="11" t="str">
        <f ca="1">IF(ISBLANK(BudgetsTable[[#This Row],[budg_seq_yr]]),"FY"&amp;fiscalyear,"FY"&amp;fiscalyear-1+BudgetsTable[[#This Row],[budg_seq_yr]])</f>
        <v>FY22</v>
      </c>
      <c r="Z27" s="80">
        <v>102491</v>
      </c>
      <c r="AA27" s="79" t="s">
        <v>780</v>
      </c>
      <c r="AB27" s="79" t="s">
        <v>567</v>
      </c>
      <c r="AC27" s="106" t="s">
        <v>94</v>
      </c>
      <c r="AD27" s="79" t="s">
        <v>783</v>
      </c>
    </row>
    <row r="28" spans="1:30">
      <c r="A28" s="10" t="s">
        <v>635</v>
      </c>
      <c r="B28" s="77" t="s">
        <v>96</v>
      </c>
      <c r="C28" s="77">
        <f>C27+(BudgetsTable[[#This Row],[lead]]&lt;&gt;K27)</f>
        <v>15</v>
      </c>
      <c r="D28" s="77">
        <f>D27*(BudgetsTable[[#This Row],[lead]]=K27)+(BudgetsTable[[#This Row],[prop_id]]&lt;&gt;A27)</f>
        <v>1</v>
      </c>
      <c r="E28" s="78">
        <v>42933.820138888892</v>
      </c>
      <c r="F28" s="79" t="s">
        <v>244</v>
      </c>
      <c r="G28" s="79" t="s">
        <v>780</v>
      </c>
      <c r="H28" s="79" t="s">
        <v>567</v>
      </c>
      <c r="I28" s="77" t="s">
        <v>579</v>
      </c>
      <c r="J28" s="77" t="s">
        <v>804</v>
      </c>
      <c r="K28" s="79" t="s">
        <v>635</v>
      </c>
      <c r="L28" s="7" t="str">
        <f>IF(BudgetsTable[[#This Row],[pi_last_name]]=" ","",HYPERLINK("https://www.ejacket.nsf.gov/ej/showProposal.do?Continue=Y&amp;ID="&amp;BudgetsTable[[#This Row],[prop_id]],BudgetsTable[[#This Row],[prop_id]]))</f>
        <v>1749609</v>
      </c>
      <c r="M28" s="15" t="str">
        <f>IF(BudgetsTable[[#This Row],[pi_last_name]]=" ","",HYPERLINK("https://www.ejacket.nsf.gov/ej/processReviewAnalysis.do?dispatch=add&amp;uniqId="&amp;BudgetsTable[[#This Row],[prop_id]]&amp;PO_id,"&gt;ra"))</f>
        <v>&gt;ra</v>
      </c>
      <c r="N28" s="79" t="s">
        <v>344</v>
      </c>
      <c r="O28" s="7" t="str">
        <f>IF(BudgetsTable[[#This Row],[pi_last_name]]=" ","",HYPERLINK("mailto:"&amp;BudgetsTable[[#This Row],[pi_email]]&amp;"&amp;subject=Your NSF Proposal:  "&amp;BudgetsTable[[#This Row],[prop_id]],BudgetsTable[[#This Row],[pi_email]]))</f>
        <v>yintat@uw.edu</v>
      </c>
      <c r="P28" s="79" t="s">
        <v>246</v>
      </c>
      <c r="Q28" s="79"/>
      <c r="R28" s="79"/>
      <c r="S28" s="80"/>
      <c r="T28" s="80"/>
      <c r="U28" s="80"/>
      <c r="V28" s="81"/>
      <c r="W28" s="79">
        <v>0</v>
      </c>
      <c r="X28" s="79"/>
      <c r="Y28" s="11" t="str">
        <f ca="1">IF(ISBLANK(BudgetsTable[[#This Row],[budg_seq_yr]]),"FY"&amp;fiscalyear,"FY"&amp;fiscalyear-1+BudgetsTable[[#This Row],[budg_seq_yr]])</f>
        <v>FY18</v>
      </c>
      <c r="Z28" s="80">
        <v>549841</v>
      </c>
      <c r="AA28" s="79" t="s">
        <v>780</v>
      </c>
      <c r="AB28" s="79" t="s">
        <v>567</v>
      </c>
      <c r="AC28" s="106" t="s">
        <v>94</v>
      </c>
      <c r="AD28" s="79" t="s">
        <v>783</v>
      </c>
    </row>
    <row r="29" spans="1:30">
      <c r="A29" s="10" t="s">
        <v>635</v>
      </c>
      <c r="B29" s="77" t="s">
        <v>96</v>
      </c>
      <c r="C29" s="77">
        <f>C28+(BudgetsTable[[#This Row],[lead]]&lt;&gt;K28)</f>
        <v>15</v>
      </c>
      <c r="D29" s="77">
        <f>D28*(BudgetsTable[[#This Row],[lead]]=K28)+(BudgetsTable[[#This Row],[prop_id]]&lt;&gt;A28)</f>
        <v>1</v>
      </c>
      <c r="E29" s="78">
        <v>42933.820138888892</v>
      </c>
      <c r="F29" s="79" t="s">
        <v>244</v>
      </c>
      <c r="G29" s="79" t="s">
        <v>780</v>
      </c>
      <c r="H29" s="79" t="s">
        <v>567</v>
      </c>
      <c r="I29" s="77" t="s">
        <v>579</v>
      </c>
      <c r="J29" s="77" t="s">
        <v>13</v>
      </c>
      <c r="K29" s="79" t="s">
        <v>635</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105589</v>
      </c>
      <c r="W29" s="79">
        <v>0</v>
      </c>
      <c r="X29" s="79">
        <v>1</v>
      </c>
      <c r="Y29" s="11" t="str">
        <f ca="1">IF(ISBLANK(BudgetsTable[[#This Row],[budg_seq_yr]]),"FY"&amp;fiscalyear,"FY"&amp;fiscalyear-1+BudgetsTable[[#This Row],[budg_seq_yr]])</f>
        <v>FY18</v>
      </c>
      <c r="Z29" s="80">
        <v>105589</v>
      </c>
      <c r="AA29" s="79" t="s">
        <v>780</v>
      </c>
      <c r="AB29" s="79" t="s">
        <v>567</v>
      </c>
      <c r="AC29" s="106" t="s">
        <v>94</v>
      </c>
      <c r="AD29" s="79" t="s">
        <v>783</v>
      </c>
    </row>
    <row r="30" spans="1:30">
      <c r="A30" s="10" t="s">
        <v>635</v>
      </c>
      <c r="B30" s="77" t="s">
        <v>96</v>
      </c>
      <c r="C30" s="77">
        <f>C29+(BudgetsTable[[#This Row],[lead]]&lt;&gt;K29)</f>
        <v>15</v>
      </c>
      <c r="D30" s="77">
        <f>D29*(BudgetsTable[[#This Row],[lead]]=K29)+(BudgetsTable[[#This Row],[prop_id]]&lt;&gt;A29)</f>
        <v>1</v>
      </c>
      <c r="E30" s="78">
        <v>42933.820138888892</v>
      </c>
      <c r="F30" s="79" t="s">
        <v>244</v>
      </c>
      <c r="G30" s="79" t="s">
        <v>780</v>
      </c>
      <c r="H30" s="79" t="s">
        <v>567</v>
      </c>
      <c r="I30" s="77" t="s">
        <v>579</v>
      </c>
      <c r="J30" s="77" t="s">
        <v>13</v>
      </c>
      <c r="K30" s="79" t="s">
        <v>635</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110067</v>
      </c>
      <c r="W30" s="79">
        <v>0</v>
      </c>
      <c r="X30" s="79">
        <v>2</v>
      </c>
      <c r="Y30" s="11" t="str">
        <f ca="1">IF(ISBLANK(BudgetsTable[[#This Row],[budg_seq_yr]]),"FY"&amp;fiscalyear,"FY"&amp;fiscalyear-1+BudgetsTable[[#This Row],[budg_seq_yr]])</f>
        <v>FY19</v>
      </c>
      <c r="Z30" s="80">
        <v>110067</v>
      </c>
      <c r="AA30" s="79" t="s">
        <v>780</v>
      </c>
      <c r="AB30" s="79" t="s">
        <v>567</v>
      </c>
      <c r="AC30" s="106" t="s">
        <v>94</v>
      </c>
      <c r="AD30" s="79" t="s">
        <v>783</v>
      </c>
    </row>
    <row r="31" spans="1:30">
      <c r="A31" s="10" t="s">
        <v>635</v>
      </c>
      <c r="B31" s="77" t="s">
        <v>96</v>
      </c>
      <c r="C31" s="77">
        <f>C30+(BudgetsTable[[#This Row],[lead]]&lt;&gt;K30)</f>
        <v>15</v>
      </c>
      <c r="D31" s="77">
        <f>D30*(BudgetsTable[[#This Row],[lead]]=K30)+(BudgetsTable[[#This Row],[prop_id]]&lt;&gt;A30)</f>
        <v>1</v>
      </c>
      <c r="E31" s="78">
        <v>42933.820138888892</v>
      </c>
      <c r="F31" s="79" t="s">
        <v>244</v>
      </c>
      <c r="G31" s="79" t="s">
        <v>780</v>
      </c>
      <c r="H31" s="79" t="s">
        <v>567</v>
      </c>
      <c r="I31" s="77" t="s">
        <v>579</v>
      </c>
      <c r="J31" s="77" t="s">
        <v>13</v>
      </c>
      <c r="K31" s="79" t="s">
        <v>635</v>
      </c>
      <c r="L31" s="7" t="str">
        <f>IF(BudgetsTable[[#This Row],[pi_last_name]]=" ","",HYPERLINK("https://www.ejacket.nsf.gov/ej/showProposal.do?Continue=Y&amp;ID="&amp;BudgetsTable[[#This Row],[prop_id]],BudgetsTable[[#This Row],[prop_id]]))</f>
        <v/>
      </c>
      <c r="M31" s="15" t="str">
        <f>IF(BudgetsTable[[#This Row],[pi_last_name]]=" ","",HYPERLINK("https://www.ejacket.nsf.gov/ej/processReviewAnalysis.do?dispatch=add&amp;uniqId="&amp;BudgetsTable[[#This Row],[prop_id]]&amp;PO_id,"&gt;ra"))</f>
        <v/>
      </c>
      <c r="N31" s="79" t="s">
        <v>13</v>
      </c>
      <c r="O31" s="7" t="str">
        <f>IF(BudgetsTable[[#This Row],[pi_last_name]]=" ","",HYPERLINK("mailto:"&amp;BudgetsTable[[#This Row],[pi_email]]&amp;"&amp;subject=Your NSF Proposal:  "&amp;BudgetsTable[[#This Row],[prop_id]],BudgetsTable[[#This Row],[pi_email]]))</f>
        <v/>
      </c>
      <c r="P31" s="79" t="s">
        <v>13</v>
      </c>
      <c r="Q31" s="79">
        <v>1</v>
      </c>
      <c r="R31" s="79">
        <v>0.5</v>
      </c>
      <c r="S31" s="80">
        <v>0</v>
      </c>
      <c r="T31" s="80">
        <v>0</v>
      </c>
      <c r="U31" s="80">
        <v>0</v>
      </c>
      <c r="V31" s="81">
        <v>114453</v>
      </c>
      <c r="W31" s="79">
        <v>0</v>
      </c>
      <c r="X31" s="79">
        <v>3</v>
      </c>
      <c r="Y31" s="11" t="str">
        <f ca="1">IF(ISBLANK(BudgetsTable[[#This Row],[budg_seq_yr]]),"FY"&amp;fiscalyear,"FY"&amp;fiscalyear-1+BudgetsTable[[#This Row],[budg_seq_yr]])</f>
        <v>FY20</v>
      </c>
      <c r="Z31" s="80">
        <v>114453</v>
      </c>
      <c r="AA31" s="79" t="s">
        <v>780</v>
      </c>
      <c r="AB31" s="79" t="s">
        <v>567</v>
      </c>
      <c r="AC31" s="106" t="s">
        <v>94</v>
      </c>
      <c r="AD31" s="79" t="s">
        <v>783</v>
      </c>
    </row>
    <row r="32" spans="1:30">
      <c r="A32" s="10" t="s">
        <v>635</v>
      </c>
      <c r="B32" s="77" t="s">
        <v>96</v>
      </c>
      <c r="C32" s="77">
        <f>C31+(BudgetsTable[[#This Row],[lead]]&lt;&gt;K31)</f>
        <v>15</v>
      </c>
      <c r="D32" s="77">
        <f>D31*(BudgetsTable[[#This Row],[lead]]=K31)+(BudgetsTable[[#This Row],[prop_id]]&lt;&gt;A31)</f>
        <v>1</v>
      </c>
      <c r="E32" s="78">
        <v>42933.820138888892</v>
      </c>
      <c r="F32" s="79" t="s">
        <v>244</v>
      </c>
      <c r="G32" s="79" t="s">
        <v>780</v>
      </c>
      <c r="H32" s="79" t="s">
        <v>567</v>
      </c>
      <c r="I32" s="77" t="s">
        <v>579</v>
      </c>
      <c r="J32" s="77" t="s">
        <v>13</v>
      </c>
      <c r="K32" s="79" t="s">
        <v>635</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1</v>
      </c>
      <c r="R32" s="79">
        <v>0.5</v>
      </c>
      <c r="S32" s="80">
        <v>0</v>
      </c>
      <c r="T32" s="80">
        <v>0</v>
      </c>
      <c r="U32" s="80">
        <v>0</v>
      </c>
      <c r="V32" s="81">
        <v>119025</v>
      </c>
      <c r="W32" s="79">
        <v>0</v>
      </c>
      <c r="X32" s="79">
        <v>4</v>
      </c>
      <c r="Y32" s="11" t="str">
        <f ca="1">IF(ISBLANK(BudgetsTable[[#This Row],[budg_seq_yr]]),"FY"&amp;fiscalyear,"FY"&amp;fiscalyear-1+BudgetsTable[[#This Row],[budg_seq_yr]])</f>
        <v>FY21</v>
      </c>
      <c r="Z32" s="80">
        <v>119025</v>
      </c>
      <c r="AA32" s="79" t="s">
        <v>780</v>
      </c>
      <c r="AB32" s="79" t="s">
        <v>567</v>
      </c>
      <c r="AC32" s="106" t="s">
        <v>94</v>
      </c>
      <c r="AD32" s="79" t="s">
        <v>783</v>
      </c>
    </row>
    <row r="33" spans="1:30">
      <c r="A33" s="10" t="s">
        <v>635</v>
      </c>
      <c r="B33" s="77" t="s">
        <v>96</v>
      </c>
      <c r="C33" s="77">
        <f>C32+(BudgetsTable[[#This Row],[lead]]&lt;&gt;K32)</f>
        <v>15</v>
      </c>
      <c r="D33" s="77">
        <f>D32*(BudgetsTable[[#This Row],[lead]]=K32)+(BudgetsTable[[#This Row],[prop_id]]&lt;&gt;A32)</f>
        <v>1</v>
      </c>
      <c r="E33" s="78">
        <v>42933.820138888892</v>
      </c>
      <c r="F33" s="79" t="s">
        <v>244</v>
      </c>
      <c r="G33" s="79" t="s">
        <v>780</v>
      </c>
      <c r="H33" s="79" t="s">
        <v>567</v>
      </c>
      <c r="I33" s="77" t="s">
        <v>579</v>
      </c>
      <c r="J33" s="77" t="s">
        <v>13</v>
      </c>
      <c r="K33" s="79" t="s">
        <v>635</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1</v>
      </c>
      <c r="R33" s="79">
        <v>0.5</v>
      </c>
      <c r="S33" s="80">
        <v>0</v>
      </c>
      <c r="T33" s="80">
        <v>0</v>
      </c>
      <c r="U33" s="80">
        <v>0</v>
      </c>
      <c r="V33" s="81">
        <v>100707</v>
      </c>
      <c r="W33" s="79">
        <v>0</v>
      </c>
      <c r="X33" s="79">
        <v>5</v>
      </c>
      <c r="Y33" s="11" t="str">
        <f ca="1">IF(ISBLANK(BudgetsTable[[#This Row],[budg_seq_yr]]),"FY"&amp;fiscalyear,"FY"&amp;fiscalyear-1+BudgetsTable[[#This Row],[budg_seq_yr]])</f>
        <v>FY22</v>
      </c>
      <c r="Z33" s="80">
        <v>100707</v>
      </c>
      <c r="AA33" s="79" t="s">
        <v>780</v>
      </c>
      <c r="AB33" s="79" t="s">
        <v>567</v>
      </c>
      <c r="AC33" s="106" t="s">
        <v>94</v>
      </c>
      <c r="AD33" s="79" t="s">
        <v>783</v>
      </c>
    </row>
    <row r="34" spans="1:30">
      <c r="A34" s="10" t="s">
        <v>946</v>
      </c>
      <c r="B34" s="77" t="s">
        <v>96</v>
      </c>
      <c r="C34" s="77">
        <f>C33+(BudgetsTable[[#This Row],[lead]]&lt;&gt;K33)</f>
        <v>16</v>
      </c>
      <c r="D34" s="77">
        <f>D33*(BudgetsTable[[#This Row],[lead]]=K33)+(BudgetsTable[[#This Row],[prop_id]]&lt;&gt;A33)</f>
        <v>1</v>
      </c>
      <c r="E34" s="78">
        <v>42934.453472222223</v>
      </c>
      <c r="F34" s="79" t="s">
        <v>244</v>
      </c>
      <c r="G34" s="79" t="s">
        <v>780</v>
      </c>
      <c r="H34" s="79" t="s">
        <v>567</v>
      </c>
      <c r="I34" s="77" t="s">
        <v>944</v>
      </c>
      <c r="J34" s="77" t="s">
        <v>1379</v>
      </c>
      <c r="K34" s="79" t="s">
        <v>946</v>
      </c>
      <c r="L34" s="7" t="str">
        <f>IF(BudgetsTable[[#This Row],[pi_last_name]]=" ","",HYPERLINK("https://www.ejacket.nsf.gov/ej/showProposal.do?Continue=Y&amp;ID="&amp;BudgetsTable[[#This Row],[prop_id]],BudgetsTable[[#This Row],[prop_id]]))</f>
        <v>1749678</v>
      </c>
      <c r="M34" s="15" t="str">
        <f>IF(BudgetsTable[[#This Row],[pi_last_name]]=" ","",HYPERLINK("https://www.ejacket.nsf.gov/ej/processReviewAnalysis.do?dispatch=add&amp;uniqId="&amp;BudgetsTable[[#This Row],[prop_id]]&amp;PO_id,"&gt;ra"))</f>
        <v>&gt;ra</v>
      </c>
      <c r="N34" s="79" t="s">
        <v>947</v>
      </c>
      <c r="O34" s="7" t="str">
        <f>IF(BudgetsTable[[#This Row],[pi_last_name]]=" ","",HYPERLINK("mailto:"&amp;BudgetsTable[[#This Row],[pi_email]]&amp;"&amp;subject=Your NSF Proposal:  "&amp;BudgetsTable[[#This Row],[prop_id]],BudgetsTable[[#This Row],[pi_email]]))</f>
        <v>sim3@ucmerced.edu</v>
      </c>
      <c r="P34" s="79" t="s">
        <v>1377</v>
      </c>
      <c r="Q34" s="79"/>
      <c r="R34" s="79"/>
      <c r="S34" s="80"/>
      <c r="T34" s="80"/>
      <c r="U34" s="80"/>
      <c r="V34" s="81"/>
      <c r="W34" s="79">
        <v>0</v>
      </c>
      <c r="X34" s="79"/>
      <c r="Y34" s="11" t="str">
        <f ca="1">IF(ISBLANK(BudgetsTable[[#This Row],[budg_seq_yr]]),"FY"&amp;fiscalyear,"FY"&amp;fiscalyear-1+BudgetsTable[[#This Row],[budg_seq_yr]])</f>
        <v>FY18</v>
      </c>
      <c r="Z34" s="80">
        <v>514477</v>
      </c>
      <c r="AA34" s="79" t="s">
        <v>780</v>
      </c>
      <c r="AB34" s="79" t="s">
        <v>567</v>
      </c>
      <c r="AC34" s="106" t="s">
        <v>94</v>
      </c>
      <c r="AD34" s="79" t="s">
        <v>783</v>
      </c>
    </row>
    <row r="35" spans="1:30">
      <c r="A35" s="10" t="s">
        <v>946</v>
      </c>
      <c r="B35" s="77" t="s">
        <v>96</v>
      </c>
      <c r="C35" s="77">
        <f>C34+(BudgetsTable[[#This Row],[lead]]&lt;&gt;K34)</f>
        <v>16</v>
      </c>
      <c r="D35" s="77">
        <f>D34*(BudgetsTable[[#This Row],[lead]]=K34)+(BudgetsTable[[#This Row],[prop_id]]&lt;&gt;A34)</f>
        <v>1</v>
      </c>
      <c r="E35" s="78">
        <v>42934.453472222223</v>
      </c>
      <c r="F35" s="79" t="s">
        <v>244</v>
      </c>
      <c r="G35" s="79" t="s">
        <v>780</v>
      </c>
      <c r="H35" s="79" t="s">
        <v>567</v>
      </c>
      <c r="I35" s="77" t="s">
        <v>944</v>
      </c>
      <c r="J35" s="77" t="s">
        <v>13</v>
      </c>
      <c r="K35" s="79" t="s">
        <v>946</v>
      </c>
      <c r="L35" s="7" t="str">
        <f>IF(BudgetsTable[[#This Row],[pi_last_name]]=" ","",HYPERLINK("https://www.ejacket.nsf.gov/ej/showProposal.do?Continue=Y&amp;ID="&amp;BudgetsTable[[#This Row],[prop_id]],BudgetsTable[[#This Row],[prop_id]]))</f>
        <v/>
      </c>
      <c r="M35" s="15" t="str">
        <f>IF(BudgetsTable[[#This Row],[pi_last_name]]=" ","",HYPERLINK("https://www.ejacket.nsf.gov/ej/processReviewAnalysis.do?dispatch=add&amp;uniqId="&amp;BudgetsTable[[#This Row],[prop_id]]&amp;PO_id,"&gt;ra"))</f>
        <v/>
      </c>
      <c r="N35" s="79" t="s">
        <v>13</v>
      </c>
      <c r="O35" s="7" t="str">
        <f>IF(BudgetsTable[[#This Row],[pi_last_name]]=" ","",HYPERLINK("mailto:"&amp;BudgetsTable[[#This Row],[pi_email]]&amp;"&amp;subject=Your NSF Proposal:  "&amp;BudgetsTable[[#This Row],[prop_id]],BudgetsTable[[#This Row],[pi_email]]))</f>
        <v/>
      </c>
      <c r="P35" s="79" t="s">
        <v>13</v>
      </c>
      <c r="Q35" s="79">
        <v>0</v>
      </c>
      <c r="R35" s="79">
        <v>0</v>
      </c>
      <c r="S35" s="80">
        <v>0</v>
      </c>
      <c r="T35" s="80">
        <v>0</v>
      </c>
      <c r="U35" s="80">
        <v>0</v>
      </c>
      <c r="V35" s="81">
        <v>91413</v>
      </c>
      <c r="W35" s="79">
        <v>0</v>
      </c>
      <c r="X35" s="79">
        <v>1</v>
      </c>
      <c r="Y35" s="11" t="str">
        <f ca="1">IF(ISBLANK(BudgetsTable[[#This Row],[budg_seq_yr]]),"FY"&amp;fiscalyear,"FY"&amp;fiscalyear-1+BudgetsTable[[#This Row],[budg_seq_yr]])</f>
        <v>FY18</v>
      </c>
      <c r="Z35" s="80">
        <v>91413</v>
      </c>
      <c r="AA35" s="79" t="s">
        <v>780</v>
      </c>
      <c r="AB35" s="79" t="s">
        <v>567</v>
      </c>
      <c r="AC35" s="106" t="s">
        <v>94</v>
      </c>
      <c r="AD35" s="79" t="s">
        <v>783</v>
      </c>
    </row>
    <row r="36" spans="1:30">
      <c r="A36" s="10" t="s">
        <v>946</v>
      </c>
      <c r="B36" s="77" t="s">
        <v>96</v>
      </c>
      <c r="C36" s="77">
        <f>C35+(BudgetsTable[[#This Row],[lead]]&lt;&gt;K35)</f>
        <v>16</v>
      </c>
      <c r="D36" s="77">
        <f>D35*(BudgetsTable[[#This Row],[lead]]=K35)+(BudgetsTable[[#This Row],[prop_id]]&lt;&gt;A35)</f>
        <v>1</v>
      </c>
      <c r="E36" s="78">
        <v>42934.453472222223</v>
      </c>
      <c r="F36" s="79" t="s">
        <v>244</v>
      </c>
      <c r="G36" s="79" t="s">
        <v>780</v>
      </c>
      <c r="H36" s="79" t="s">
        <v>567</v>
      </c>
      <c r="I36" s="77" t="s">
        <v>944</v>
      </c>
      <c r="J36" s="77" t="s">
        <v>13</v>
      </c>
      <c r="K36" s="79" t="s">
        <v>946</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0</v>
      </c>
      <c r="T36" s="80">
        <v>0</v>
      </c>
      <c r="U36" s="80">
        <v>0</v>
      </c>
      <c r="V36" s="81">
        <v>113277</v>
      </c>
      <c r="W36" s="79">
        <v>0</v>
      </c>
      <c r="X36" s="79">
        <v>2</v>
      </c>
      <c r="Y36" s="11" t="str">
        <f ca="1">IF(ISBLANK(BudgetsTable[[#This Row],[budg_seq_yr]]),"FY"&amp;fiscalyear,"FY"&amp;fiscalyear-1+BudgetsTable[[#This Row],[budg_seq_yr]])</f>
        <v>FY19</v>
      </c>
      <c r="Z36" s="80">
        <v>113277</v>
      </c>
      <c r="AA36" s="79" t="s">
        <v>780</v>
      </c>
      <c r="AB36" s="79" t="s">
        <v>567</v>
      </c>
      <c r="AC36" s="106" t="s">
        <v>94</v>
      </c>
      <c r="AD36" s="79" t="s">
        <v>783</v>
      </c>
    </row>
    <row r="37" spans="1:30">
      <c r="A37" s="10" t="s">
        <v>946</v>
      </c>
      <c r="B37" s="77" t="s">
        <v>96</v>
      </c>
      <c r="C37" s="77">
        <f>C36+(BudgetsTable[[#This Row],[lead]]&lt;&gt;K36)</f>
        <v>16</v>
      </c>
      <c r="D37" s="77">
        <f>D36*(BudgetsTable[[#This Row],[lead]]=K36)+(BudgetsTable[[#This Row],[prop_id]]&lt;&gt;A36)</f>
        <v>1</v>
      </c>
      <c r="E37" s="78">
        <v>42934.453472222223</v>
      </c>
      <c r="F37" s="79" t="s">
        <v>244</v>
      </c>
      <c r="G37" s="79" t="s">
        <v>780</v>
      </c>
      <c r="H37" s="79" t="s">
        <v>567</v>
      </c>
      <c r="I37" s="77" t="s">
        <v>944</v>
      </c>
      <c r="J37" s="77" t="s">
        <v>13</v>
      </c>
      <c r="K37" s="79" t="s">
        <v>946</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2</v>
      </c>
      <c r="S37" s="80">
        <v>0</v>
      </c>
      <c r="T37" s="80">
        <v>0</v>
      </c>
      <c r="U37" s="80">
        <v>0</v>
      </c>
      <c r="V37" s="81">
        <v>100094</v>
      </c>
      <c r="W37" s="79">
        <v>0</v>
      </c>
      <c r="X37" s="79">
        <v>3</v>
      </c>
      <c r="Y37" s="11" t="str">
        <f ca="1">IF(ISBLANK(BudgetsTable[[#This Row],[budg_seq_yr]]),"FY"&amp;fiscalyear,"FY"&amp;fiscalyear-1+BudgetsTable[[#This Row],[budg_seq_yr]])</f>
        <v>FY20</v>
      </c>
      <c r="Z37" s="80">
        <v>100094</v>
      </c>
      <c r="AA37" s="79" t="s">
        <v>780</v>
      </c>
      <c r="AB37" s="79" t="s">
        <v>567</v>
      </c>
      <c r="AC37" s="106" t="s">
        <v>94</v>
      </c>
      <c r="AD37" s="79" t="s">
        <v>783</v>
      </c>
    </row>
    <row r="38" spans="1:30">
      <c r="A38" s="10" t="s">
        <v>946</v>
      </c>
      <c r="B38" s="77" t="s">
        <v>96</v>
      </c>
      <c r="C38" s="77">
        <f>C37+(BudgetsTable[[#This Row],[lead]]&lt;&gt;K37)</f>
        <v>16</v>
      </c>
      <c r="D38" s="77">
        <f>D37*(BudgetsTable[[#This Row],[lead]]=K37)+(BudgetsTable[[#This Row],[prop_id]]&lt;&gt;A37)</f>
        <v>1</v>
      </c>
      <c r="E38" s="78">
        <v>42934.453472222223</v>
      </c>
      <c r="F38" s="79" t="s">
        <v>244</v>
      </c>
      <c r="G38" s="79" t="s">
        <v>780</v>
      </c>
      <c r="H38" s="79" t="s">
        <v>567</v>
      </c>
      <c r="I38" s="77" t="s">
        <v>944</v>
      </c>
      <c r="J38" s="77" t="s">
        <v>13</v>
      </c>
      <c r="K38" s="79" t="s">
        <v>946</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2</v>
      </c>
      <c r="S38" s="80">
        <v>0</v>
      </c>
      <c r="T38" s="80">
        <v>0</v>
      </c>
      <c r="U38" s="80">
        <v>0</v>
      </c>
      <c r="V38" s="81">
        <v>103215</v>
      </c>
      <c r="W38" s="79">
        <v>0</v>
      </c>
      <c r="X38" s="79">
        <v>4</v>
      </c>
      <c r="Y38" s="11" t="str">
        <f ca="1">IF(ISBLANK(BudgetsTable[[#This Row],[budg_seq_yr]]),"FY"&amp;fiscalyear,"FY"&amp;fiscalyear-1+BudgetsTable[[#This Row],[budg_seq_yr]])</f>
        <v>FY21</v>
      </c>
      <c r="Z38" s="80">
        <v>103215</v>
      </c>
      <c r="AA38" s="79" t="s">
        <v>780</v>
      </c>
      <c r="AB38" s="79" t="s">
        <v>567</v>
      </c>
      <c r="AC38" s="106" t="s">
        <v>94</v>
      </c>
      <c r="AD38" s="79" t="s">
        <v>783</v>
      </c>
    </row>
    <row r="39" spans="1:30">
      <c r="A39" s="10" t="s">
        <v>946</v>
      </c>
      <c r="B39" s="77" t="s">
        <v>96</v>
      </c>
      <c r="C39" s="77">
        <f>C38+(BudgetsTable[[#This Row],[lead]]&lt;&gt;K38)</f>
        <v>16</v>
      </c>
      <c r="D39" s="77">
        <f>D38*(BudgetsTable[[#This Row],[lead]]=K38)+(BudgetsTable[[#This Row],[prop_id]]&lt;&gt;A38)</f>
        <v>1</v>
      </c>
      <c r="E39" s="78">
        <v>42934.453472222223</v>
      </c>
      <c r="F39" s="79" t="s">
        <v>244</v>
      </c>
      <c r="G39" s="79" t="s">
        <v>780</v>
      </c>
      <c r="H39" s="79" t="s">
        <v>567</v>
      </c>
      <c r="I39" s="77" t="s">
        <v>944</v>
      </c>
      <c r="J39" s="77" t="s">
        <v>13</v>
      </c>
      <c r="K39" s="79" t="s">
        <v>946</v>
      </c>
      <c r="L39" s="7" t="str">
        <f>IF(BudgetsTable[[#This Row],[pi_last_name]]=" ","",HYPERLINK("https://www.ejacket.nsf.gov/ej/showProposal.do?Continue=Y&amp;ID="&amp;BudgetsTable[[#This Row],[prop_id]],BudgetsTable[[#This Row],[prop_id]]))</f>
        <v/>
      </c>
      <c r="M39" s="15" t="str">
        <f>IF(BudgetsTable[[#This Row],[pi_last_name]]=" ","",HYPERLINK("https://www.ejacket.nsf.gov/ej/processReviewAnalysis.do?dispatch=add&amp;uniqId="&amp;BudgetsTable[[#This Row],[prop_id]]&amp;PO_id,"&gt;ra"))</f>
        <v/>
      </c>
      <c r="N39" s="79" t="s">
        <v>13</v>
      </c>
      <c r="O39" s="7" t="str">
        <f>IF(BudgetsTable[[#This Row],[pi_last_name]]=" ","",HYPERLINK("mailto:"&amp;BudgetsTable[[#This Row],[pi_email]]&amp;"&amp;subject=Your NSF Proposal:  "&amp;BudgetsTable[[#This Row],[prop_id]],BudgetsTable[[#This Row],[pi_email]]))</f>
        <v/>
      </c>
      <c r="P39" s="79" t="s">
        <v>13</v>
      </c>
      <c r="Q39" s="79">
        <v>1</v>
      </c>
      <c r="R39" s="79">
        <v>2</v>
      </c>
      <c r="S39" s="80">
        <v>0</v>
      </c>
      <c r="T39" s="80">
        <v>0</v>
      </c>
      <c r="U39" s="80">
        <v>0</v>
      </c>
      <c r="V39" s="81">
        <v>106478</v>
      </c>
      <c r="W39" s="79">
        <v>0</v>
      </c>
      <c r="X39" s="79">
        <v>5</v>
      </c>
      <c r="Y39" s="11" t="str">
        <f ca="1">IF(ISBLANK(BudgetsTable[[#This Row],[budg_seq_yr]]),"FY"&amp;fiscalyear,"FY"&amp;fiscalyear-1+BudgetsTable[[#This Row],[budg_seq_yr]])</f>
        <v>FY22</v>
      </c>
      <c r="Z39" s="80">
        <v>106478</v>
      </c>
      <c r="AA39" s="79" t="s">
        <v>780</v>
      </c>
      <c r="AB39" s="79" t="s">
        <v>567</v>
      </c>
      <c r="AC39" s="106" t="s">
        <v>94</v>
      </c>
      <c r="AD39" s="79" t="s">
        <v>783</v>
      </c>
    </row>
    <row r="40" spans="1:30">
      <c r="A40" s="10" t="s">
        <v>954</v>
      </c>
      <c r="B40" s="77" t="s">
        <v>96</v>
      </c>
      <c r="C40" s="77">
        <f>C39+(BudgetsTable[[#This Row],[lead]]&lt;&gt;K39)</f>
        <v>17</v>
      </c>
      <c r="D40" s="77">
        <f>D39*(BudgetsTable[[#This Row],[lead]]=K39)+(BudgetsTable[[#This Row],[prop_id]]&lt;&gt;A39)</f>
        <v>1</v>
      </c>
      <c r="E40" s="78">
        <v>42934.507638888892</v>
      </c>
      <c r="F40" s="79" t="s">
        <v>244</v>
      </c>
      <c r="G40" s="79" t="s">
        <v>780</v>
      </c>
      <c r="H40" s="79" t="s">
        <v>567</v>
      </c>
      <c r="I40" s="77" t="s">
        <v>944</v>
      </c>
      <c r="J40" s="77" t="s">
        <v>1382</v>
      </c>
      <c r="K40" s="79" t="s">
        <v>954</v>
      </c>
      <c r="L40" s="7" t="str">
        <f>IF(BudgetsTable[[#This Row],[pi_last_name]]=" ","",HYPERLINK("https://www.ejacket.nsf.gov/ej/showProposal.do?Continue=Y&amp;ID="&amp;BudgetsTable[[#This Row],[prop_id]],BudgetsTable[[#This Row],[prop_id]]))</f>
        <v>1749734</v>
      </c>
      <c r="M40" s="15" t="str">
        <f>IF(BudgetsTable[[#This Row],[pi_last_name]]=" ","",HYPERLINK("https://www.ejacket.nsf.gov/ej/processReviewAnalysis.do?dispatch=add&amp;uniqId="&amp;BudgetsTable[[#This Row],[prop_id]]&amp;PO_id,"&gt;ra"))</f>
        <v>&gt;ra</v>
      </c>
      <c r="N40" s="79" t="s">
        <v>955</v>
      </c>
      <c r="O40" s="7" t="str">
        <f>IF(BudgetsTable[[#This Row],[pi_last_name]]=" ","",HYPERLINK("mailto:"&amp;BudgetsTable[[#This Row],[pi_email]]&amp;"&amp;subject=Your NSF Proposal:  "&amp;BudgetsTable[[#This Row],[prop_id]],BudgetsTable[[#This Row],[pi_email]]))</f>
        <v>sidford@stanford.edu</v>
      </c>
      <c r="P40" s="79" t="s">
        <v>1357</v>
      </c>
      <c r="Q40" s="79"/>
      <c r="R40" s="79"/>
      <c r="S40" s="80"/>
      <c r="T40" s="80"/>
      <c r="U40" s="80"/>
      <c r="V40" s="81"/>
      <c r="W40" s="79">
        <v>0</v>
      </c>
      <c r="X40" s="79"/>
      <c r="Y40" s="11" t="str">
        <f ca="1">IF(ISBLANK(BudgetsTable[[#This Row],[budg_seq_yr]]),"FY"&amp;fiscalyear,"FY"&amp;fiscalyear-1+BudgetsTable[[#This Row],[budg_seq_yr]])</f>
        <v>FY18</v>
      </c>
      <c r="Z40" s="80">
        <v>500000</v>
      </c>
      <c r="AA40" s="79" t="s">
        <v>780</v>
      </c>
      <c r="AB40" s="79" t="s">
        <v>567</v>
      </c>
      <c r="AC40" s="106" t="s">
        <v>94</v>
      </c>
      <c r="AD40" s="79" t="s">
        <v>252</v>
      </c>
    </row>
    <row r="41" spans="1:30">
      <c r="A41" s="10" t="s">
        <v>954</v>
      </c>
      <c r="B41" s="77" t="s">
        <v>96</v>
      </c>
      <c r="C41" s="77">
        <f>C40+(BudgetsTable[[#This Row],[lead]]&lt;&gt;K40)</f>
        <v>17</v>
      </c>
      <c r="D41" s="77">
        <f>D40*(BudgetsTable[[#This Row],[lead]]=K40)+(BudgetsTable[[#This Row],[prop_id]]&lt;&gt;A40)</f>
        <v>1</v>
      </c>
      <c r="E41" s="78">
        <v>42934.507638888892</v>
      </c>
      <c r="F41" s="79" t="s">
        <v>244</v>
      </c>
      <c r="G41" s="79" t="s">
        <v>780</v>
      </c>
      <c r="H41" s="79" t="s">
        <v>567</v>
      </c>
      <c r="I41" s="77" t="s">
        <v>944</v>
      </c>
      <c r="J41" s="77" t="s">
        <v>13</v>
      </c>
      <c r="K41" s="79" t="s">
        <v>954</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1</v>
      </c>
      <c r="R41" s="79">
        <v>1.35</v>
      </c>
      <c r="S41" s="80">
        <v>0</v>
      </c>
      <c r="T41" s="80">
        <v>0</v>
      </c>
      <c r="U41" s="80">
        <v>1500</v>
      </c>
      <c r="V41" s="81">
        <v>94388</v>
      </c>
      <c r="W41" s="79">
        <v>0</v>
      </c>
      <c r="X41" s="79">
        <v>1</v>
      </c>
      <c r="Y41" s="11" t="str">
        <f ca="1">IF(ISBLANK(BudgetsTable[[#This Row],[budg_seq_yr]]),"FY"&amp;fiscalyear,"FY"&amp;fiscalyear-1+BudgetsTable[[#This Row],[budg_seq_yr]])</f>
        <v>FY18</v>
      </c>
      <c r="Z41" s="80">
        <v>94388</v>
      </c>
      <c r="AA41" s="79" t="s">
        <v>780</v>
      </c>
      <c r="AB41" s="79" t="s">
        <v>567</v>
      </c>
      <c r="AC41" s="106" t="s">
        <v>94</v>
      </c>
      <c r="AD41" s="79" t="s">
        <v>252</v>
      </c>
    </row>
    <row r="42" spans="1:30">
      <c r="A42" s="10" t="s">
        <v>954</v>
      </c>
      <c r="B42" s="77" t="s">
        <v>96</v>
      </c>
      <c r="C42" s="77">
        <f>C41+(BudgetsTable[[#This Row],[lead]]&lt;&gt;K41)</f>
        <v>17</v>
      </c>
      <c r="D42" s="77">
        <f>D41*(BudgetsTable[[#This Row],[lead]]=K41)+(BudgetsTable[[#This Row],[prop_id]]&lt;&gt;A41)</f>
        <v>1</v>
      </c>
      <c r="E42" s="78">
        <v>42934.507638888892</v>
      </c>
      <c r="F42" s="79" t="s">
        <v>244</v>
      </c>
      <c r="G42" s="79" t="s">
        <v>780</v>
      </c>
      <c r="H42" s="79" t="s">
        <v>567</v>
      </c>
      <c r="I42" s="77" t="s">
        <v>944</v>
      </c>
      <c r="J42" s="77" t="s">
        <v>13</v>
      </c>
      <c r="K42" s="79" t="s">
        <v>954</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1.35</v>
      </c>
      <c r="S42" s="80">
        <v>0</v>
      </c>
      <c r="T42" s="80">
        <v>0</v>
      </c>
      <c r="U42" s="80">
        <v>1500</v>
      </c>
      <c r="V42" s="81">
        <v>97104</v>
      </c>
      <c r="W42" s="79">
        <v>0</v>
      </c>
      <c r="X42" s="79">
        <v>2</v>
      </c>
      <c r="Y42" s="11" t="str">
        <f ca="1">IF(ISBLANK(BudgetsTable[[#This Row],[budg_seq_yr]]),"FY"&amp;fiscalyear,"FY"&amp;fiscalyear-1+BudgetsTable[[#This Row],[budg_seq_yr]])</f>
        <v>FY19</v>
      </c>
      <c r="Z42" s="80">
        <v>97104</v>
      </c>
      <c r="AA42" s="79" t="s">
        <v>780</v>
      </c>
      <c r="AB42" s="79" t="s">
        <v>567</v>
      </c>
      <c r="AC42" s="106" t="s">
        <v>94</v>
      </c>
      <c r="AD42" s="79" t="s">
        <v>252</v>
      </c>
    </row>
    <row r="43" spans="1:30">
      <c r="A43" s="10" t="s">
        <v>954</v>
      </c>
      <c r="B43" s="77" t="s">
        <v>96</v>
      </c>
      <c r="C43" s="77">
        <f>C42+(BudgetsTable[[#This Row],[lead]]&lt;&gt;K42)</f>
        <v>17</v>
      </c>
      <c r="D43" s="77">
        <f>D42*(BudgetsTable[[#This Row],[lead]]=K42)+(BudgetsTable[[#This Row],[prop_id]]&lt;&gt;A42)</f>
        <v>1</v>
      </c>
      <c r="E43" s="78">
        <v>42934.507638888892</v>
      </c>
      <c r="F43" s="79" t="s">
        <v>244</v>
      </c>
      <c r="G43" s="79" t="s">
        <v>780</v>
      </c>
      <c r="H43" s="79" t="s">
        <v>567</v>
      </c>
      <c r="I43" s="77" t="s">
        <v>944</v>
      </c>
      <c r="J43" s="77" t="s">
        <v>13</v>
      </c>
      <c r="K43" s="79" t="s">
        <v>954</v>
      </c>
      <c r="L43" s="7" t="str">
        <f>IF(BudgetsTable[[#This Row],[pi_last_name]]=" ","",HYPERLINK("https://www.ejacket.nsf.gov/ej/showProposal.do?Continue=Y&amp;ID="&amp;BudgetsTable[[#This Row],[prop_id]],BudgetsTable[[#This Row],[prop_id]]))</f>
        <v/>
      </c>
      <c r="M43" s="15" t="str">
        <f>IF(BudgetsTable[[#This Row],[pi_last_name]]=" ","",HYPERLINK("https://www.ejacket.nsf.gov/ej/processReviewAnalysis.do?dispatch=add&amp;uniqId="&amp;BudgetsTable[[#This Row],[prop_id]]&amp;PO_id,"&gt;ra"))</f>
        <v/>
      </c>
      <c r="N43" s="79" t="s">
        <v>13</v>
      </c>
      <c r="O43" s="7" t="str">
        <f>IF(BudgetsTable[[#This Row],[pi_last_name]]=" ","",HYPERLINK("mailto:"&amp;BudgetsTable[[#This Row],[pi_email]]&amp;"&amp;subject=Your NSF Proposal:  "&amp;BudgetsTable[[#This Row],[prop_id]],BudgetsTable[[#This Row],[pi_email]]))</f>
        <v/>
      </c>
      <c r="P43" s="79" t="s">
        <v>13</v>
      </c>
      <c r="Q43" s="79">
        <v>1</v>
      </c>
      <c r="R43" s="79">
        <v>1.35</v>
      </c>
      <c r="S43" s="80">
        <v>0</v>
      </c>
      <c r="T43" s="80">
        <v>0</v>
      </c>
      <c r="U43" s="80">
        <v>1500</v>
      </c>
      <c r="V43" s="81">
        <v>99911</v>
      </c>
      <c r="W43" s="79">
        <v>0</v>
      </c>
      <c r="X43" s="79">
        <v>3</v>
      </c>
      <c r="Y43" s="11" t="str">
        <f ca="1">IF(ISBLANK(BudgetsTable[[#This Row],[budg_seq_yr]]),"FY"&amp;fiscalyear,"FY"&amp;fiscalyear-1+BudgetsTable[[#This Row],[budg_seq_yr]])</f>
        <v>FY20</v>
      </c>
      <c r="Z43" s="80">
        <v>99911</v>
      </c>
      <c r="AA43" s="79" t="s">
        <v>780</v>
      </c>
      <c r="AB43" s="79" t="s">
        <v>567</v>
      </c>
      <c r="AC43" s="106" t="s">
        <v>94</v>
      </c>
      <c r="AD43" s="79" t="s">
        <v>252</v>
      </c>
    </row>
    <row r="44" spans="1:30">
      <c r="A44" s="10" t="s">
        <v>954</v>
      </c>
      <c r="B44" s="77" t="s">
        <v>96</v>
      </c>
      <c r="C44" s="77">
        <f>C43+(BudgetsTable[[#This Row],[lead]]&lt;&gt;K43)</f>
        <v>17</v>
      </c>
      <c r="D44" s="77">
        <f>D43*(BudgetsTable[[#This Row],[lead]]=K43)+(BudgetsTable[[#This Row],[prop_id]]&lt;&gt;A43)</f>
        <v>1</v>
      </c>
      <c r="E44" s="78">
        <v>42934.507638888892</v>
      </c>
      <c r="F44" s="79" t="s">
        <v>244</v>
      </c>
      <c r="G44" s="79" t="s">
        <v>780</v>
      </c>
      <c r="H44" s="79" t="s">
        <v>567</v>
      </c>
      <c r="I44" s="77" t="s">
        <v>944</v>
      </c>
      <c r="J44" s="77" t="s">
        <v>13</v>
      </c>
      <c r="K44" s="79" t="s">
        <v>954</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1</v>
      </c>
      <c r="R44" s="79">
        <v>1.35</v>
      </c>
      <c r="S44" s="80">
        <v>0</v>
      </c>
      <c r="T44" s="80">
        <v>0</v>
      </c>
      <c r="U44" s="80">
        <v>1500</v>
      </c>
      <c r="V44" s="81">
        <v>102803</v>
      </c>
      <c r="W44" s="79">
        <v>0</v>
      </c>
      <c r="X44" s="79">
        <v>4</v>
      </c>
      <c r="Y44" s="11" t="str">
        <f ca="1">IF(ISBLANK(BudgetsTable[[#This Row],[budg_seq_yr]]),"FY"&amp;fiscalyear,"FY"&amp;fiscalyear-1+BudgetsTable[[#This Row],[budg_seq_yr]])</f>
        <v>FY21</v>
      </c>
      <c r="Z44" s="80">
        <v>102803</v>
      </c>
      <c r="AA44" s="79" t="s">
        <v>780</v>
      </c>
      <c r="AB44" s="79" t="s">
        <v>567</v>
      </c>
      <c r="AC44" s="106" t="s">
        <v>94</v>
      </c>
      <c r="AD44" s="79" t="s">
        <v>252</v>
      </c>
    </row>
    <row r="45" spans="1:30">
      <c r="A45" s="10" t="s">
        <v>954</v>
      </c>
      <c r="B45" s="77" t="s">
        <v>96</v>
      </c>
      <c r="C45" s="77">
        <f>C44+(BudgetsTable[[#This Row],[lead]]&lt;&gt;K44)</f>
        <v>17</v>
      </c>
      <c r="D45" s="77">
        <f>D44*(BudgetsTable[[#This Row],[lead]]=K44)+(BudgetsTable[[#This Row],[prop_id]]&lt;&gt;A44)</f>
        <v>1</v>
      </c>
      <c r="E45" s="78">
        <v>42934.507638888892</v>
      </c>
      <c r="F45" s="79" t="s">
        <v>244</v>
      </c>
      <c r="G45" s="79" t="s">
        <v>780</v>
      </c>
      <c r="H45" s="79" t="s">
        <v>567</v>
      </c>
      <c r="I45" s="77" t="s">
        <v>944</v>
      </c>
      <c r="J45" s="77" t="s">
        <v>13</v>
      </c>
      <c r="K45" s="79" t="s">
        <v>954</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1</v>
      </c>
      <c r="R45" s="79">
        <v>1.35</v>
      </c>
      <c r="S45" s="80">
        <v>0</v>
      </c>
      <c r="T45" s="80">
        <v>0</v>
      </c>
      <c r="U45" s="80">
        <v>1500</v>
      </c>
      <c r="V45" s="81">
        <v>105794</v>
      </c>
      <c r="W45" s="79">
        <v>0</v>
      </c>
      <c r="X45" s="79">
        <v>5</v>
      </c>
      <c r="Y45" s="11" t="str">
        <f ca="1">IF(ISBLANK(BudgetsTable[[#This Row],[budg_seq_yr]]),"FY"&amp;fiscalyear,"FY"&amp;fiscalyear-1+BudgetsTable[[#This Row],[budg_seq_yr]])</f>
        <v>FY22</v>
      </c>
      <c r="Z45" s="80">
        <v>105794</v>
      </c>
      <c r="AA45" s="79" t="s">
        <v>780</v>
      </c>
      <c r="AB45" s="79" t="s">
        <v>567</v>
      </c>
      <c r="AC45" s="106" t="s">
        <v>94</v>
      </c>
      <c r="AD45" s="79" t="s">
        <v>252</v>
      </c>
    </row>
    <row r="46" spans="1:30">
      <c r="A46" s="10" t="s">
        <v>961</v>
      </c>
      <c r="B46" s="77" t="s">
        <v>96</v>
      </c>
      <c r="C46" s="77">
        <f>C45+(BudgetsTable[[#This Row],[lead]]&lt;&gt;K45)</f>
        <v>18</v>
      </c>
      <c r="D46" s="77">
        <f>D45*(BudgetsTable[[#This Row],[lead]]=K45)+(BudgetsTable[[#This Row],[prop_id]]&lt;&gt;A45)</f>
        <v>1</v>
      </c>
      <c r="E46" s="78">
        <v>42934.524305555555</v>
      </c>
      <c r="F46" s="79" t="s">
        <v>244</v>
      </c>
      <c r="G46" s="79" t="s">
        <v>780</v>
      </c>
      <c r="H46" s="79" t="s">
        <v>567</v>
      </c>
      <c r="I46" s="77" t="s">
        <v>582</v>
      </c>
      <c r="J46" s="77" t="s">
        <v>1387</v>
      </c>
      <c r="K46" s="79" t="s">
        <v>961</v>
      </c>
      <c r="L46" s="7" t="str">
        <f>IF(BudgetsTable[[#This Row],[pi_last_name]]=" ","",HYPERLINK("https://www.ejacket.nsf.gov/ej/showProposal.do?Continue=Y&amp;ID="&amp;BudgetsTable[[#This Row],[prop_id]],BudgetsTable[[#This Row],[prop_id]]))</f>
        <v>1749747</v>
      </c>
      <c r="M46" s="15" t="str">
        <f>IF(BudgetsTable[[#This Row],[pi_last_name]]=" ","",HYPERLINK("https://www.ejacket.nsf.gov/ej/processReviewAnalysis.do?dispatch=add&amp;uniqId="&amp;BudgetsTable[[#This Row],[prop_id]]&amp;PO_id,"&gt;ra"))</f>
        <v>&gt;ra</v>
      </c>
      <c r="N46" s="79" t="s">
        <v>962</v>
      </c>
      <c r="O46" s="7" t="str">
        <f>IF(BudgetsTable[[#This Row],[pi_last_name]]=" ","",HYPERLINK("mailto:"&amp;BudgetsTable[[#This Row],[pi_email]]&amp;"&amp;subject=Your NSF Proposal:  "&amp;BudgetsTable[[#This Row],[prop_id]],BudgetsTable[[#This Row],[pi_email]]))</f>
        <v>omri@cs.columbia.edu</v>
      </c>
      <c r="P46" s="79" t="s">
        <v>453</v>
      </c>
      <c r="Q46" s="79"/>
      <c r="R46" s="79"/>
      <c r="S46" s="80"/>
      <c r="T46" s="80"/>
      <c r="U46" s="80"/>
      <c r="V46" s="81"/>
      <c r="W46" s="79">
        <v>0</v>
      </c>
      <c r="X46" s="79"/>
      <c r="Y46" s="11" t="str">
        <f ca="1">IF(ISBLANK(BudgetsTable[[#This Row],[budg_seq_yr]]),"FY"&amp;fiscalyear,"FY"&amp;fiscalyear-1+BudgetsTable[[#This Row],[budg_seq_yr]])</f>
        <v>FY18</v>
      </c>
      <c r="Z46" s="80">
        <v>400000</v>
      </c>
      <c r="AA46" s="79" t="s">
        <v>780</v>
      </c>
      <c r="AB46" s="79" t="s">
        <v>567</v>
      </c>
      <c r="AC46" s="106" t="s">
        <v>94</v>
      </c>
      <c r="AD46" s="79" t="s">
        <v>1383</v>
      </c>
    </row>
    <row r="47" spans="1:30">
      <c r="A47" s="10" t="s">
        <v>961</v>
      </c>
      <c r="B47" s="77" t="s">
        <v>96</v>
      </c>
      <c r="C47" s="77">
        <f>C46+(BudgetsTable[[#This Row],[lead]]&lt;&gt;K46)</f>
        <v>18</v>
      </c>
      <c r="D47" s="77">
        <f>D46*(BudgetsTable[[#This Row],[lead]]=K46)+(BudgetsTable[[#This Row],[prop_id]]&lt;&gt;A46)</f>
        <v>1</v>
      </c>
      <c r="E47" s="78">
        <v>42934.524305555555</v>
      </c>
      <c r="F47" s="79" t="s">
        <v>244</v>
      </c>
      <c r="G47" s="79" t="s">
        <v>780</v>
      </c>
      <c r="H47" s="79" t="s">
        <v>567</v>
      </c>
      <c r="I47" s="77" t="s">
        <v>582</v>
      </c>
      <c r="J47" s="77" t="s">
        <v>13</v>
      </c>
      <c r="K47" s="79" t="s">
        <v>961</v>
      </c>
      <c r="L47" s="7" t="str">
        <f>IF(BudgetsTable[[#This Row],[pi_last_name]]=" ","",HYPERLINK("https://www.ejacket.nsf.gov/ej/showProposal.do?Continue=Y&amp;ID="&amp;BudgetsTable[[#This Row],[prop_id]],BudgetsTable[[#This Row],[prop_id]]))</f>
        <v/>
      </c>
      <c r="M47" s="15" t="str">
        <f>IF(BudgetsTable[[#This Row],[pi_last_name]]=" ","",HYPERLINK("https://www.ejacket.nsf.gov/ej/processReviewAnalysis.do?dispatch=add&amp;uniqId="&amp;BudgetsTable[[#This Row],[prop_id]]&amp;PO_id,"&gt;ra"))</f>
        <v/>
      </c>
      <c r="N47" s="79" t="s">
        <v>13</v>
      </c>
      <c r="O47" s="7" t="str">
        <f>IF(BudgetsTable[[#This Row],[pi_last_name]]=" ","",HYPERLINK("mailto:"&amp;BudgetsTable[[#This Row],[pi_email]]&amp;"&amp;subject=Your NSF Proposal:  "&amp;BudgetsTable[[#This Row],[prop_id]],BudgetsTable[[#This Row],[pi_email]]))</f>
        <v/>
      </c>
      <c r="P47" s="79" t="s">
        <v>13</v>
      </c>
      <c r="Q47" s="79">
        <v>1</v>
      </c>
      <c r="R47" s="79">
        <v>1</v>
      </c>
      <c r="S47" s="80">
        <v>0</v>
      </c>
      <c r="T47" s="80">
        <v>0</v>
      </c>
      <c r="U47" s="80">
        <v>0</v>
      </c>
      <c r="V47" s="81">
        <v>34924</v>
      </c>
      <c r="W47" s="79">
        <v>0</v>
      </c>
      <c r="X47" s="79">
        <v>1</v>
      </c>
      <c r="Y47" s="11" t="str">
        <f ca="1">IF(ISBLANK(BudgetsTable[[#This Row],[budg_seq_yr]]),"FY"&amp;fiscalyear,"FY"&amp;fiscalyear-1+BudgetsTable[[#This Row],[budg_seq_yr]])</f>
        <v>FY18</v>
      </c>
      <c r="Z47" s="80">
        <v>34924</v>
      </c>
      <c r="AA47" s="79" t="s">
        <v>780</v>
      </c>
      <c r="AB47" s="79" t="s">
        <v>567</v>
      </c>
      <c r="AC47" s="106" t="s">
        <v>94</v>
      </c>
      <c r="AD47" s="79" t="s">
        <v>1383</v>
      </c>
    </row>
    <row r="48" spans="1:30">
      <c r="A48" s="10" t="s">
        <v>961</v>
      </c>
      <c r="B48" s="77" t="s">
        <v>96</v>
      </c>
      <c r="C48" s="77">
        <f>C47+(BudgetsTable[[#This Row],[lead]]&lt;&gt;K47)</f>
        <v>18</v>
      </c>
      <c r="D48" s="77">
        <f>D47*(BudgetsTable[[#This Row],[lead]]=K47)+(BudgetsTable[[#This Row],[prop_id]]&lt;&gt;A47)</f>
        <v>1</v>
      </c>
      <c r="E48" s="78">
        <v>42934.524305555555</v>
      </c>
      <c r="F48" s="79" t="s">
        <v>244</v>
      </c>
      <c r="G48" s="79" t="s">
        <v>780</v>
      </c>
      <c r="H48" s="79" t="s">
        <v>567</v>
      </c>
      <c r="I48" s="77" t="s">
        <v>582</v>
      </c>
      <c r="J48" s="77" t="s">
        <v>13</v>
      </c>
      <c r="K48" s="79" t="s">
        <v>961</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0</v>
      </c>
      <c r="T48" s="80">
        <v>0</v>
      </c>
      <c r="U48" s="80">
        <v>0</v>
      </c>
      <c r="V48" s="81">
        <v>111068</v>
      </c>
      <c r="W48" s="79">
        <v>0</v>
      </c>
      <c r="X48" s="79">
        <v>2</v>
      </c>
      <c r="Y48" s="11" t="str">
        <f ca="1">IF(ISBLANK(BudgetsTable[[#This Row],[budg_seq_yr]]),"FY"&amp;fiscalyear,"FY"&amp;fiscalyear-1+BudgetsTable[[#This Row],[budg_seq_yr]])</f>
        <v>FY19</v>
      </c>
      <c r="Z48" s="80">
        <v>111068</v>
      </c>
      <c r="AA48" s="79" t="s">
        <v>780</v>
      </c>
      <c r="AB48" s="79" t="s">
        <v>567</v>
      </c>
      <c r="AC48" s="106" t="s">
        <v>94</v>
      </c>
      <c r="AD48" s="79" t="s">
        <v>1383</v>
      </c>
    </row>
    <row r="49" spans="1:30">
      <c r="A49" s="10" t="s">
        <v>961</v>
      </c>
      <c r="B49" s="77" t="s">
        <v>96</v>
      </c>
      <c r="C49" s="77">
        <f>C48+(BudgetsTable[[#This Row],[lead]]&lt;&gt;K48)</f>
        <v>18</v>
      </c>
      <c r="D49" s="77">
        <f>D48*(BudgetsTable[[#This Row],[lead]]=K48)+(BudgetsTable[[#This Row],[prop_id]]&lt;&gt;A48)</f>
        <v>1</v>
      </c>
      <c r="E49" s="78">
        <v>42934.524305555555</v>
      </c>
      <c r="F49" s="79" t="s">
        <v>244</v>
      </c>
      <c r="G49" s="79" t="s">
        <v>780</v>
      </c>
      <c r="H49" s="79" t="s">
        <v>567</v>
      </c>
      <c r="I49" s="77" t="s">
        <v>582</v>
      </c>
      <c r="J49" s="77" t="s">
        <v>13</v>
      </c>
      <c r="K49" s="79" t="s">
        <v>961</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0</v>
      </c>
      <c r="T49" s="80">
        <v>0</v>
      </c>
      <c r="U49" s="80">
        <v>0</v>
      </c>
      <c r="V49" s="81">
        <v>114521</v>
      </c>
      <c r="W49" s="79">
        <v>0</v>
      </c>
      <c r="X49" s="79">
        <v>3</v>
      </c>
      <c r="Y49" s="11" t="str">
        <f ca="1">IF(ISBLANK(BudgetsTable[[#This Row],[budg_seq_yr]]),"FY"&amp;fiscalyear,"FY"&amp;fiscalyear-1+BudgetsTable[[#This Row],[budg_seq_yr]])</f>
        <v>FY20</v>
      </c>
      <c r="Z49" s="80">
        <v>114521</v>
      </c>
      <c r="AA49" s="79" t="s">
        <v>780</v>
      </c>
      <c r="AB49" s="79" t="s">
        <v>567</v>
      </c>
      <c r="AC49" s="106" t="s">
        <v>94</v>
      </c>
      <c r="AD49" s="79" t="s">
        <v>1383</v>
      </c>
    </row>
    <row r="50" spans="1:30">
      <c r="A50" s="10" t="s">
        <v>961</v>
      </c>
      <c r="B50" s="77" t="s">
        <v>96</v>
      </c>
      <c r="C50" s="77">
        <f>C49+(BudgetsTable[[#This Row],[lead]]&lt;&gt;K49)</f>
        <v>18</v>
      </c>
      <c r="D50" s="77">
        <f>D49*(BudgetsTable[[#This Row],[lead]]=K49)+(BudgetsTable[[#This Row],[prop_id]]&lt;&gt;A49)</f>
        <v>1</v>
      </c>
      <c r="E50" s="78">
        <v>42934.524305555555</v>
      </c>
      <c r="F50" s="79" t="s">
        <v>244</v>
      </c>
      <c r="G50" s="79" t="s">
        <v>780</v>
      </c>
      <c r="H50" s="79" t="s">
        <v>567</v>
      </c>
      <c r="I50" s="77" t="s">
        <v>582</v>
      </c>
      <c r="J50" s="77" t="s">
        <v>13</v>
      </c>
      <c r="K50" s="79" t="s">
        <v>961</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118710</v>
      </c>
      <c r="W50" s="79">
        <v>0</v>
      </c>
      <c r="X50" s="79">
        <v>4</v>
      </c>
      <c r="Y50" s="11" t="str">
        <f ca="1">IF(ISBLANK(BudgetsTable[[#This Row],[budg_seq_yr]]),"FY"&amp;fiscalyear,"FY"&amp;fiscalyear-1+BudgetsTable[[#This Row],[budg_seq_yr]])</f>
        <v>FY21</v>
      </c>
      <c r="Z50" s="80">
        <v>118710</v>
      </c>
      <c r="AA50" s="79" t="s">
        <v>780</v>
      </c>
      <c r="AB50" s="79" t="s">
        <v>567</v>
      </c>
      <c r="AC50" s="106" t="s">
        <v>94</v>
      </c>
      <c r="AD50" s="79" t="s">
        <v>1383</v>
      </c>
    </row>
    <row r="51" spans="1:30">
      <c r="A51" s="10" t="s">
        <v>961</v>
      </c>
      <c r="B51" s="77" t="s">
        <v>96</v>
      </c>
      <c r="C51" s="77">
        <f>C50+(BudgetsTable[[#This Row],[lead]]&lt;&gt;K50)</f>
        <v>18</v>
      </c>
      <c r="D51" s="77">
        <f>D50*(BudgetsTable[[#This Row],[lead]]=K50)+(BudgetsTable[[#This Row],[prop_id]]&lt;&gt;A50)</f>
        <v>1</v>
      </c>
      <c r="E51" s="78">
        <v>42934.524305555555</v>
      </c>
      <c r="F51" s="79" t="s">
        <v>244</v>
      </c>
      <c r="G51" s="79" t="s">
        <v>780</v>
      </c>
      <c r="H51" s="79" t="s">
        <v>567</v>
      </c>
      <c r="I51" s="77" t="s">
        <v>582</v>
      </c>
      <c r="J51" s="77" t="s">
        <v>13</v>
      </c>
      <c r="K51" s="79" t="s">
        <v>961</v>
      </c>
      <c r="L51" s="7" t="str">
        <f>IF(BudgetsTable[[#This Row],[pi_last_name]]=" ","",HYPERLINK("https://www.ejacket.nsf.gov/ej/showProposal.do?Continue=Y&amp;ID="&amp;BudgetsTable[[#This Row],[prop_id]],BudgetsTable[[#This Row],[prop_id]]))</f>
        <v/>
      </c>
      <c r="M51" s="15" t="str">
        <f>IF(BudgetsTable[[#This Row],[pi_last_name]]=" ","",HYPERLINK("https://www.ejacket.nsf.gov/ej/processReviewAnalysis.do?dispatch=add&amp;uniqId="&amp;BudgetsTable[[#This Row],[prop_id]]&amp;PO_id,"&gt;ra"))</f>
        <v/>
      </c>
      <c r="N51" s="79" t="s">
        <v>13</v>
      </c>
      <c r="O51" s="7" t="str">
        <f>IF(BudgetsTable[[#This Row],[pi_last_name]]=" ","",HYPERLINK("mailto:"&amp;BudgetsTable[[#This Row],[pi_email]]&amp;"&amp;subject=Your NSF Proposal:  "&amp;BudgetsTable[[#This Row],[prop_id]],BudgetsTable[[#This Row],[pi_email]]))</f>
        <v/>
      </c>
      <c r="P51" s="79" t="s">
        <v>13</v>
      </c>
      <c r="Q51" s="79">
        <v>1</v>
      </c>
      <c r="R51" s="79">
        <v>0</v>
      </c>
      <c r="S51" s="80">
        <v>0</v>
      </c>
      <c r="T51" s="80">
        <v>0</v>
      </c>
      <c r="U51" s="80">
        <v>0</v>
      </c>
      <c r="V51" s="81">
        <v>20777</v>
      </c>
      <c r="W51" s="79">
        <v>0</v>
      </c>
      <c r="X51" s="79">
        <v>5</v>
      </c>
      <c r="Y51" s="11" t="str">
        <f ca="1">IF(ISBLANK(BudgetsTable[[#This Row],[budg_seq_yr]]),"FY"&amp;fiscalyear,"FY"&amp;fiscalyear-1+BudgetsTable[[#This Row],[budg_seq_yr]])</f>
        <v>FY22</v>
      </c>
      <c r="Z51" s="80">
        <v>20777</v>
      </c>
      <c r="AA51" s="79" t="s">
        <v>780</v>
      </c>
      <c r="AB51" s="79" t="s">
        <v>567</v>
      </c>
      <c r="AC51" s="106" t="s">
        <v>94</v>
      </c>
      <c r="AD51" s="79" t="s">
        <v>1383</v>
      </c>
    </row>
    <row r="52" spans="1:30">
      <c r="A52" s="10" t="s">
        <v>642</v>
      </c>
      <c r="B52" s="77" t="s">
        <v>96</v>
      </c>
      <c r="C52" s="77">
        <f>C51+(BudgetsTable[[#This Row],[lead]]&lt;&gt;K51)</f>
        <v>19</v>
      </c>
      <c r="D52" s="77">
        <f>D51*(BudgetsTable[[#This Row],[lead]]=K51)+(BudgetsTable[[#This Row],[prop_id]]&lt;&gt;A51)</f>
        <v>1</v>
      </c>
      <c r="E52" s="78">
        <v>42934.524305555555</v>
      </c>
      <c r="F52" s="79" t="s">
        <v>244</v>
      </c>
      <c r="G52" s="79" t="s">
        <v>780</v>
      </c>
      <c r="H52" s="79" t="s">
        <v>567</v>
      </c>
      <c r="I52" s="77" t="s">
        <v>582</v>
      </c>
      <c r="J52" s="77" t="s">
        <v>808</v>
      </c>
      <c r="K52" s="79" t="s">
        <v>642</v>
      </c>
      <c r="L52" s="7" t="str">
        <f>IF(BudgetsTable[[#This Row],[pi_last_name]]=" ","",HYPERLINK("https://www.ejacket.nsf.gov/ej/showProposal.do?Continue=Y&amp;ID="&amp;BudgetsTable[[#This Row],[prop_id]],BudgetsTable[[#This Row],[prop_id]]))</f>
        <v>1749748</v>
      </c>
      <c r="M52" s="15" t="str">
        <f>IF(BudgetsTable[[#This Row],[pi_last_name]]=" ","",HYPERLINK("https://www.ejacket.nsf.gov/ej/processReviewAnalysis.do?dispatch=add&amp;uniqId="&amp;BudgetsTable[[#This Row],[prop_id]]&amp;PO_id,"&gt;ra"))</f>
        <v>&gt;ra</v>
      </c>
      <c r="N52" s="79" t="s">
        <v>643</v>
      </c>
      <c r="O52" s="7" t="str">
        <f>IF(BudgetsTable[[#This Row],[pi_last_name]]=" ","",HYPERLINK("mailto:"&amp;BudgetsTable[[#This Row],[pi_email]]&amp;"&amp;subject=Your NSF Proposal:  "&amp;BudgetsTable[[#This Row],[prop_id]],BudgetsTable[[#This Row],[pi_email]]))</f>
        <v>karthe@illinois.edu</v>
      </c>
      <c r="P52" s="79" t="s">
        <v>346</v>
      </c>
      <c r="Q52" s="79"/>
      <c r="R52" s="79"/>
      <c r="S52" s="80"/>
      <c r="T52" s="80"/>
      <c r="U52" s="80"/>
      <c r="V52" s="81"/>
      <c r="W52" s="79">
        <v>0</v>
      </c>
      <c r="X52" s="79"/>
      <c r="Y52" s="11" t="str">
        <f ca="1">IF(ISBLANK(BudgetsTable[[#This Row],[budg_seq_yr]]),"FY"&amp;fiscalyear,"FY"&amp;fiscalyear-1+BudgetsTable[[#This Row],[budg_seq_yr]])</f>
        <v>FY18</v>
      </c>
      <c r="Z52" s="80">
        <v>446040</v>
      </c>
      <c r="AA52" s="79" t="s">
        <v>780</v>
      </c>
      <c r="AB52" s="79" t="s">
        <v>567</v>
      </c>
      <c r="AC52" s="106" t="s">
        <v>94</v>
      </c>
      <c r="AD52" s="79" t="s">
        <v>783</v>
      </c>
    </row>
    <row r="53" spans="1:30">
      <c r="A53" s="10" t="s">
        <v>642</v>
      </c>
      <c r="B53" s="77" t="s">
        <v>96</v>
      </c>
      <c r="C53" s="77">
        <f>C52+(BudgetsTable[[#This Row],[lead]]&lt;&gt;K52)</f>
        <v>19</v>
      </c>
      <c r="D53" s="77">
        <f>D52*(BudgetsTable[[#This Row],[lead]]=K52)+(BudgetsTable[[#This Row],[prop_id]]&lt;&gt;A52)</f>
        <v>1</v>
      </c>
      <c r="E53" s="78">
        <v>42934.524305555555</v>
      </c>
      <c r="F53" s="79" t="s">
        <v>244</v>
      </c>
      <c r="G53" s="79" t="s">
        <v>780</v>
      </c>
      <c r="H53" s="79" t="s">
        <v>567</v>
      </c>
      <c r="I53" s="77" t="s">
        <v>582</v>
      </c>
      <c r="J53" s="77" t="s">
        <v>13</v>
      </c>
      <c r="K53" s="79" t="s">
        <v>642</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1</v>
      </c>
      <c r="R53" s="79">
        <v>1</v>
      </c>
      <c r="S53" s="80">
        <v>0</v>
      </c>
      <c r="T53" s="80">
        <v>4000</v>
      </c>
      <c r="U53" s="80">
        <v>0</v>
      </c>
      <c r="V53" s="81">
        <v>86236</v>
      </c>
      <c r="W53" s="79">
        <v>0</v>
      </c>
      <c r="X53" s="79">
        <v>1</v>
      </c>
      <c r="Y53" s="11" t="str">
        <f ca="1">IF(ISBLANK(BudgetsTable[[#This Row],[budg_seq_yr]]),"FY"&amp;fiscalyear,"FY"&amp;fiscalyear-1+BudgetsTable[[#This Row],[budg_seq_yr]])</f>
        <v>FY18</v>
      </c>
      <c r="Z53" s="80">
        <v>86236</v>
      </c>
      <c r="AA53" s="79" t="s">
        <v>780</v>
      </c>
      <c r="AB53" s="79" t="s">
        <v>567</v>
      </c>
      <c r="AC53" s="106" t="s">
        <v>94</v>
      </c>
      <c r="AD53" s="79" t="s">
        <v>783</v>
      </c>
    </row>
    <row r="54" spans="1:30">
      <c r="A54" s="10" t="s">
        <v>642</v>
      </c>
      <c r="B54" s="77" t="s">
        <v>96</v>
      </c>
      <c r="C54" s="77">
        <f>C53+(BudgetsTable[[#This Row],[lead]]&lt;&gt;K53)</f>
        <v>19</v>
      </c>
      <c r="D54" s="77">
        <f>D53*(BudgetsTable[[#This Row],[lead]]=K53)+(BudgetsTable[[#This Row],[prop_id]]&lt;&gt;A53)</f>
        <v>1</v>
      </c>
      <c r="E54" s="78">
        <v>42934.524305555555</v>
      </c>
      <c r="F54" s="79" t="s">
        <v>244</v>
      </c>
      <c r="G54" s="79" t="s">
        <v>780</v>
      </c>
      <c r="H54" s="79" t="s">
        <v>567</v>
      </c>
      <c r="I54" s="77" t="s">
        <v>582</v>
      </c>
      <c r="J54" s="77" t="s">
        <v>13</v>
      </c>
      <c r="K54" s="79" t="s">
        <v>642</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1</v>
      </c>
      <c r="R54" s="79">
        <v>1</v>
      </c>
      <c r="S54" s="80">
        <v>0</v>
      </c>
      <c r="T54" s="80">
        <v>4000</v>
      </c>
      <c r="U54" s="80">
        <v>0</v>
      </c>
      <c r="V54" s="81">
        <v>88371</v>
      </c>
      <c r="W54" s="79">
        <v>0</v>
      </c>
      <c r="X54" s="79">
        <v>2</v>
      </c>
      <c r="Y54" s="11" t="str">
        <f ca="1">IF(ISBLANK(BudgetsTable[[#This Row],[budg_seq_yr]]),"FY"&amp;fiscalyear,"FY"&amp;fiscalyear-1+BudgetsTable[[#This Row],[budg_seq_yr]])</f>
        <v>FY19</v>
      </c>
      <c r="Z54" s="80">
        <v>88371</v>
      </c>
      <c r="AA54" s="79" t="s">
        <v>780</v>
      </c>
      <c r="AB54" s="79" t="s">
        <v>567</v>
      </c>
      <c r="AC54" s="106" t="s">
        <v>94</v>
      </c>
      <c r="AD54" s="79" t="s">
        <v>783</v>
      </c>
    </row>
    <row r="55" spans="1:30">
      <c r="A55" s="10" t="s">
        <v>642</v>
      </c>
      <c r="B55" s="77" t="s">
        <v>96</v>
      </c>
      <c r="C55" s="77">
        <f>C54+(BudgetsTable[[#This Row],[lead]]&lt;&gt;K54)</f>
        <v>19</v>
      </c>
      <c r="D55" s="77">
        <f>D54*(BudgetsTable[[#This Row],[lead]]=K54)+(BudgetsTable[[#This Row],[prop_id]]&lt;&gt;A54)</f>
        <v>1</v>
      </c>
      <c r="E55" s="78">
        <v>42934.524305555555</v>
      </c>
      <c r="F55" s="79" t="s">
        <v>244</v>
      </c>
      <c r="G55" s="79" t="s">
        <v>780</v>
      </c>
      <c r="H55" s="79" t="s">
        <v>567</v>
      </c>
      <c r="I55" s="77" t="s">
        <v>582</v>
      </c>
      <c r="J55" s="77" t="s">
        <v>13</v>
      </c>
      <c r="K55" s="79" t="s">
        <v>642</v>
      </c>
      <c r="L55" s="7" t="str">
        <f>IF(BudgetsTable[[#This Row],[pi_last_name]]=" ","",HYPERLINK("https://www.ejacket.nsf.gov/ej/showProposal.do?Continue=Y&amp;ID="&amp;BudgetsTable[[#This Row],[prop_id]],BudgetsTable[[#This Row],[prop_id]]))</f>
        <v/>
      </c>
      <c r="M55" s="15" t="str">
        <f>IF(BudgetsTable[[#This Row],[pi_last_name]]=" ","",HYPERLINK("https://www.ejacket.nsf.gov/ej/processReviewAnalysis.do?dispatch=add&amp;uniqId="&amp;BudgetsTable[[#This Row],[prop_id]]&amp;PO_id,"&gt;ra"))</f>
        <v/>
      </c>
      <c r="N55" s="79" t="s">
        <v>13</v>
      </c>
      <c r="O55" s="7" t="str">
        <f>IF(BudgetsTable[[#This Row],[pi_last_name]]=" ","",HYPERLINK("mailto:"&amp;BudgetsTable[[#This Row],[pi_email]]&amp;"&amp;subject=Your NSF Proposal:  "&amp;BudgetsTable[[#This Row],[prop_id]],BudgetsTable[[#This Row],[pi_email]]))</f>
        <v/>
      </c>
      <c r="P55" s="79" t="s">
        <v>13</v>
      </c>
      <c r="Q55" s="79">
        <v>1</v>
      </c>
      <c r="R55" s="79">
        <v>1</v>
      </c>
      <c r="S55" s="80">
        <v>0</v>
      </c>
      <c r="T55" s="80">
        <v>4000</v>
      </c>
      <c r="U55" s="80">
        <v>0</v>
      </c>
      <c r="V55" s="81">
        <v>88191</v>
      </c>
      <c r="W55" s="79">
        <v>0</v>
      </c>
      <c r="X55" s="79">
        <v>3</v>
      </c>
      <c r="Y55" s="11" t="str">
        <f ca="1">IF(ISBLANK(BudgetsTable[[#This Row],[budg_seq_yr]]),"FY"&amp;fiscalyear,"FY"&amp;fiscalyear-1+BudgetsTable[[#This Row],[budg_seq_yr]])</f>
        <v>FY20</v>
      </c>
      <c r="Z55" s="80">
        <v>88191</v>
      </c>
      <c r="AA55" s="79" t="s">
        <v>780</v>
      </c>
      <c r="AB55" s="79" t="s">
        <v>567</v>
      </c>
      <c r="AC55" s="106" t="s">
        <v>94</v>
      </c>
      <c r="AD55" s="79" t="s">
        <v>783</v>
      </c>
    </row>
    <row r="56" spans="1:30">
      <c r="A56" s="10" t="s">
        <v>642</v>
      </c>
      <c r="B56" s="77" t="s">
        <v>96</v>
      </c>
      <c r="C56" s="77">
        <f>C55+(BudgetsTable[[#This Row],[lead]]&lt;&gt;K55)</f>
        <v>19</v>
      </c>
      <c r="D56" s="77">
        <f>D55*(BudgetsTable[[#This Row],[lead]]=K55)+(BudgetsTable[[#This Row],[prop_id]]&lt;&gt;A55)</f>
        <v>1</v>
      </c>
      <c r="E56" s="78">
        <v>42934.524305555555</v>
      </c>
      <c r="F56" s="79" t="s">
        <v>244</v>
      </c>
      <c r="G56" s="79" t="s">
        <v>780</v>
      </c>
      <c r="H56" s="79" t="s">
        <v>567</v>
      </c>
      <c r="I56" s="77" t="s">
        <v>582</v>
      </c>
      <c r="J56" s="77" t="s">
        <v>13</v>
      </c>
      <c r="K56" s="79" t="s">
        <v>642</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1</v>
      </c>
      <c r="R56" s="79">
        <v>1</v>
      </c>
      <c r="S56" s="80">
        <v>0</v>
      </c>
      <c r="T56" s="80">
        <v>4000</v>
      </c>
      <c r="U56" s="80">
        <v>0</v>
      </c>
      <c r="V56" s="81">
        <v>90454</v>
      </c>
      <c r="W56" s="79">
        <v>0</v>
      </c>
      <c r="X56" s="79">
        <v>4</v>
      </c>
      <c r="Y56" s="11" t="str">
        <f ca="1">IF(ISBLANK(BudgetsTable[[#This Row],[budg_seq_yr]]),"FY"&amp;fiscalyear,"FY"&amp;fiscalyear-1+BudgetsTable[[#This Row],[budg_seq_yr]])</f>
        <v>FY21</v>
      </c>
      <c r="Z56" s="80">
        <v>90454</v>
      </c>
      <c r="AA56" s="79" t="s">
        <v>780</v>
      </c>
      <c r="AB56" s="79" t="s">
        <v>567</v>
      </c>
      <c r="AC56" s="106" t="s">
        <v>94</v>
      </c>
      <c r="AD56" s="79" t="s">
        <v>783</v>
      </c>
    </row>
    <row r="57" spans="1:30">
      <c r="A57" s="10" t="s">
        <v>642</v>
      </c>
      <c r="B57" s="77" t="s">
        <v>96</v>
      </c>
      <c r="C57" s="77">
        <f>C56+(BudgetsTable[[#This Row],[lead]]&lt;&gt;K56)</f>
        <v>19</v>
      </c>
      <c r="D57" s="77">
        <f>D56*(BudgetsTable[[#This Row],[lead]]=K56)+(BudgetsTable[[#This Row],[prop_id]]&lt;&gt;A56)</f>
        <v>1</v>
      </c>
      <c r="E57" s="78">
        <v>42934.524305555555</v>
      </c>
      <c r="F57" s="79" t="s">
        <v>244</v>
      </c>
      <c r="G57" s="79" t="s">
        <v>780</v>
      </c>
      <c r="H57" s="79" t="s">
        <v>567</v>
      </c>
      <c r="I57" s="77" t="s">
        <v>582</v>
      </c>
      <c r="J57" s="77" t="s">
        <v>13</v>
      </c>
      <c r="K57" s="79" t="s">
        <v>642</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1</v>
      </c>
      <c r="R57" s="79">
        <v>1</v>
      </c>
      <c r="S57" s="80">
        <v>0</v>
      </c>
      <c r="T57" s="80">
        <v>4000</v>
      </c>
      <c r="U57" s="80">
        <v>0</v>
      </c>
      <c r="V57" s="81">
        <v>92788</v>
      </c>
      <c r="W57" s="79">
        <v>0</v>
      </c>
      <c r="X57" s="79">
        <v>5</v>
      </c>
      <c r="Y57" s="11" t="str">
        <f ca="1">IF(ISBLANK(BudgetsTable[[#This Row],[budg_seq_yr]]),"FY"&amp;fiscalyear,"FY"&amp;fiscalyear-1+BudgetsTable[[#This Row],[budg_seq_yr]])</f>
        <v>FY22</v>
      </c>
      <c r="Z57" s="80">
        <v>92788</v>
      </c>
      <c r="AA57" s="79" t="s">
        <v>780</v>
      </c>
      <c r="AB57" s="79" t="s">
        <v>567</v>
      </c>
      <c r="AC57" s="106" t="s">
        <v>94</v>
      </c>
      <c r="AD57" s="79" t="s">
        <v>783</v>
      </c>
    </row>
    <row r="58" spans="1:30">
      <c r="A58" s="10" t="s">
        <v>656</v>
      </c>
      <c r="B58" s="77" t="s">
        <v>96</v>
      </c>
      <c r="C58" s="77">
        <f>C57+(BudgetsTable[[#This Row],[lead]]&lt;&gt;K57)</f>
        <v>20</v>
      </c>
      <c r="D58" s="77">
        <f>D57*(BudgetsTable[[#This Row],[lead]]=K57)+(BudgetsTable[[#This Row],[prop_id]]&lt;&gt;A57)</f>
        <v>1</v>
      </c>
      <c r="E58" s="78">
        <v>42934.625694444447</v>
      </c>
      <c r="F58" s="79" t="s">
        <v>244</v>
      </c>
      <c r="G58" s="79" t="s">
        <v>780</v>
      </c>
      <c r="H58" s="79" t="s">
        <v>567</v>
      </c>
      <c r="I58" s="77" t="s">
        <v>579</v>
      </c>
      <c r="J58" s="77" t="s">
        <v>813</v>
      </c>
      <c r="K58" s="79" t="s">
        <v>656</v>
      </c>
      <c r="L58" s="7" t="str">
        <f>IF(BudgetsTable[[#This Row],[pi_last_name]]=" ","",HYPERLINK("https://www.ejacket.nsf.gov/ej/showProposal.do?Continue=Y&amp;ID="&amp;BudgetsTable[[#This Row],[prop_id]],BudgetsTable[[#This Row],[prop_id]]))</f>
        <v>1749855</v>
      </c>
      <c r="M58" s="15" t="str">
        <f>IF(BudgetsTable[[#This Row],[pi_last_name]]=" ","",HYPERLINK("https://www.ejacket.nsf.gov/ej/processReviewAnalysis.do?dispatch=add&amp;uniqId="&amp;BudgetsTable[[#This Row],[prop_id]]&amp;PO_id,"&gt;ra"))</f>
        <v>&gt;ra</v>
      </c>
      <c r="N58" s="79" t="s">
        <v>657</v>
      </c>
      <c r="O58" s="7" t="str">
        <f>IF(BudgetsTable[[#This Row],[pi_last_name]]=" ","",HYPERLINK("mailto:"&amp;BudgetsTable[[#This Row],[pi_email]]&amp;"&amp;subject=Your NSF Proposal:  "&amp;BudgetsTable[[#This Row],[prop_id]],BudgetsTable[[#This Row],[pi_email]]))</f>
        <v>francesco@cs.stonybrook.edu</v>
      </c>
      <c r="P58" s="79" t="s">
        <v>810</v>
      </c>
      <c r="Q58" s="79"/>
      <c r="R58" s="79"/>
      <c r="S58" s="80"/>
      <c r="T58" s="80"/>
      <c r="U58" s="80"/>
      <c r="V58" s="81"/>
      <c r="W58" s="79">
        <v>0</v>
      </c>
      <c r="X58" s="79"/>
      <c r="Y58" s="11" t="str">
        <f ca="1">IF(ISBLANK(BudgetsTable[[#This Row],[budg_seq_yr]]),"FY"&amp;fiscalyear,"FY"&amp;fiscalyear-1+BudgetsTable[[#This Row],[budg_seq_yr]])</f>
        <v>FY18</v>
      </c>
      <c r="Z58" s="80">
        <v>516750</v>
      </c>
      <c r="AA58" s="79" t="s">
        <v>780</v>
      </c>
      <c r="AB58" s="79" t="s">
        <v>567</v>
      </c>
      <c r="AC58" s="106" t="s">
        <v>94</v>
      </c>
      <c r="AD58" s="79" t="s">
        <v>783</v>
      </c>
    </row>
    <row r="59" spans="1:30">
      <c r="A59" s="10" t="s">
        <v>656</v>
      </c>
      <c r="B59" s="77" t="s">
        <v>96</v>
      </c>
      <c r="C59" s="77">
        <f>C58+(BudgetsTable[[#This Row],[lead]]&lt;&gt;K58)</f>
        <v>20</v>
      </c>
      <c r="D59" s="77">
        <f>D58*(BudgetsTable[[#This Row],[lead]]=K58)+(BudgetsTable[[#This Row],[prop_id]]&lt;&gt;A58)</f>
        <v>1</v>
      </c>
      <c r="E59" s="78">
        <v>42934.625694444447</v>
      </c>
      <c r="F59" s="79" t="s">
        <v>244</v>
      </c>
      <c r="G59" s="79" t="s">
        <v>780</v>
      </c>
      <c r="H59" s="79" t="s">
        <v>567</v>
      </c>
      <c r="I59" s="77" t="s">
        <v>579</v>
      </c>
      <c r="J59" s="77" t="s">
        <v>13</v>
      </c>
      <c r="K59" s="79" t="s">
        <v>656</v>
      </c>
      <c r="L59" s="7" t="str">
        <f>IF(BudgetsTable[[#This Row],[pi_last_name]]=" ","",HYPERLINK("https://www.ejacket.nsf.gov/ej/showProposal.do?Continue=Y&amp;ID="&amp;BudgetsTable[[#This Row],[prop_id]],BudgetsTable[[#This Row],[prop_id]]))</f>
        <v/>
      </c>
      <c r="M59" s="15" t="str">
        <f>IF(BudgetsTable[[#This Row],[pi_last_name]]=" ","",HYPERLINK("https://www.ejacket.nsf.gov/ej/processReviewAnalysis.do?dispatch=add&amp;uniqId="&amp;BudgetsTable[[#This Row],[prop_id]]&amp;PO_id,"&gt;ra"))</f>
        <v/>
      </c>
      <c r="N59" s="79" t="s">
        <v>13</v>
      </c>
      <c r="O59" s="7" t="str">
        <f>IF(BudgetsTable[[#This Row],[pi_last_name]]=" ","",HYPERLINK("mailto:"&amp;BudgetsTable[[#This Row],[pi_email]]&amp;"&amp;subject=Your NSF Proposal:  "&amp;BudgetsTable[[#This Row],[prop_id]],BudgetsTable[[#This Row],[pi_email]]))</f>
        <v/>
      </c>
      <c r="P59" s="79" t="s">
        <v>13</v>
      </c>
      <c r="Q59" s="79">
        <v>1</v>
      </c>
      <c r="R59" s="79">
        <v>1</v>
      </c>
      <c r="S59" s="80">
        <v>0</v>
      </c>
      <c r="T59" s="80">
        <v>2000</v>
      </c>
      <c r="U59" s="80">
        <v>0</v>
      </c>
      <c r="V59" s="81">
        <v>93299</v>
      </c>
      <c r="W59" s="79">
        <v>0</v>
      </c>
      <c r="X59" s="79">
        <v>1</v>
      </c>
      <c r="Y59" s="11" t="str">
        <f ca="1">IF(ISBLANK(BudgetsTable[[#This Row],[budg_seq_yr]]),"FY"&amp;fiscalyear,"FY"&amp;fiscalyear-1+BudgetsTable[[#This Row],[budg_seq_yr]])</f>
        <v>FY18</v>
      </c>
      <c r="Z59" s="80">
        <v>93299</v>
      </c>
      <c r="AA59" s="79" t="s">
        <v>780</v>
      </c>
      <c r="AB59" s="79" t="s">
        <v>567</v>
      </c>
      <c r="AC59" s="106" t="s">
        <v>94</v>
      </c>
      <c r="AD59" s="79" t="s">
        <v>783</v>
      </c>
    </row>
    <row r="60" spans="1:30">
      <c r="A60" s="10" t="s">
        <v>656</v>
      </c>
      <c r="B60" s="77" t="s">
        <v>96</v>
      </c>
      <c r="C60" s="77">
        <f>C59+(BudgetsTable[[#This Row],[lead]]&lt;&gt;K59)</f>
        <v>20</v>
      </c>
      <c r="D60" s="77">
        <f>D59*(BudgetsTable[[#This Row],[lead]]=K59)+(BudgetsTable[[#This Row],[prop_id]]&lt;&gt;A59)</f>
        <v>1</v>
      </c>
      <c r="E60" s="78">
        <v>42934.625694444447</v>
      </c>
      <c r="F60" s="79" t="s">
        <v>244</v>
      </c>
      <c r="G60" s="79" t="s">
        <v>780</v>
      </c>
      <c r="H60" s="79" t="s">
        <v>567</v>
      </c>
      <c r="I60" s="77" t="s">
        <v>579</v>
      </c>
      <c r="J60" s="77" t="s">
        <v>13</v>
      </c>
      <c r="K60" s="79" t="s">
        <v>656</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1</v>
      </c>
      <c r="R60" s="79">
        <v>1</v>
      </c>
      <c r="S60" s="80">
        <v>0</v>
      </c>
      <c r="T60" s="80">
        <v>2000</v>
      </c>
      <c r="U60" s="80">
        <v>0</v>
      </c>
      <c r="V60" s="81">
        <v>101945</v>
      </c>
      <c r="W60" s="79">
        <v>0</v>
      </c>
      <c r="X60" s="79">
        <v>2</v>
      </c>
      <c r="Y60" s="11" t="str">
        <f ca="1">IF(ISBLANK(BudgetsTable[[#This Row],[budg_seq_yr]]),"FY"&amp;fiscalyear,"FY"&amp;fiscalyear-1+BudgetsTable[[#This Row],[budg_seq_yr]])</f>
        <v>FY19</v>
      </c>
      <c r="Z60" s="80">
        <v>101945</v>
      </c>
      <c r="AA60" s="79" t="s">
        <v>780</v>
      </c>
      <c r="AB60" s="79" t="s">
        <v>567</v>
      </c>
      <c r="AC60" s="106" t="s">
        <v>94</v>
      </c>
      <c r="AD60" s="79" t="s">
        <v>783</v>
      </c>
    </row>
    <row r="61" spans="1:30">
      <c r="A61" s="10" t="s">
        <v>656</v>
      </c>
      <c r="B61" s="77" t="s">
        <v>96</v>
      </c>
      <c r="C61" s="77">
        <f>C60+(BudgetsTable[[#This Row],[lead]]&lt;&gt;K60)</f>
        <v>20</v>
      </c>
      <c r="D61" s="77">
        <f>D60*(BudgetsTable[[#This Row],[lead]]=K60)+(BudgetsTable[[#This Row],[prop_id]]&lt;&gt;A60)</f>
        <v>1</v>
      </c>
      <c r="E61" s="78">
        <v>42934.625694444447</v>
      </c>
      <c r="F61" s="79" t="s">
        <v>244</v>
      </c>
      <c r="G61" s="79" t="s">
        <v>780</v>
      </c>
      <c r="H61" s="79" t="s">
        <v>567</v>
      </c>
      <c r="I61" s="77" t="s">
        <v>579</v>
      </c>
      <c r="J61" s="77" t="s">
        <v>13</v>
      </c>
      <c r="K61" s="79" t="s">
        <v>656</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1</v>
      </c>
      <c r="R61" s="79">
        <v>1</v>
      </c>
      <c r="S61" s="80">
        <v>0</v>
      </c>
      <c r="T61" s="80">
        <v>2000</v>
      </c>
      <c r="U61" s="80">
        <v>0</v>
      </c>
      <c r="V61" s="81">
        <v>104505</v>
      </c>
      <c r="W61" s="79">
        <v>0</v>
      </c>
      <c r="X61" s="79">
        <v>3</v>
      </c>
      <c r="Y61" s="11" t="str">
        <f ca="1">IF(ISBLANK(BudgetsTable[[#This Row],[budg_seq_yr]]),"FY"&amp;fiscalyear,"FY"&amp;fiscalyear-1+BudgetsTable[[#This Row],[budg_seq_yr]])</f>
        <v>FY20</v>
      </c>
      <c r="Z61" s="80">
        <v>104505</v>
      </c>
      <c r="AA61" s="79" t="s">
        <v>780</v>
      </c>
      <c r="AB61" s="79" t="s">
        <v>567</v>
      </c>
      <c r="AC61" s="106" t="s">
        <v>94</v>
      </c>
      <c r="AD61" s="79" t="s">
        <v>783</v>
      </c>
    </row>
    <row r="62" spans="1:30">
      <c r="A62" s="10" t="s">
        <v>656</v>
      </c>
      <c r="B62" s="77" t="s">
        <v>96</v>
      </c>
      <c r="C62" s="77">
        <f>C61+(BudgetsTable[[#This Row],[lead]]&lt;&gt;K61)</f>
        <v>20</v>
      </c>
      <c r="D62" s="77">
        <f>D61*(BudgetsTable[[#This Row],[lead]]=K61)+(BudgetsTable[[#This Row],[prop_id]]&lt;&gt;A61)</f>
        <v>1</v>
      </c>
      <c r="E62" s="78">
        <v>42934.625694444447</v>
      </c>
      <c r="F62" s="79" t="s">
        <v>244</v>
      </c>
      <c r="G62" s="79" t="s">
        <v>780</v>
      </c>
      <c r="H62" s="79" t="s">
        <v>567</v>
      </c>
      <c r="I62" s="77" t="s">
        <v>579</v>
      </c>
      <c r="J62" s="77" t="s">
        <v>13</v>
      </c>
      <c r="K62" s="79" t="s">
        <v>656</v>
      </c>
      <c r="L62" s="7" t="str">
        <f>IF(BudgetsTable[[#This Row],[pi_last_name]]=" ","",HYPERLINK("https://www.ejacket.nsf.gov/ej/showProposal.do?Continue=Y&amp;ID="&amp;BudgetsTable[[#This Row],[prop_id]],BudgetsTable[[#This Row],[prop_id]]))</f>
        <v/>
      </c>
      <c r="M62" s="15" t="str">
        <f>IF(BudgetsTable[[#This Row],[pi_last_name]]=" ","",HYPERLINK("https://www.ejacket.nsf.gov/ej/processReviewAnalysis.do?dispatch=add&amp;uniqId="&amp;BudgetsTable[[#This Row],[prop_id]]&amp;PO_id,"&gt;ra"))</f>
        <v/>
      </c>
      <c r="N62" s="79" t="s">
        <v>13</v>
      </c>
      <c r="O62" s="7" t="str">
        <f>IF(BudgetsTable[[#This Row],[pi_last_name]]=" ","",HYPERLINK("mailto:"&amp;BudgetsTable[[#This Row],[pi_email]]&amp;"&amp;subject=Your NSF Proposal:  "&amp;BudgetsTable[[#This Row],[prop_id]],BudgetsTable[[#This Row],[pi_email]]))</f>
        <v/>
      </c>
      <c r="P62" s="79" t="s">
        <v>13</v>
      </c>
      <c r="Q62" s="79">
        <v>1</v>
      </c>
      <c r="R62" s="79">
        <v>1</v>
      </c>
      <c r="S62" s="80">
        <v>0</v>
      </c>
      <c r="T62" s="80">
        <v>2000</v>
      </c>
      <c r="U62" s="80">
        <v>0</v>
      </c>
      <c r="V62" s="81">
        <v>107143</v>
      </c>
      <c r="W62" s="79">
        <v>0</v>
      </c>
      <c r="X62" s="79">
        <v>4</v>
      </c>
      <c r="Y62" s="11" t="str">
        <f ca="1">IF(ISBLANK(BudgetsTable[[#This Row],[budg_seq_yr]]),"FY"&amp;fiscalyear,"FY"&amp;fiscalyear-1+BudgetsTable[[#This Row],[budg_seq_yr]])</f>
        <v>FY21</v>
      </c>
      <c r="Z62" s="80">
        <v>107143</v>
      </c>
      <c r="AA62" s="79" t="s">
        <v>780</v>
      </c>
      <c r="AB62" s="79" t="s">
        <v>567</v>
      </c>
      <c r="AC62" s="106" t="s">
        <v>94</v>
      </c>
      <c r="AD62" s="79" t="s">
        <v>783</v>
      </c>
    </row>
    <row r="63" spans="1:30">
      <c r="A63" s="10" t="s">
        <v>656</v>
      </c>
      <c r="B63" s="77" t="s">
        <v>96</v>
      </c>
      <c r="C63" s="77">
        <f>C62+(BudgetsTable[[#This Row],[lead]]&lt;&gt;K62)</f>
        <v>20</v>
      </c>
      <c r="D63" s="77">
        <f>D62*(BudgetsTable[[#This Row],[lead]]=K62)+(BudgetsTable[[#This Row],[prop_id]]&lt;&gt;A62)</f>
        <v>1</v>
      </c>
      <c r="E63" s="78">
        <v>42934.625694444447</v>
      </c>
      <c r="F63" s="79" t="s">
        <v>244</v>
      </c>
      <c r="G63" s="79" t="s">
        <v>780</v>
      </c>
      <c r="H63" s="79" t="s">
        <v>567</v>
      </c>
      <c r="I63" s="77" t="s">
        <v>579</v>
      </c>
      <c r="J63" s="77" t="s">
        <v>13</v>
      </c>
      <c r="K63" s="79" t="s">
        <v>656</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1</v>
      </c>
      <c r="R63" s="79">
        <v>1</v>
      </c>
      <c r="S63" s="80">
        <v>0</v>
      </c>
      <c r="T63" s="80">
        <v>2000</v>
      </c>
      <c r="U63" s="80">
        <v>0</v>
      </c>
      <c r="V63" s="81">
        <v>109858</v>
      </c>
      <c r="W63" s="79">
        <v>0</v>
      </c>
      <c r="X63" s="79">
        <v>5</v>
      </c>
      <c r="Y63" s="11" t="str">
        <f ca="1">IF(ISBLANK(BudgetsTable[[#This Row],[budg_seq_yr]]),"FY"&amp;fiscalyear,"FY"&amp;fiscalyear-1+BudgetsTable[[#This Row],[budg_seq_yr]])</f>
        <v>FY22</v>
      </c>
      <c r="Z63" s="80">
        <v>109858</v>
      </c>
      <c r="AA63" s="79" t="s">
        <v>780</v>
      </c>
      <c r="AB63" s="79" t="s">
        <v>567</v>
      </c>
      <c r="AC63" s="106" t="s">
        <v>94</v>
      </c>
      <c r="AD63" s="79" t="s">
        <v>783</v>
      </c>
    </row>
    <row r="64" spans="1:30">
      <c r="A64" s="10" t="s">
        <v>678</v>
      </c>
      <c r="B64" s="77" t="s">
        <v>96</v>
      </c>
      <c r="C64" s="77">
        <f>C63+(BudgetsTable[[#This Row],[lead]]&lt;&gt;K63)</f>
        <v>21</v>
      </c>
      <c r="D64" s="77">
        <f>D63*(BudgetsTable[[#This Row],[lead]]=K63)+(BudgetsTable[[#This Row],[prop_id]]&lt;&gt;A63)</f>
        <v>1</v>
      </c>
      <c r="E64" s="78">
        <v>42934.695138888892</v>
      </c>
      <c r="F64" s="79" t="s">
        <v>244</v>
      </c>
      <c r="G64" s="79" t="s">
        <v>780</v>
      </c>
      <c r="H64" s="79" t="s">
        <v>567</v>
      </c>
      <c r="I64" s="77" t="s">
        <v>579</v>
      </c>
      <c r="J64" s="77" t="s">
        <v>818</v>
      </c>
      <c r="K64" s="79" t="s">
        <v>678</v>
      </c>
      <c r="L64" s="7" t="str">
        <f>IF(BudgetsTable[[#This Row],[pi_last_name]]=" ","",HYPERLINK("https://www.ejacket.nsf.gov/ej/showProposal.do?Continue=Y&amp;ID="&amp;BudgetsTable[[#This Row],[prop_id]],BudgetsTable[[#This Row],[prop_id]]))</f>
        <v>1749977</v>
      </c>
      <c r="M64" s="15" t="str">
        <f>IF(BudgetsTable[[#This Row],[pi_last_name]]=" ","",HYPERLINK("https://www.ejacket.nsf.gov/ej/processReviewAnalysis.do?dispatch=add&amp;uniqId="&amp;BudgetsTable[[#This Row],[prop_id]]&amp;PO_id,"&gt;ra"))</f>
        <v>&gt;ra</v>
      </c>
      <c r="N64" s="79" t="s">
        <v>679</v>
      </c>
      <c r="O64" s="7" t="str">
        <f>IF(BudgetsTable[[#This Row],[pi_last_name]]=" ","",HYPERLINK("mailto:"&amp;BudgetsTable[[#This Row],[pi_email]]&amp;"&amp;subject=Your NSF Proposal:  "&amp;BudgetsTable[[#This Row],[prop_id]],BudgetsTable[[#This Row],[pi_email]]))</f>
        <v>jsolomon@mit.edu</v>
      </c>
      <c r="P64" s="79" t="s">
        <v>815</v>
      </c>
      <c r="Q64" s="79"/>
      <c r="R64" s="79"/>
      <c r="S64" s="80"/>
      <c r="T64" s="80"/>
      <c r="U64" s="80"/>
      <c r="V64" s="81"/>
      <c r="W64" s="79">
        <v>0</v>
      </c>
      <c r="X64" s="79"/>
      <c r="Y64" s="11" t="str">
        <f ca="1">IF(ISBLANK(BudgetsTable[[#This Row],[budg_seq_yr]]),"FY"&amp;fiscalyear,"FY"&amp;fiscalyear-1+BudgetsTable[[#This Row],[budg_seq_yr]])</f>
        <v>FY18</v>
      </c>
      <c r="Z64" s="80">
        <v>550000</v>
      </c>
      <c r="AA64" s="79" t="s">
        <v>780</v>
      </c>
      <c r="AB64" s="79" t="s">
        <v>567</v>
      </c>
      <c r="AC64" s="106" t="s">
        <v>94</v>
      </c>
      <c r="AD64" s="79" t="s">
        <v>790</v>
      </c>
    </row>
    <row r="65" spans="1:30">
      <c r="A65" s="10" t="s">
        <v>678</v>
      </c>
      <c r="B65" s="77" t="s">
        <v>96</v>
      </c>
      <c r="C65" s="77">
        <f>C64+(BudgetsTable[[#This Row],[lead]]&lt;&gt;K64)</f>
        <v>21</v>
      </c>
      <c r="D65" s="77">
        <f>D64*(BudgetsTable[[#This Row],[lead]]=K64)+(BudgetsTable[[#This Row],[prop_id]]&lt;&gt;A64)</f>
        <v>1</v>
      </c>
      <c r="E65" s="78">
        <v>42934.695138888892</v>
      </c>
      <c r="F65" s="79" t="s">
        <v>244</v>
      </c>
      <c r="G65" s="79" t="s">
        <v>780</v>
      </c>
      <c r="H65" s="79" t="s">
        <v>567</v>
      </c>
      <c r="I65" s="77" t="s">
        <v>579</v>
      </c>
      <c r="J65" s="77" t="s">
        <v>13</v>
      </c>
      <c r="K65" s="79" t="s">
        <v>678</v>
      </c>
      <c r="L65" s="7" t="str">
        <f>IF(BudgetsTable[[#This Row],[pi_last_name]]=" ","",HYPERLINK("https://www.ejacket.nsf.gov/ej/showProposal.do?Continue=Y&amp;ID="&amp;BudgetsTable[[#This Row],[prop_id]],BudgetsTable[[#This Row],[prop_id]]))</f>
        <v/>
      </c>
      <c r="M65" s="15" t="str">
        <f>IF(BudgetsTable[[#This Row],[pi_last_name]]=" ","",HYPERLINK("https://www.ejacket.nsf.gov/ej/processReviewAnalysis.do?dispatch=add&amp;uniqId="&amp;BudgetsTable[[#This Row],[prop_id]]&amp;PO_id,"&gt;ra"))</f>
        <v/>
      </c>
      <c r="N65" s="79" t="s">
        <v>13</v>
      </c>
      <c r="O65" s="7" t="str">
        <f>IF(BudgetsTable[[#This Row],[pi_last_name]]=" ","",HYPERLINK("mailto:"&amp;BudgetsTable[[#This Row],[pi_email]]&amp;"&amp;subject=Your NSF Proposal:  "&amp;BudgetsTable[[#This Row],[prop_id]],BudgetsTable[[#This Row],[pi_email]]))</f>
        <v/>
      </c>
      <c r="P65" s="79" t="s">
        <v>13</v>
      </c>
      <c r="Q65" s="79">
        <v>1</v>
      </c>
      <c r="R65" s="79">
        <v>0.5</v>
      </c>
      <c r="S65" s="80">
        <v>0</v>
      </c>
      <c r="T65" s="80">
        <v>0</v>
      </c>
      <c r="U65" s="80">
        <v>0</v>
      </c>
      <c r="V65" s="81">
        <v>103625</v>
      </c>
      <c r="W65" s="79">
        <v>0</v>
      </c>
      <c r="X65" s="79">
        <v>1</v>
      </c>
      <c r="Y65" s="11" t="str">
        <f ca="1">IF(ISBLANK(BudgetsTable[[#This Row],[budg_seq_yr]]),"FY"&amp;fiscalyear,"FY"&amp;fiscalyear-1+BudgetsTable[[#This Row],[budg_seq_yr]])</f>
        <v>FY18</v>
      </c>
      <c r="Z65" s="80">
        <v>103625</v>
      </c>
      <c r="AA65" s="79" t="s">
        <v>780</v>
      </c>
      <c r="AB65" s="79" t="s">
        <v>567</v>
      </c>
      <c r="AC65" s="106" t="s">
        <v>94</v>
      </c>
      <c r="AD65" s="79" t="s">
        <v>790</v>
      </c>
    </row>
    <row r="66" spans="1:30">
      <c r="A66" s="10" t="s">
        <v>678</v>
      </c>
      <c r="B66" s="77" t="s">
        <v>96</v>
      </c>
      <c r="C66" s="77">
        <f>C65+(BudgetsTable[[#This Row],[lead]]&lt;&gt;K65)</f>
        <v>21</v>
      </c>
      <c r="D66" s="77">
        <f>D65*(BudgetsTable[[#This Row],[lead]]=K65)+(BudgetsTable[[#This Row],[prop_id]]&lt;&gt;A65)</f>
        <v>1</v>
      </c>
      <c r="E66" s="78">
        <v>42934.695138888892</v>
      </c>
      <c r="F66" s="79" t="s">
        <v>244</v>
      </c>
      <c r="G66" s="79" t="s">
        <v>780</v>
      </c>
      <c r="H66" s="79" t="s">
        <v>567</v>
      </c>
      <c r="I66" s="77" t="s">
        <v>579</v>
      </c>
      <c r="J66" s="77" t="s">
        <v>13</v>
      </c>
      <c r="K66" s="79" t="s">
        <v>678</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0.5</v>
      </c>
      <c r="S66" s="80">
        <v>0</v>
      </c>
      <c r="T66" s="80">
        <v>0</v>
      </c>
      <c r="U66" s="80">
        <v>0</v>
      </c>
      <c r="V66" s="81">
        <v>106592</v>
      </c>
      <c r="W66" s="79">
        <v>0</v>
      </c>
      <c r="X66" s="79">
        <v>2</v>
      </c>
      <c r="Y66" s="11" t="str">
        <f ca="1">IF(ISBLANK(BudgetsTable[[#This Row],[budg_seq_yr]]),"FY"&amp;fiscalyear,"FY"&amp;fiscalyear-1+BudgetsTable[[#This Row],[budg_seq_yr]])</f>
        <v>FY19</v>
      </c>
      <c r="Z66" s="80">
        <v>106592</v>
      </c>
      <c r="AA66" s="79" t="s">
        <v>780</v>
      </c>
      <c r="AB66" s="79" t="s">
        <v>567</v>
      </c>
      <c r="AC66" s="106" t="s">
        <v>94</v>
      </c>
      <c r="AD66" s="79" t="s">
        <v>790</v>
      </c>
    </row>
    <row r="67" spans="1:30">
      <c r="A67" s="10" t="s">
        <v>678</v>
      </c>
      <c r="B67" s="77" t="s">
        <v>96</v>
      </c>
      <c r="C67" s="77">
        <f>C66+(BudgetsTable[[#This Row],[lead]]&lt;&gt;K66)</f>
        <v>21</v>
      </c>
      <c r="D67" s="77">
        <f>D66*(BudgetsTable[[#This Row],[lead]]=K66)+(BudgetsTable[[#This Row],[prop_id]]&lt;&gt;A66)</f>
        <v>1</v>
      </c>
      <c r="E67" s="78">
        <v>42934.695138888892</v>
      </c>
      <c r="F67" s="79" t="s">
        <v>244</v>
      </c>
      <c r="G67" s="79" t="s">
        <v>780</v>
      </c>
      <c r="H67" s="79" t="s">
        <v>567</v>
      </c>
      <c r="I67" s="77" t="s">
        <v>579</v>
      </c>
      <c r="J67" s="77" t="s">
        <v>13</v>
      </c>
      <c r="K67" s="79" t="s">
        <v>678</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0.5</v>
      </c>
      <c r="S67" s="80">
        <v>0</v>
      </c>
      <c r="T67" s="80">
        <v>0</v>
      </c>
      <c r="U67" s="80">
        <v>0</v>
      </c>
      <c r="V67" s="81">
        <v>109530</v>
      </c>
      <c r="W67" s="79">
        <v>0</v>
      </c>
      <c r="X67" s="79">
        <v>3</v>
      </c>
      <c r="Y67" s="11" t="str">
        <f ca="1">IF(ISBLANK(BudgetsTable[[#This Row],[budg_seq_yr]]),"FY"&amp;fiscalyear,"FY"&amp;fiscalyear-1+BudgetsTable[[#This Row],[budg_seq_yr]])</f>
        <v>FY20</v>
      </c>
      <c r="Z67" s="80">
        <v>109530</v>
      </c>
      <c r="AA67" s="79" t="s">
        <v>780</v>
      </c>
      <c r="AB67" s="79" t="s">
        <v>567</v>
      </c>
      <c r="AC67" s="106" t="s">
        <v>94</v>
      </c>
      <c r="AD67" s="79" t="s">
        <v>790</v>
      </c>
    </row>
    <row r="68" spans="1:30">
      <c r="A68" s="10" t="s">
        <v>678</v>
      </c>
      <c r="B68" s="77" t="s">
        <v>96</v>
      </c>
      <c r="C68" s="77">
        <f>C67+(BudgetsTable[[#This Row],[lead]]&lt;&gt;K67)</f>
        <v>21</v>
      </c>
      <c r="D68" s="77">
        <f>D67*(BudgetsTable[[#This Row],[lead]]=K67)+(BudgetsTable[[#This Row],[prop_id]]&lt;&gt;A67)</f>
        <v>1</v>
      </c>
      <c r="E68" s="78">
        <v>42934.695138888892</v>
      </c>
      <c r="F68" s="79" t="s">
        <v>244</v>
      </c>
      <c r="G68" s="79" t="s">
        <v>780</v>
      </c>
      <c r="H68" s="79" t="s">
        <v>567</v>
      </c>
      <c r="I68" s="77" t="s">
        <v>579</v>
      </c>
      <c r="J68" s="77" t="s">
        <v>13</v>
      </c>
      <c r="K68" s="79" t="s">
        <v>678</v>
      </c>
      <c r="L68" s="7" t="str">
        <f>IF(BudgetsTable[[#This Row],[pi_last_name]]=" ","",HYPERLINK("https://www.ejacket.nsf.gov/ej/showProposal.do?Continue=Y&amp;ID="&amp;BudgetsTable[[#This Row],[prop_id]],BudgetsTable[[#This Row],[prop_id]]))</f>
        <v/>
      </c>
      <c r="M68" s="15" t="str">
        <f>IF(BudgetsTable[[#This Row],[pi_last_name]]=" ","",HYPERLINK("https://www.ejacket.nsf.gov/ej/processReviewAnalysis.do?dispatch=add&amp;uniqId="&amp;BudgetsTable[[#This Row],[prop_id]]&amp;PO_id,"&gt;ra"))</f>
        <v/>
      </c>
      <c r="N68" s="79" t="s">
        <v>13</v>
      </c>
      <c r="O68" s="7" t="str">
        <f>IF(BudgetsTable[[#This Row],[pi_last_name]]=" ","",HYPERLINK("mailto:"&amp;BudgetsTable[[#This Row],[pi_email]]&amp;"&amp;subject=Your NSF Proposal:  "&amp;BudgetsTable[[#This Row],[prop_id]],BudgetsTable[[#This Row],[pi_email]]))</f>
        <v/>
      </c>
      <c r="P68" s="79" t="s">
        <v>13</v>
      </c>
      <c r="Q68" s="79">
        <v>1</v>
      </c>
      <c r="R68" s="79">
        <v>0.5</v>
      </c>
      <c r="S68" s="80">
        <v>0</v>
      </c>
      <c r="T68" s="80">
        <v>0</v>
      </c>
      <c r="U68" s="80">
        <v>0</v>
      </c>
      <c r="V68" s="81">
        <v>113216</v>
      </c>
      <c r="W68" s="79">
        <v>0</v>
      </c>
      <c r="X68" s="79">
        <v>4</v>
      </c>
      <c r="Y68" s="11" t="str">
        <f ca="1">IF(ISBLANK(BudgetsTable[[#This Row],[budg_seq_yr]]),"FY"&amp;fiscalyear,"FY"&amp;fiscalyear-1+BudgetsTable[[#This Row],[budg_seq_yr]])</f>
        <v>FY21</v>
      </c>
      <c r="Z68" s="80">
        <v>113216</v>
      </c>
      <c r="AA68" s="79" t="s">
        <v>780</v>
      </c>
      <c r="AB68" s="79" t="s">
        <v>567</v>
      </c>
      <c r="AC68" s="106" t="s">
        <v>94</v>
      </c>
      <c r="AD68" s="79" t="s">
        <v>790</v>
      </c>
    </row>
    <row r="69" spans="1:30">
      <c r="A69" s="10" t="s">
        <v>678</v>
      </c>
      <c r="B69" s="77" t="s">
        <v>96</v>
      </c>
      <c r="C69" s="77">
        <f>C68+(BudgetsTable[[#This Row],[lead]]&lt;&gt;K68)</f>
        <v>21</v>
      </c>
      <c r="D69" s="77">
        <f>D68*(BudgetsTable[[#This Row],[lead]]=K68)+(BudgetsTable[[#This Row],[prop_id]]&lt;&gt;A68)</f>
        <v>1</v>
      </c>
      <c r="E69" s="78">
        <v>42934.695138888892</v>
      </c>
      <c r="F69" s="79" t="s">
        <v>244</v>
      </c>
      <c r="G69" s="79" t="s">
        <v>780</v>
      </c>
      <c r="H69" s="79" t="s">
        <v>567</v>
      </c>
      <c r="I69" s="77" t="s">
        <v>579</v>
      </c>
      <c r="J69" s="77" t="s">
        <v>13</v>
      </c>
      <c r="K69" s="79" t="s">
        <v>678</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1</v>
      </c>
      <c r="R69" s="79">
        <v>0.5</v>
      </c>
      <c r="S69" s="80">
        <v>0</v>
      </c>
      <c r="T69" s="80">
        <v>0</v>
      </c>
      <c r="U69" s="80">
        <v>0</v>
      </c>
      <c r="V69" s="81">
        <v>117037</v>
      </c>
      <c r="W69" s="79">
        <v>0</v>
      </c>
      <c r="X69" s="79">
        <v>5</v>
      </c>
      <c r="Y69" s="11" t="str">
        <f ca="1">IF(ISBLANK(BudgetsTable[[#This Row],[budg_seq_yr]]),"FY"&amp;fiscalyear,"FY"&amp;fiscalyear-1+BudgetsTable[[#This Row],[budg_seq_yr]])</f>
        <v>FY22</v>
      </c>
      <c r="Z69" s="80">
        <v>117037</v>
      </c>
      <c r="AA69" s="79" t="s">
        <v>780</v>
      </c>
      <c r="AB69" s="79" t="s">
        <v>567</v>
      </c>
      <c r="AC69" s="106" t="s">
        <v>94</v>
      </c>
      <c r="AD69" s="79" t="s">
        <v>790</v>
      </c>
    </row>
    <row r="70" spans="1:30">
      <c r="A70" s="10" t="s">
        <v>974</v>
      </c>
      <c r="B70" s="77" t="s">
        <v>96</v>
      </c>
      <c r="C70" s="77">
        <f>C69+(BudgetsTable[[#This Row],[lead]]&lt;&gt;K69)</f>
        <v>22</v>
      </c>
      <c r="D70" s="77">
        <f>D69*(BudgetsTable[[#This Row],[lead]]=K69)+(BudgetsTable[[#This Row],[prop_id]]&lt;&gt;A69)</f>
        <v>1</v>
      </c>
      <c r="E70" s="78">
        <v>42934.734722222223</v>
      </c>
      <c r="F70" s="79" t="s">
        <v>244</v>
      </c>
      <c r="G70" s="79" t="s">
        <v>780</v>
      </c>
      <c r="H70" s="79" t="s">
        <v>567</v>
      </c>
      <c r="I70" s="77" t="s">
        <v>582</v>
      </c>
      <c r="J70" s="77" t="s">
        <v>1389</v>
      </c>
      <c r="K70" s="79" t="s">
        <v>974</v>
      </c>
      <c r="L70" s="7" t="str">
        <f>IF(BudgetsTable[[#This Row],[pi_last_name]]=" ","",HYPERLINK("https://www.ejacket.nsf.gov/ej/showProposal.do?Continue=Y&amp;ID="&amp;BudgetsTable[[#This Row],[prop_id]],BudgetsTable[[#This Row],[prop_id]]))</f>
        <v>1750032</v>
      </c>
      <c r="M70" s="15" t="str">
        <f>IF(BudgetsTable[[#This Row],[pi_last_name]]=" ","",HYPERLINK("https://www.ejacket.nsf.gov/ej/processReviewAnalysis.do?dispatch=add&amp;uniqId="&amp;BudgetsTable[[#This Row],[prop_id]]&amp;PO_id,"&gt;ra"))</f>
        <v>&gt;ra</v>
      </c>
      <c r="N70" s="79" t="s">
        <v>975</v>
      </c>
      <c r="O70" s="7" t="str">
        <f>IF(BudgetsTable[[#This Row],[pi_last_name]]=" ","",HYPERLINK("mailto:"&amp;BudgetsTable[[#This Row],[pi_email]]&amp;"&amp;subject=Your NSF Proposal:  "&amp;BudgetsTable[[#This Row],[prop_id]],BudgetsTable[[#This Row],[pi_email]]))</f>
        <v>jt1157@georgetown.edu</v>
      </c>
      <c r="P70" s="79" t="s">
        <v>1356</v>
      </c>
      <c r="Q70" s="79"/>
      <c r="R70" s="79"/>
      <c r="S70" s="80"/>
      <c r="T70" s="80"/>
      <c r="U70" s="80"/>
      <c r="V70" s="81"/>
      <c r="W70" s="79">
        <v>0</v>
      </c>
      <c r="X70" s="79"/>
      <c r="Y70" s="11" t="str">
        <f ca="1">IF(ISBLANK(BudgetsTable[[#This Row],[budg_seq_yr]]),"FY"&amp;fiscalyear,"FY"&amp;fiscalyear-1+BudgetsTable[[#This Row],[budg_seq_yr]])</f>
        <v>FY18</v>
      </c>
      <c r="Z70" s="80">
        <v>525636</v>
      </c>
      <c r="AA70" s="79" t="s">
        <v>780</v>
      </c>
      <c r="AB70" s="79" t="s">
        <v>567</v>
      </c>
      <c r="AC70" s="106" t="s">
        <v>94</v>
      </c>
      <c r="AD70" s="79" t="s">
        <v>1383</v>
      </c>
    </row>
    <row r="71" spans="1:30">
      <c r="A71" s="10" t="s">
        <v>974</v>
      </c>
      <c r="B71" s="77" t="s">
        <v>96</v>
      </c>
      <c r="C71" s="77">
        <f>C70+(BudgetsTable[[#This Row],[lead]]&lt;&gt;K70)</f>
        <v>22</v>
      </c>
      <c r="D71" s="77">
        <f>D70*(BudgetsTable[[#This Row],[lead]]=K70)+(BudgetsTable[[#This Row],[prop_id]]&lt;&gt;A70)</f>
        <v>1</v>
      </c>
      <c r="E71" s="78">
        <v>42934.734722222223</v>
      </c>
      <c r="F71" s="79" t="s">
        <v>244</v>
      </c>
      <c r="G71" s="79" t="s">
        <v>780</v>
      </c>
      <c r="H71" s="79" t="s">
        <v>567</v>
      </c>
      <c r="I71" s="77" t="s">
        <v>582</v>
      </c>
      <c r="J71" s="77" t="s">
        <v>13</v>
      </c>
      <c r="K71" s="79" t="s">
        <v>974</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1</v>
      </c>
      <c r="R71" s="79">
        <v>2</v>
      </c>
      <c r="S71" s="80">
        <v>0</v>
      </c>
      <c r="T71" s="80">
        <v>2500</v>
      </c>
      <c r="U71" s="80">
        <v>0</v>
      </c>
      <c r="V71" s="81">
        <v>65366</v>
      </c>
      <c r="W71" s="79">
        <v>0</v>
      </c>
      <c r="X71" s="79">
        <v>1</v>
      </c>
      <c r="Y71" s="11" t="str">
        <f ca="1">IF(ISBLANK(BudgetsTable[[#This Row],[budg_seq_yr]]),"FY"&amp;fiscalyear,"FY"&amp;fiscalyear-1+BudgetsTable[[#This Row],[budg_seq_yr]])</f>
        <v>FY18</v>
      </c>
      <c r="Z71" s="80">
        <v>65366</v>
      </c>
      <c r="AA71" s="79" t="s">
        <v>780</v>
      </c>
      <c r="AB71" s="79" t="s">
        <v>567</v>
      </c>
      <c r="AC71" s="106" t="s">
        <v>94</v>
      </c>
      <c r="AD71" s="79" t="s">
        <v>1383</v>
      </c>
    </row>
    <row r="72" spans="1:30">
      <c r="A72" s="10" t="s">
        <v>974</v>
      </c>
      <c r="B72" s="77" t="s">
        <v>96</v>
      </c>
      <c r="C72" s="77">
        <f>C71+(BudgetsTable[[#This Row],[lead]]&lt;&gt;K71)</f>
        <v>22</v>
      </c>
      <c r="D72" s="77">
        <f>D71*(BudgetsTable[[#This Row],[lead]]=K71)+(BudgetsTable[[#This Row],[prop_id]]&lt;&gt;A71)</f>
        <v>1</v>
      </c>
      <c r="E72" s="78">
        <v>42934.734722222223</v>
      </c>
      <c r="F72" s="79" t="s">
        <v>244</v>
      </c>
      <c r="G72" s="79" t="s">
        <v>780</v>
      </c>
      <c r="H72" s="79" t="s">
        <v>567</v>
      </c>
      <c r="I72" s="77" t="s">
        <v>582</v>
      </c>
      <c r="J72" s="77" t="s">
        <v>13</v>
      </c>
      <c r="K72" s="79" t="s">
        <v>974</v>
      </c>
      <c r="L72" s="7" t="str">
        <f>IF(BudgetsTable[[#This Row],[pi_last_name]]=" ","",HYPERLINK("https://www.ejacket.nsf.gov/ej/showProposal.do?Continue=Y&amp;ID="&amp;BudgetsTable[[#This Row],[prop_id]],BudgetsTable[[#This Row],[prop_id]]))</f>
        <v/>
      </c>
      <c r="M72" s="15" t="str">
        <f>IF(BudgetsTable[[#This Row],[pi_last_name]]=" ","",HYPERLINK("https://www.ejacket.nsf.gov/ej/processReviewAnalysis.do?dispatch=add&amp;uniqId="&amp;BudgetsTable[[#This Row],[prop_id]]&amp;PO_id,"&gt;ra"))</f>
        <v/>
      </c>
      <c r="N72" s="79" t="s">
        <v>13</v>
      </c>
      <c r="O72" s="7" t="str">
        <f>IF(BudgetsTable[[#This Row],[pi_last_name]]=" ","",HYPERLINK("mailto:"&amp;BudgetsTable[[#This Row],[pi_email]]&amp;"&amp;subject=Your NSF Proposal:  "&amp;BudgetsTable[[#This Row],[prop_id]],BudgetsTable[[#This Row],[pi_email]]))</f>
        <v/>
      </c>
      <c r="P72" s="79" t="s">
        <v>13</v>
      </c>
      <c r="Q72" s="79">
        <v>1</v>
      </c>
      <c r="R72" s="79">
        <v>2</v>
      </c>
      <c r="S72" s="80">
        <v>0</v>
      </c>
      <c r="T72" s="80">
        <v>2500</v>
      </c>
      <c r="U72" s="80">
        <v>0</v>
      </c>
      <c r="V72" s="81">
        <v>138114</v>
      </c>
      <c r="W72" s="79">
        <v>0</v>
      </c>
      <c r="X72" s="79">
        <v>2</v>
      </c>
      <c r="Y72" s="11" t="str">
        <f ca="1">IF(ISBLANK(BudgetsTable[[#This Row],[budg_seq_yr]]),"FY"&amp;fiscalyear,"FY"&amp;fiscalyear-1+BudgetsTable[[#This Row],[budg_seq_yr]])</f>
        <v>FY19</v>
      </c>
      <c r="Z72" s="80">
        <v>138114</v>
      </c>
      <c r="AA72" s="79" t="s">
        <v>780</v>
      </c>
      <c r="AB72" s="79" t="s">
        <v>567</v>
      </c>
      <c r="AC72" s="106" t="s">
        <v>94</v>
      </c>
      <c r="AD72" s="79" t="s">
        <v>1383</v>
      </c>
    </row>
    <row r="73" spans="1:30">
      <c r="A73" s="10" t="s">
        <v>974</v>
      </c>
      <c r="B73" s="77" t="s">
        <v>96</v>
      </c>
      <c r="C73" s="77">
        <f>C72+(BudgetsTable[[#This Row],[lead]]&lt;&gt;K72)</f>
        <v>22</v>
      </c>
      <c r="D73" s="77">
        <f>D72*(BudgetsTable[[#This Row],[lead]]=K72)+(BudgetsTable[[#This Row],[prop_id]]&lt;&gt;A72)</f>
        <v>1</v>
      </c>
      <c r="E73" s="78">
        <v>42934.734722222223</v>
      </c>
      <c r="F73" s="79" t="s">
        <v>244</v>
      </c>
      <c r="G73" s="79" t="s">
        <v>780</v>
      </c>
      <c r="H73" s="79" t="s">
        <v>567</v>
      </c>
      <c r="I73" s="77" t="s">
        <v>582</v>
      </c>
      <c r="J73" s="77" t="s">
        <v>13</v>
      </c>
      <c r="K73" s="79" t="s">
        <v>974</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1</v>
      </c>
      <c r="R73" s="79">
        <v>1</v>
      </c>
      <c r="S73" s="80">
        <v>0</v>
      </c>
      <c r="T73" s="80">
        <v>2500</v>
      </c>
      <c r="U73" s="80">
        <v>0</v>
      </c>
      <c r="V73" s="81">
        <v>110159</v>
      </c>
      <c r="W73" s="79">
        <v>0</v>
      </c>
      <c r="X73" s="79">
        <v>3</v>
      </c>
      <c r="Y73" s="11" t="str">
        <f ca="1">IF(ISBLANK(BudgetsTable[[#This Row],[budg_seq_yr]]),"FY"&amp;fiscalyear,"FY"&amp;fiscalyear-1+BudgetsTable[[#This Row],[budg_seq_yr]])</f>
        <v>FY20</v>
      </c>
      <c r="Z73" s="80">
        <v>110159</v>
      </c>
      <c r="AA73" s="79" t="s">
        <v>780</v>
      </c>
      <c r="AB73" s="79" t="s">
        <v>567</v>
      </c>
      <c r="AC73" s="106" t="s">
        <v>94</v>
      </c>
      <c r="AD73" s="79" t="s">
        <v>1383</v>
      </c>
    </row>
    <row r="74" spans="1:30">
      <c r="A74" s="10" t="s">
        <v>974</v>
      </c>
      <c r="B74" s="77" t="s">
        <v>96</v>
      </c>
      <c r="C74" s="77">
        <f>C73+(BudgetsTable[[#This Row],[lead]]&lt;&gt;K73)</f>
        <v>22</v>
      </c>
      <c r="D74" s="77">
        <f>D73*(BudgetsTable[[#This Row],[lead]]=K73)+(BudgetsTable[[#This Row],[prop_id]]&lt;&gt;A73)</f>
        <v>1</v>
      </c>
      <c r="E74" s="78">
        <v>42934.734722222223</v>
      </c>
      <c r="F74" s="79" t="s">
        <v>244</v>
      </c>
      <c r="G74" s="79" t="s">
        <v>780</v>
      </c>
      <c r="H74" s="79" t="s">
        <v>567</v>
      </c>
      <c r="I74" s="77" t="s">
        <v>582</v>
      </c>
      <c r="J74" s="77" t="s">
        <v>13</v>
      </c>
      <c r="K74" s="79" t="s">
        <v>974</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1</v>
      </c>
      <c r="R74" s="79">
        <v>1</v>
      </c>
      <c r="S74" s="80">
        <v>0</v>
      </c>
      <c r="T74" s="80">
        <v>2500</v>
      </c>
      <c r="U74" s="80">
        <v>0</v>
      </c>
      <c r="V74" s="81">
        <v>111876</v>
      </c>
      <c r="W74" s="79">
        <v>0</v>
      </c>
      <c r="X74" s="79">
        <v>4</v>
      </c>
      <c r="Y74" s="11" t="str">
        <f ca="1">IF(ISBLANK(BudgetsTable[[#This Row],[budg_seq_yr]]),"FY"&amp;fiscalyear,"FY"&amp;fiscalyear-1+BudgetsTable[[#This Row],[budg_seq_yr]])</f>
        <v>FY21</v>
      </c>
      <c r="Z74" s="80">
        <v>111876</v>
      </c>
      <c r="AA74" s="79" t="s">
        <v>780</v>
      </c>
      <c r="AB74" s="79" t="s">
        <v>567</v>
      </c>
      <c r="AC74" s="106" t="s">
        <v>94</v>
      </c>
      <c r="AD74" s="79" t="s">
        <v>1383</v>
      </c>
    </row>
    <row r="75" spans="1:30">
      <c r="A75" s="10" t="s">
        <v>974</v>
      </c>
      <c r="B75" s="77" t="s">
        <v>96</v>
      </c>
      <c r="C75" s="77">
        <f>C74+(BudgetsTable[[#This Row],[lead]]&lt;&gt;K74)</f>
        <v>22</v>
      </c>
      <c r="D75" s="77">
        <f>D74*(BudgetsTable[[#This Row],[lead]]=K74)+(BudgetsTable[[#This Row],[prop_id]]&lt;&gt;A74)</f>
        <v>1</v>
      </c>
      <c r="E75" s="78">
        <v>42934.734722222223</v>
      </c>
      <c r="F75" s="79" t="s">
        <v>244</v>
      </c>
      <c r="G75" s="79" t="s">
        <v>780</v>
      </c>
      <c r="H75" s="79" t="s">
        <v>567</v>
      </c>
      <c r="I75" s="77" t="s">
        <v>582</v>
      </c>
      <c r="J75" s="77" t="s">
        <v>13</v>
      </c>
      <c r="K75" s="79" t="s">
        <v>974</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1</v>
      </c>
      <c r="R75" s="79">
        <v>1</v>
      </c>
      <c r="S75" s="80">
        <v>0</v>
      </c>
      <c r="T75" s="80">
        <v>2500</v>
      </c>
      <c r="U75" s="80">
        <v>0</v>
      </c>
      <c r="V75" s="81">
        <v>100121</v>
      </c>
      <c r="W75" s="79">
        <v>0</v>
      </c>
      <c r="X75" s="79">
        <v>5</v>
      </c>
      <c r="Y75" s="11" t="str">
        <f ca="1">IF(ISBLANK(BudgetsTable[[#This Row],[budg_seq_yr]]),"FY"&amp;fiscalyear,"FY"&amp;fiscalyear-1+BudgetsTable[[#This Row],[budg_seq_yr]])</f>
        <v>FY22</v>
      </c>
      <c r="Z75" s="80">
        <v>100121</v>
      </c>
      <c r="AA75" s="79" t="s">
        <v>780</v>
      </c>
      <c r="AB75" s="79" t="s">
        <v>567</v>
      </c>
      <c r="AC75" s="106" t="s">
        <v>94</v>
      </c>
      <c r="AD75" s="79" t="s">
        <v>1383</v>
      </c>
    </row>
    <row r="76" spans="1:30">
      <c r="A76" s="10" t="s">
        <v>686</v>
      </c>
      <c r="B76" s="77" t="s">
        <v>96</v>
      </c>
      <c r="C76" s="77">
        <f>C75+(BudgetsTable[[#This Row],[lead]]&lt;&gt;K75)</f>
        <v>23</v>
      </c>
      <c r="D76" s="77">
        <f>D75*(BudgetsTable[[#This Row],[lead]]=K75)+(BudgetsTable[[#This Row],[prop_id]]&lt;&gt;A75)</f>
        <v>1</v>
      </c>
      <c r="E76" s="78">
        <v>42934.737500000003</v>
      </c>
      <c r="F76" s="79" t="s">
        <v>244</v>
      </c>
      <c r="G76" s="79" t="s">
        <v>780</v>
      </c>
      <c r="H76" s="79" t="s">
        <v>567</v>
      </c>
      <c r="I76" s="77" t="s">
        <v>582</v>
      </c>
      <c r="J76" s="77" t="s">
        <v>823</v>
      </c>
      <c r="K76" s="79" t="s">
        <v>686</v>
      </c>
      <c r="L76" s="7" t="str">
        <f>IF(BudgetsTable[[#This Row],[pi_last_name]]=" ","",HYPERLINK("https://www.ejacket.nsf.gov/ej/showProposal.do?Continue=Y&amp;ID="&amp;BudgetsTable[[#This Row],[prop_id]],BudgetsTable[[#This Row],[prop_id]]))</f>
        <v>1750039</v>
      </c>
      <c r="M76" s="15" t="str">
        <f>IF(BudgetsTable[[#This Row],[pi_last_name]]=" ","",HYPERLINK("https://www.ejacket.nsf.gov/ej/processReviewAnalysis.do?dispatch=add&amp;uniqId="&amp;BudgetsTable[[#This Row],[prop_id]]&amp;PO_id,"&gt;ra"))</f>
        <v>&gt;ra</v>
      </c>
      <c r="N76" s="79" t="s">
        <v>687</v>
      </c>
      <c r="O76" s="7" t="str">
        <f>IF(BudgetsTable[[#This Row],[pi_last_name]]=" ","",HYPERLINK("mailto:"&amp;BudgetsTable[[#This Row],[pi_email]]&amp;"&amp;subject=Your NSF Proposal:  "&amp;BudgetsTable[[#This Row],[prop_id]],BudgetsTable[[#This Row],[pi_email]]))</f>
        <v>solomon2@illinois.edu</v>
      </c>
      <c r="P76" s="79" t="s">
        <v>346</v>
      </c>
      <c r="Q76" s="79"/>
      <c r="R76" s="79"/>
      <c r="S76" s="80"/>
      <c r="T76" s="80"/>
      <c r="U76" s="80"/>
      <c r="V76" s="81"/>
      <c r="W76" s="79">
        <v>0</v>
      </c>
      <c r="X76" s="79"/>
      <c r="Y76" s="11" t="str">
        <f ca="1">IF(ISBLANK(BudgetsTable[[#This Row],[budg_seq_yr]]),"FY"&amp;fiscalyear,"FY"&amp;fiscalyear-1+BudgetsTable[[#This Row],[budg_seq_yr]])</f>
        <v>FY18</v>
      </c>
      <c r="Z76" s="80">
        <v>524117</v>
      </c>
      <c r="AA76" s="79" t="s">
        <v>780</v>
      </c>
      <c r="AB76" s="79" t="s">
        <v>567</v>
      </c>
      <c r="AC76" s="106" t="s">
        <v>94</v>
      </c>
      <c r="AD76" s="79" t="s">
        <v>819</v>
      </c>
    </row>
    <row r="77" spans="1:30">
      <c r="A77" s="10" t="s">
        <v>686</v>
      </c>
      <c r="B77" s="77" t="s">
        <v>96</v>
      </c>
      <c r="C77" s="77">
        <f>C76+(BudgetsTable[[#This Row],[lead]]&lt;&gt;K76)</f>
        <v>23</v>
      </c>
      <c r="D77" s="77">
        <f>D76*(BudgetsTable[[#This Row],[lead]]=K76)+(BudgetsTable[[#This Row],[prop_id]]&lt;&gt;A76)</f>
        <v>1</v>
      </c>
      <c r="E77" s="78">
        <v>42934.737500000003</v>
      </c>
      <c r="F77" s="79" t="s">
        <v>244</v>
      </c>
      <c r="G77" s="79" t="s">
        <v>780</v>
      </c>
      <c r="H77" s="79" t="s">
        <v>567</v>
      </c>
      <c r="I77" s="77" t="s">
        <v>582</v>
      </c>
      <c r="J77" s="77" t="s">
        <v>13</v>
      </c>
      <c r="K77" s="79" t="s">
        <v>686</v>
      </c>
      <c r="L77" s="7" t="str">
        <f>IF(BudgetsTable[[#This Row],[pi_last_name]]=" ","",HYPERLINK("https://www.ejacket.nsf.gov/ej/showProposal.do?Continue=Y&amp;ID="&amp;BudgetsTable[[#This Row],[prop_id]],BudgetsTable[[#This Row],[prop_id]]))</f>
        <v/>
      </c>
      <c r="M77" s="15" t="str">
        <f>IF(BudgetsTable[[#This Row],[pi_last_name]]=" ","",HYPERLINK("https://www.ejacket.nsf.gov/ej/processReviewAnalysis.do?dispatch=add&amp;uniqId="&amp;BudgetsTable[[#This Row],[prop_id]]&amp;PO_id,"&gt;ra"))</f>
        <v/>
      </c>
      <c r="N77" s="79" t="s">
        <v>13</v>
      </c>
      <c r="O77" s="7" t="str">
        <f>IF(BudgetsTable[[#This Row],[pi_last_name]]=" ","",HYPERLINK("mailto:"&amp;BudgetsTable[[#This Row],[pi_email]]&amp;"&amp;subject=Your NSF Proposal:  "&amp;BudgetsTable[[#This Row],[prop_id]],BudgetsTable[[#This Row],[pi_email]]))</f>
        <v/>
      </c>
      <c r="P77" s="79" t="s">
        <v>13</v>
      </c>
      <c r="Q77" s="79">
        <v>1</v>
      </c>
      <c r="R77" s="79">
        <v>0.5</v>
      </c>
      <c r="S77" s="80">
        <v>0</v>
      </c>
      <c r="T77" s="80">
        <v>2250</v>
      </c>
      <c r="U77" s="80">
        <v>0</v>
      </c>
      <c r="V77" s="81">
        <v>100718</v>
      </c>
      <c r="W77" s="79">
        <v>0</v>
      </c>
      <c r="X77" s="79">
        <v>1</v>
      </c>
      <c r="Y77" s="11" t="str">
        <f ca="1">IF(ISBLANK(BudgetsTable[[#This Row],[budg_seq_yr]]),"FY"&amp;fiscalyear,"FY"&amp;fiscalyear-1+BudgetsTable[[#This Row],[budg_seq_yr]])</f>
        <v>FY18</v>
      </c>
      <c r="Z77" s="80">
        <v>100718</v>
      </c>
      <c r="AA77" s="79" t="s">
        <v>780</v>
      </c>
      <c r="AB77" s="79" t="s">
        <v>567</v>
      </c>
      <c r="AC77" s="106" t="s">
        <v>94</v>
      </c>
      <c r="AD77" s="79" t="s">
        <v>819</v>
      </c>
    </row>
    <row r="78" spans="1:30">
      <c r="A78" s="10" t="s">
        <v>686</v>
      </c>
      <c r="B78" s="77" t="s">
        <v>96</v>
      </c>
      <c r="C78" s="77">
        <f>C77+(BudgetsTable[[#This Row],[lead]]&lt;&gt;K77)</f>
        <v>23</v>
      </c>
      <c r="D78" s="77">
        <f>D77*(BudgetsTable[[#This Row],[lead]]=K77)+(BudgetsTable[[#This Row],[prop_id]]&lt;&gt;A77)</f>
        <v>1</v>
      </c>
      <c r="E78" s="78">
        <v>42934.737500000003</v>
      </c>
      <c r="F78" s="79" t="s">
        <v>244</v>
      </c>
      <c r="G78" s="79" t="s">
        <v>780</v>
      </c>
      <c r="H78" s="79" t="s">
        <v>567</v>
      </c>
      <c r="I78" s="77" t="s">
        <v>582</v>
      </c>
      <c r="J78" s="77" t="s">
        <v>13</v>
      </c>
      <c r="K78" s="79" t="s">
        <v>686</v>
      </c>
      <c r="L78" s="7" t="str">
        <f>IF(BudgetsTable[[#This Row],[pi_last_name]]=" ","",HYPERLINK("https://www.ejacket.nsf.gov/ej/showProposal.do?Continue=Y&amp;ID="&amp;BudgetsTable[[#This Row],[prop_id]],BudgetsTable[[#This Row],[prop_id]]))</f>
        <v/>
      </c>
      <c r="M78" s="15" t="str">
        <f>IF(BudgetsTable[[#This Row],[pi_last_name]]=" ","",HYPERLINK("https://www.ejacket.nsf.gov/ej/processReviewAnalysis.do?dispatch=add&amp;uniqId="&amp;BudgetsTable[[#This Row],[prop_id]]&amp;PO_id,"&gt;ra"))</f>
        <v/>
      </c>
      <c r="N78" s="79" t="s">
        <v>13</v>
      </c>
      <c r="O78" s="7" t="str">
        <f>IF(BudgetsTable[[#This Row],[pi_last_name]]=" ","",HYPERLINK("mailto:"&amp;BudgetsTable[[#This Row],[pi_email]]&amp;"&amp;subject=Your NSF Proposal:  "&amp;BudgetsTable[[#This Row],[prop_id]],BudgetsTable[[#This Row],[pi_email]]))</f>
        <v/>
      </c>
      <c r="P78" s="79" t="s">
        <v>13</v>
      </c>
      <c r="Q78" s="79">
        <v>1</v>
      </c>
      <c r="R78" s="79">
        <v>0.5</v>
      </c>
      <c r="S78" s="80">
        <v>0</v>
      </c>
      <c r="T78" s="80">
        <v>2250</v>
      </c>
      <c r="U78" s="80">
        <v>0</v>
      </c>
      <c r="V78" s="81">
        <v>101222</v>
      </c>
      <c r="W78" s="79">
        <v>0</v>
      </c>
      <c r="X78" s="79">
        <v>2</v>
      </c>
      <c r="Y78" s="11" t="str">
        <f ca="1">IF(ISBLANK(BudgetsTable[[#This Row],[budg_seq_yr]]),"FY"&amp;fiscalyear,"FY"&amp;fiscalyear-1+BudgetsTable[[#This Row],[budg_seq_yr]])</f>
        <v>FY19</v>
      </c>
      <c r="Z78" s="80">
        <v>101222</v>
      </c>
      <c r="AA78" s="79" t="s">
        <v>780</v>
      </c>
      <c r="AB78" s="79" t="s">
        <v>567</v>
      </c>
      <c r="AC78" s="106" t="s">
        <v>94</v>
      </c>
      <c r="AD78" s="79" t="s">
        <v>819</v>
      </c>
    </row>
    <row r="79" spans="1:30">
      <c r="A79" s="10" t="s">
        <v>686</v>
      </c>
      <c r="B79" s="77" t="s">
        <v>96</v>
      </c>
      <c r="C79" s="77">
        <f>C78+(BudgetsTable[[#This Row],[lead]]&lt;&gt;K78)</f>
        <v>23</v>
      </c>
      <c r="D79" s="77">
        <f>D78*(BudgetsTable[[#This Row],[lead]]=K78)+(BudgetsTable[[#This Row],[prop_id]]&lt;&gt;A78)</f>
        <v>1</v>
      </c>
      <c r="E79" s="78">
        <v>42934.737500000003</v>
      </c>
      <c r="F79" s="79" t="s">
        <v>244</v>
      </c>
      <c r="G79" s="79" t="s">
        <v>780</v>
      </c>
      <c r="H79" s="79" t="s">
        <v>567</v>
      </c>
      <c r="I79" s="77" t="s">
        <v>582</v>
      </c>
      <c r="J79" s="77" t="s">
        <v>13</v>
      </c>
      <c r="K79" s="79" t="s">
        <v>686</v>
      </c>
      <c r="L79" s="7" t="str">
        <f>IF(BudgetsTable[[#This Row],[pi_last_name]]=" ","",HYPERLINK("https://www.ejacket.nsf.gov/ej/showProposal.do?Continue=Y&amp;ID="&amp;BudgetsTable[[#This Row],[prop_id]],BudgetsTable[[#This Row],[prop_id]]))</f>
        <v/>
      </c>
      <c r="M79" s="15" t="str">
        <f>IF(BudgetsTable[[#This Row],[pi_last_name]]=" ","",HYPERLINK("https://www.ejacket.nsf.gov/ej/processReviewAnalysis.do?dispatch=add&amp;uniqId="&amp;BudgetsTable[[#This Row],[prop_id]]&amp;PO_id,"&gt;ra"))</f>
        <v/>
      </c>
      <c r="N79" s="79" t="s">
        <v>13</v>
      </c>
      <c r="O79" s="7" t="str">
        <f>IF(BudgetsTable[[#This Row],[pi_last_name]]=" ","",HYPERLINK("mailto:"&amp;BudgetsTable[[#This Row],[pi_email]]&amp;"&amp;subject=Your NSF Proposal:  "&amp;BudgetsTable[[#This Row],[prop_id]],BudgetsTable[[#This Row],[pi_email]]))</f>
        <v/>
      </c>
      <c r="P79" s="79" t="s">
        <v>13</v>
      </c>
      <c r="Q79" s="79">
        <v>1</v>
      </c>
      <c r="R79" s="79">
        <v>0.5</v>
      </c>
      <c r="S79" s="80">
        <v>0</v>
      </c>
      <c r="T79" s="80">
        <v>2250</v>
      </c>
      <c r="U79" s="80">
        <v>0</v>
      </c>
      <c r="V79" s="81">
        <v>104224</v>
      </c>
      <c r="W79" s="79">
        <v>0</v>
      </c>
      <c r="X79" s="79">
        <v>3</v>
      </c>
      <c r="Y79" s="11" t="str">
        <f ca="1">IF(ISBLANK(BudgetsTable[[#This Row],[budg_seq_yr]]),"FY"&amp;fiscalyear,"FY"&amp;fiscalyear-1+BudgetsTable[[#This Row],[budg_seq_yr]])</f>
        <v>FY20</v>
      </c>
      <c r="Z79" s="80">
        <v>104224</v>
      </c>
      <c r="AA79" s="79" t="s">
        <v>780</v>
      </c>
      <c r="AB79" s="79" t="s">
        <v>567</v>
      </c>
      <c r="AC79" s="106" t="s">
        <v>94</v>
      </c>
      <c r="AD79" s="79" t="s">
        <v>819</v>
      </c>
    </row>
    <row r="80" spans="1:30">
      <c r="A80" s="10" t="s">
        <v>686</v>
      </c>
      <c r="B80" s="77" t="s">
        <v>96</v>
      </c>
      <c r="C80" s="77">
        <f>C79+(BudgetsTable[[#This Row],[lead]]&lt;&gt;K79)</f>
        <v>23</v>
      </c>
      <c r="D80" s="77">
        <f>D79*(BudgetsTable[[#This Row],[lead]]=K79)+(BudgetsTable[[#This Row],[prop_id]]&lt;&gt;A79)</f>
        <v>1</v>
      </c>
      <c r="E80" s="78">
        <v>42934.737500000003</v>
      </c>
      <c r="F80" s="79" t="s">
        <v>244</v>
      </c>
      <c r="G80" s="79" t="s">
        <v>780</v>
      </c>
      <c r="H80" s="79" t="s">
        <v>567</v>
      </c>
      <c r="I80" s="77" t="s">
        <v>582</v>
      </c>
      <c r="J80" s="77" t="s">
        <v>13</v>
      </c>
      <c r="K80" s="79" t="s">
        <v>686</v>
      </c>
      <c r="L80" s="7" t="str">
        <f>IF(BudgetsTable[[#This Row],[pi_last_name]]=" ","",HYPERLINK("https://www.ejacket.nsf.gov/ej/showProposal.do?Continue=Y&amp;ID="&amp;BudgetsTable[[#This Row],[prop_id]],BudgetsTable[[#This Row],[prop_id]]))</f>
        <v/>
      </c>
      <c r="M80" s="15" t="str">
        <f>IF(BudgetsTable[[#This Row],[pi_last_name]]=" ","",HYPERLINK("https://www.ejacket.nsf.gov/ej/processReviewAnalysis.do?dispatch=add&amp;uniqId="&amp;BudgetsTable[[#This Row],[prop_id]]&amp;PO_id,"&gt;ra"))</f>
        <v/>
      </c>
      <c r="N80" s="79" t="s">
        <v>13</v>
      </c>
      <c r="O80" s="7" t="str">
        <f>IF(BudgetsTable[[#This Row],[pi_last_name]]=" ","",HYPERLINK("mailto:"&amp;BudgetsTable[[#This Row],[pi_email]]&amp;"&amp;subject=Your NSF Proposal:  "&amp;BudgetsTable[[#This Row],[prop_id]],BudgetsTable[[#This Row],[pi_email]]))</f>
        <v/>
      </c>
      <c r="P80" s="79" t="s">
        <v>13</v>
      </c>
      <c r="Q80" s="79">
        <v>1</v>
      </c>
      <c r="R80" s="79">
        <v>0.5</v>
      </c>
      <c r="S80" s="80">
        <v>0</v>
      </c>
      <c r="T80" s="80">
        <v>2250</v>
      </c>
      <c r="U80" s="80">
        <v>0</v>
      </c>
      <c r="V80" s="81">
        <v>107350</v>
      </c>
      <c r="W80" s="79">
        <v>0</v>
      </c>
      <c r="X80" s="79">
        <v>4</v>
      </c>
      <c r="Y80" s="11" t="str">
        <f ca="1">IF(ISBLANK(BudgetsTable[[#This Row],[budg_seq_yr]]),"FY"&amp;fiscalyear,"FY"&amp;fiscalyear-1+BudgetsTable[[#This Row],[budg_seq_yr]])</f>
        <v>FY21</v>
      </c>
      <c r="Z80" s="80">
        <v>107350</v>
      </c>
      <c r="AA80" s="79" t="s">
        <v>780</v>
      </c>
      <c r="AB80" s="79" t="s">
        <v>567</v>
      </c>
      <c r="AC80" s="106" t="s">
        <v>94</v>
      </c>
      <c r="AD80" s="79" t="s">
        <v>819</v>
      </c>
    </row>
    <row r="81" spans="1:30">
      <c r="A81" s="10" t="s">
        <v>686</v>
      </c>
      <c r="B81" s="77" t="s">
        <v>96</v>
      </c>
      <c r="C81" s="77">
        <f>C80+(BudgetsTable[[#This Row],[lead]]&lt;&gt;K80)</f>
        <v>23</v>
      </c>
      <c r="D81" s="77">
        <f>D80*(BudgetsTable[[#This Row],[lead]]=K80)+(BudgetsTable[[#This Row],[prop_id]]&lt;&gt;A80)</f>
        <v>1</v>
      </c>
      <c r="E81" s="78">
        <v>42934.737500000003</v>
      </c>
      <c r="F81" s="79" t="s">
        <v>244</v>
      </c>
      <c r="G81" s="79" t="s">
        <v>780</v>
      </c>
      <c r="H81" s="79" t="s">
        <v>567</v>
      </c>
      <c r="I81" s="77" t="s">
        <v>582</v>
      </c>
      <c r="J81" s="77" t="s">
        <v>13</v>
      </c>
      <c r="K81" s="79" t="s">
        <v>686</v>
      </c>
      <c r="L81" s="7" t="str">
        <f>IF(BudgetsTable[[#This Row],[pi_last_name]]=" ","",HYPERLINK("https://www.ejacket.nsf.gov/ej/showProposal.do?Continue=Y&amp;ID="&amp;BudgetsTable[[#This Row],[prop_id]],BudgetsTable[[#This Row],[prop_id]]))</f>
        <v/>
      </c>
      <c r="M81" s="15" t="str">
        <f>IF(BudgetsTable[[#This Row],[pi_last_name]]=" ","",HYPERLINK("https://www.ejacket.nsf.gov/ej/processReviewAnalysis.do?dispatch=add&amp;uniqId="&amp;BudgetsTable[[#This Row],[prop_id]]&amp;PO_id,"&gt;ra"))</f>
        <v/>
      </c>
      <c r="N81" s="79" t="s">
        <v>13</v>
      </c>
      <c r="O81" s="7" t="str">
        <f>IF(BudgetsTable[[#This Row],[pi_last_name]]=" ","",HYPERLINK("mailto:"&amp;BudgetsTable[[#This Row],[pi_email]]&amp;"&amp;subject=Your NSF Proposal:  "&amp;BudgetsTable[[#This Row],[prop_id]],BudgetsTable[[#This Row],[pi_email]]))</f>
        <v/>
      </c>
      <c r="P81" s="79" t="s">
        <v>13</v>
      </c>
      <c r="Q81" s="79">
        <v>1</v>
      </c>
      <c r="R81" s="79">
        <v>0.5</v>
      </c>
      <c r="S81" s="80">
        <v>0</v>
      </c>
      <c r="T81" s="80">
        <v>2250</v>
      </c>
      <c r="U81" s="80">
        <v>0</v>
      </c>
      <c r="V81" s="81">
        <v>110603</v>
      </c>
      <c r="W81" s="79">
        <v>0</v>
      </c>
      <c r="X81" s="79">
        <v>5</v>
      </c>
      <c r="Y81" s="11" t="str">
        <f ca="1">IF(ISBLANK(BudgetsTable[[#This Row],[budg_seq_yr]]),"FY"&amp;fiscalyear,"FY"&amp;fiscalyear-1+BudgetsTable[[#This Row],[budg_seq_yr]])</f>
        <v>FY22</v>
      </c>
      <c r="Z81" s="80">
        <v>110603</v>
      </c>
      <c r="AA81" s="79" t="s">
        <v>780</v>
      </c>
      <c r="AB81" s="79" t="s">
        <v>567</v>
      </c>
      <c r="AC81" s="106" t="s">
        <v>94</v>
      </c>
      <c r="AD81" s="79" t="s">
        <v>819</v>
      </c>
    </row>
    <row r="82" spans="1:30">
      <c r="A82" s="10" t="s">
        <v>985</v>
      </c>
      <c r="B82" s="77" t="s">
        <v>96</v>
      </c>
      <c r="C82" s="77">
        <f>C81+(BudgetsTable[[#This Row],[lead]]&lt;&gt;K81)</f>
        <v>24</v>
      </c>
      <c r="D82" s="77">
        <f>D81*(BudgetsTable[[#This Row],[lead]]=K81)+(BudgetsTable[[#This Row],[prop_id]]&lt;&gt;A81)</f>
        <v>1</v>
      </c>
      <c r="E82" s="78">
        <v>42934.806944444441</v>
      </c>
      <c r="F82" s="79" t="s">
        <v>244</v>
      </c>
      <c r="G82" s="79" t="s">
        <v>780</v>
      </c>
      <c r="H82" s="79" t="s">
        <v>567</v>
      </c>
      <c r="I82" s="77" t="s">
        <v>944</v>
      </c>
      <c r="J82" s="77" t="s">
        <v>1393</v>
      </c>
      <c r="K82" s="79" t="s">
        <v>985</v>
      </c>
      <c r="L82" s="7" t="str">
        <f>IF(BudgetsTable[[#This Row],[pi_last_name]]=" ","",HYPERLINK("https://www.ejacket.nsf.gov/ej/showProposal.do?Continue=Y&amp;ID="&amp;BudgetsTable[[#This Row],[prop_id]],BudgetsTable[[#This Row],[prop_id]]))</f>
        <v>1750075</v>
      </c>
      <c r="M82" s="15" t="str">
        <f>IF(BudgetsTable[[#This Row],[pi_last_name]]=" ","",HYPERLINK("https://www.ejacket.nsf.gov/ej/processReviewAnalysis.do?dispatch=add&amp;uniqId="&amp;BudgetsTable[[#This Row],[prop_id]]&amp;PO_id,"&gt;ra"))</f>
        <v>&gt;ra</v>
      </c>
      <c r="N82" s="79" t="s">
        <v>986</v>
      </c>
      <c r="O82" s="7" t="str">
        <f>IF(BudgetsTable[[#This Row],[pi_last_name]]=" ","",HYPERLINK("mailto:"&amp;BudgetsTable[[#This Row],[pi_email]]&amp;"&amp;subject=Your NSF Proposal:  "&amp;BudgetsTable[[#This Row],[prop_id]],BudgetsTable[[#This Row],[pi_email]]))</f>
        <v>razaviya@usc.edu</v>
      </c>
      <c r="P82" s="79" t="s">
        <v>452</v>
      </c>
      <c r="Q82" s="79"/>
      <c r="R82" s="79"/>
      <c r="S82" s="80"/>
      <c r="T82" s="80"/>
      <c r="U82" s="80"/>
      <c r="V82" s="81"/>
      <c r="W82" s="79">
        <v>0</v>
      </c>
      <c r="X82" s="79"/>
      <c r="Y82" s="11" t="str">
        <f ca="1">IF(ISBLANK(BudgetsTable[[#This Row],[budg_seq_yr]]),"FY"&amp;fiscalyear,"FY"&amp;fiscalyear-1+BudgetsTable[[#This Row],[budg_seq_yr]])</f>
        <v>FY18</v>
      </c>
      <c r="Z82" s="80">
        <v>539673</v>
      </c>
      <c r="AA82" s="79" t="s">
        <v>780</v>
      </c>
      <c r="AB82" s="79" t="s">
        <v>567</v>
      </c>
      <c r="AC82" s="106" t="s">
        <v>94</v>
      </c>
      <c r="AD82" s="79" t="s">
        <v>783</v>
      </c>
    </row>
    <row r="83" spans="1:30">
      <c r="A83" s="10" t="s">
        <v>985</v>
      </c>
      <c r="B83" s="77" t="s">
        <v>96</v>
      </c>
      <c r="C83" s="77">
        <f>C82+(BudgetsTable[[#This Row],[lead]]&lt;&gt;K82)</f>
        <v>24</v>
      </c>
      <c r="D83" s="77">
        <f>D82*(BudgetsTable[[#This Row],[lead]]=K82)+(BudgetsTable[[#This Row],[prop_id]]&lt;&gt;A82)</f>
        <v>1</v>
      </c>
      <c r="E83" s="78">
        <v>42934.806944444441</v>
      </c>
      <c r="F83" s="79" t="s">
        <v>244</v>
      </c>
      <c r="G83" s="79" t="s">
        <v>780</v>
      </c>
      <c r="H83" s="79" t="s">
        <v>567</v>
      </c>
      <c r="I83" s="77" t="s">
        <v>944</v>
      </c>
      <c r="J83" s="77" t="s">
        <v>13</v>
      </c>
      <c r="K83" s="79" t="s">
        <v>985</v>
      </c>
      <c r="L83" s="7" t="str">
        <f>IF(BudgetsTable[[#This Row],[pi_last_name]]=" ","",HYPERLINK("https://www.ejacket.nsf.gov/ej/showProposal.do?Continue=Y&amp;ID="&amp;BudgetsTable[[#This Row],[prop_id]],BudgetsTable[[#This Row],[prop_id]]))</f>
        <v/>
      </c>
      <c r="M83" s="15" t="str">
        <f>IF(BudgetsTable[[#This Row],[pi_last_name]]=" ","",HYPERLINK("https://www.ejacket.nsf.gov/ej/processReviewAnalysis.do?dispatch=add&amp;uniqId="&amp;BudgetsTable[[#This Row],[prop_id]]&amp;PO_id,"&gt;ra"))</f>
        <v/>
      </c>
      <c r="N83" s="79" t="s">
        <v>13</v>
      </c>
      <c r="O83" s="7" t="str">
        <f>IF(BudgetsTable[[#This Row],[pi_last_name]]=" ","",HYPERLINK("mailto:"&amp;BudgetsTable[[#This Row],[pi_email]]&amp;"&amp;subject=Your NSF Proposal:  "&amp;BudgetsTable[[#This Row],[prop_id]],BudgetsTable[[#This Row],[pi_email]]))</f>
        <v/>
      </c>
      <c r="P83" s="79" t="s">
        <v>13</v>
      </c>
      <c r="Q83" s="79">
        <v>1</v>
      </c>
      <c r="R83" s="79">
        <v>1</v>
      </c>
      <c r="S83" s="80">
        <v>0</v>
      </c>
      <c r="T83" s="80">
        <v>0</v>
      </c>
      <c r="U83" s="80">
        <v>6500</v>
      </c>
      <c r="V83" s="81">
        <v>104372</v>
      </c>
      <c r="W83" s="79">
        <v>0</v>
      </c>
      <c r="X83" s="79">
        <v>1</v>
      </c>
      <c r="Y83" s="11" t="str">
        <f ca="1">IF(ISBLANK(BudgetsTable[[#This Row],[budg_seq_yr]]),"FY"&amp;fiscalyear,"FY"&amp;fiscalyear-1+BudgetsTable[[#This Row],[budg_seq_yr]])</f>
        <v>FY18</v>
      </c>
      <c r="Z83" s="80">
        <v>104372</v>
      </c>
      <c r="AA83" s="79" t="s">
        <v>780</v>
      </c>
      <c r="AB83" s="79" t="s">
        <v>567</v>
      </c>
      <c r="AC83" s="106" t="s">
        <v>94</v>
      </c>
      <c r="AD83" s="79" t="s">
        <v>783</v>
      </c>
    </row>
    <row r="84" spans="1:30">
      <c r="A84" s="10" t="s">
        <v>985</v>
      </c>
      <c r="B84" s="77" t="s">
        <v>96</v>
      </c>
      <c r="C84" s="77">
        <f>C83+(BudgetsTable[[#This Row],[lead]]&lt;&gt;K83)</f>
        <v>24</v>
      </c>
      <c r="D84" s="77">
        <f>D83*(BudgetsTable[[#This Row],[lead]]=K83)+(BudgetsTable[[#This Row],[prop_id]]&lt;&gt;A83)</f>
        <v>1</v>
      </c>
      <c r="E84" s="78">
        <v>42934.806944444441</v>
      </c>
      <c r="F84" s="79" t="s">
        <v>244</v>
      </c>
      <c r="G84" s="79" t="s">
        <v>780</v>
      </c>
      <c r="H84" s="79" t="s">
        <v>567</v>
      </c>
      <c r="I84" s="77" t="s">
        <v>944</v>
      </c>
      <c r="J84" s="77" t="s">
        <v>13</v>
      </c>
      <c r="K84" s="79" t="s">
        <v>985</v>
      </c>
      <c r="L84" s="7" t="str">
        <f>IF(BudgetsTable[[#This Row],[pi_last_name]]=" ","",HYPERLINK("https://www.ejacket.nsf.gov/ej/showProposal.do?Continue=Y&amp;ID="&amp;BudgetsTable[[#This Row],[prop_id]],BudgetsTable[[#This Row],[prop_id]]))</f>
        <v/>
      </c>
      <c r="M84" s="15" t="str">
        <f>IF(BudgetsTable[[#This Row],[pi_last_name]]=" ","",HYPERLINK("https://www.ejacket.nsf.gov/ej/processReviewAnalysis.do?dispatch=add&amp;uniqId="&amp;BudgetsTable[[#This Row],[prop_id]]&amp;PO_id,"&gt;ra"))</f>
        <v/>
      </c>
      <c r="N84" s="79" t="s">
        <v>13</v>
      </c>
      <c r="O84" s="7" t="str">
        <f>IF(BudgetsTable[[#This Row],[pi_last_name]]=" ","",HYPERLINK("mailto:"&amp;BudgetsTable[[#This Row],[pi_email]]&amp;"&amp;subject=Your NSF Proposal:  "&amp;BudgetsTable[[#This Row],[prop_id]],BudgetsTable[[#This Row],[pi_email]]))</f>
        <v/>
      </c>
      <c r="P84" s="79" t="s">
        <v>13</v>
      </c>
      <c r="Q84" s="79">
        <v>1</v>
      </c>
      <c r="R84" s="79">
        <v>1</v>
      </c>
      <c r="S84" s="80">
        <v>0</v>
      </c>
      <c r="T84" s="80">
        <v>0</v>
      </c>
      <c r="U84" s="80">
        <v>0</v>
      </c>
      <c r="V84" s="81">
        <v>101457</v>
      </c>
      <c r="W84" s="79">
        <v>0</v>
      </c>
      <c r="X84" s="79">
        <v>2</v>
      </c>
      <c r="Y84" s="11" t="str">
        <f ca="1">IF(ISBLANK(BudgetsTable[[#This Row],[budg_seq_yr]]),"FY"&amp;fiscalyear,"FY"&amp;fiscalyear-1+BudgetsTable[[#This Row],[budg_seq_yr]])</f>
        <v>FY19</v>
      </c>
      <c r="Z84" s="80">
        <v>101457</v>
      </c>
      <c r="AA84" s="79" t="s">
        <v>780</v>
      </c>
      <c r="AB84" s="79" t="s">
        <v>567</v>
      </c>
      <c r="AC84" s="106" t="s">
        <v>94</v>
      </c>
      <c r="AD84" s="79" t="s">
        <v>783</v>
      </c>
    </row>
    <row r="85" spans="1:30">
      <c r="A85" s="10" t="s">
        <v>985</v>
      </c>
      <c r="B85" s="77" t="s">
        <v>96</v>
      </c>
      <c r="C85" s="77">
        <f>C84+(BudgetsTable[[#This Row],[lead]]&lt;&gt;K84)</f>
        <v>24</v>
      </c>
      <c r="D85" s="77">
        <f>D84*(BudgetsTable[[#This Row],[lead]]=K84)+(BudgetsTable[[#This Row],[prop_id]]&lt;&gt;A84)</f>
        <v>1</v>
      </c>
      <c r="E85" s="78">
        <v>42934.806944444441</v>
      </c>
      <c r="F85" s="79" t="s">
        <v>244</v>
      </c>
      <c r="G85" s="79" t="s">
        <v>780</v>
      </c>
      <c r="H85" s="79" t="s">
        <v>567</v>
      </c>
      <c r="I85" s="77" t="s">
        <v>944</v>
      </c>
      <c r="J85" s="77" t="s">
        <v>13</v>
      </c>
      <c r="K85" s="79" t="s">
        <v>985</v>
      </c>
      <c r="L85" s="7" t="str">
        <f>IF(BudgetsTable[[#This Row],[pi_last_name]]=" ","",HYPERLINK("https://www.ejacket.nsf.gov/ej/showProposal.do?Continue=Y&amp;ID="&amp;BudgetsTable[[#This Row],[prop_id]],BudgetsTable[[#This Row],[prop_id]]))</f>
        <v/>
      </c>
      <c r="M85" s="15" t="str">
        <f>IF(BudgetsTable[[#This Row],[pi_last_name]]=" ","",HYPERLINK("https://www.ejacket.nsf.gov/ej/processReviewAnalysis.do?dispatch=add&amp;uniqId="&amp;BudgetsTable[[#This Row],[prop_id]]&amp;PO_id,"&gt;ra"))</f>
        <v/>
      </c>
      <c r="N85" s="79" t="s">
        <v>13</v>
      </c>
      <c r="O85" s="7" t="str">
        <f>IF(BudgetsTable[[#This Row],[pi_last_name]]=" ","",HYPERLINK("mailto:"&amp;BudgetsTable[[#This Row],[pi_email]]&amp;"&amp;subject=Your NSF Proposal:  "&amp;BudgetsTable[[#This Row],[prop_id]],BudgetsTable[[#This Row],[pi_email]]))</f>
        <v/>
      </c>
      <c r="P85" s="79" t="s">
        <v>13</v>
      </c>
      <c r="Q85" s="79">
        <v>1</v>
      </c>
      <c r="R85" s="79">
        <v>1</v>
      </c>
      <c r="S85" s="80">
        <v>0</v>
      </c>
      <c r="T85" s="80">
        <v>0</v>
      </c>
      <c r="U85" s="80">
        <v>6500</v>
      </c>
      <c r="V85" s="81">
        <v>111685</v>
      </c>
      <c r="W85" s="79">
        <v>0</v>
      </c>
      <c r="X85" s="79">
        <v>3</v>
      </c>
      <c r="Y85" s="11" t="str">
        <f ca="1">IF(ISBLANK(BudgetsTable[[#This Row],[budg_seq_yr]]),"FY"&amp;fiscalyear,"FY"&amp;fiscalyear-1+BudgetsTable[[#This Row],[budg_seq_yr]])</f>
        <v>FY20</v>
      </c>
      <c r="Z85" s="80">
        <v>111685</v>
      </c>
      <c r="AA85" s="79" t="s">
        <v>780</v>
      </c>
      <c r="AB85" s="79" t="s">
        <v>567</v>
      </c>
      <c r="AC85" s="106" t="s">
        <v>94</v>
      </c>
      <c r="AD85" s="79" t="s">
        <v>783</v>
      </c>
    </row>
    <row r="86" spans="1:30">
      <c r="A86" s="10" t="s">
        <v>985</v>
      </c>
      <c r="B86" s="77" t="s">
        <v>96</v>
      </c>
      <c r="C86" s="77">
        <f>C85+(BudgetsTable[[#This Row],[lead]]&lt;&gt;K85)</f>
        <v>24</v>
      </c>
      <c r="D86" s="77">
        <f>D85*(BudgetsTable[[#This Row],[lead]]=K85)+(BudgetsTable[[#This Row],[prop_id]]&lt;&gt;A85)</f>
        <v>1</v>
      </c>
      <c r="E86" s="78">
        <v>42934.806944444441</v>
      </c>
      <c r="F86" s="79" t="s">
        <v>244</v>
      </c>
      <c r="G86" s="79" t="s">
        <v>780</v>
      </c>
      <c r="H86" s="79" t="s">
        <v>567</v>
      </c>
      <c r="I86" s="77" t="s">
        <v>944</v>
      </c>
      <c r="J86" s="77" t="s">
        <v>13</v>
      </c>
      <c r="K86" s="79" t="s">
        <v>985</v>
      </c>
      <c r="L86" s="7" t="str">
        <f>IF(BudgetsTable[[#This Row],[pi_last_name]]=" ","",HYPERLINK("https://www.ejacket.nsf.gov/ej/showProposal.do?Continue=Y&amp;ID="&amp;BudgetsTable[[#This Row],[prop_id]],BudgetsTable[[#This Row],[prop_id]]))</f>
        <v/>
      </c>
      <c r="M86" s="15" t="str">
        <f>IF(BudgetsTable[[#This Row],[pi_last_name]]=" ","",HYPERLINK("https://www.ejacket.nsf.gov/ej/processReviewAnalysis.do?dispatch=add&amp;uniqId="&amp;BudgetsTable[[#This Row],[prop_id]]&amp;PO_id,"&gt;ra"))</f>
        <v/>
      </c>
      <c r="N86" s="79" t="s">
        <v>13</v>
      </c>
      <c r="O86" s="7" t="str">
        <f>IF(BudgetsTable[[#This Row],[pi_last_name]]=" ","",HYPERLINK("mailto:"&amp;BudgetsTable[[#This Row],[pi_email]]&amp;"&amp;subject=Your NSF Proposal:  "&amp;BudgetsTable[[#This Row],[prop_id]],BudgetsTable[[#This Row],[pi_email]]))</f>
        <v/>
      </c>
      <c r="P86" s="79" t="s">
        <v>13</v>
      </c>
      <c r="Q86" s="79">
        <v>1</v>
      </c>
      <c r="R86" s="79">
        <v>1</v>
      </c>
      <c r="S86" s="80">
        <v>0</v>
      </c>
      <c r="T86" s="80">
        <v>0</v>
      </c>
      <c r="U86" s="80">
        <v>0</v>
      </c>
      <c r="V86" s="81">
        <v>109063</v>
      </c>
      <c r="W86" s="79">
        <v>0</v>
      </c>
      <c r="X86" s="79">
        <v>4</v>
      </c>
      <c r="Y86" s="11" t="str">
        <f ca="1">IF(ISBLANK(BudgetsTable[[#This Row],[budg_seq_yr]]),"FY"&amp;fiscalyear,"FY"&amp;fiscalyear-1+BudgetsTable[[#This Row],[budg_seq_yr]])</f>
        <v>FY21</v>
      </c>
      <c r="Z86" s="80">
        <v>109063</v>
      </c>
      <c r="AA86" s="79" t="s">
        <v>780</v>
      </c>
      <c r="AB86" s="79" t="s">
        <v>567</v>
      </c>
      <c r="AC86" s="106" t="s">
        <v>94</v>
      </c>
      <c r="AD86" s="79" t="s">
        <v>783</v>
      </c>
    </row>
    <row r="87" spans="1:30">
      <c r="A87" s="10" t="s">
        <v>985</v>
      </c>
      <c r="B87" s="77" t="s">
        <v>96</v>
      </c>
      <c r="C87" s="77">
        <f>C86+(BudgetsTable[[#This Row],[lead]]&lt;&gt;K86)</f>
        <v>24</v>
      </c>
      <c r="D87" s="77">
        <f>D86*(BudgetsTable[[#This Row],[lead]]=K86)+(BudgetsTable[[#This Row],[prop_id]]&lt;&gt;A86)</f>
        <v>1</v>
      </c>
      <c r="E87" s="78">
        <v>42934.806944444441</v>
      </c>
      <c r="F87" s="79" t="s">
        <v>244</v>
      </c>
      <c r="G87" s="79" t="s">
        <v>780</v>
      </c>
      <c r="H87" s="79" t="s">
        <v>567</v>
      </c>
      <c r="I87" s="77" t="s">
        <v>944</v>
      </c>
      <c r="J87" s="77" t="s">
        <v>13</v>
      </c>
      <c r="K87" s="79" t="s">
        <v>985</v>
      </c>
      <c r="L87" s="7" t="str">
        <f>IF(BudgetsTable[[#This Row],[pi_last_name]]=" ","",HYPERLINK("https://www.ejacket.nsf.gov/ej/showProposal.do?Continue=Y&amp;ID="&amp;BudgetsTable[[#This Row],[prop_id]],BudgetsTable[[#This Row],[prop_id]]))</f>
        <v/>
      </c>
      <c r="M87" s="15" t="str">
        <f>IF(BudgetsTable[[#This Row],[pi_last_name]]=" ","",HYPERLINK("https://www.ejacket.nsf.gov/ej/processReviewAnalysis.do?dispatch=add&amp;uniqId="&amp;BudgetsTable[[#This Row],[prop_id]]&amp;PO_id,"&gt;ra"))</f>
        <v/>
      </c>
      <c r="N87" s="79" t="s">
        <v>13</v>
      </c>
      <c r="O87" s="7" t="str">
        <f>IF(BudgetsTable[[#This Row],[pi_last_name]]=" ","",HYPERLINK("mailto:"&amp;BudgetsTable[[#This Row],[pi_email]]&amp;"&amp;subject=Your NSF Proposal:  "&amp;BudgetsTable[[#This Row],[prop_id]],BudgetsTable[[#This Row],[pi_email]]))</f>
        <v/>
      </c>
      <c r="P87" s="79" t="s">
        <v>13</v>
      </c>
      <c r="Q87" s="79">
        <v>1</v>
      </c>
      <c r="R87" s="79">
        <v>1</v>
      </c>
      <c r="S87" s="80">
        <v>0</v>
      </c>
      <c r="T87" s="80">
        <v>0</v>
      </c>
      <c r="U87" s="80">
        <v>0</v>
      </c>
      <c r="V87" s="81">
        <v>113096</v>
      </c>
      <c r="W87" s="79">
        <v>0</v>
      </c>
      <c r="X87" s="79">
        <v>5</v>
      </c>
      <c r="Y87" s="11" t="str">
        <f ca="1">IF(ISBLANK(BudgetsTable[[#This Row],[budg_seq_yr]]),"FY"&amp;fiscalyear,"FY"&amp;fiscalyear-1+BudgetsTable[[#This Row],[budg_seq_yr]])</f>
        <v>FY22</v>
      </c>
      <c r="Z87" s="80">
        <v>113096</v>
      </c>
      <c r="AA87" s="79" t="s">
        <v>780</v>
      </c>
      <c r="AB87" s="79" t="s">
        <v>567</v>
      </c>
      <c r="AC87" s="106" t="s">
        <v>94</v>
      </c>
      <c r="AD87" s="79" t="s">
        <v>783</v>
      </c>
    </row>
    <row r="88" spans="1:30">
      <c r="A88" s="10" t="s">
        <v>697</v>
      </c>
      <c r="B88" s="77" t="s">
        <v>96</v>
      </c>
      <c r="C88" s="77">
        <f>C87+(BudgetsTable[[#This Row],[lead]]&lt;&gt;K87)</f>
        <v>25</v>
      </c>
      <c r="D88" s="77">
        <f>D87*(BudgetsTable[[#This Row],[lead]]=K87)+(BudgetsTable[[#This Row],[prop_id]]&lt;&gt;A87)</f>
        <v>1</v>
      </c>
      <c r="E88" s="78">
        <v>42934.808333333334</v>
      </c>
      <c r="F88" s="79" t="s">
        <v>244</v>
      </c>
      <c r="G88" s="79" t="s">
        <v>780</v>
      </c>
      <c r="H88" s="79" t="s">
        <v>567</v>
      </c>
      <c r="I88" s="77" t="s">
        <v>579</v>
      </c>
      <c r="J88" s="77" t="s">
        <v>828</v>
      </c>
      <c r="K88" s="79" t="s">
        <v>697</v>
      </c>
      <c r="L88" s="7" t="str">
        <f>IF(BudgetsTable[[#This Row],[pi_last_name]]=" ","",HYPERLINK("https://www.ejacket.nsf.gov/ej/showProposal.do?Continue=Y&amp;ID="&amp;BudgetsTable[[#This Row],[prop_id]],BudgetsTable[[#This Row],[prop_id]]))</f>
        <v>1750076</v>
      </c>
      <c r="M88" s="15" t="str">
        <f>IF(BudgetsTable[[#This Row],[pi_last_name]]=" ","",HYPERLINK("https://www.ejacket.nsf.gov/ej/processReviewAnalysis.do?dispatch=add&amp;uniqId="&amp;BudgetsTable[[#This Row],[prop_id]]&amp;PO_id,"&gt;ra"))</f>
        <v>&gt;ra</v>
      </c>
      <c r="N88" s="79" t="s">
        <v>698</v>
      </c>
      <c r="O88" s="7" t="str">
        <f>IF(BudgetsTable[[#This Row],[pi_last_name]]=" ","",HYPERLINK("mailto:"&amp;BudgetsTable[[#This Row],[pi_email]]&amp;"&amp;subject=Your NSF Proposal:  "&amp;BudgetsTable[[#This Row],[prop_id]],BudgetsTable[[#This Row],[pi_email]]))</f>
        <v>craig@ucr.edu</v>
      </c>
      <c r="P88" s="79" t="s">
        <v>348</v>
      </c>
      <c r="Q88" s="79"/>
      <c r="R88" s="79"/>
      <c r="S88" s="80"/>
      <c r="T88" s="80"/>
      <c r="U88" s="80"/>
      <c r="V88" s="81"/>
      <c r="W88" s="79">
        <v>0</v>
      </c>
      <c r="X88" s="79"/>
      <c r="Y88" s="11" t="str">
        <f ca="1">IF(ISBLANK(BudgetsTable[[#This Row],[budg_seq_yr]]),"FY"&amp;fiscalyear,"FY"&amp;fiscalyear-1+BudgetsTable[[#This Row],[budg_seq_yr]])</f>
        <v>FY18</v>
      </c>
      <c r="Z88" s="80">
        <v>440331</v>
      </c>
      <c r="AA88" s="79" t="s">
        <v>780</v>
      </c>
      <c r="AB88" s="79" t="s">
        <v>567</v>
      </c>
      <c r="AC88" s="106" t="s">
        <v>94</v>
      </c>
      <c r="AD88" s="79" t="s">
        <v>824</v>
      </c>
    </row>
    <row r="89" spans="1:30">
      <c r="A89" s="10" t="s">
        <v>697</v>
      </c>
      <c r="B89" s="77" t="s">
        <v>96</v>
      </c>
      <c r="C89" s="77">
        <f>C88+(BudgetsTable[[#This Row],[lead]]&lt;&gt;K88)</f>
        <v>25</v>
      </c>
      <c r="D89" s="77">
        <f>D88*(BudgetsTable[[#This Row],[lead]]=K88)+(BudgetsTable[[#This Row],[prop_id]]&lt;&gt;A88)</f>
        <v>1</v>
      </c>
      <c r="E89" s="78">
        <v>42934.808333333334</v>
      </c>
      <c r="F89" s="79" t="s">
        <v>244</v>
      </c>
      <c r="G89" s="79" t="s">
        <v>780</v>
      </c>
      <c r="H89" s="79" t="s">
        <v>567</v>
      </c>
      <c r="I89" s="77" t="s">
        <v>579</v>
      </c>
      <c r="J89" s="77" t="s">
        <v>13</v>
      </c>
      <c r="K89" s="79" t="s">
        <v>697</v>
      </c>
      <c r="L89" s="7" t="str">
        <f>IF(BudgetsTable[[#This Row],[pi_last_name]]=" ","",HYPERLINK("https://www.ejacket.nsf.gov/ej/showProposal.do?Continue=Y&amp;ID="&amp;BudgetsTable[[#This Row],[prop_id]],BudgetsTable[[#This Row],[prop_id]]))</f>
        <v/>
      </c>
      <c r="M89" s="15" t="str">
        <f>IF(BudgetsTable[[#This Row],[pi_last_name]]=" ","",HYPERLINK("https://www.ejacket.nsf.gov/ej/processReviewAnalysis.do?dispatch=add&amp;uniqId="&amp;BudgetsTable[[#This Row],[prop_id]]&amp;PO_id,"&gt;ra"))</f>
        <v/>
      </c>
      <c r="N89" s="79" t="s">
        <v>13</v>
      </c>
      <c r="O89" s="7" t="str">
        <f>IF(BudgetsTable[[#This Row],[pi_last_name]]=" ","",HYPERLINK("mailto:"&amp;BudgetsTable[[#This Row],[pi_email]]&amp;"&amp;subject=Your NSF Proposal:  "&amp;BudgetsTable[[#This Row],[prop_id]],BudgetsTable[[#This Row],[pi_email]]))</f>
        <v/>
      </c>
      <c r="P89" s="79" t="s">
        <v>13</v>
      </c>
      <c r="Q89" s="79">
        <v>1</v>
      </c>
      <c r="R89" s="79">
        <v>1</v>
      </c>
      <c r="S89" s="80">
        <v>0</v>
      </c>
      <c r="T89" s="80">
        <v>0</v>
      </c>
      <c r="U89" s="80">
        <v>0</v>
      </c>
      <c r="V89" s="81">
        <v>92028</v>
      </c>
      <c r="W89" s="79">
        <v>0</v>
      </c>
      <c r="X89" s="79">
        <v>1</v>
      </c>
      <c r="Y89" s="11" t="str">
        <f ca="1">IF(ISBLANK(BudgetsTable[[#This Row],[budg_seq_yr]]),"FY"&amp;fiscalyear,"FY"&amp;fiscalyear-1+BudgetsTable[[#This Row],[budg_seq_yr]])</f>
        <v>FY18</v>
      </c>
      <c r="Z89" s="80">
        <v>92028</v>
      </c>
      <c r="AA89" s="79" t="s">
        <v>780</v>
      </c>
      <c r="AB89" s="79" t="s">
        <v>567</v>
      </c>
      <c r="AC89" s="106" t="s">
        <v>94</v>
      </c>
      <c r="AD89" s="79" t="s">
        <v>824</v>
      </c>
    </row>
    <row r="90" spans="1:30">
      <c r="A90" s="10" t="s">
        <v>697</v>
      </c>
      <c r="B90" s="77" t="s">
        <v>96</v>
      </c>
      <c r="C90" s="77">
        <f>C89+(BudgetsTable[[#This Row],[lead]]&lt;&gt;K89)</f>
        <v>25</v>
      </c>
      <c r="D90" s="77">
        <f>D89*(BudgetsTable[[#This Row],[lead]]=K89)+(BudgetsTable[[#This Row],[prop_id]]&lt;&gt;A89)</f>
        <v>1</v>
      </c>
      <c r="E90" s="78">
        <v>42934.808333333334</v>
      </c>
      <c r="F90" s="79" t="s">
        <v>244</v>
      </c>
      <c r="G90" s="79" t="s">
        <v>780</v>
      </c>
      <c r="H90" s="79" t="s">
        <v>567</v>
      </c>
      <c r="I90" s="77" t="s">
        <v>579</v>
      </c>
      <c r="J90" s="77" t="s">
        <v>13</v>
      </c>
      <c r="K90" s="79" t="s">
        <v>697</v>
      </c>
      <c r="L90" s="7" t="str">
        <f>IF(BudgetsTable[[#This Row],[pi_last_name]]=" ","",HYPERLINK("https://www.ejacket.nsf.gov/ej/showProposal.do?Continue=Y&amp;ID="&amp;BudgetsTable[[#This Row],[prop_id]],BudgetsTable[[#This Row],[prop_id]]))</f>
        <v/>
      </c>
      <c r="M90" s="15" t="str">
        <f>IF(BudgetsTable[[#This Row],[pi_last_name]]=" ","",HYPERLINK("https://www.ejacket.nsf.gov/ej/processReviewAnalysis.do?dispatch=add&amp;uniqId="&amp;BudgetsTable[[#This Row],[prop_id]]&amp;PO_id,"&gt;ra"))</f>
        <v/>
      </c>
      <c r="N90" s="79" t="s">
        <v>13</v>
      </c>
      <c r="O90" s="7" t="str">
        <f>IF(BudgetsTable[[#This Row],[pi_last_name]]=" ","",HYPERLINK("mailto:"&amp;BudgetsTable[[#This Row],[pi_email]]&amp;"&amp;subject=Your NSF Proposal:  "&amp;BudgetsTable[[#This Row],[prop_id]],BudgetsTable[[#This Row],[pi_email]]))</f>
        <v/>
      </c>
      <c r="P90" s="79" t="s">
        <v>13</v>
      </c>
      <c r="Q90" s="79">
        <v>1</v>
      </c>
      <c r="R90" s="79">
        <v>1</v>
      </c>
      <c r="S90" s="80">
        <v>0</v>
      </c>
      <c r="T90" s="80">
        <v>0</v>
      </c>
      <c r="U90" s="80">
        <v>0</v>
      </c>
      <c r="V90" s="81">
        <v>84050</v>
      </c>
      <c r="W90" s="79">
        <v>0</v>
      </c>
      <c r="X90" s="79">
        <v>2</v>
      </c>
      <c r="Y90" s="11" t="str">
        <f ca="1">IF(ISBLANK(BudgetsTable[[#This Row],[budg_seq_yr]]),"FY"&amp;fiscalyear,"FY"&amp;fiscalyear-1+BudgetsTable[[#This Row],[budg_seq_yr]])</f>
        <v>FY19</v>
      </c>
      <c r="Z90" s="80">
        <v>84050</v>
      </c>
      <c r="AA90" s="79" t="s">
        <v>780</v>
      </c>
      <c r="AB90" s="79" t="s">
        <v>567</v>
      </c>
      <c r="AC90" s="106" t="s">
        <v>94</v>
      </c>
      <c r="AD90" s="79" t="s">
        <v>824</v>
      </c>
    </row>
    <row r="91" spans="1:30">
      <c r="A91" s="10" t="s">
        <v>697</v>
      </c>
      <c r="B91" s="77" t="s">
        <v>96</v>
      </c>
      <c r="C91" s="77">
        <f>C90+(BudgetsTable[[#This Row],[lead]]&lt;&gt;K90)</f>
        <v>25</v>
      </c>
      <c r="D91" s="77">
        <f>D90*(BudgetsTable[[#This Row],[lead]]=K90)+(BudgetsTable[[#This Row],[prop_id]]&lt;&gt;A90)</f>
        <v>1</v>
      </c>
      <c r="E91" s="78">
        <v>42934.808333333334</v>
      </c>
      <c r="F91" s="79" t="s">
        <v>244</v>
      </c>
      <c r="G91" s="79" t="s">
        <v>780</v>
      </c>
      <c r="H91" s="79" t="s">
        <v>567</v>
      </c>
      <c r="I91" s="77" t="s">
        <v>579</v>
      </c>
      <c r="J91" s="77" t="s">
        <v>13</v>
      </c>
      <c r="K91" s="79" t="s">
        <v>697</v>
      </c>
      <c r="L91" s="7" t="str">
        <f>IF(BudgetsTable[[#This Row],[pi_last_name]]=" ","",HYPERLINK("https://www.ejacket.nsf.gov/ej/showProposal.do?Continue=Y&amp;ID="&amp;BudgetsTable[[#This Row],[prop_id]],BudgetsTable[[#This Row],[prop_id]]))</f>
        <v/>
      </c>
      <c r="M91" s="15" t="str">
        <f>IF(BudgetsTable[[#This Row],[pi_last_name]]=" ","",HYPERLINK("https://www.ejacket.nsf.gov/ej/processReviewAnalysis.do?dispatch=add&amp;uniqId="&amp;BudgetsTable[[#This Row],[prop_id]]&amp;PO_id,"&gt;ra"))</f>
        <v/>
      </c>
      <c r="N91" s="79" t="s">
        <v>13</v>
      </c>
      <c r="O91" s="7" t="str">
        <f>IF(BudgetsTable[[#This Row],[pi_last_name]]=" ","",HYPERLINK("mailto:"&amp;BudgetsTable[[#This Row],[pi_email]]&amp;"&amp;subject=Your NSF Proposal:  "&amp;BudgetsTable[[#This Row],[prop_id]],BudgetsTable[[#This Row],[pi_email]]))</f>
        <v/>
      </c>
      <c r="P91" s="79" t="s">
        <v>13</v>
      </c>
      <c r="Q91" s="79">
        <v>1</v>
      </c>
      <c r="R91" s="79">
        <v>1</v>
      </c>
      <c r="S91" s="80">
        <v>0</v>
      </c>
      <c r="T91" s="80">
        <v>0</v>
      </c>
      <c r="U91" s="80">
        <v>0</v>
      </c>
      <c r="V91" s="81">
        <v>86026</v>
      </c>
      <c r="W91" s="79">
        <v>0</v>
      </c>
      <c r="X91" s="79">
        <v>3</v>
      </c>
      <c r="Y91" s="11" t="str">
        <f ca="1">IF(ISBLANK(BudgetsTable[[#This Row],[budg_seq_yr]]),"FY"&amp;fiscalyear,"FY"&amp;fiscalyear-1+BudgetsTable[[#This Row],[budg_seq_yr]])</f>
        <v>FY20</v>
      </c>
      <c r="Z91" s="80">
        <v>86026</v>
      </c>
      <c r="AA91" s="79" t="s">
        <v>780</v>
      </c>
      <c r="AB91" s="79" t="s">
        <v>567</v>
      </c>
      <c r="AC91" s="106" t="s">
        <v>94</v>
      </c>
      <c r="AD91" s="79" t="s">
        <v>824</v>
      </c>
    </row>
    <row r="92" spans="1:30">
      <c r="A92" s="10" t="s">
        <v>697</v>
      </c>
      <c r="B92" s="77" t="s">
        <v>96</v>
      </c>
      <c r="C92" s="77">
        <f>C91+(BudgetsTable[[#This Row],[lead]]&lt;&gt;K91)</f>
        <v>25</v>
      </c>
      <c r="D92" s="77">
        <f>D91*(BudgetsTable[[#This Row],[lead]]=K91)+(BudgetsTable[[#This Row],[prop_id]]&lt;&gt;A91)</f>
        <v>1</v>
      </c>
      <c r="E92" s="78">
        <v>42934.808333333334</v>
      </c>
      <c r="F92" s="79" t="s">
        <v>244</v>
      </c>
      <c r="G92" s="79" t="s">
        <v>780</v>
      </c>
      <c r="H92" s="79" t="s">
        <v>567</v>
      </c>
      <c r="I92" s="77" t="s">
        <v>579</v>
      </c>
      <c r="J92" s="77" t="s">
        <v>13</v>
      </c>
      <c r="K92" s="79" t="s">
        <v>697</v>
      </c>
      <c r="L92" s="7" t="str">
        <f>IF(BudgetsTable[[#This Row],[pi_last_name]]=" ","",HYPERLINK("https://www.ejacket.nsf.gov/ej/showProposal.do?Continue=Y&amp;ID="&amp;BudgetsTable[[#This Row],[prop_id]],BudgetsTable[[#This Row],[prop_id]]))</f>
        <v/>
      </c>
      <c r="M92" s="15" t="str">
        <f>IF(BudgetsTable[[#This Row],[pi_last_name]]=" ","",HYPERLINK("https://www.ejacket.nsf.gov/ej/processReviewAnalysis.do?dispatch=add&amp;uniqId="&amp;BudgetsTable[[#This Row],[prop_id]]&amp;PO_id,"&gt;ra"))</f>
        <v/>
      </c>
      <c r="N92" s="79" t="s">
        <v>13</v>
      </c>
      <c r="O92" s="7" t="str">
        <f>IF(BudgetsTable[[#This Row],[pi_last_name]]=" ","",HYPERLINK("mailto:"&amp;BudgetsTable[[#This Row],[pi_email]]&amp;"&amp;subject=Your NSF Proposal:  "&amp;BudgetsTable[[#This Row],[prop_id]],BudgetsTable[[#This Row],[pi_email]]))</f>
        <v/>
      </c>
      <c r="P92" s="79" t="s">
        <v>13</v>
      </c>
      <c r="Q92" s="79">
        <v>1</v>
      </c>
      <c r="R92" s="79">
        <v>1</v>
      </c>
      <c r="S92" s="80">
        <v>0</v>
      </c>
      <c r="T92" s="80">
        <v>0</v>
      </c>
      <c r="U92" s="80">
        <v>0</v>
      </c>
      <c r="V92" s="81">
        <v>88064</v>
      </c>
      <c r="W92" s="79">
        <v>0</v>
      </c>
      <c r="X92" s="79">
        <v>4</v>
      </c>
      <c r="Y92" s="11" t="str">
        <f ca="1">IF(ISBLANK(BudgetsTable[[#This Row],[budg_seq_yr]]),"FY"&amp;fiscalyear,"FY"&amp;fiscalyear-1+BudgetsTable[[#This Row],[budg_seq_yr]])</f>
        <v>FY21</v>
      </c>
      <c r="Z92" s="80">
        <v>88064</v>
      </c>
      <c r="AA92" s="79" t="s">
        <v>780</v>
      </c>
      <c r="AB92" s="79" t="s">
        <v>567</v>
      </c>
      <c r="AC92" s="106" t="s">
        <v>94</v>
      </c>
      <c r="AD92" s="79" t="s">
        <v>824</v>
      </c>
    </row>
    <row r="93" spans="1:30">
      <c r="A93" s="10" t="s">
        <v>697</v>
      </c>
      <c r="B93" s="77" t="s">
        <v>96</v>
      </c>
      <c r="C93" s="77">
        <f>C92+(BudgetsTable[[#This Row],[lead]]&lt;&gt;K92)</f>
        <v>25</v>
      </c>
      <c r="D93" s="77">
        <f>D92*(BudgetsTable[[#This Row],[lead]]=K92)+(BudgetsTable[[#This Row],[prop_id]]&lt;&gt;A92)</f>
        <v>1</v>
      </c>
      <c r="E93" s="78">
        <v>42934.808333333334</v>
      </c>
      <c r="F93" s="79" t="s">
        <v>244</v>
      </c>
      <c r="G93" s="79" t="s">
        <v>780</v>
      </c>
      <c r="H93" s="79" t="s">
        <v>567</v>
      </c>
      <c r="I93" s="77" t="s">
        <v>579</v>
      </c>
      <c r="J93" s="77" t="s">
        <v>13</v>
      </c>
      <c r="K93" s="79" t="s">
        <v>697</v>
      </c>
      <c r="L93" s="7" t="str">
        <f>IF(BudgetsTable[[#This Row],[pi_last_name]]=" ","",HYPERLINK("https://www.ejacket.nsf.gov/ej/showProposal.do?Continue=Y&amp;ID="&amp;BudgetsTable[[#This Row],[prop_id]],BudgetsTable[[#This Row],[prop_id]]))</f>
        <v/>
      </c>
      <c r="M93" s="15" t="str">
        <f>IF(BudgetsTable[[#This Row],[pi_last_name]]=" ","",HYPERLINK("https://www.ejacket.nsf.gov/ej/processReviewAnalysis.do?dispatch=add&amp;uniqId="&amp;BudgetsTable[[#This Row],[prop_id]]&amp;PO_id,"&gt;ra"))</f>
        <v/>
      </c>
      <c r="N93" s="79" t="s">
        <v>13</v>
      </c>
      <c r="O93" s="7" t="str">
        <f>IF(BudgetsTable[[#This Row],[pi_last_name]]=" ","",HYPERLINK("mailto:"&amp;BudgetsTable[[#This Row],[pi_email]]&amp;"&amp;subject=Your NSF Proposal:  "&amp;BudgetsTable[[#This Row],[prop_id]],BudgetsTable[[#This Row],[pi_email]]))</f>
        <v/>
      </c>
      <c r="P93" s="79" t="s">
        <v>13</v>
      </c>
      <c r="Q93" s="79">
        <v>1</v>
      </c>
      <c r="R93" s="79">
        <v>1</v>
      </c>
      <c r="S93" s="80">
        <v>0</v>
      </c>
      <c r="T93" s="80">
        <v>0</v>
      </c>
      <c r="U93" s="80">
        <v>0</v>
      </c>
      <c r="V93" s="81">
        <v>90163</v>
      </c>
      <c r="W93" s="79">
        <v>0</v>
      </c>
      <c r="X93" s="79">
        <v>5</v>
      </c>
      <c r="Y93" s="11" t="str">
        <f ca="1">IF(ISBLANK(BudgetsTable[[#This Row],[budg_seq_yr]]),"FY"&amp;fiscalyear,"FY"&amp;fiscalyear-1+BudgetsTable[[#This Row],[budg_seq_yr]])</f>
        <v>FY22</v>
      </c>
      <c r="Z93" s="80">
        <v>90163</v>
      </c>
      <c r="AA93" s="79" t="s">
        <v>780</v>
      </c>
      <c r="AB93" s="79" t="s">
        <v>567</v>
      </c>
      <c r="AC93" s="106" t="s">
        <v>94</v>
      </c>
      <c r="AD93" s="79" t="s">
        <v>824</v>
      </c>
    </row>
    <row r="94" spans="1:30">
      <c r="A94" s="10" t="s">
        <v>1021</v>
      </c>
      <c r="B94" s="77" t="s">
        <v>96</v>
      </c>
      <c r="C94" s="77">
        <f>C93+(BudgetsTable[[#This Row],[lead]]&lt;&gt;K93)</f>
        <v>26</v>
      </c>
      <c r="D94" s="77">
        <f>D93*(BudgetsTable[[#This Row],[lead]]=K93)+(BudgetsTable[[#This Row],[prop_id]]&lt;&gt;A93)</f>
        <v>1</v>
      </c>
      <c r="E94" s="78">
        <v>42935.359027777777</v>
      </c>
      <c r="F94" s="79" t="s">
        <v>244</v>
      </c>
      <c r="G94" s="79" t="s">
        <v>780</v>
      </c>
      <c r="H94" s="79" t="s">
        <v>567</v>
      </c>
      <c r="I94" s="77" t="s">
        <v>944</v>
      </c>
      <c r="J94" s="77" t="s">
        <v>1396</v>
      </c>
      <c r="K94" s="79" t="s">
        <v>1021</v>
      </c>
      <c r="L94" s="7" t="str">
        <f>IF(BudgetsTable[[#This Row],[pi_last_name]]=" ","",HYPERLINK("https://www.ejacket.nsf.gov/ej/showProposal.do?Continue=Y&amp;ID="&amp;BudgetsTable[[#This Row],[prop_id]],BudgetsTable[[#This Row],[prop_id]]))</f>
        <v>1750118</v>
      </c>
      <c r="M94" s="15" t="str">
        <f>IF(BudgetsTable[[#This Row],[pi_last_name]]=" ","",HYPERLINK("https://www.ejacket.nsf.gov/ej/processReviewAnalysis.do?dispatch=add&amp;uniqId="&amp;BudgetsTable[[#This Row],[prop_id]]&amp;PO_id,"&gt;ra"))</f>
        <v>&gt;ra</v>
      </c>
      <c r="N94" s="79" t="s">
        <v>349</v>
      </c>
      <c r="O94" s="7" t="str">
        <f>IF(BudgetsTable[[#This Row],[pi_last_name]]=" ","",HYPERLINK("mailto:"&amp;BudgetsTable[[#This Row],[pi_email]]&amp;"&amp;subject=Your NSF Proposal:  "&amp;BudgetsTable[[#This Row],[prop_id]],BudgetsTable[[#This Row],[pi_email]]))</f>
        <v>shil@buffalo.edu</v>
      </c>
      <c r="P94" s="79" t="s">
        <v>213</v>
      </c>
      <c r="Q94" s="79"/>
      <c r="R94" s="79"/>
      <c r="S94" s="80"/>
      <c r="T94" s="80"/>
      <c r="U94" s="80"/>
      <c r="V94" s="81"/>
      <c r="W94" s="79">
        <v>0</v>
      </c>
      <c r="X94" s="79"/>
      <c r="Y94" s="11" t="str">
        <f ca="1">IF(ISBLANK(BudgetsTable[[#This Row],[budg_seq_yr]]),"FY"&amp;fiscalyear,"FY"&amp;fiscalyear-1+BudgetsTable[[#This Row],[budg_seq_yr]])</f>
        <v>FY18</v>
      </c>
      <c r="Z94" s="80">
        <v>530842</v>
      </c>
      <c r="AA94" s="79" t="s">
        <v>780</v>
      </c>
      <c r="AB94" s="79" t="s">
        <v>567</v>
      </c>
      <c r="AC94" s="106" t="s">
        <v>94</v>
      </c>
      <c r="AD94" s="79" t="s">
        <v>783</v>
      </c>
    </row>
    <row r="95" spans="1:30">
      <c r="A95" s="10" t="s">
        <v>1021</v>
      </c>
      <c r="B95" s="77" t="s">
        <v>96</v>
      </c>
      <c r="C95" s="77">
        <f>C94+(BudgetsTable[[#This Row],[lead]]&lt;&gt;K94)</f>
        <v>26</v>
      </c>
      <c r="D95" s="77">
        <f>D94*(BudgetsTable[[#This Row],[lead]]=K94)+(BudgetsTable[[#This Row],[prop_id]]&lt;&gt;A94)</f>
        <v>1</v>
      </c>
      <c r="E95" s="78">
        <v>42935.359027777777</v>
      </c>
      <c r="F95" s="79" t="s">
        <v>244</v>
      </c>
      <c r="G95" s="79" t="s">
        <v>780</v>
      </c>
      <c r="H95" s="79" t="s">
        <v>567</v>
      </c>
      <c r="I95" s="77" t="s">
        <v>944</v>
      </c>
      <c r="J95" s="77" t="s">
        <v>13</v>
      </c>
      <c r="K95" s="79" t="s">
        <v>1021</v>
      </c>
      <c r="L95" s="7" t="str">
        <f>IF(BudgetsTable[[#This Row],[pi_last_name]]=" ","",HYPERLINK("https://www.ejacket.nsf.gov/ej/showProposal.do?Continue=Y&amp;ID="&amp;BudgetsTable[[#This Row],[prop_id]],BudgetsTable[[#This Row],[prop_id]]))</f>
        <v/>
      </c>
      <c r="M95" s="15" t="str">
        <f>IF(BudgetsTable[[#This Row],[pi_last_name]]=" ","",HYPERLINK("https://www.ejacket.nsf.gov/ej/processReviewAnalysis.do?dispatch=add&amp;uniqId="&amp;BudgetsTable[[#This Row],[prop_id]]&amp;PO_id,"&gt;ra"))</f>
        <v/>
      </c>
      <c r="N95" s="79" t="s">
        <v>13</v>
      </c>
      <c r="O95" s="7" t="str">
        <f>IF(BudgetsTable[[#This Row],[pi_last_name]]=" ","",HYPERLINK("mailto:"&amp;BudgetsTable[[#This Row],[pi_email]]&amp;"&amp;subject=Your NSF Proposal:  "&amp;BudgetsTable[[#This Row],[prop_id]],BudgetsTable[[#This Row],[pi_email]]))</f>
        <v/>
      </c>
      <c r="P95" s="79" t="s">
        <v>13</v>
      </c>
      <c r="Q95" s="79">
        <v>1</v>
      </c>
      <c r="R95" s="79">
        <v>1</v>
      </c>
      <c r="S95" s="80">
        <v>0</v>
      </c>
      <c r="T95" s="80">
        <v>2000</v>
      </c>
      <c r="U95" s="80">
        <v>0</v>
      </c>
      <c r="V95" s="81">
        <v>99976</v>
      </c>
      <c r="W95" s="79">
        <v>0</v>
      </c>
      <c r="X95" s="79">
        <v>1</v>
      </c>
      <c r="Y95" s="11" t="str">
        <f ca="1">IF(ISBLANK(BudgetsTable[[#This Row],[budg_seq_yr]]),"FY"&amp;fiscalyear,"FY"&amp;fiscalyear-1+BudgetsTable[[#This Row],[budg_seq_yr]])</f>
        <v>FY18</v>
      </c>
      <c r="Z95" s="80">
        <v>99976</v>
      </c>
      <c r="AA95" s="79" t="s">
        <v>780</v>
      </c>
      <c r="AB95" s="79" t="s">
        <v>567</v>
      </c>
      <c r="AC95" s="106" t="s">
        <v>94</v>
      </c>
      <c r="AD95" s="79" t="s">
        <v>783</v>
      </c>
    </row>
    <row r="96" spans="1:30">
      <c r="A96" s="10" t="s">
        <v>1021</v>
      </c>
      <c r="B96" s="77" t="s">
        <v>96</v>
      </c>
      <c r="C96" s="77">
        <f>C95+(BudgetsTable[[#This Row],[lead]]&lt;&gt;K95)</f>
        <v>26</v>
      </c>
      <c r="D96" s="77">
        <f>D95*(BudgetsTable[[#This Row],[lead]]=K95)+(BudgetsTable[[#This Row],[prop_id]]&lt;&gt;A95)</f>
        <v>1</v>
      </c>
      <c r="E96" s="78">
        <v>42935.359027777777</v>
      </c>
      <c r="F96" s="79" t="s">
        <v>244</v>
      </c>
      <c r="G96" s="79" t="s">
        <v>780</v>
      </c>
      <c r="H96" s="79" t="s">
        <v>567</v>
      </c>
      <c r="I96" s="77" t="s">
        <v>944</v>
      </c>
      <c r="J96" s="77" t="s">
        <v>13</v>
      </c>
      <c r="K96" s="79" t="s">
        <v>1021</v>
      </c>
      <c r="L96" s="7" t="str">
        <f>IF(BudgetsTable[[#This Row],[pi_last_name]]=" ","",HYPERLINK("https://www.ejacket.nsf.gov/ej/showProposal.do?Continue=Y&amp;ID="&amp;BudgetsTable[[#This Row],[prop_id]],BudgetsTable[[#This Row],[prop_id]]))</f>
        <v/>
      </c>
      <c r="M96" s="15" t="str">
        <f>IF(BudgetsTable[[#This Row],[pi_last_name]]=" ","",HYPERLINK("https://www.ejacket.nsf.gov/ej/processReviewAnalysis.do?dispatch=add&amp;uniqId="&amp;BudgetsTable[[#This Row],[prop_id]]&amp;PO_id,"&gt;ra"))</f>
        <v/>
      </c>
      <c r="N96" s="79" t="s">
        <v>13</v>
      </c>
      <c r="O96" s="7" t="str">
        <f>IF(BudgetsTable[[#This Row],[pi_last_name]]=" ","",HYPERLINK("mailto:"&amp;BudgetsTable[[#This Row],[pi_email]]&amp;"&amp;subject=Your NSF Proposal:  "&amp;BudgetsTable[[#This Row],[prop_id]],BudgetsTable[[#This Row],[pi_email]]))</f>
        <v/>
      </c>
      <c r="P96" s="79" t="s">
        <v>13</v>
      </c>
      <c r="Q96" s="79">
        <v>1</v>
      </c>
      <c r="R96" s="79">
        <v>1</v>
      </c>
      <c r="S96" s="80">
        <v>0</v>
      </c>
      <c r="T96" s="80">
        <v>2000</v>
      </c>
      <c r="U96" s="80">
        <v>0</v>
      </c>
      <c r="V96" s="81">
        <v>100831</v>
      </c>
      <c r="W96" s="79">
        <v>0</v>
      </c>
      <c r="X96" s="79">
        <v>2</v>
      </c>
      <c r="Y96" s="11" t="str">
        <f ca="1">IF(ISBLANK(BudgetsTable[[#This Row],[budg_seq_yr]]),"FY"&amp;fiscalyear,"FY"&amp;fiscalyear-1+BudgetsTable[[#This Row],[budg_seq_yr]])</f>
        <v>FY19</v>
      </c>
      <c r="Z96" s="80">
        <v>100831</v>
      </c>
      <c r="AA96" s="79" t="s">
        <v>780</v>
      </c>
      <c r="AB96" s="79" t="s">
        <v>567</v>
      </c>
      <c r="AC96" s="106" t="s">
        <v>94</v>
      </c>
      <c r="AD96" s="79" t="s">
        <v>783</v>
      </c>
    </row>
    <row r="97" spans="1:30">
      <c r="A97" s="10" t="s">
        <v>1021</v>
      </c>
      <c r="B97" s="77" t="s">
        <v>96</v>
      </c>
      <c r="C97" s="77">
        <f>C96+(BudgetsTable[[#This Row],[lead]]&lt;&gt;K96)</f>
        <v>26</v>
      </c>
      <c r="D97" s="77">
        <f>D96*(BudgetsTable[[#This Row],[lead]]=K96)+(BudgetsTable[[#This Row],[prop_id]]&lt;&gt;A96)</f>
        <v>1</v>
      </c>
      <c r="E97" s="78">
        <v>42935.359027777777</v>
      </c>
      <c r="F97" s="79" t="s">
        <v>244</v>
      </c>
      <c r="G97" s="79" t="s">
        <v>780</v>
      </c>
      <c r="H97" s="79" t="s">
        <v>567</v>
      </c>
      <c r="I97" s="77" t="s">
        <v>944</v>
      </c>
      <c r="J97" s="77" t="s">
        <v>13</v>
      </c>
      <c r="K97" s="79" t="s">
        <v>1021</v>
      </c>
      <c r="L97" s="7" t="str">
        <f>IF(BudgetsTable[[#This Row],[pi_last_name]]=" ","",HYPERLINK("https://www.ejacket.nsf.gov/ej/showProposal.do?Continue=Y&amp;ID="&amp;BudgetsTable[[#This Row],[prop_id]],BudgetsTable[[#This Row],[prop_id]]))</f>
        <v/>
      </c>
      <c r="M97" s="15" t="str">
        <f>IF(BudgetsTable[[#This Row],[pi_last_name]]=" ","",HYPERLINK("https://www.ejacket.nsf.gov/ej/processReviewAnalysis.do?dispatch=add&amp;uniqId="&amp;BudgetsTable[[#This Row],[prop_id]]&amp;PO_id,"&gt;ra"))</f>
        <v/>
      </c>
      <c r="N97" s="79" t="s">
        <v>13</v>
      </c>
      <c r="O97" s="7" t="str">
        <f>IF(BudgetsTable[[#This Row],[pi_last_name]]=" ","",HYPERLINK("mailto:"&amp;BudgetsTable[[#This Row],[pi_email]]&amp;"&amp;subject=Your NSF Proposal:  "&amp;BudgetsTable[[#This Row],[prop_id]],BudgetsTable[[#This Row],[pi_email]]))</f>
        <v/>
      </c>
      <c r="P97" s="79" t="s">
        <v>13</v>
      </c>
      <c r="Q97" s="79">
        <v>1</v>
      </c>
      <c r="R97" s="79">
        <v>1</v>
      </c>
      <c r="S97" s="80">
        <v>0</v>
      </c>
      <c r="T97" s="80">
        <v>2000</v>
      </c>
      <c r="U97" s="80">
        <v>0</v>
      </c>
      <c r="V97" s="81">
        <v>106222</v>
      </c>
      <c r="W97" s="79">
        <v>0</v>
      </c>
      <c r="X97" s="79">
        <v>3</v>
      </c>
      <c r="Y97" s="11" t="str">
        <f ca="1">IF(ISBLANK(BudgetsTable[[#This Row],[budg_seq_yr]]),"FY"&amp;fiscalyear,"FY"&amp;fiscalyear-1+BudgetsTable[[#This Row],[budg_seq_yr]])</f>
        <v>FY20</v>
      </c>
      <c r="Z97" s="80">
        <v>106222</v>
      </c>
      <c r="AA97" s="79" t="s">
        <v>780</v>
      </c>
      <c r="AB97" s="79" t="s">
        <v>567</v>
      </c>
      <c r="AC97" s="106" t="s">
        <v>94</v>
      </c>
      <c r="AD97" s="79" t="s">
        <v>783</v>
      </c>
    </row>
    <row r="98" spans="1:30">
      <c r="A98" s="10" t="s">
        <v>1021</v>
      </c>
      <c r="B98" s="77" t="s">
        <v>96</v>
      </c>
      <c r="C98" s="77">
        <f>C97+(BudgetsTable[[#This Row],[lead]]&lt;&gt;K97)</f>
        <v>26</v>
      </c>
      <c r="D98" s="77">
        <f>D97*(BudgetsTable[[#This Row],[lead]]=K97)+(BudgetsTable[[#This Row],[prop_id]]&lt;&gt;A97)</f>
        <v>1</v>
      </c>
      <c r="E98" s="78">
        <v>42935.359027777777</v>
      </c>
      <c r="F98" s="79" t="s">
        <v>244</v>
      </c>
      <c r="G98" s="79" t="s">
        <v>780</v>
      </c>
      <c r="H98" s="79" t="s">
        <v>567</v>
      </c>
      <c r="I98" s="77" t="s">
        <v>944</v>
      </c>
      <c r="J98" s="77" t="s">
        <v>13</v>
      </c>
      <c r="K98" s="79" t="s">
        <v>1021</v>
      </c>
      <c r="L98" s="7" t="str">
        <f>IF(BudgetsTable[[#This Row],[pi_last_name]]=" ","",HYPERLINK("https://www.ejacket.nsf.gov/ej/showProposal.do?Continue=Y&amp;ID="&amp;BudgetsTable[[#This Row],[prop_id]],BudgetsTable[[#This Row],[prop_id]]))</f>
        <v/>
      </c>
      <c r="M98" s="15" t="str">
        <f>IF(BudgetsTable[[#This Row],[pi_last_name]]=" ","",HYPERLINK("https://www.ejacket.nsf.gov/ej/processReviewAnalysis.do?dispatch=add&amp;uniqId="&amp;BudgetsTable[[#This Row],[prop_id]]&amp;PO_id,"&gt;ra"))</f>
        <v/>
      </c>
      <c r="N98" s="79" t="s">
        <v>13</v>
      </c>
      <c r="O98" s="7" t="str">
        <f>IF(BudgetsTable[[#This Row],[pi_last_name]]=" ","",HYPERLINK("mailto:"&amp;BudgetsTable[[#This Row],[pi_email]]&amp;"&amp;subject=Your NSF Proposal:  "&amp;BudgetsTable[[#This Row],[prop_id]],BudgetsTable[[#This Row],[pi_email]]))</f>
        <v/>
      </c>
      <c r="P98" s="79" t="s">
        <v>13</v>
      </c>
      <c r="Q98" s="79">
        <v>1</v>
      </c>
      <c r="R98" s="79">
        <v>1</v>
      </c>
      <c r="S98" s="80">
        <v>0</v>
      </c>
      <c r="T98" s="80">
        <v>2000</v>
      </c>
      <c r="U98" s="80">
        <v>0</v>
      </c>
      <c r="V98" s="81">
        <v>110517</v>
      </c>
      <c r="W98" s="79">
        <v>0</v>
      </c>
      <c r="X98" s="79">
        <v>4</v>
      </c>
      <c r="Y98" s="11" t="str">
        <f ca="1">IF(ISBLANK(BudgetsTable[[#This Row],[budg_seq_yr]]),"FY"&amp;fiscalyear,"FY"&amp;fiscalyear-1+BudgetsTable[[#This Row],[budg_seq_yr]])</f>
        <v>FY21</v>
      </c>
      <c r="Z98" s="80">
        <v>110517</v>
      </c>
      <c r="AA98" s="79" t="s">
        <v>780</v>
      </c>
      <c r="AB98" s="79" t="s">
        <v>567</v>
      </c>
      <c r="AC98" s="106" t="s">
        <v>94</v>
      </c>
      <c r="AD98" s="79" t="s">
        <v>783</v>
      </c>
    </row>
    <row r="99" spans="1:30">
      <c r="A99" s="10" t="s">
        <v>1021</v>
      </c>
      <c r="B99" s="77" t="s">
        <v>96</v>
      </c>
      <c r="C99" s="77">
        <f>C98+(BudgetsTable[[#This Row],[lead]]&lt;&gt;K98)</f>
        <v>26</v>
      </c>
      <c r="D99" s="77">
        <f>D98*(BudgetsTable[[#This Row],[lead]]=K98)+(BudgetsTable[[#This Row],[prop_id]]&lt;&gt;A98)</f>
        <v>1</v>
      </c>
      <c r="E99" s="78">
        <v>42935.359027777777</v>
      </c>
      <c r="F99" s="79" t="s">
        <v>244</v>
      </c>
      <c r="G99" s="79" t="s">
        <v>780</v>
      </c>
      <c r="H99" s="79" t="s">
        <v>567</v>
      </c>
      <c r="I99" s="77" t="s">
        <v>944</v>
      </c>
      <c r="J99" s="77" t="s">
        <v>13</v>
      </c>
      <c r="K99" s="79" t="s">
        <v>1021</v>
      </c>
      <c r="L99" s="7" t="str">
        <f>IF(BudgetsTable[[#This Row],[pi_last_name]]=" ","",HYPERLINK("https://www.ejacket.nsf.gov/ej/showProposal.do?Continue=Y&amp;ID="&amp;BudgetsTable[[#This Row],[prop_id]],BudgetsTable[[#This Row],[prop_id]]))</f>
        <v/>
      </c>
      <c r="M99" s="15" t="str">
        <f>IF(BudgetsTable[[#This Row],[pi_last_name]]=" ","",HYPERLINK("https://www.ejacket.nsf.gov/ej/processReviewAnalysis.do?dispatch=add&amp;uniqId="&amp;BudgetsTable[[#This Row],[prop_id]]&amp;PO_id,"&gt;ra"))</f>
        <v/>
      </c>
      <c r="N99" s="79" t="s">
        <v>13</v>
      </c>
      <c r="O99" s="7" t="str">
        <f>IF(BudgetsTable[[#This Row],[pi_last_name]]=" ","",HYPERLINK("mailto:"&amp;BudgetsTable[[#This Row],[pi_email]]&amp;"&amp;subject=Your NSF Proposal:  "&amp;BudgetsTable[[#This Row],[prop_id]],BudgetsTable[[#This Row],[pi_email]]))</f>
        <v/>
      </c>
      <c r="P99" s="79" t="s">
        <v>13</v>
      </c>
      <c r="Q99" s="79">
        <v>1</v>
      </c>
      <c r="R99" s="79">
        <v>1</v>
      </c>
      <c r="S99" s="80">
        <v>0</v>
      </c>
      <c r="T99" s="80">
        <v>2000</v>
      </c>
      <c r="U99" s="80">
        <v>0</v>
      </c>
      <c r="V99" s="81">
        <v>113296</v>
      </c>
      <c r="W99" s="79">
        <v>0</v>
      </c>
      <c r="X99" s="79">
        <v>5</v>
      </c>
      <c r="Y99" s="11" t="str">
        <f ca="1">IF(ISBLANK(BudgetsTable[[#This Row],[budg_seq_yr]]),"FY"&amp;fiscalyear,"FY"&amp;fiscalyear-1+BudgetsTable[[#This Row],[budg_seq_yr]])</f>
        <v>FY22</v>
      </c>
      <c r="Z99" s="80">
        <v>113296</v>
      </c>
      <c r="AA99" s="79" t="s">
        <v>780</v>
      </c>
      <c r="AB99" s="79" t="s">
        <v>567</v>
      </c>
      <c r="AC99" s="106" t="s">
        <v>94</v>
      </c>
      <c r="AD99" s="79" t="s">
        <v>783</v>
      </c>
    </row>
    <row r="100" spans="1:30">
      <c r="A100" s="10" t="s">
        <v>1028</v>
      </c>
      <c r="B100" s="77" t="s">
        <v>96</v>
      </c>
      <c r="C100" s="77">
        <f>C99+(BudgetsTable[[#This Row],[lead]]&lt;&gt;K99)</f>
        <v>27</v>
      </c>
      <c r="D100" s="77">
        <f>D99*(BudgetsTable[[#This Row],[lead]]=K99)+(BudgetsTable[[#This Row],[prop_id]]&lt;&gt;A99)</f>
        <v>1</v>
      </c>
      <c r="E100" s="78">
        <v>42935.374305555553</v>
      </c>
      <c r="F100" s="79" t="s">
        <v>244</v>
      </c>
      <c r="G100" s="79" t="s">
        <v>780</v>
      </c>
      <c r="H100" s="79" t="s">
        <v>567</v>
      </c>
      <c r="I100" s="77" t="s">
        <v>944</v>
      </c>
      <c r="J100" s="77" t="s">
        <v>1399</v>
      </c>
      <c r="K100" s="79" t="s">
        <v>1028</v>
      </c>
      <c r="L100" s="7" t="str">
        <f>IF(BudgetsTable[[#This Row],[pi_last_name]]=" ","",HYPERLINK("https://www.ejacket.nsf.gov/ej/showProposal.do?Continue=Y&amp;ID="&amp;BudgetsTable[[#This Row],[prop_id]],BudgetsTable[[#This Row],[prop_id]]))</f>
        <v>1750127</v>
      </c>
      <c r="M100" s="15" t="str">
        <f>IF(BudgetsTable[[#This Row],[pi_last_name]]=" ","",HYPERLINK("https://www.ejacket.nsf.gov/ej/processReviewAnalysis.do?dispatch=add&amp;uniqId="&amp;BudgetsTable[[#This Row],[prop_id]]&amp;PO_id,"&gt;ra"))</f>
        <v>&gt;ra</v>
      </c>
      <c r="N100" s="79" t="s">
        <v>1029</v>
      </c>
      <c r="O100" s="7" t="str">
        <f>IF(BudgetsTable[[#This Row],[pi_last_name]]=" ","",HYPERLINK("mailto:"&amp;BudgetsTable[[#This Row],[pi_email]]&amp;"&amp;subject=Your NSF Proposal:  "&amp;BudgetsTable[[#This Row],[prop_id]],BudgetsTable[[#This Row],[pi_email]]))</f>
        <v>viswa@umich.edu</v>
      </c>
      <c r="P100" s="79" t="s">
        <v>351</v>
      </c>
      <c r="Q100" s="79"/>
      <c r="R100" s="79"/>
      <c r="S100" s="80"/>
      <c r="T100" s="80"/>
      <c r="U100" s="80"/>
      <c r="V100" s="81"/>
      <c r="W100" s="79">
        <v>0</v>
      </c>
      <c r="X100" s="79"/>
      <c r="Y100" s="11" t="str">
        <f ca="1">IF(ISBLANK(BudgetsTable[[#This Row],[budg_seq_yr]]),"FY"&amp;fiscalyear,"FY"&amp;fiscalyear-1+BudgetsTable[[#This Row],[budg_seq_yr]])</f>
        <v>FY18</v>
      </c>
      <c r="Z100" s="80">
        <v>524840</v>
      </c>
      <c r="AA100" s="79" t="s">
        <v>780</v>
      </c>
      <c r="AB100" s="79" t="s">
        <v>567</v>
      </c>
      <c r="AC100" s="106" t="s">
        <v>94</v>
      </c>
      <c r="AD100" s="79" t="s">
        <v>252</v>
      </c>
    </row>
    <row r="101" spans="1:30">
      <c r="A101" s="10" t="s">
        <v>1028</v>
      </c>
      <c r="B101" s="77" t="s">
        <v>96</v>
      </c>
      <c r="C101" s="77">
        <f>C100+(BudgetsTable[[#This Row],[lead]]&lt;&gt;K100)</f>
        <v>27</v>
      </c>
      <c r="D101" s="77">
        <f>D100*(BudgetsTable[[#This Row],[lead]]=K100)+(BudgetsTable[[#This Row],[prop_id]]&lt;&gt;A100)</f>
        <v>1</v>
      </c>
      <c r="E101" s="78">
        <v>42935.374305555553</v>
      </c>
      <c r="F101" s="79" t="s">
        <v>244</v>
      </c>
      <c r="G101" s="79" t="s">
        <v>780</v>
      </c>
      <c r="H101" s="79" t="s">
        <v>567</v>
      </c>
      <c r="I101" s="77" t="s">
        <v>944</v>
      </c>
      <c r="J101" s="77" t="s">
        <v>13</v>
      </c>
      <c r="K101" s="79" t="s">
        <v>1028</v>
      </c>
      <c r="L101" s="7" t="str">
        <f>IF(BudgetsTable[[#This Row],[pi_last_name]]=" ","",HYPERLINK("https://www.ejacket.nsf.gov/ej/showProposal.do?Continue=Y&amp;ID="&amp;BudgetsTable[[#This Row],[prop_id]],BudgetsTable[[#This Row],[prop_id]]))</f>
        <v/>
      </c>
      <c r="M101" s="15" t="str">
        <f>IF(BudgetsTable[[#This Row],[pi_last_name]]=" ","",HYPERLINK("https://www.ejacket.nsf.gov/ej/processReviewAnalysis.do?dispatch=add&amp;uniqId="&amp;BudgetsTable[[#This Row],[prop_id]]&amp;PO_id,"&gt;ra"))</f>
        <v/>
      </c>
      <c r="N101" s="79" t="s">
        <v>13</v>
      </c>
      <c r="O101" s="7" t="str">
        <f>IF(BudgetsTable[[#This Row],[pi_last_name]]=" ","",HYPERLINK("mailto:"&amp;BudgetsTable[[#This Row],[pi_email]]&amp;"&amp;subject=Your NSF Proposal:  "&amp;BudgetsTable[[#This Row],[prop_id]],BudgetsTable[[#This Row],[pi_email]]))</f>
        <v/>
      </c>
      <c r="P101" s="79" t="s">
        <v>13</v>
      </c>
      <c r="Q101" s="79">
        <v>1</v>
      </c>
      <c r="R101" s="79">
        <v>1</v>
      </c>
      <c r="S101" s="80">
        <v>0</v>
      </c>
      <c r="T101" s="80">
        <v>0</v>
      </c>
      <c r="U101" s="80">
        <v>0</v>
      </c>
      <c r="V101" s="81">
        <v>112867</v>
      </c>
      <c r="W101" s="79">
        <v>0</v>
      </c>
      <c r="X101" s="79">
        <v>1</v>
      </c>
      <c r="Y101" s="11" t="str">
        <f ca="1">IF(ISBLANK(BudgetsTable[[#This Row],[budg_seq_yr]]),"FY"&amp;fiscalyear,"FY"&amp;fiscalyear-1+BudgetsTable[[#This Row],[budg_seq_yr]])</f>
        <v>FY18</v>
      </c>
      <c r="Z101" s="80">
        <v>112867</v>
      </c>
      <c r="AA101" s="79" t="s">
        <v>780</v>
      </c>
      <c r="AB101" s="79" t="s">
        <v>567</v>
      </c>
      <c r="AC101" s="106" t="s">
        <v>94</v>
      </c>
      <c r="AD101" s="79" t="s">
        <v>252</v>
      </c>
    </row>
    <row r="102" spans="1:30">
      <c r="A102" s="10" t="s">
        <v>1028</v>
      </c>
      <c r="B102" s="77" t="s">
        <v>96</v>
      </c>
      <c r="C102" s="77">
        <f>C101+(BudgetsTable[[#This Row],[lead]]&lt;&gt;K101)</f>
        <v>27</v>
      </c>
      <c r="D102" s="77">
        <f>D101*(BudgetsTable[[#This Row],[lead]]=K101)+(BudgetsTable[[#This Row],[prop_id]]&lt;&gt;A101)</f>
        <v>1</v>
      </c>
      <c r="E102" s="78">
        <v>42935.374305555553</v>
      </c>
      <c r="F102" s="79" t="s">
        <v>244</v>
      </c>
      <c r="G102" s="79" t="s">
        <v>780</v>
      </c>
      <c r="H102" s="79" t="s">
        <v>567</v>
      </c>
      <c r="I102" s="77" t="s">
        <v>944</v>
      </c>
      <c r="J102" s="77" t="s">
        <v>13</v>
      </c>
      <c r="K102" s="79" t="s">
        <v>1028</v>
      </c>
      <c r="L102" s="7" t="str">
        <f>IF(BudgetsTable[[#This Row],[pi_last_name]]=" ","",HYPERLINK("https://www.ejacket.nsf.gov/ej/showProposal.do?Continue=Y&amp;ID="&amp;BudgetsTable[[#This Row],[prop_id]],BudgetsTable[[#This Row],[prop_id]]))</f>
        <v/>
      </c>
      <c r="M102" s="15" t="str">
        <f>IF(BudgetsTable[[#This Row],[pi_last_name]]=" ","",HYPERLINK("https://www.ejacket.nsf.gov/ej/processReviewAnalysis.do?dispatch=add&amp;uniqId="&amp;BudgetsTable[[#This Row],[prop_id]]&amp;PO_id,"&gt;ra"))</f>
        <v/>
      </c>
      <c r="N102" s="79" t="s">
        <v>13</v>
      </c>
      <c r="O102" s="7" t="str">
        <f>IF(BudgetsTable[[#This Row],[pi_last_name]]=" ","",HYPERLINK("mailto:"&amp;BudgetsTable[[#This Row],[pi_email]]&amp;"&amp;subject=Your NSF Proposal:  "&amp;BudgetsTable[[#This Row],[prop_id]],BudgetsTable[[#This Row],[pi_email]]))</f>
        <v/>
      </c>
      <c r="P102" s="79" t="s">
        <v>13</v>
      </c>
      <c r="Q102" s="79">
        <v>1</v>
      </c>
      <c r="R102" s="79">
        <v>1</v>
      </c>
      <c r="S102" s="80">
        <v>0</v>
      </c>
      <c r="T102" s="80">
        <v>0</v>
      </c>
      <c r="U102" s="80">
        <v>1500</v>
      </c>
      <c r="V102" s="81">
        <v>109361</v>
      </c>
      <c r="W102" s="79">
        <v>0</v>
      </c>
      <c r="X102" s="79">
        <v>2</v>
      </c>
      <c r="Y102" s="11" t="str">
        <f ca="1">IF(ISBLANK(BudgetsTable[[#This Row],[budg_seq_yr]]),"FY"&amp;fiscalyear,"FY"&amp;fiscalyear-1+BudgetsTable[[#This Row],[budg_seq_yr]])</f>
        <v>FY19</v>
      </c>
      <c r="Z102" s="80">
        <v>109361</v>
      </c>
      <c r="AA102" s="79" t="s">
        <v>780</v>
      </c>
      <c r="AB102" s="79" t="s">
        <v>567</v>
      </c>
      <c r="AC102" s="106" t="s">
        <v>94</v>
      </c>
      <c r="AD102" s="79" t="s">
        <v>252</v>
      </c>
    </row>
    <row r="103" spans="1:30">
      <c r="A103" s="10" t="s">
        <v>1028</v>
      </c>
      <c r="B103" s="77" t="s">
        <v>96</v>
      </c>
      <c r="C103" s="77">
        <f>C102+(BudgetsTable[[#This Row],[lead]]&lt;&gt;K102)</f>
        <v>27</v>
      </c>
      <c r="D103" s="77">
        <f>D102*(BudgetsTable[[#This Row],[lead]]=K102)+(BudgetsTable[[#This Row],[prop_id]]&lt;&gt;A102)</f>
        <v>1</v>
      </c>
      <c r="E103" s="78">
        <v>42935.374305555553</v>
      </c>
      <c r="F103" s="79" t="s">
        <v>244</v>
      </c>
      <c r="G103" s="79" t="s">
        <v>780</v>
      </c>
      <c r="H103" s="79" t="s">
        <v>567</v>
      </c>
      <c r="I103" s="77" t="s">
        <v>944</v>
      </c>
      <c r="J103" s="77" t="s">
        <v>13</v>
      </c>
      <c r="K103" s="79" t="s">
        <v>1028</v>
      </c>
      <c r="L103" s="7" t="str">
        <f>IF(BudgetsTable[[#This Row],[pi_last_name]]=" ","",HYPERLINK("https://www.ejacket.nsf.gov/ej/showProposal.do?Continue=Y&amp;ID="&amp;BudgetsTable[[#This Row],[prop_id]],BudgetsTable[[#This Row],[prop_id]]))</f>
        <v/>
      </c>
      <c r="M103" s="15" t="str">
        <f>IF(BudgetsTable[[#This Row],[pi_last_name]]=" ","",HYPERLINK("https://www.ejacket.nsf.gov/ej/processReviewAnalysis.do?dispatch=add&amp;uniqId="&amp;BudgetsTable[[#This Row],[prop_id]]&amp;PO_id,"&gt;ra"))</f>
        <v/>
      </c>
      <c r="N103" s="79" t="s">
        <v>13</v>
      </c>
      <c r="O103" s="7" t="str">
        <f>IF(BudgetsTable[[#This Row],[pi_last_name]]=" ","",HYPERLINK("mailto:"&amp;BudgetsTable[[#This Row],[pi_email]]&amp;"&amp;subject=Your NSF Proposal:  "&amp;BudgetsTable[[#This Row],[prop_id]],BudgetsTable[[#This Row],[pi_email]]))</f>
        <v/>
      </c>
      <c r="P103" s="79" t="s">
        <v>13</v>
      </c>
      <c r="Q103" s="79">
        <v>1</v>
      </c>
      <c r="R103" s="79">
        <v>1</v>
      </c>
      <c r="S103" s="80">
        <v>0</v>
      </c>
      <c r="T103" s="80">
        <v>0</v>
      </c>
      <c r="U103" s="80">
        <v>0</v>
      </c>
      <c r="V103" s="81">
        <v>111369</v>
      </c>
      <c r="W103" s="79">
        <v>0</v>
      </c>
      <c r="X103" s="79">
        <v>3</v>
      </c>
      <c r="Y103" s="11" t="str">
        <f ca="1">IF(ISBLANK(BudgetsTable[[#This Row],[budg_seq_yr]]),"FY"&amp;fiscalyear,"FY"&amp;fiscalyear-1+BudgetsTable[[#This Row],[budg_seq_yr]])</f>
        <v>FY20</v>
      </c>
      <c r="Z103" s="80">
        <v>111369</v>
      </c>
      <c r="AA103" s="79" t="s">
        <v>780</v>
      </c>
      <c r="AB103" s="79" t="s">
        <v>567</v>
      </c>
      <c r="AC103" s="106" t="s">
        <v>94</v>
      </c>
      <c r="AD103" s="79" t="s">
        <v>252</v>
      </c>
    </row>
    <row r="104" spans="1:30">
      <c r="A104" s="10" t="s">
        <v>1028</v>
      </c>
      <c r="B104" s="77" t="s">
        <v>96</v>
      </c>
      <c r="C104" s="77">
        <f>C103+(BudgetsTable[[#This Row],[lead]]&lt;&gt;K103)</f>
        <v>27</v>
      </c>
      <c r="D104" s="77">
        <f>D103*(BudgetsTable[[#This Row],[lead]]=K103)+(BudgetsTable[[#This Row],[prop_id]]&lt;&gt;A103)</f>
        <v>1</v>
      </c>
      <c r="E104" s="78">
        <v>42935.374305555553</v>
      </c>
      <c r="F104" s="79" t="s">
        <v>244</v>
      </c>
      <c r="G104" s="79" t="s">
        <v>780</v>
      </c>
      <c r="H104" s="79" t="s">
        <v>567</v>
      </c>
      <c r="I104" s="77" t="s">
        <v>944</v>
      </c>
      <c r="J104" s="77" t="s">
        <v>13</v>
      </c>
      <c r="K104" s="79" t="s">
        <v>1028</v>
      </c>
      <c r="L104" s="7" t="str">
        <f>IF(BudgetsTable[[#This Row],[pi_last_name]]=" ","",HYPERLINK("https://www.ejacket.nsf.gov/ej/showProposal.do?Continue=Y&amp;ID="&amp;BudgetsTable[[#This Row],[prop_id]],BudgetsTable[[#This Row],[prop_id]]))</f>
        <v/>
      </c>
      <c r="M104" s="15" t="str">
        <f>IF(BudgetsTable[[#This Row],[pi_last_name]]=" ","",HYPERLINK("https://www.ejacket.nsf.gov/ej/processReviewAnalysis.do?dispatch=add&amp;uniqId="&amp;BudgetsTable[[#This Row],[prop_id]]&amp;PO_id,"&gt;ra"))</f>
        <v/>
      </c>
      <c r="N104" s="79" t="s">
        <v>13</v>
      </c>
      <c r="O104" s="7" t="str">
        <f>IF(BudgetsTable[[#This Row],[pi_last_name]]=" ","",HYPERLINK("mailto:"&amp;BudgetsTable[[#This Row],[pi_email]]&amp;"&amp;subject=Your NSF Proposal:  "&amp;BudgetsTable[[#This Row],[prop_id]],BudgetsTable[[#This Row],[pi_email]]))</f>
        <v/>
      </c>
      <c r="P104" s="79" t="s">
        <v>13</v>
      </c>
      <c r="Q104" s="79">
        <v>1</v>
      </c>
      <c r="R104" s="79">
        <v>1</v>
      </c>
      <c r="S104" s="80">
        <v>0</v>
      </c>
      <c r="T104" s="80">
        <v>0</v>
      </c>
      <c r="U104" s="80">
        <v>1500</v>
      </c>
      <c r="V104" s="81">
        <v>94898</v>
      </c>
      <c r="W104" s="79">
        <v>0</v>
      </c>
      <c r="X104" s="79">
        <v>4</v>
      </c>
      <c r="Y104" s="11" t="str">
        <f ca="1">IF(ISBLANK(BudgetsTable[[#This Row],[budg_seq_yr]]),"FY"&amp;fiscalyear,"FY"&amp;fiscalyear-1+BudgetsTable[[#This Row],[budg_seq_yr]])</f>
        <v>FY21</v>
      </c>
      <c r="Z104" s="80">
        <v>94898</v>
      </c>
      <c r="AA104" s="79" t="s">
        <v>780</v>
      </c>
      <c r="AB104" s="79" t="s">
        <v>567</v>
      </c>
      <c r="AC104" s="106" t="s">
        <v>94</v>
      </c>
      <c r="AD104" s="79" t="s">
        <v>252</v>
      </c>
    </row>
    <row r="105" spans="1:30">
      <c r="A105" s="10" t="s">
        <v>1028</v>
      </c>
      <c r="B105" s="77" t="s">
        <v>96</v>
      </c>
      <c r="C105" s="77">
        <f>C104+(BudgetsTable[[#This Row],[lead]]&lt;&gt;K104)</f>
        <v>27</v>
      </c>
      <c r="D105" s="77">
        <f>D104*(BudgetsTable[[#This Row],[lead]]=K104)+(BudgetsTable[[#This Row],[prop_id]]&lt;&gt;A104)</f>
        <v>1</v>
      </c>
      <c r="E105" s="78">
        <v>42935.374305555553</v>
      </c>
      <c r="F105" s="79" t="s">
        <v>244</v>
      </c>
      <c r="G105" s="79" t="s">
        <v>780</v>
      </c>
      <c r="H105" s="79" t="s">
        <v>567</v>
      </c>
      <c r="I105" s="77" t="s">
        <v>944</v>
      </c>
      <c r="J105" s="77" t="s">
        <v>13</v>
      </c>
      <c r="K105" s="79" t="s">
        <v>1028</v>
      </c>
      <c r="L105" s="7" t="str">
        <f>IF(BudgetsTable[[#This Row],[pi_last_name]]=" ","",HYPERLINK("https://www.ejacket.nsf.gov/ej/showProposal.do?Continue=Y&amp;ID="&amp;BudgetsTable[[#This Row],[prop_id]],BudgetsTable[[#This Row],[prop_id]]))</f>
        <v/>
      </c>
      <c r="M105" s="15" t="str">
        <f>IF(BudgetsTable[[#This Row],[pi_last_name]]=" ","",HYPERLINK("https://www.ejacket.nsf.gov/ej/processReviewAnalysis.do?dispatch=add&amp;uniqId="&amp;BudgetsTable[[#This Row],[prop_id]]&amp;PO_id,"&gt;ra"))</f>
        <v/>
      </c>
      <c r="N105" s="79" t="s">
        <v>13</v>
      </c>
      <c r="O105" s="7" t="str">
        <f>IF(BudgetsTable[[#This Row],[pi_last_name]]=" ","",HYPERLINK("mailto:"&amp;BudgetsTable[[#This Row],[pi_email]]&amp;"&amp;subject=Your NSF Proposal:  "&amp;BudgetsTable[[#This Row],[prop_id]],BudgetsTable[[#This Row],[pi_email]]))</f>
        <v/>
      </c>
      <c r="P105" s="79" t="s">
        <v>13</v>
      </c>
      <c r="Q105" s="79">
        <v>1</v>
      </c>
      <c r="R105" s="79">
        <v>1</v>
      </c>
      <c r="S105" s="80">
        <v>0</v>
      </c>
      <c r="T105" s="80">
        <v>0</v>
      </c>
      <c r="U105" s="80">
        <v>0</v>
      </c>
      <c r="V105" s="81">
        <v>96345</v>
      </c>
      <c r="W105" s="79">
        <v>0</v>
      </c>
      <c r="X105" s="79">
        <v>5</v>
      </c>
      <c r="Y105" s="11" t="str">
        <f ca="1">IF(ISBLANK(BudgetsTable[[#This Row],[budg_seq_yr]]),"FY"&amp;fiscalyear,"FY"&amp;fiscalyear-1+BudgetsTable[[#This Row],[budg_seq_yr]])</f>
        <v>FY22</v>
      </c>
      <c r="Z105" s="80">
        <v>96345</v>
      </c>
      <c r="AA105" s="79" t="s">
        <v>780</v>
      </c>
      <c r="AB105" s="79" t="s">
        <v>567</v>
      </c>
      <c r="AC105" s="106" t="s">
        <v>94</v>
      </c>
      <c r="AD105" s="79" t="s">
        <v>252</v>
      </c>
    </row>
    <row r="106" spans="1:30">
      <c r="A106" s="10" t="s">
        <v>1036</v>
      </c>
      <c r="B106" s="77" t="s">
        <v>96</v>
      </c>
      <c r="C106" s="77">
        <f>C105+(BudgetsTable[[#This Row],[lead]]&lt;&gt;K105)</f>
        <v>28</v>
      </c>
      <c r="D106" s="77">
        <f>D105*(BudgetsTable[[#This Row],[lead]]=K105)+(BudgetsTable[[#This Row],[prop_id]]&lt;&gt;A105)</f>
        <v>1</v>
      </c>
      <c r="E106" s="78">
        <v>42935.387499999997</v>
      </c>
      <c r="F106" s="79" t="s">
        <v>244</v>
      </c>
      <c r="G106" s="79" t="s">
        <v>780</v>
      </c>
      <c r="H106" s="79" t="s">
        <v>567</v>
      </c>
      <c r="I106" s="77" t="s">
        <v>944</v>
      </c>
      <c r="J106" s="77" t="s">
        <v>1403</v>
      </c>
      <c r="K106" s="79" t="s">
        <v>1036</v>
      </c>
      <c r="L106" s="7" t="str">
        <f>IF(BudgetsTable[[#This Row],[pi_last_name]]=" ","",HYPERLINK("https://www.ejacket.nsf.gov/ej/showProposal.do?Continue=Y&amp;ID="&amp;BudgetsTable[[#This Row],[prop_id]],BudgetsTable[[#This Row],[prop_id]]))</f>
        <v>1750140</v>
      </c>
      <c r="M106" s="15" t="str">
        <f>IF(BudgetsTable[[#This Row],[pi_last_name]]=" ","",HYPERLINK("https://www.ejacket.nsf.gov/ej/processReviewAnalysis.do?dispatch=add&amp;uniqId="&amp;BudgetsTable[[#This Row],[prop_id]]&amp;PO_id,"&gt;ra"))</f>
        <v>&gt;ra</v>
      </c>
      <c r="N106" s="79" t="s">
        <v>1037</v>
      </c>
      <c r="O106" s="7" t="str">
        <f>IF(BudgetsTable[[#This Row],[pi_last_name]]=" ","",HYPERLINK("mailto:"&amp;BudgetsTable[[#This Row],[pi_email]]&amp;"&amp;subject=Your NSF Proposal:  "&amp;BudgetsTable[[#This Row],[prop_id]],BudgetsTable[[#This Row],[pi_email]]))</f>
        <v>debmalya.panigrahi@gmail.com</v>
      </c>
      <c r="P106" s="79" t="s">
        <v>353</v>
      </c>
      <c r="Q106" s="79"/>
      <c r="R106" s="79"/>
      <c r="S106" s="80"/>
      <c r="T106" s="80"/>
      <c r="U106" s="80"/>
      <c r="V106" s="81"/>
      <c r="W106" s="79">
        <v>0</v>
      </c>
      <c r="X106" s="79"/>
      <c r="Y106" s="11" t="str">
        <f ca="1">IF(ISBLANK(BudgetsTable[[#This Row],[budg_seq_yr]]),"FY"&amp;fiscalyear,"FY"&amp;fiscalyear-1+BudgetsTable[[#This Row],[budg_seq_yr]])</f>
        <v>FY18</v>
      </c>
      <c r="Z106" s="80">
        <v>602288</v>
      </c>
      <c r="AA106" s="79" t="s">
        <v>780</v>
      </c>
      <c r="AB106" s="79" t="s">
        <v>567</v>
      </c>
      <c r="AC106" s="106" t="s">
        <v>94</v>
      </c>
      <c r="AD106" s="79" t="s">
        <v>783</v>
      </c>
    </row>
    <row r="107" spans="1:30">
      <c r="A107" s="10" t="s">
        <v>1036</v>
      </c>
      <c r="B107" s="77" t="s">
        <v>96</v>
      </c>
      <c r="C107" s="77">
        <f>C106+(BudgetsTable[[#This Row],[lead]]&lt;&gt;K106)</f>
        <v>28</v>
      </c>
      <c r="D107" s="77">
        <f>D106*(BudgetsTable[[#This Row],[lead]]=K106)+(BudgetsTable[[#This Row],[prop_id]]&lt;&gt;A106)</f>
        <v>1</v>
      </c>
      <c r="E107" s="78">
        <v>42935.387499999997</v>
      </c>
      <c r="F107" s="79" t="s">
        <v>244</v>
      </c>
      <c r="G107" s="79" t="s">
        <v>780</v>
      </c>
      <c r="H107" s="79" t="s">
        <v>567</v>
      </c>
      <c r="I107" s="77" t="s">
        <v>944</v>
      </c>
      <c r="J107" s="77" t="s">
        <v>13</v>
      </c>
      <c r="K107" s="79" t="s">
        <v>1036</v>
      </c>
      <c r="L107" s="7" t="str">
        <f>IF(BudgetsTable[[#This Row],[pi_last_name]]=" ","",HYPERLINK("https://www.ejacket.nsf.gov/ej/showProposal.do?Continue=Y&amp;ID="&amp;BudgetsTable[[#This Row],[prop_id]],BudgetsTable[[#This Row],[prop_id]]))</f>
        <v/>
      </c>
      <c r="M107" s="15" t="str">
        <f>IF(BudgetsTable[[#This Row],[pi_last_name]]=" ","",HYPERLINK("https://www.ejacket.nsf.gov/ej/processReviewAnalysis.do?dispatch=add&amp;uniqId="&amp;BudgetsTable[[#This Row],[prop_id]]&amp;PO_id,"&gt;ra"))</f>
        <v/>
      </c>
      <c r="N107" s="79" t="s">
        <v>13</v>
      </c>
      <c r="O107" s="7" t="str">
        <f>IF(BudgetsTable[[#This Row],[pi_last_name]]=" ","",HYPERLINK("mailto:"&amp;BudgetsTable[[#This Row],[pi_email]]&amp;"&amp;subject=Your NSF Proposal:  "&amp;BudgetsTable[[#This Row],[prop_id]],BudgetsTable[[#This Row],[pi_email]]))</f>
        <v/>
      </c>
      <c r="P107" s="79" t="s">
        <v>13</v>
      </c>
      <c r="Q107" s="79">
        <v>1</v>
      </c>
      <c r="R107" s="79">
        <v>1</v>
      </c>
      <c r="S107" s="80">
        <v>0</v>
      </c>
      <c r="T107" s="80">
        <v>4000</v>
      </c>
      <c r="U107" s="80">
        <v>16000</v>
      </c>
      <c r="V107" s="81">
        <v>116624</v>
      </c>
      <c r="W107" s="79">
        <v>0</v>
      </c>
      <c r="X107" s="79">
        <v>1</v>
      </c>
      <c r="Y107" s="11" t="str">
        <f ca="1">IF(ISBLANK(BudgetsTable[[#This Row],[budg_seq_yr]]),"FY"&amp;fiscalyear,"FY"&amp;fiscalyear-1+BudgetsTable[[#This Row],[budg_seq_yr]])</f>
        <v>FY18</v>
      </c>
      <c r="Z107" s="80">
        <v>116624</v>
      </c>
      <c r="AA107" s="79" t="s">
        <v>780</v>
      </c>
      <c r="AB107" s="79" t="s">
        <v>567</v>
      </c>
      <c r="AC107" s="106" t="s">
        <v>94</v>
      </c>
      <c r="AD107" s="79" t="s">
        <v>783</v>
      </c>
    </row>
    <row r="108" spans="1:30">
      <c r="A108" s="10" t="s">
        <v>1036</v>
      </c>
      <c r="B108" s="77" t="s">
        <v>96</v>
      </c>
      <c r="C108" s="77">
        <f>C107+(BudgetsTable[[#This Row],[lead]]&lt;&gt;K107)</f>
        <v>28</v>
      </c>
      <c r="D108" s="77">
        <f>D107*(BudgetsTable[[#This Row],[lead]]=K107)+(BudgetsTable[[#This Row],[prop_id]]&lt;&gt;A107)</f>
        <v>1</v>
      </c>
      <c r="E108" s="78">
        <v>42935.387499999997</v>
      </c>
      <c r="F108" s="79" t="s">
        <v>244</v>
      </c>
      <c r="G108" s="79" t="s">
        <v>780</v>
      </c>
      <c r="H108" s="79" t="s">
        <v>567</v>
      </c>
      <c r="I108" s="77" t="s">
        <v>944</v>
      </c>
      <c r="J108" s="77" t="s">
        <v>13</v>
      </c>
      <c r="K108" s="79" t="s">
        <v>1036</v>
      </c>
      <c r="L108" s="7" t="str">
        <f>IF(BudgetsTable[[#This Row],[pi_last_name]]=" ","",HYPERLINK("https://www.ejacket.nsf.gov/ej/showProposal.do?Continue=Y&amp;ID="&amp;BudgetsTable[[#This Row],[prop_id]],BudgetsTable[[#This Row],[prop_id]]))</f>
        <v/>
      </c>
      <c r="M108" s="15" t="str">
        <f>IF(BudgetsTable[[#This Row],[pi_last_name]]=" ","",HYPERLINK("https://www.ejacket.nsf.gov/ej/processReviewAnalysis.do?dispatch=add&amp;uniqId="&amp;BudgetsTable[[#This Row],[prop_id]]&amp;PO_id,"&gt;ra"))</f>
        <v/>
      </c>
      <c r="N108" s="79" t="s">
        <v>13</v>
      </c>
      <c r="O108" s="7" t="str">
        <f>IF(BudgetsTable[[#This Row],[pi_last_name]]=" ","",HYPERLINK("mailto:"&amp;BudgetsTable[[#This Row],[pi_email]]&amp;"&amp;subject=Your NSF Proposal:  "&amp;BudgetsTable[[#This Row],[prop_id]],BudgetsTable[[#This Row],[pi_email]]))</f>
        <v/>
      </c>
      <c r="P108" s="79" t="s">
        <v>13</v>
      </c>
      <c r="Q108" s="79">
        <v>1</v>
      </c>
      <c r="R108" s="79">
        <v>1</v>
      </c>
      <c r="S108" s="80">
        <v>0</v>
      </c>
      <c r="T108" s="80">
        <v>4100</v>
      </c>
      <c r="U108" s="80">
        <v>0</v>
      </c>
      <c r="V108" s="81">
        <v>103527</v>
      </c>
      <c r="W108" s="79">
        <v>0</v>
      </c>
      <c r="X108" s="79">
        <v>2</v>
      </c>
      <c r="Y108" s="11" t="str">
        <f ca="1">IF(ISBLANK(BudgetsTable[[#This Row],[budg_seq_yr]]),"FY"&amp;fiscalyear,"FY"&amp;fiscalyear-1+BudgetsTable[[#This Row],[budg_seq_yr]])</f>
        <v>FY19</v>
      </c>
      <c r="Z108" s="80">
        <v>103527</v>
      </c>
      <c r="AA108" s="79" t="s">
        <v>780</v>
      </c>
      <c r="AB108" s="79" t="s">
        <v>567</v>
      </c>
      <c r="AC108" s="106" t="s">
        <v>94</v>
      </c>
      <c r="AD108" s="79" t="s">
        <v>783</v>
      </c>
    </row>
    <row r="109" spans="1:30">
      <c r="A109" s="10" t="s">
        <v>1036</v>
      </c>
      <c r="B109" s="77" t="s">
        <v>96</v>
      </c>
      <c r="C109" s="77">
        <f>C108+(BudgetsTable[[#This Row],[lead]]&lt;&gt;K108)</f>
        <v>28</v>
      </c>
      <c r="D109" s="77">
        <f>D108*(BudgetsTable[[#This Row],[lead]]=K108)+(BudgetsTable[[#This Row],[prop_id]]&lt;&gt;A108)</f>
        <v>1</v>
      </c>
      <c r="E109" s="78">
        <v>42935.387499999997</v>
      </c>
      <c r="F109" s="79" t="s">
        <v>244</v>
      </c>
      <c r="G109" s="79" t="s">
        <v>780</v>
      </c>
      <c r="H109" s="79" t="s">
        <v>567</v>
      </c>
      <c r="I109" s="77" t="s">
        <v>944</v>
      </c>
      <c r="J109" s="77" t="s">
        <v>13</v>
      </c>
      <c r="K109" s="79" t="s">
        <v>1036</v>
      </c>
      <c r="L109" s="7" t="str">
        <f>IF(BudgetsTable[[#This Row],[pi_last_name]]=" ","",HYPERLINK("https://www.ejacket.nsf.gov/ej/showProposal.do?Continue=Y&amp;ID="&amp;BudgetsTable[[#This Row],[prop_id]],BudgetsTable[[#This Row],[prop_id]]))</f>
        <v/>
      </c>
      <c r="M109" s="15" t="str">
        <f>IF(BudgetsTable[[#This Row],[pi_last_name]]=" ","",HYPERLINK("https://www.ejacket.nsf.gov/ej/processReviewAnalysis.do?dispatch=add&amp;uniqId="&amp;BudgetsTable[[#This Row],[prop_id]]&amp;PO_id,"&gt;ra"))</f>
        <v/>
      </c>
      <c r="N109" s="79" t="s">
        <v>13</v>
      </c>
      <c r="O109" s="7" t="str">
        <f>IF(BudgetsTable[[#This Row],[pi_last_name]]=" ","",HYPERLINK("mailto:"&amp;BudgetsTable[[#This Row],[pi_email]]&amp;"&amp;subject=Your NSF Proposal:  "&amp;BudgetsTable[[#This Row],[prop_id]],BudgetsTable[[#This Row],[pi_email]]))</f>
        <v/>
      </c>
      <c r="P109" s="79" t="s">
        <v>13</v>
      </c>
      <c r="Q109" s="79">
        <v>1</v>
      </c>
      <c r="R109" s="79">
        <v>1</v>
      </c>
      <c r="S109" s="80">
        <v>0</v>
      </c>
      <c r="T109" s="80">
        <v>4203</v>
      </c>
      <c r="U109" s="80">
        <v>0</v>
      </c>
      <c r="V109" s="81">
        <v>106655</v>
      </c>
      <c r="W109" s="79">
        <v>0</v>
      </c>
      <c r="X109" s="79">
        <v>3</v>
      </c>
      <c r="Y109" s="11" t="str">
        <f ca="1">IF(ISBLANK(BudgetsTable[[#This Row],[budg_seq_yr]]),"FY"&amp;fiscalyear,"FY"&amp;fiscalyear-1+BudgetsTable[[#This Row],[budg_seq_yr]])</f>
        <v>FY20</v>
      </c>
      <c r="Z109" s="80">
        <v>106655</v>
      </c>
      <c r="AA109" s="79" t="s">
        <v>780</v>
      </c>
      <c r="AB109" s="79" t="s">
        <v>567</v>
      </c>
      <c r="AC109" s="106" t="s">
        <v>94</v>
      </c>
      <c r="AD109" s="79" t="s">
        <v>783</v>
      </c>
    </row>
    <row r="110" spans="1:30">
      <c r="A110" s="10" t="s">
        <v>1036</v>
      </c>
      <c r="B110" s="77" t="s">
        <v>96</v>
      </c>
      <c r="C110" s="77">
        <f>C109+(BudgetsTable[[#This Row],[lead]]&lt;&gt;K109)</f>
        <v>28</v>
      </c>
      <c r="D110" s="77">
        <f>D109*(BudgetsTable[[#This Row],[lead]]=K109)+(BudgetsTable[[#This Row],[prop_id]]&lt;&gt;A109)</f>
        <v>1</v>
      </c>
      <c r="E110" s="78">
        <v>42935.387499999997</v>
      </c>
      <c r="F110" s="79" t="s">
        <v>244</v>
      </c>
      <c r="G110" s="79" t="s">
        <v>780</v>
      </c>
      <c r="H110" s="79" t="s">
        <v>567</v>
      </c>
      <c r="I110" s="77" t="s">
        <v>944</v>
      </c>
      <c r="J110" s="77" t="s">
        <v>13</v>
      </c>
      <c r="K110" s="79" t="s">
        <v>1036</v>
      </c>
      <c r="L110" s="7" t="str">
        <f>IF(BudgetsTable[[#This Row],[pi_last_name]]=" ","",HYPERLINK("https://www.ejacket.nsf.gov/ej/showProposal.do?Continue=Y&amp;ID="&amp;BudgetsTable[[#This Row],[prop_id]],BudgetsTable[[#This Row],[prop_id]]))</f>
        <v/>
      </c>
      <c r="M110" s="15" t="str">
        <f>IF(BudgetsTable[[#This Row],[pi_last_name]]=" ","",HYPERLINK("https://www.ejacket.nsf.gov/ej/processReviewAnalysis.do?dispatch=add&amp;uniqId="&amp;BudgetsTable[[#This Row],[prop_id]]&amp;PO_id,"&gt;ra"))</f>
        <v/>
      </c>
      <c r="N110" s="79" t="s">
        <v>13</v>
      </c>
      <c r="O110" s="7" t="str">
        <f>IF(BudgetsTable[[#This Row],[pi_last_name]]=" ","",HYPERLINK("mailto:"&amp;BudgetsTable[[#This Row],[pi_email]]&amp;"&amp;subject=Your NSF Proposal:  "&amp;BudgetsTable[[#This Row],[prop_id]],BudgetsTable[[#This Row],[pi_email]]))</f>
        <v/>
      </c>
      <c r="P110" s="79" t="s">
        <v>13</v>
      </c>
      <c r="Q110" s="79">
        <v>1</v>
      </c>
      <c r="R110" s="79">
        <v>2</v>
      </c>
      <c r="S110" s="80">
        <v>0</v>
      </c>
      <c r="T110" s="80">
        <v>4308</v>
      </c>
      <c r="U110" s="80">
        <v>0</v>
      </c>
      <c r="V110" s="81">
        <v>135919</v>
      </c>
      <c r="W110" s="79">
        <v>0</v>
      </c>
      <c r="X110" s="79">
        <v>4</v>
      </c>
      <c r="Y110" s="11" t="str">
        <f ca="1">IF(ISBLANK(BudgetsTable[[#This Row],[budg_seq_yr]]),"FY"&amp;fiscalyear,"FY"&amp;fiscalyear-1+BudgetsTable[[#This Row],[budg_seq_yr]])</f>
        <v>FY21</v>
      </c>
      <c r="Z110" s="80">
        <v>135919</v>
      </c>
      <c r="AA110" s="79" t="s">
        <v>780</v>
      </c>
      <c r="AB110" s="79" t="s">
        <v>567</v>
      </c>
      <c r="AC110" s="106" t="s">
        <v>94</v>
      </c>
      <c r="AD110" s="79" t="s">
        <v>783</v>
      </c>
    </row>
    <row r="111" spans="1:30">
      <c r="A111" s="10" t="s">
        <v>1036</v>
      </c>
      <c r="B111" s="77" t="s">
        <v>96</v>
      </c>
      <c r="C111" s="77">
        <f>C110+(BudgetsTable[[#This Row],[lead]]&lt;&gt;K110)</f>
        <v>28</v>
      </c>
      <c r="D111" s="77">
        <f>D110*(BudgetsTable[[#This Row],[lead]]=K110)+(BudgetsTable[[#This Row],[prop_id]]&lt;&gt;A110)</f>
        <v>1</v>
      </c>
      <c r="E111" s="78">
        <v>42935.387499999997</v>
      </c>
      <c r="F111" s="79" t="s">
        <v>244</v>
      </c>
      <c r="G111" s="79" t="s">
        <v>780</v>
      </c>
      <c r="H111" s="79" t="s">
        <v>567</v>
      </c>
      <c r="I111" s="77" t="s">
        <v>944</v>
      </c>
      <c r="J111" s="77" t="s">
        <v>13</v>
      </c>
      <c r="K111" s="79" t="s">
        <v>1036</v>
      </c>
      <c r="L111" s="7" t="str">
        <f>IF(BudgetsTable[[#This Row],[pi_last_name]]=" ","",HYPERLINK("https://www.ejacket.nsf.gov/ej/showProposal.do?Continue=Y&amp;ID="&amp;BudgetsTable[[#This Row],[prop_id]],BudgetsTable[[#This Row],[prop_id]]))</f>
        <v/>
      </c>
      <c r="M111" s="15" t="str">
        <f>IF(BudgetsTable[[#This Row],[pi_last_name]]=" ","",HYPERLINK("https://www.ejacket.nsf.gov/ej/processReviewAnalysis.do?dispatch=add&amp;uniqId="&amp;BudgetsTable[[#This Row],[prop_id]]&amp;PO_id,"&gt;ra"))</f>
        <v/>
      </c>
      <c r="N111" s="79" t="s">
        <v>13</v>
      </c>
      <c r="O111" s="7" t="str">
        <f>IF(BudgetsTable[[#This Row],[pi_last_name]]=" ","",HYPERLINK("mailto:"&amp;BudgetsTable[[#This Row],[pi_email]]&amp;"&amp;subject=Your NSF Proposal:  "&amp;BudgetsTable[[#This Row],[prop_id]],BudgetsTable[[#This Row],[pi_email]]))</f>
        <v/>
      </c>
      <c r="P111" s="79" t="s">
        <v>13</v>
      </c>
      <c r="Q111" s="79">
        <v>1</v>
      </c>
      <c r="R111" s="79">
        <v>2</v>
      </c>
      <c r="S111" s="80">
        <v>0</v>
      </c>
      <c r="T111" s="80">
        <v>4415</v>
      </c>
      <c r="U111" s="80">
        <v>0</v>
      </c>
      <c r="V111" s="81">
        <v>139563</v>
      </c>
      <c r="W111" s="79">
        <v>0</v>
      </c>
      <c r="X111" s="79">
        <v>5</v>
      </c>
      <c r="Y111" s="11" t="str">
        <f ca="1">IF(ISBLANK(BudgetsTable[[#This Row],[budg_seq_yr]]),"FY"&amp;fiscalyear,"FY"&amp;fiscalyear-1+BudgetsTable[[#This Row],[budg_seq_yr]])</f>
        <v>FY22</v>
      </c>
      <c r="Z111" s="80">
        <v>139563</v>
      </c>
      <c r="AA111" s="79" t="s">
        <v>780</v>
      </c>
      <c r="AB111" s="79" t="s">
        <v>567</v>
      </c>
      <c r="AC111" s="106" t="s">
        <v>94</v>
      </c>
      <c r="AD111" s="79" t="s">
        <v>783</v>
      </c>
    </row>
    <row r="112" spans="1:30">
      <c r="A112" s="10" t="s">
        <v>1044</v>
      </c>
      <c r="B112" s="77" t="s">
        <v>96</v>
      </c>
      <c r="C112" s="77">
        <f>C111+(BudgetsTable[[#This Row],[lead]]&lt;&gt;K111)</f>
        <v>29</v>
      </c>
      <c r="D112" s="77">
        <f>D111*(BudgetsTable[[#This Row],[lead]]=K111)+(BudgetsTable[[#This Row],[prop_id]]&lt;&gt;A111)</f>
        <v>1</v>
      </c>
      <c r="E112" s="78">
        <v>42935.475694444445</v>
      </c>
      <c r="F112" s="79" t="s">
        <v>244</v>
      </c>
      <c r="G112" s="79" t="s">
        <v>780</v>
      </c>
      <c r="H112" s="79" t="s">
        <v>567</v>
      </c>
      <c r="I112" s="77" t="s">
        <v>944</v>
      </c>
      <c r="J112" s="77" t="s">
        <v>1405</v>
      </c>
      <c r="K112" s="79" t="s">
        <v>1044</v>
      </c>
      <c r="L112" s="7" t="str">
        <f>IF(BudgetsTable[[#This Row],[pi_last_name]]=" ","",HYPERLINK("https://www.ejacket.nsf.gov/ej/showProposal.do?Continue=Y&amp;ID="&amp;BudgetsTable[[#This Row],[prop_id]],BudgetsTable[[#This Row],[prop_id]]))</f>
        <v>1750302</v>
      </c>
      <c r="M112" s="15" t="str">
        <f>IF(BudgetsTable[[#This Row],[pi_last_name]]=" ","",HYPERLINK("https://www.ejacket.nsf.gov/ej/processReviewAnalysis.do?dispatch=add&amp;uniqId="&amp;BudgetsTable[[#This Row],[prop_id]]&amp;PO_id,"&gt;ra"))</f>
        <v>&gt;ra</v>
      </c>
      <c r="N112" s="79" t="s">
        <v>1045</v>
      </c>
      <c r="O112" s="7" t="str">
        <f>IF(BudgetsTable[[#This Row],[pi_last_name]]=" ","",HYPERLINK("mailto:"&amp;BudgetsTable[[#This Row],[pi_email]]&amp;"&amp;subject=Your NSF Proposal:  "&amp;BudgetsTable[[#This Row],[prop_id]],BudgetsTable[[#This Row],[pi_email]]))</f>
        <v>mdinitz@cs.jhu.edu</v>
      </c>
      <c r="P112" s="79" t="s">
        <v>1353</v>
      </c>
      <c r="Q112" s="79"/>
      <c r="R112" s="79"/>
      <c r="S112" s="80"/>
      <c r="T112" s="80"/>
      <c r="U112" s="80"/>
      <c r="V112" s="81"/>
      <c r="W112" s="79">
        <v>0</v>
      </c>
      <c r="X112" s="79"/>
      <c r="Y112" s="11" t="str">
        <f ca="1">IF(ISBLANK(BudgetsTable[[#This Row],[budg_seq_yr]]),"FY"&amp;fiscalyear,"FY"&amp;fiscalyear-1+BudgetsTable[[#This Row],[budg_seq_yr]])</f>
        <v>FY18</v>
      </c>
      <c r="Z112" s="80">
        <v>507459</v>
      </c>
      <c r="AA112" s="79" t="s">
        <v>780</v>
      </c>
      <c r="AB112" s="79" t="s">
        <v>567</v>
      </c>
      <c r="AC112" s="106" t="s">
        <v>94</v>
      </c>
      <c r="AD112" s="79" t="s">
        <v>783</v>
      </c>
    </row>
    <row r="113" spans="1:30">
      <c r="A113" s="10" t="s">
        <v>1044</v>
      </c>
      <c r="B113" s="77" t="s">
        <v>96</v>
      </c>
      <c r="C113" s="77">
        <f>C112+(BudgetsTable[[#This Row],[lead]]&lt;&gt;K112)</f>
        <v>29</v>
      </c>
      <c r="D113" s="77">
        <f>D112*(BudgetsTable[[#This Row],[lead]]=K112)+(BudgetsTable[[#This Row],[prop_id]]&lt;&gt;A112)</f>
        <v>1</v>
      </c>
      <c r="E113" s="78">
        <v>42935.475694444445</v>
      </c>
      <c r="F113" s="79" t="s">
        <v>244</v>
      </c>
      <c r="G113" s="79" t="s">
        <v>780</v>
      </c>
      <c r="H113" s="79" t="s">
        <v>567</v>
      </c>
      <c r="I113" s="77" t="s">
        <v>944</v>
      </c>
      <c r="J113" s="77" t="s">
        <v>13</v>
      </c>
      <c r="K113" s="79" t="s">
        <v>1044</v>
      </c>
      <c r="L113" s="7" t="str">
        <f>IF(BudgetsTable[[#This Row],[pi_last_name]]=" ","",HYPERLINK("https://www.ejacket.nsf.gov/ej/showProposal.do?Continue=Y&amp;ID="&amp;BudgetsTable[[#This Row],[prop_id]],BudgetsTable[[#This Row],[prop_id]]))</f>
        <v/>
      </c>
      <c r="M113" s="15" t="str">
        <f>IF(BudgetsTable[[#This Row],[pi_last_name]]=" ","",HYPERLINK("https://www.ejacket.nsf.gov/ej/processReviewAnalysis.do?dispatch=add&amp;uniqId="&amp;BudgetsTable[[#This Row],[prop_id]]&amp;PO_id,"&gt;ra"))</f>
        <v/>
      </c>
      <c r="N113" s="79" t="s">
        <v>13</v>
      </c>
      <c r="O113" s="7" t="str">
        <f>IF(BudgetsTable[[#This Row],[pi_last_name]]=" ","",HYPERLINK("mailto:"&amp;BudgetsTable[[#This Row],[pi_email]]&amp;"&amp;subject=Your NSF Proposal:  "&amp;BudgetsTable[[#This Row],[prop_id]],BudgetsTable[[#This Row],[pi_email]]))</f>
        <v/>
      </c>
      <c r="P113" s="79" t="s">
        <v>13</v>
      </c>
      <c r="Q113" s="79">
        <v>1</v>
      </c>
      <c r="R113" s="79">
        <v>0</v>
      </c>
      <c r="S113" s="80">
        <v>0</v>
      </c>
      <c r="T113" s="80">
        <v>2100</v>
      </c>
      <c r="U113" s="80">
        <v>0</v>
      </c>
      <c r="V113" s="81">
        <v>102907</v>
      </c>
      <c r="W113" s="79">
        <v>0</v>
      </c>
      <c r="X113" s="79">
        <v>1</v>
      </c>
      <c r="Y113" s="11" t="str">
        <f ca="1">IF(ISBLANK(BudgetsTable[[#This Row],[budg_seq_yr]]),"FY"&amp;fiscalyear,"FY"&amp;fiscalyear-1+BudgetsTable[[#This Row],[budg_seq_yr]])</f>
        <v>FY18</v>
      </c>
      <c r="Z113" s="80">
        <v>102907</v>
      </c>
      <c r="AA113" s="79" t="s">
        <v>780</v>
      </c>
      <c r="AB113" s="79" t="s">
        <v>567</v>
      </c>
      <c r="AC113" s="106" t="s">
        <v>94</v>
      </c>
      <c r="AD113" s="79" t="s">
        <v>783</v>
      </c>
    </row>
    <row r="114" spans="1:30">
      <c r="A114" s="10" t="s">
        <v>1044</v>
      </c>
      <c r="B114" s="77" t="s">
        <v>96</v>
      </c>
      <c r="C114" s="77">
        <f>C113+(BudgetsTable[[#This Row],[lead]]&lt;&gt;K113)</f>
        <v>29</v>
      </c>
      <c r="D114" s="77">
        <f>D113*(BudgetsTable[[#This Row],[lead]]=K113)+(BudgetsTable[[#This Row],[prop_id]]&lt;&gt;A113)</f>
        <v>1</v>
      </c>
      <c r="E114" s="78">
        <v>42935.475694444445</v>
      </c>
      <c r="F114" s="79" t="s">
        <v>244</v>
      </c>
      <c r="G114" s="79" t="s">
        <v>780</v>
      </c>
      <c r="H114" s="79" t="s">
        <v>567</v>
      </c>
      <c r="I114" s="77" t="s">
        <v>944</v>
      </c>
      <c r="J114" s="77" t="s">
        <v>13</v>
      </c>
      <c r="K114" s="79" t="s">
        <v>1044</v>
      </c>
      <c r="L114" s="7" t="str">
        <f>IF(BudgetsTable[[#This Row],[pi_last_name]]=" ","",HYPERLINK("https://www.ejacket.nsf.gov/ej/showProposal.do?Continue=Y&amp;ID="&amp;BudgetsTable[[#This Row],[prop_id]],BudgetsTable[[#This Row],[prop_id]]))</f>
        <v/>
      </c>
      <c r="M114" s="15" t="str">
        <f>IF(BudgetsTable[[#This Row],[pi_last_name]]=" ","",HYPERLINK("https://www.ejacket.nsf.gov/ej/processReviewAnalysis.do?dispatch=add&amp;uniqId="&amp;BudgetsTable[[#This Row],[prop_id]]&amp;PO_id,"&gt;ra"))</f>
        <v/>
      </c>
      <c r="N114" s="79" t="s">
        <v>13</v>
      </c>
      <c r="O114" s="7" t="str">
        <f>IF(BudgetsTable[[#This Row],[pi_last_name]]=" ","",HYPERLINK("mailto:"&amp;BudgetsTable[[#This Row],[pi_email]]&amp;"&amp;subject=Your NSF Proposal:  "&amp;BudgetsTable[[#This Row],[prop_id]],BudgetsTable[[#This Row],[pi_email]]))</f>
        <v/>
      </c>
      <c r="P114" s="79" t="s">
        <v>13</v>
      </c>
      <c r="Q114" s="79">
        <v>1</v>
      </c>
      <c r="R114" s="79">
        <v>0</v>
      </c>
      <c r="S114" s="80">
        <v>0</v>
      </c>
      <c r="T114" s="80">
        <v>2100</v>
      </c>
      <c r="U114" s="80">
        <v>0</v>
      </c>
      <c r="V114" s="81">
        <v>101935</v>
      </c>
      <c r="W114" s="79">
        <v>0</v>
      </c>
      <c r="X114" s="79">
        <v>2</v>
      </c>
      <c r="Y114" s="11" t="str">
        <f ca="1">IF(ISBLANK(BudgetsTable[[#This Row],[budg_seq_yr]]),"FY"&amp;fiscalyear,"FY"&amp;fiscalyear-1+BudgetsTable[[#This Row],[budg_seq_yr]])</f>
        <v>FY19</v>
      </c>
      <c r="Z114" s="80">
        <v>101935</v>
      </c>
      <c r="AA114" s="79" t="s">
        <v>780</v>
      </c>
      <c r="AB114" s="79" t="s">
        <v>567</v>
      </c>
      <c r="AC114" s="106" t="s">
        <v>94</v>
      </c>
      <c r="AD114" s="79" t="s">
        <v>783</v>
      </c>
    </row>
    <row r="115" spans="1:30">
      <c r="A115" s="10" t="s">
        <v>1044</v>
      </c>
      <c r="B115" s="77" t="s">
        <v>96</v>
      </c>
      <c r="C115" s="77">
        <f>C114+(BudgetsTable[[#This Row],[lead]]&lt;&gt;K114)</f>
        <v>29</v>
      </c>
      <c r="D115" s="77">
        <f>D114*(BudgetsTable[[#This Row],[lead]]=K114)+(BudgetsTable[[#This Row],[prop_id]]&lt;&gt;A114)</f>
        <v>1</v>
      </c>
      <c r="E115" s="78">
        <v>42935.475694444445</v>
      </c>
      <c r="F115" s="79" t="s">
        <v>244</v>
      </c>
      <c r="G115" s="79" t="s">
        <v>780</v>
      </c>
      <c r="H115" s="79" t="s">
        <v>567</v>
      </c>
      <c r="I115" s="77" t="s">
        <v>944</v>
      </c>
      <c r="J115" s="77" t="s">
        <v>13</v>
      </c>
      <c r="K115" s="79" t="s">
        <v>1044</v>
      </c>
      <c r="L115" s="7" t="str">
        <f>IF(BudgetsTable[[#This Row],[pi_last_name]]=" ","",HYPERLINK("https://www.ejacket.nsf.gov/ej/showProposal.do?Continue=Y&amp;ID="&amp;BudgetsTable[[#This Row],[prop_id]],BudgetsTable[[#This Row],[prop_id]]))</f>
        <v/>
      </c>
      <c r="M115" s="15" t="str">
        <f>IF(BudgetsTable[[#This Row],[pi_last_name]]=" ","",HYPERLINK("https://www.ejacket.nsf.gov/ej/processReviewAnalysis.do?dispatch=add&amp;uniqId="&amp;BudgetsTable[[#This Row],[prop_id]]&amp;PO_id,"&gt;ra"))</f>
        <v/>
      </c>
      <c r="N115" s="79" t="s">
        <v>13</v>
      </c>
      <c r="O115" s="7" t="str">
        <f>IF(BudgetsTable[[#This Row],[pi_last_name]]=" ","",HYPERLINK("mailto:"&amp;BudgetsTable[[#This Row],[pi_email]]&amp;"&amp;subject=Your NSF Proposal:  "&amp;BudgetsTable[[#This Row],[prop_id]],BudgetsTable[[#This Row],[pi_email]]))</f>
        <v/>
      </c>
      <c r="P115" s="79" t="s">
        <v>13</v>
      </c>
      <c r="Q115" s="79">
        <v>1</v>
      </c>
      <c r="R115" s="79">
        <v>0</v>
      </c>
      <c r="S115" s="80">
        <v>0</v>
      </c>
      <c r="T115" s="80">
        <v>0</v>
      </c>
      <c r="U115" s="80">
        <v>0</v>
      </c>
      <c r="V115" s="81">
        <v>100630</v>
      </c>
      <c r="W115" s="79">
        <v>0</v>
      </c>
      <c r="X115" s="79">
        <v>3</v>
      </c>
      <c r="Y115" s="11" t="str">
        <f ca="1">IF(ISBLANK(BudgetsTable[[#This Row],[budg_seq_yr]]),"FY"&amp;fiscalyear,"FY"&amp;fiscalyear-1+BudgetsTable[[#This Row],[budg_seq_yr]])</f>
        <v>FY20</v>
      </c>
      <c r="Z115" s="80">
        <v>100630</v>
      </c>
      <c r="AA115" s="79" t="s">
        <v>780</v>
      </c>
      <c r="AB115" s="79" t="s">
        <v>567</v>
      </c>
      <c r="AC115" s="106" t="s">
        <v>94</v>
      </c>
      <c r="AD115" s="79" t="s">
        <v>783</v>
      </c>
    </row>
    <row r="116" spans="1:30">
      <c r="A116" s="10" t="s">
        <v>1044</v>
      </c>
      <c r="B116" s="77" t="s">
        <v>96</v>
      </c>
      <c r="C116" s="77">
        <f>C115+(BudgetsTable[[#This Row],[lead]]&lt;&gt;K115)</f>
        <v>29</v>
      </c>
      <c r="D116" s="77">
        <f>D115*(BudgetsTable[[#This Row],[lead]]=K115)+(BudgetsTable[[#This Row],[prop_id]]&lt;&gt;A115)</f>
        <v>1</v>
      </c>
      <c r="E116" s="78">
        <v>42935.475694444445</v>
      </c>
      <c r="F116" s="79" t="s">
        <v>244</v>
      </c>
      <c r="G116" s="79" t="s">
        <v>780</v>
      </c>
      <c r="H116" s="79" t="s">
        <v>567</v>
      </c>
      <c r="I116" s="77" t="s">
        <v>944</v>
      </c>
      <c r="J116" s="77" t="s">
        <v>13</v>
      </c>
      <c r="K116" s="79" t="s">
        <v>1044</v>
      </c>
      <c r="L116" s="7" t="str">
        <f>IF(BudgetsTable[[#This Row],[pi_last_name]]=" ","",HYPERLINK("https://www.ejacket.nsf.gov/ej/showProposal.do?Continue=Y&amp;ID="&amp;BudgetsTable[[#This Row],[prop_id]],BudgetsTable[[#This Row],[prop_id]]))</f>
        <v/>
      </c>
      <c r="M116" s="15" t="str">
        <f>IF(BudgetsTable[[#This Row],[pi_last_name]]=" ","",HYPERLINK("https://www.ejacket.nsf.gov/ej/processReviewAnalysis.do?dispatch=add&amp;uniqId="&amp;BudgetsTable[[#This Row],[prop_id]]&amp;PO_id,"&gt;ra"))</f>
        <v/>
      </c>
      <c r="N116" s="79" t="s">
        <v>13</v>
      </c>
      <c r="O116" s="7" t="str">
        <f>IF(BudgetsTable[[#This Row],[pi_last_name]]=" ","",HYPERLINK("mailto:"&amp;BudgetsTable[[#This Row],[pi_email]]&amp;"&amp;subject=Your NSF Proposal:  "&amp;BudgetsTable[[#This Row],[prop_id]],BudgetsTable[[#This Row],[pi_email]]))</f>
        <v/>
      </c>
      <c r="P116" s="79" t="s">
        <v>13</v>
      </c>
      <c r="Q116" s="79">
        <v>1</v>
      </c>
      <c r="R116" s="79">
        <v>0</v>
      </c>
      <c r="S116" s="80">
        <v>0</v>
      </c>
      <c r="T116" s="80">
        <v>0</v>
      </c>
      <c r="U116" s="80">
        <v>0</v>
      </c>
      <c r="V116" s="81">
        <v>99873</v>
      </c>
      <c r="W116" s="79">
        <v>0</v>
      </c>
      <c r="X116" s="79">
        <v>4</v>
      </c>
      <c r="Y116" s="11" t="str">
        <f ca="1">IF(ISBLANK(BudgetsTable[[#This Row],[budg_seq_yr]]),"FY"&amp;fiscalyear,"FY"&amp;fiscalyear-1+BudgetsTable[[#This Row],[budg_seq_yr]])</f>
        <v>FY21</v>
      </c>
      <c r="Z116" s="80">
        <v>99873</v>
      </c>
      <c r="AA116" s="79" t="s">
        <v>780</v>
      </c>
      <c r="AB116" s="79" t="s">
        <v>567</v>
      </c>
      <c r="AC116" s="106" t="s">
        <v>94</v>
      </c>
      <c r="AD116" s="79" t="s">
        <v>783</v>
      </c>
    </row>
    <row r="117" spans="1:30">
      <c r="A117" s="10" t="s">
        <v>1044</v>
      </c>
      <c r="B117" s="77" t="s">
        <v>96</v>
      </c>
      <c r="C117" s="77">
        <f>C116+(BudgetsTable[[#This Row],[lead]]&lt;&gt;K116)</f>
        <v>29</v>
      </c>
      <c r="D117" s="77">
        <f>D116*(BudgetsTable[[#This Row],[lead]]=K116)+(BudgetsTable[[#This Row],[prop_id]]&lt;&gt;A116)</f>
        <v>1</v>
      </c>
      <c r="E117" s="78">
        <v>42935.475694444445</v>
      </c>
      <c r="F117" s="79" t="s">
        <v>244</v>
      </c>
      <c r="G117" s="79" t="s">
        <v>780</v>
      </c>
      <c r="H117" s="79" t="s">
        <v>567</v>
      </c>
      <c r="I117" s="77" t="s">
        <v>944</v>
      </c>
      <c r="J117" s="77" t="s">
        <v>13</v>
      </c>
      <c r="K117" s="79" t="s">
        <v>1044</v>
      </c>
      <c r="L117" s="7" t="str">
        <f>IF(BudgetsTable[[#This Row],[pi_last_name]]=" ","",HYPERLINK("https://www.ejacket.nsf.gov/ej/showProposal.do?Continue=Y&amp;ID="&amp;BudgetsTable[[#This Row],[prop_id]],BudgetsTable[[#This Row],[prop_id]]))</f>
        <v/>
      </c>
      <c r="M117" s="15" t="str">
        <f>IF(BudgetsTable[[#This Row],[pi_last_name]]=" ","",HYPERLINK("https://www.ejacket.nsf.gov/ej/processReviewAnalysis.do?dispatch=add&amp;uniqId="&amp;BudgetsTable[[#This Row],[prop_id]]&amp;PO_id,"&gt;ra"))</f>
        <v/>
      </c>
      <c r="N117" s="79" t="s">
        <v>13</v>
      </c>
      <c r="O117" s="7" t="str">
        <f>IF(BudgetsTable[[#This Row],[pi_last_name]]=" ","",HYPERLINK("mailto:"&amp;BudgetsTable[[#This Row],[pi_email]]&amp;"&amp;subject=Your NSF Proposal:  "&amp;BudgetsTable[[#This Row],[prop_id]],BudgetsTable[[#This Row],[pi_email]]))</f>
        <v/>
      </c>
      <c r="P117" s="79" t="s">
        <v>13</v>
      </c>
      <c r="Q117" s="79">
        <v>1</v>
      </c>
      <c r="R117" s="79">
        <v>0</v>
      </c>
      <c r="S117" s="80">
        <v>0</v>
      </c>
      <c r="T117" s="80">
        <v>0</v>
      </c>
      <c r="U117" s="80">
        <v>0</v>
      </c>
      <c r="V117" s="81">
        <v>102114</v>
      </c>
      <c r="W117" s="79">
        <v>0</v>
      </c>
      <c r="X117" s="79">
        <v>5</v>
      </c>
      <c r="Y117" s="11" t="str">
        <f ca="1">IF(ISBLANK(BudgetsTable[[#This Row],[budg_seq_yr]]),"FY"&amp;fiscalyear,"FY"&amp;fiscalyear-1+BudgetsTable[[#This Row],[budg_seq_yr]])</f>
        <v>FY22</v>
      </c>
      <c r="Z117" s="80">
        <v>102114</v>
      </c>
      <c r="AA117" s="79" t="s">
        <v>780</v>
      </c>
      <c r="AB117" s="79" t="s">
        <v>567</v>
      </c>
      <c r="AC117" s="106" t="s">
        <v>94</v>
      </c>
      <c r="AD117" s="79" t="s">
        <v>783</v>
      </c>
    </row>
    <row r="118" spans="1:30">
      <c r="A118" s="10" t="s">
        <v>1052</v>
      </c>
      <c r="B118" s="77" t="s">
        <v>96</v>
      </c>
      <c r="C118" s="77">
        <f>C117+(BudgetsTable[[#This Row],[lead]]&lt;&gt;K117)</f>
        <v>30</v>
      </c>
      <c r="D118" s="77">
        <f>D117*(BudgetsTable[[#This Row],[lead]]=K117)+(BudgetsTable[[#This Row],[prop_id]]&lt;&gt;A117)</f>
        <v>1</v>
      </c>
      <c r="E118" s="78">
        <v>42935.488888888889</v>
      </c>
      <c r="F118" s="79" t="s">
        <v>244</v>
      </c>
      <c r="G118" s="79" t="s">
        <v>780</v>
      </c>
      <c r="H118" s="79" t="s">
        <v>567</v>
      </c>
      <c r="I118" s="77" t="s">
        <v>944</v>
      </c>
      <c r="J118" s="77" t="s">
        <v>1409</v>
      </c>
      <c r="K118" s="79" t="s">
        <v>1052</v>
      </c>
      <c r="L118" s="7" t="str">
        <f>IF(BudgetsTable[[#This Row],[pi_last_name]]=" ","",HYPERLINK("https://www.ejacket.nsf.gov/ej/showProposal.do?Continue=Y&amp;ID="&amp;BudgetsTable[[#This Row],[prop_id]],BudgetsTable[[#This Row],[prop_id]]))</f>
        <v>1750333</v>
      </c>
      <c r="M118" s="15" t="str">
        <f>IF(BudgetsTable[[#This Row],[pi_last_name]]=" ","",HYPERLINK("https://www.ejacket.nsf.gov/ej/processReviewAnalysis.do?dispatch=add&amp;uniqId="&amp;BudgetsTable[[#This Row],[prop_id]]&amp;PO_id,"&gt;ra"))</f>
        <v>&gt;ra</v>
      </c>
      <c r="N118" s="79" t="s">
        <v>1053</v>
      </c>
      <c r="O118" s="7" t="str">
        <f>IF(BudgetsTable[[#This Row],[pi_last_name]]=" ","",HYPERLINK("mailto:"&amp;BudgetsTable[[#This Row],[pi_email]]&amp;"&amp;subject=Your NSF Proposal:  "&amp;BudgetsTable[[#This Row],[prop_id]],BudgetsTable[[#This Row],[pi_email]]))</f>
        <v>aene@bu.edu</v>
      </c>
      <c r="P118" s="79" t="s">
        <v>1369</v>
      </c>
      <c r="Q118" s="79"/>
      <c r="R118" s="79"/>
      <c r="S118" s="80"/>
      <c r="T118" s="80"/>
      <c r="U118" s="80"/>
      <c r="V118" s="81"/>
      <c r="W118" s="79">
        <v>0</v>
      </c>
      <c r="X118" s="79"/>
      <c r="Y118" s="11" t="str">
        <f ca="1">IF(ISBLANK(BudgetsTable[[#This Row],[budg_seq_yr]]),"FY"&amp;fiscalyear,"FY"&amp;fiscalyear-1+BudgetsTable[[#This Row],[budg_seq_yr]])</f>
        <v>FY18</v>
      </c>
      <c r="Z118" s="80">
        <v>507423</v>
      </c>
      <c r="AA118" s="79" t="s">
        <v>780</v>
      </c>
      <c r="AB118" s="79" t="s">
        <v>567</v>
      </c>
      <c r="AC118" s="106" t="s">
        <v>94</v>
      </c>
      <c r="AD118" s="79" t="s">
        <v>783</v>
      </c>
    </row>
    <row r="119" spans="1:30">
      <c r="A119" s="10" t="s">
        <v>1052</v>
      </c>
      <c r="B119" s="77" t="s">
        <v>96</v>
      </c>
      <c r="C119" s="77">
        <f>C118+(BudgetsTable[[#This Row],[lead]]&lt;&gt;K118)</f>
        <v>30</v>
      </c>
      <c r="D119" s="77">
        <f>D118*(BudgetsTable[[#This Row],[lead]]=K118)+(BudgetsTable[[#This Row],[prop_id]]&lt;&gt;A118)</f>
        <v>1</v>
      </c>
      <c r="E119" s="78">
        <v>42935.488888888889</v>
      </c>
      <c r="F119" s="79" t="s">
        <v>244</v>
      </c>
      <c r="G119" s="79" t="s">
        <v>780</v>
      </c>
      <c r="H119" s="79" t="s">
        <v>567</v>
      </c>
      <c r="I119" s="77" t="s">
        <v>944</v>
      </c>
      <c r="J119" s="77" t="s">
        <v>13</v>
      </c>
      <c r="K119" s="79" t="s">
        <v>1052</v>
      </c>
      <c r="L119" s="7" t="str">
        <f>IF(BudgetsTable[[#This Row],[pi_last_name]]=" ","",HYPERLINK("https://www.ejacket.nsf.gov/ej/showProposal.do?Continue=Y&amp;ID="&amp;BudgetsTable[[#This Row],[prop_id]],BudgetsTable[[#This Row],[prop_id]]))</f>
        <v/>
      </c>
      <c r="M119" s="15" t="str">
        <f>IF(BudgetsTable[[#This Row],[pi_last_name]]=" ","",HYPERLINK("https://www.ejacket.nsf.gov/ej/processReviewAnalysis.do?dispatch=add&amp;uniqId="&amp;BudgetsTable[[#This Row],[prop_id]]&amp;PO_id,"&gt;ra"))</f>
        <v/>
      </c>
      <c r="N119" s="79" t="s">
        <v>13</v>
      </c>
      <c r="O119" s="7" t="str">
        <f>IF(BudgetsTable[[#This Row],[pi_last_name]]=" ","",HYPERLINK("mailto:"&amp;BudgetsTable[[#This Row],[pi_email]]&amp;"&amp;subject=Your NSF Proposal:  "&amp;BudgetsTable[[#This Row],[prop_id]],BudgetsTable[[#This Row],[pi_email]]))</f>
        <v/>
      </c>
      <c r="P119" s="79" t="s">
        <v>13</v>
      </c>
      <c r="Q119" s="79">
        <v>1</v>
      </c>
      <c r="R119" s="79">
        <v>1</v>
      </c>
      <c r="S119" s="80">
        <v>0</v>
      </c>
      <c r="T119" s="80">
        <v>3000</v>
      </c>
      <c r="U119" s="80">
        <v>0</v>
      </c>
      <c r="V119" s="81">
        <v>99138</v>
      </c>
      <c r="W119" s="79">
        <v>0</v>
      </c>
      <c r="X119" s="79">
        <v>1</v>
      </c>
      <c r="Y119" s="11" t="str">
        <f ca="1">IF(ISBLANK(BudgetsTable[[#This Row],[budg_seq_yr]]),"FY"&amp;fiscalyear,"FY"&amp;fiscalyear-1+BudgetsTable[[#This Row],[budg_seq_yr]])</f>
        <v>FY18</v>
      </c>
      <c r="Z119" s="80">
        <v>99138</v>
      </c>
      <c r="AA119" s="79" t="s">
        <v>780</v>
      </c>
      <c r="AB119" s="79" t="s">
        <v>567</v>
      </c>
      <c r="AC119" s="106" t="s">
        <v>94</v>
      </c>
      <c r="AD119" s="79" t="s">
        <v>783</v>
      </c>
    </row>
    <row r="120" spans="1:30">
      <c r="A120" s="10" t="s">
        <v>1052</v>
      </c>
      <c r="B120" s="77" t="s">
        <v>96</v>
      </c>
      <c r="C120" s="77">
        <f>C119+(BudgetsTable[[#This Row],[lead]]&lt;&gt;K119)</f>
        <v>30</v>
      </c>
      <c r="D120" s="77">
        <f>D119*(BudgetsTable[[#This Row],[lead]]=K119)+(BudgetsTable[[#This Row],[prop_id]]&lt;&gt;A119)</f>
        <v>1</v>
      </c>
      <c r="E120" s="78">
        <v>42935.488888888889</v>
      </c>
      <c r="F120" s="79" t="s">
        <v>244</v>
      </c>
      <c r="G120" s="79" t="s">
        <v>780</v>
      </c>
      <c r="H120" s="79" t="s">
        <v>567</v>
      </c>
      <c r="I120" s="77" t="s">
        <v>944</v>
      </c>
      <c r="J120" s="77" t="s">
        <v>13</v>
      </c>
      <c r="K120" s="79" t="s">
        <v>1052</v>
      </c>
      <c r="L120" s="7" t="str">
        <f>IF(BudgetsTable[[#This Row],[pi_last_name]]=" ","",HYPERLINK("https://www.ejacket.nsf.gov/ej/showProposal.do?Continue=Y&amp;ID="&amp;BudgetsTable[[#This Row],[prop_id]],BudgetsTable[[#This Row],[prop_id]]))</f>
        <v/>
      </c>
      <c r="M120" s="15" t="str">
        <f>IF(BudgetsTable[[#This Row],[pi_last_name]]=" ","",HYPERLINK("https://www.ejacket.nsf.gov/ej/processReviewAnalysis.do?dispatch=add&amp;uniqId="&amp;BudgetsTable[[#This Row],[prop_id]]&amp;PO_id,"&gt;ra"))</f>
        <v/>
      </c>
      <c r="N120" s="79" t="s">
        <v>13</v>
      </c>
      <c r="O120" s="7" t="str">
        <f>IF(BudgetsTable[[#This Row],[pi_last_name]]=" ","",HYPERLINK("mailto:"&amp;BudgetsTable[[#This Row],[pi_email]]&amp;"&amp;subject=Your NSF Proposal:  "&amp;BudgetsTable[[#This Row],[prop_id]],BudgetsTable[[#This Row],[pi_email]]))</f>
        <v/>
      </c>
      <c r="P120" s="79" t="s">
        <v>13</v>
      </c>
      <c r="Q120" s="79">
        <v>1</v>
      </c>
      <c r="R120" s="79">
        <v>1</v>
      </c>
      <c r="S120" s="80">
        <v>0</v>
      </c>
      <c r="T120" s="80">
        <v>3000</v>
      </c>
      <c r="U120" s="80">
        <v>0</v>
      </c>
      <c r="V120" s="81">
        <v>97771</v>
      </c>
      <c r="W120" s="79">
        <v>0</v>
      </c>
      <c r="X120" s="79">
        <v>2</v>
      </c>
      <c r="Y120" s="11" t="str">
        <f ca="1">IF(ISBLANK(BudgetsTable[[#This Row],[budg_seq_yr]]),"FY"&amp;fiscalyear,"FY"&amp;fiscalyear-1+BudgetsTable[[#This Row],[budg_seq_yr]])</f>
        <v>FY19</v>
      </c>
      <c r="Z120" s="80">
        <v>97771</v>
      </c>
      <c r="AA120" s="79" t="s">
        <v>780</v>
      </c>
      <c r="AB120" s="79" t="s">
        <v>567</v>
      </c>
      <c r="AC120" s="106" t="s">
        <v>94</v>
      </c>
      <c r="AD120" s="79" t="s">
        <v>783</v>
      </c>
    </row>
    <row r="121" spans="1:30">
      <c r="A121" s="10" t="s">
        <v>1052</v>
      </c>
      <c r="B121" s="77" t="s">
        <v>96</v>
      </c>
      <c r="C121" s="77">
        <f>C120+(BudgetsTable[[#This Row],[lead]]&lt;&gt;K120)</f>
        <v>30</v>
      </c>
      <c r="D121" s="77">
        <f>D120*(BudgetsTable[[#This Row],[lead]]=K120)+(BudgetsTable[[#This Row],[prop_id]]&lt;&gt;A120)</f>
        <v>1</v>
      </c>
      <c r="E121" s="78">
        <v>42935.488888888889</v>
      </c>
      <c r="F121" s="79" t="s">
        <v>244</v>
      </c>
      <c r="G121" s="79" t="s">
        <v>780</v>
      </c>
      <c r="H121" s="79" t="s">
        <v>567</v>
      </c>
      <c r="I121" s="77" t="s">
        <v>944</v>
      </c>
      <c r="J121" s="77" t="s">
        <v>13</v>
      </c>
      <c r="K121" s="79" t="s">
        <v>1052</v>
      </c>
      <c r="L121" s="7" t="str">
        <f>IF(BudgetsTable[[#This Row],[pi_last_name]]=" ","",HYPERLINK("https://www.ejacket.nsf.gov/ej/showProposal.do?Continue=Y&amp;ID="&amp;BudgetsTable[[#This Row],[prop_id]],BudgetsTable[[#This Row],[prop_id]]))</f>
        <v/>
      </c>
      <c r="M121" s="15" t="str">
        <f>IF(BudgetsTable[[#This Row],[pi_last_name]]=" ","",HYPERLINK("https://www.ejacket.nsf.gov/ej/processReviewAnalysis.do?dispatch=add&amp;uniqId="&amp;BudgetsTable[[#This Row],[prop_id]]&amp;PO_id,"&gt;ra"))</f>
        <v/>
      </c>
      <c r="N121" s="79" t="s">
        <v>13</v>
      </c>
      <c r="O121" s="7" t="str">
        <f>IF(BudgetsTable[[#This Row],[pi_last_name]]=" ","",HYPERLINK("mailto:"&amp;BudgetsTable[[#This Row],[pi_email]]&amp;"&amp;subject=Your NSF Proposal:  "&amp;BudgetsTable[[#This Row],[prop_id]],BudgetsTable[[#This Row],[pi_email]]))</f>
        <v/>
      </c>
      <c r="P121" s="79" t="s">
        <v>13</v>
      </c>
      <c r="Q121" s="79">
        <v>1</v>
      </c>
      <c r="R121" s="79">
        <v>1</v>
      </c>
      <c r="S121" s="80">
        <v>0</v>
      </c>
      <c r="T121" s="80">
        <v>3000</v>
      </c>
      <c r="U121" s="80">
        <v>0</v>
      </c>
      <c r="V121" s="81">
        <v>100459</v>
      </c>
      <c r="W121" s="79">
        <v>0</v>
      </c>
      <c r="X121" s="79">
        <v>3</v>
      </c>
      <c r="Y121" s="11" t="str">
        <f ca="1">IF(ISBLANK(BudgetsTable[[#This Row],[budg_seq_yr]]),"FY"&amp;fiscalyear,"FY"&amp;fiscalyear-1+BudgetsTable[[#This Row],[budg_seq_yr]])</f>
        <v>FY20</v>
      </c>
      <c r="Z121" s="80">
        <v>100459</v>
      </c>
      <c r="AA121" s="79" t="s">
        <v>780</v>
      </c>
      <c r="AB121" s="79" t="s">
        <v>567</v>
      </c>
      <c r="AC121" s="106" t="s">
        <v>94</v>
      </c>
      <c r="AD121" s="79" t="s">
        <v>783</v>
      </c>
    </row>
    <row r="122" spans="1:30">
      <c r="A122" s="10" t="s">
        <v>1052</v>
      </c>
      <c r="B122" s="77" t="s">
        <v>96</v>
      </c>
      <c r="C122" s="77">
        <f>C121+(BudgetsTable[[#This Row],[lead]]&lt;&gt;K121)</f>
        <v>30</v>
      </c>
      <c r="D122" s="77">
        <f>D121*(BudgetsTable[[#This Row],[lead]]=K121)+(BudgetsTable[[#This Row],[prop_id]]&lt;&gt;A121)</f>
        <v>1</v>
      </c>
      <c r="E122" s="78">
        <v>42935.488888888889</v>
      </c>
      <c r="F122" s="79" t="s">
        <v>244</v>
      </c>
      <c r="G122" s="79" t="s">
        <v>780</v>
      </c>
      <c r="H122" s="79" t="s">
        <v>567</v>
      </c>
      <c r="I122" s="77" t="s">
        <v>944</v>
      </c>
      <c r="J122" s="77" t="s">
        <v>13</v>
      </c>
      <c r="K122" s="79" t="s">
        <v>1052</v>
      </c>
      <c r="L122" s="7" t="str">
        <f>IF(BudgetsTable[[#This Row],[pi_last_name]]=" ","",HYPERLINK("https://www.ejacket.nsf.gov/ej/showProposal.do?Continue=Y&amp;ID="&amp;BudgetsTable[[#This Row],[prop_id]],BudgetsTable[[#This Row],[prop_id]]))</f>
        <v/>
      </c>
      <c r="M122" s="15" t="str">
        <f>IF(BudgetsTable[[#This Row],[pi_last_name]]=" ","",HYPERLINK("https://www.ejacket.nsf.gov/ej/processReviewAnalysis.do?dispatch=add&amp;uniqId="&amp;BudgetsTable[[#This Row],[prop_id]]&amp;PO_id,"&gt;ra"))</f>
        <v/>
      </c>
      <c r="N122" s="79" t="s">
        <v>13</v>
      </c>
      <c r="O122" s="7" t="str">
        <f>IF(BudgetsTable[[#This Row],[pi_last_name]]=" ","",HYPERLINK("mailto:"&amp;BudgetsTable[[#This Row],[pi_email]]&amp;"&amp;subject=Your NSF Proposal:  "&amp;BudgetsTable[[#This Row],[prop_id]],BudgetsTable[[#This Row],[pi_email]]))</f>
        <v/>
      </c>
      <c r="P122" s="79" t="s">
        <v>13</v>
      </c>
      <c r="Q122" s="79">
        <v>1</v>
      </c>
      <c r="R122" s="79">
        <v>1</v>
      </c>
      <c r="S122" s="80">
        <v>0</v>
      </c>
      <c r="T122" s="80">
        <v>3000</v>
      </c>
      <c r="U122" s="80">
        <v>0</v>
      </c>
      <c r="V122" s="81">
        <v>103224</v>
      </c>
      <c r="W122" s="79">
        <v>0</v>
      </c>
      <c r="X122" s="79">
        <v>4</v>
      </c>
      <c r="Y122" s="11" t="str">
        <f ca="1">IF(ISBLANK(BudgetsTable[[#This Row],[budg_seq_yr]]),"FY"&amp;fiscalyear,"FY"&amp;fiscalyear-1+BudgetsTable[[#This Row],[budg_seq_yr]])</f>
        <v>FY21</v>
      </c>
      <c r="Z122" s="80">
        <v>103224</v>
      </c>
      <c r="AA122" s="79" t="s">
        <v>780</v>
      </c>
      <c r="AB122" s="79" t="s">
        <v>567</v>
      </c>
      <c r="AC122" s="106" t="s">
        <v>94</v>
      </c>
      <c r="AD122" s="79" t="s">
        <v>783</v>
      </c>
    </row>
    <row r="123" spans="1:30">
      <c r="A123" s="10" t="s">
        <v>1052</v>
      </c>
      <c r="B123" s="77" t="s">
        <v>96</v>
      </c>
      <c r="C123" s="77">
        <f>C122+(BudgetsTable[[#This Row],[lead]]&lt;&gt;K122)</f>
        <v>30</v>
      </c>
      <c r="D123" s="77">
        <f>D122*(BudgetsTable[[#This Row],[lead]]=K122)+(BudgetsTable[[#This Row],[prop_id]]&lt;&gt;A122)</f>
        <v>1</v>
      </c>
      <c r="E123" s="78">
        <v>42935.488888888889</v>
      </c>
      <c r="F123" s="79" t="s">
        <v>244</v>
      </c>
      <c r="G123" s="79" t="s">
        <v>780</v>
      </c>
      <c r="H123" s="79" t="s">
        <v>567</v>
      </c>
      <c r="I123" s="77" t="s">
        <v>944</v>
      </c>
      <c r="J123" s="77" t="s">
        <v>13</v>
      </c>
      <c r="K123" s="79" t="s">
        <v>1052</v>
      </c>
      <c r="L123" s="7" t="str">
        <f>IF(BudgetsTable[[#This Row],[pi_last_name]]=" ","",HYPERLINK("https://www.ejacket.nsf.gov/ej/showProposal.do?Continue=Y&amp;ID="&amp;BudgetsTable[[#This Row],[prop_id]],BudgetsTable[[#This Row],[prop_id]]))</f>
        <v/>
      </c>
      <c r="M123" s="15" t="str">
        <f>IF(BudgetsTable[[#This Row],[pi_last_name]]=" ","",HYPERLINK("https://www.ejacket.nsf.gov/ej/processReviewAnalysis.do?dispatch=add&amp;uniqId="&amp;BudgetsTable[[#This Row],[prop_id]]&amp;PO_id,"&gt;ra"))</f>
        <v/>
      </c>
      <c r="N123" s="79" t="s">
        <v>13</v>
      </c>
      <c r="O123" s="7" t="str">
        <f>IF(BudgetsTable[[#This Row],[pi_last_name]]=" ","",HYPERLINK("mailto:"&amp;BudgetsTable[[#This Row],[pi_email]]&amp;"&amp;subject=Your NSF Proposal:  "&amp;BudgetsTable[[#This Row],[prop_id]],BudgetsTable[[#This Row],[pi_email]]))</f>
        <v/>
      </c>
      <c r="P123" s="79" t="s">
        <v>13</v>
      </c>
      <c r="Q123" s="79">
        <v>1</v>
      </c>
      <c r="R123" s="79">
        <v>1</v>
      </c>
      <c r="S123" s="80">
        <v>0</v>
      </c>
      <c r="T123" s="80">
        <v>3000</v>
      </c>
      <c r="U123" s="80">
        <v>0</v>
      </c>
      <c r="V123" s="81">
        <v>106831</v>
      </c>
      <c r="W123" s="79">
        <v>0</v>
      </c>
      <c r="X123" s="79">
        <v>5</v>
      </c>
      <c r="Y123" s="11" t="str">
        <f ca="1">IF(ISBLANK(BudgetsTable[[#This Row],[budg_seq_yr]]),"FY"&amp;fiscalyear,"FY"&amp;fiscalyear-1+BudgetsTable[[#This Row],[budg_seq_yr]])</f>
        <v>FY22</v>
      </c>
      <c r="Z123" s="80">
        <v>106831</v>
      </c>
      <c r="AA123" s="79" t="s">
        <v>780</v>
      </c>
      <c r="AB123" s="79" t="s">
        <v>567</v>
      </c>
      <c r="AC123" s="106" t="s">
        <v>94</v>
      </c>
      <c r="AD123" s="79" t="s">
        <v>783</v>
      </c>
    </row>
    <row r="124" spans="1:30">
      <c r="A124" s="10" t="s">
        <v>1059</v>
      </c>
      <c r="B124" s="77" t="s">
        <v>96</v>
      </c>
      <c r="C124" s="77">
        <f>C123+(BudgetsTable[[#This Row],[lead]]&lt;&gt;K123)</f>
        <v>31</v>
      </c>
      <c r="D124" s="77">
        <f>D123*(BudgetsTable[[#This Row],[lead]]=K123)+(BudgetsTable[[#This Row],[prop_id]]&lt;&gt;A123)</f>
        <v>1</v>
      </c>
      <c r="E124" s="78">
        <v>42935.491666666669</v>
      </c>
      <c r="F124" s="79" t="s">
        <v>244</v>
      </c>
      <c r="G124" s="79" t="s">
        <v>780</v>
      </c>
      <c r="H124" s="79" t="s">
        <v>567</v>
      </c>
      <c r="I124" s="77" t="s">
        <v>944</v>
      </c>
      <c r="J124" s="77" t="s">
        <v>1413</v>
      </c>
      <c r="K124" s="79" t="s">
        <v>1059</v>
      </c>
      <c r="L124" s="7" t="str">
        <f>IF(BudgetsTable[[#This Row],[pi_last_name]]=" ","",HYPERLINK("https://www.ejacket.nsf.gov/ej/showProposal.do?Continue=Y&amp;ID="&amp;BudgetsTable[[#This Row],[prop_id]],BudgetsTable[[#This Row],[prop_id]]))</f>
        <v>1750344</v>
      </c>
      <c r="M124" s="15" t="str">
        <f>IF(BudgetsTable[[#This Row],[pi_last_name]]=" ","",HYPERLINK("https://www.ejacket.nsf.gov/ej/processReviewAnalysis.do?dispatch=add&amp;uniqId="&amp;BudgetsTable[[#This Row],[prop_id]]&amp;PO_id,"&gt;ra"))</f>
        <v>&gt;ra</v>
      </c>
      <c r="N124" s="79" t="s">
        <v>926</v>
      </c>
      <c r="O124" s="7" t="str">
        <f>IF(BudgetsTable[[#This Row],[pi_last_name]]=" ","",HYPERLINK("mailto:"&amp;BudgetsTable[[#This Row],[pi_email]]&amp;"&amp;subject=Your NSF Proposal:  "&amp;BudgetsTable[[#This Row],[prop_id]],BudgetsTable[[#This Row],[pi_email]]))</f>
        <v>pvaliant@gmail.com</v>
      </c>
      <c r="P124" s="79" t="s">
        <v>1359</v>
      </c>
      <c r="Q124" s="79"/>
      <c r="R124" s="79"/>
      <c r="S124" s="80"/>
      <c r="T124" s="80"/>
      <c r="U124" s="80"/>
      <c r="V124" s="81"/>
      <c r="W124" s="79">
        <v>0</v>
      </c>
      <c r="X124" s="79"/>
      <c r="Y124" s="11" t="str">
        <f ca="1">IF(ISBLANK(BudgetsTable[[#This Row],[budg_seq_yr]]),"FY"&amp;fiscalyear,"FY"&amp;fiscalyear-1+BudgetsTable[[#This Row],[budg_seq_yr]])</f>
        <v>FY18</v>
      </c>
      <c r="Z124" s="80">
        <v>666111</v>
      </c>
      <c r="AA124" s="79" t="s">
        <v>780</v>
      </c>
      <c r="AB124" s="79" t="s">
        <v>567</v>
      </c>
      <c r="AC124" s="106" t="s">
        <v>94</v>
      </c>
      <c r="AD124" s="79" t="s">
        <v>1410</v>
      </c>
    </row>
    <row r="125" spans="1:30">
      <c r="A125" s="10" t="s">
        <v>1059</v>
      </c>
      <c r="B125" s="77" t="s">
        <v>96</v>
      </c>
      <c r="C125" s="77">
        <f>C124+(BudgetsTable[[#This Row],[lead]]&lt;&gt;K124)</f>
        <v>31</v>
      </c>
      <c r="D125" s="77">
        <f>D124*(BudgetsTable[[#This Row],[lead]]=K124)+(BudgetsTable[[#This Row],[prop_id]]&lt;&gt;A124)</f>
        <v>1</v>
      </c>
      <c r="E125" s="78">
        <v>42935.491666666669</v>
      </c>
      <c r="F125" s="79" t="s">
        <v>244</v>
      </c>
      <c r="G125" s="79" t="s">
        <v>780</v>
      </c>
      <c r="H125" s="79" t="s">
        <v>567</v>
      </c>
      <c r="I125" s="77" t="s">
        <v>944</v>
      </c>
      <c r="J125" s="77" t="s">
        <v>13</v>
      </c>
      <c r="K125" s="79" t="s">
        <v>1059</v>
      </c>
      <c r="L125" s="7" t="str">
        <f>IF(BudgetsTable[[#This Row],[pi_last_name]]=" ","",HYPERLINK("https://www.ejacket.nsf.gov/ej/showProposal.do?Continue=Y&amp;ID="&amp;BudgetsTable[[#This Row],[prop_id]],BudgetsTable[[#This Row],[prop_id]]))</f>
        <v/>
      </c>
      <c r="M125" s="15" t="str">
        <f>IF(BudgetsTable[[#This Row],[pi_last_name]]=" ","",HYPERLINK("https://www.ejacket.nsf.gov/ej/processReviewAnalysis.do?dispatch=add&amp;uniqId="&amp;BudgetsTable[[#This Row],[prop_id]]&amp;PO_id,"&gt;ra"))</f>
        <v/>
      </c>
      <c r="N125" s="79" t="s">
        <v>13</v>
      </c>
      <c r="O125" s="7" t="str">
        <f>IF(BudgetsTable[[#This Row],[pi_last_name]]=" ","",HYPERLINK("mailto:"&amp;BudgetsTable[[#This Row],[pi_email]]&amp;"&amp;subject=Your NSF Proposal:  "&amp;BudgetsTable[[#This Row],[prop_id]],BudgetsTable[[#This Row],[pi_email]]))</f>
        <v/>
      </c>
      <c r="P125" s="79" t="s">
        <v>13</v>
      </c>
      <c r="Q125" s="79">
        <v>1</v>
      </c>
      <c r="R125" s="79">
        <v>1</v>
      </c>
      <c r="S125" s="80">
        <v>0</v>
      </c>
      <c r="T125" s="80">
        <v>2000</v>
      </c>
      <c r="U125" s="80">
        <v>0</v>
      </c>
      <c r="V125" s="81">
        <v>124310</v>
      </c>
      <c r="W125" s="79">
        <v>0</v>
      </c>
      <c r="X125" s="79">
        <v>1</v>
      </c>
      <c r="Y125" s="11" t="str">
        <f ca="1">IF(ISBLANK(BudgetsTable[[#This Row],[budg_seq_yr]]),"FY"&amp;fiscalyear,"FY"&amp;fiscalyear-1+BudgetsTable[[#This Row],[budg_seq_yr]])</f>
        <v>FY18</v>
      </c>
      <c r="Z125" s="80">
        <v>124310</v>
      </c>
      <c r="AA125" s="79" t="s">
        <v>780</v>
      </c>
      <c r="AB125" s="79" t="s">
        <v>567</v>
      </c>
      <c r="AC125" s="106" t="s">
        <v>94</v>
      </c>
      <c r="AD125" s="79" t="s">
        <v>1410</v>
      </c>
    </row>
    <row r="126" spans="1:30">
      <c r="A126" s="10" t="s">
        <v>1059</v>
      </c>
      <c r="B126" s="77" t="s">
        <v>96</v>
      </c>
      <c r="C126" s="77">
        <f>C125+(BudgetsTable[[#This Row],[lead]]&lt;&gt;K125)</f>
        <v>31</v>
      </c>
      <c r="D126" s="77">
        <f>D125*(BudgetsTable[[#This Row],[lead]]=K125)+(BudgetsTable[[#This Row],[prop_id]]&lt;&gt;A125)</f>
        <v>1</v>
      </c>
      <c r="E126" s="78">
        <v>42935.491666666669</v>
      </c>
      <c r="F126" s="79" t="s">
        <v>244</v>
      </c>
      <c r="G126" s="79" t="s">
        <v>780</v>
      </c>
      <c r="H126" s="79" t="s">
        <v>567</v>
      </c>
      <c r="I126" s="77" t="s">
        <v>944</v>
      </c>
      <c r="J126" s="77" t="s">
        <v>13</v>
      </c>
      <c r="K126" s="79" t="s">
        <v>1059</v>
      </c>
      <c r="L126" s="7" t="str">
        <f>IF(BudgetsTable[[#This Row],[pi_last_name]]=" ","",HYPERLINK("https://www.ejacket.nsf.gov/ej/showProposal.do?Continue=Y&amp;ID="&amp;BudgetsTable[[#This Row],[prop_id]],BudgetsTable[[#This Row],[prop_id]]))</f>
        <v/>
      </c>
      <c r="M126" s="15" t="str">
        <f>IF(BudgetsTable[[#This Row],[pi_last_name]]=" ","",HYPERLINK("https://www.ejacket.nsf.gov/ej/processReviewAnalysis.do?dispatch=add&amp;uniqId="&amp;BudgetsTable[[#This Row],[prop_id]]&amp;PO_id,"&gt;ra"))</f>
        <v/>
      </c>
      <c r="N126" s="79" t="s">
        <v>13</v>
      </c>
      <c r="O126" s="7" t="str">
        <f>IF(BudgetsTable[[#This Row],[pi_last_name]]=" ","",HYPERLINK("mailto:"&amp;BudgetsTable[[#This Row],[pi_email]]&amp;"&amp;subject=Your NSF Proposal:  "&amp;BudgetsTable[[#This Row],[prop_id]],BudgetsTable[[#This Row],[pi_email]]))</f>
        <v/>
      </c>
      <c r="P126" s="79" t="s">
        <v>13</v>
      </c>
      <c r="Q126" s="79">
        <v>1</v>
      </c>
      <c r="R126" s="79">
        <v>1</v>
      </c>
      <c r="S126" s="80">
        <v>0</v>
      </c>
      <c r="T126" s="80">
        <v>2060</v>
      </c>
      <c r="U126" s="80">
        <v>0</v>
      </c>
      <c r="V126" s="81">
        <v>128605</v>
      </c>
      <c r="W126" s="79">
        <v>0</v>
      </c>
      <c r="X126" s="79">
        <v>2</v>
      </c>
      <c r="Y126" s="11" t="str">
        <f ca="1">IF(ISBLANK(BudgetsTable[[#This Row],[budg_seq_yr]]),"FY"&amp;fiscalyear,"FY"&amp;fiscalyear-1+BudgetsTable[[#This Row],[budg_seq_yr]])</f>
        <v>FY19</v>
      </c>
      <c r="Z126" s="80">
        <v>128605</v>
      </c>
      <c r="AA126" s="79" t="s">
        <v>780</v>
      </c>
      <c r="AB126" s="79" t="s">
        <v>567</v>
      </c>
      <c r="AC126" s="106" t="s">
        <v>94</v>
      </c>
      <c r="AD126" s="79" t="s">
        <v>1410</v>
      </c>
    </row>
    <row r="127" spans="1:30">
      <c r="A127" s="10" t="s">
        <v>1059</v>
      </c>
      <c r="B127" s="77" t="s">
        <v>96</v>
      </c>
      <c r="C127" s="77">
        <f>C126+(BudgetsTable[[#This Row],[lead]]&lt;&gt;K126)</f>
        <v>31</v>
      </c>
      <c r="D127" s="77">
        <f>D126*(BudgetsTable[[#This Row],[lead]]=K126)+(BudgetsTable[[#This Row],[prop_id]]&lt;&gt;A126)</f>
        <v>1</v>
      </c>
      <c r="E127" s="78">
        <v>42935.491666666669</v>
      </c>
      <c r="F127" s="79" t="s">
        <v>244</v>
      </c>
      <c r="G127" s="79" t="s">
        <v>780</v>
      </c>
      <c r="H127" s="79" t="s">
        <v>567</v>
      </c>
      <c r="I127" s="77" t="s">
        <v>944</v>
      </c>
      <c r="J127" s="77" t="s">
        <v>13</v>
      </c>
      <c r="K127" s="79" t="s">
        <v>1059</v>
      </c>
      <c r="L127" s="7" t="str">
        <f>IF(BudgetsTable[[#This Row],[pi_last_name]]=" ","",HYPERLINK("https://www.ejacket.nsf.gov/ej/showProposal.do?Continue=Y&amp;ID="&amp;BudgetsTable[[#This Row],[prop_id]],BudgetsTable[[#This Row],[prop_id]]))</f>
        <v/>
      </c>
      <c r="M127" s="15" t="str">
        <f>IF(BudgetsTable[[#This Row],[pi_last_name]]=" ","",HYPERLINK("https://www.ejacket.nsf.gov/ej/processReviewAnalysis.do?dispatch=add&amp;uniqId="&amp;BudgetsTable[[#This Row],[prop_id]]&amp;PO_id,"&gt;ra"))</f>
        <v/>
      </c>
      <c r="N127" s="79" t="s">
        <v>13</v>
      </c>
      <c r="O127" s="7" t="str">
        <f>IF(BudgetsTable[[#This Row],[pi_last_name]]=" ","",HYPERLINK("mailto:"&amp;BudgetsTable[[#This Row],[pi_email]]&amp;"&amp;subject=Your NSF Proposal:  "&amp;BudgetsTable[[#This Row],[prop_id]],BudgetsTable[[#This Row],[pi_email]]))</f>
        <v/>
      </c>
      <c r="P127" s="79" t="s">
        <v>13</v>
      </c>
      <c r="Q127" s="79">
        <v>1</v>
      </c>
      <c r="R127" s="79">
        <v>1</v>
      </c>
      <c r="S127" s="80">
        <v>0</v>
      </c>
      <c r="T127" s="80">
        <v>2122</v>
      </c>
      <c r="U127" s="80">
        <v>0</v>
      </c>
      <c r="V127" s="81">
        <v>133063</v>
      </c>
      <c r="W127" s="79">
        <v>0</v>
      </c>
      <c r="X127" s="79">
        <v>3</v>
      </c>
      <c r="Y127" s="11" t="str">
        <f ca="1">IF(ISBLANK(BudgetsTable[[#This Row],[budg_seq_yr]]),"FY"&amp;fiscalyear,"FY"&amp;fiscalyear-1+BudgetsTable[[#This Row],[budg_seq_yr]])</f>
        <v>FY20</v>
      </c>
      <c r="Z127" s="80">
        <v>133063</v>
      </c>
      <c r="AA127" s="79" t="s">
        <v>780</v>
      </c>
      <c r="AB127" s="79" t="s">
        <v>567</v>
      </c>
      <c r="AC127" s="106" t="s">
        <v>94</v>
      </c>
      <c r="AD127" s="79" t="s">
        <v>1410</v>
      </c>
    </row>
    <row r="128" spans="1:30">
      <c r="A128" s="10" t="s">
        <v>1059</v>
      </c>
      <c r="B128" s="77" t="s">
        <v>96</v>
      </c>
      <c r="C128" s="77">
        <f>C127+(BudgetsTable[[#This Row],[lead]]&lt;&gt;K127)</f>
        <v>31</v>
      </c>
      <c r="D128" s="77">
        <f>D127*(BudgetsTable[[#This Row],[lead]]=K127)+(BudgetsTable[[#This Row],[prop_id]]&lt;&gt;A127)</f>
        <v>1</v>
      </c>
      <c r="E128" s="78">
        <v>42935.491666666669</v>
      </c>
      <c r="F128" s="79" t="s">
        <v>244</v>
      </c>
      <c r="G128" s="79" t="s">
        <v>780</v>
      </c>
      <c r="H128" s="79" t="s">
        <v>567</v>
      </c>
      <c r="I128" s="77" t="s">
        <v>944</v>
      </c>
      <c r="J128" s="77" t="s">
        <v>13</v>
      </c>
      <c r="K128" s="79" t="s">
        <v>1059</v>
      </c>
      <c r="L128" s="7" t="str">
        <f>IF(BudgetsTable[[#This Row],[pi_last_name]]=" ","",HYPERLINK("https://www.ejacket.nsf.gov/ej/showProposal.do?Continue=Y&amp;ID="&amp;BudgetsTable[[#This Row],[prop_id]],BudgetsTable[[#This Row],[prop_id]]))</f>
        <v/>
      </c>
      <c r="M128" s="15" t="str">
        <f>IF(BudgetsTable[[#This Row],[pi_last_name]]=" ","",HYPERLINK("https://www.ejacket.nsf.gov/ej/processReviewAnalysis.do?dispatch=add&amp;uniqId="&amp;BudgetsTable[[#This Row],[prop_id]]&amp;PO_id,"&gt;ra"))</f>
        <v/>
      </c>
      <c r="N128" s="79" t="s">
        <v>13</v>
      </c>
      <c r="O128" s="7" t="str">
        <f>IF(BudgetsTable[[#This Row],[pi_last_name]]=" ","",HYPERLINK("mailto:"&amp;BudgetsTable[[#This Row],[pi_email]]&amp;"&amp;subject=Your NSF Proposal:  "&amp;BudgetsTable[[#This Row],[prop_id]],BudgetsTable[[#This Row],[pi_email]]))</f>
        <v/>
      </c>
      <c r="P128" s="79" t="s">
        <v>13</v>
      </c>
      <c r="Q128" s="79">
        <v>1</v>
      </c>
      <c r="R128" s="79">
        <v>1</v>
      </c>
      <c r="S128" s="80">
        <v>0</v>
      </c>
      <c r="T128" s="80">
        <v>2185</v>
      </c>
      <c r="U128" s="80">
        <v>0</v>
      </c>
      <c r="V128" s="81">
        <v>137676</v>
      </c>
      <c r="W128" s="79">
        <v>0</v>
      </c>
      <c r="X128" s="79">
        <v>4</v>
      </c>
      <c r="Y128" s="11" t="str">
        <f ca="1">IF(ISBLANK(BudgetsTable[[#This Row],[budg_seq_yr]]),"FY"&amp;fiscalyear,"FY"&amp;fiscalyear-1+BudgetsTable[[#This Row],[budg_seq_yr]])</f>
        <v>FY21</v>
      </c>
      <c r="Z128" s="80">
        <v>137676</v>
      </c>
      <c r="AA128" s="79" t="s">
        <v>780</v>
      </c>
      <c r="AB128" s="79" t="s">
        <v>567</v>
      </c>
      <c r="AC128" s="106" t="s">
        <v>94</v>
      </c>
      <c r="AD128" s="79" t="s">
        <v>1410</v>
      </c>
    </row>
    <row r="129" spans="1:30">
      <c r="A129" s="10" t="s">
        <v>1059</v>
      </c>
      <c r="B129" s="77" t="s">
        <v>96</v>
      </c>
      <c r="C129" s="77">
        <f>C128+(BudgetsTable[[#This Row],[lead]]&lt;&gt;K128)</f>
        <v>31</v>
      </c>
      <c r="D129" s="77">
        <f>D128*(BudgetsTable[[#This Row],[lead]]=K128)+(BudgetsTable[[#This Row],[prop_id]]&lt;&gt;A128)</f>
        <v>1</v>
      </c>
      <c r="E129" s="78">
        <v>42935.491666666669</v>
      </c>
      <c r="F129" s="79" t="s">
        <v>244</v>
      </c>
      <c r="G129" s="79" t="s">
        <v>780</v>
      </c>
      <c r="H129" s="79" t="s">
        <v>567</v>
      </c>
      <c r="I129" s="77" t="s">
        <v>944</v>
      </c>
      <c r="J129" s="77" t="s">
        <v>13</v>
      </c>
      <c r="K129" s="79" t="s">
        <v>1059</v>
      </c>
      <c r="L129" s="7" t="str">
        <f>IF(BudgetsTable[[#This Row],[pi_last_name]]=" ","",HYPERLINK("https://www.ejacket.nsf.gov/ej/showProposal.do?Continue=Y&amp;ID="&amp;BudgetsTable[[#This Row],[prop_id]],BudgetsTable[[#This Row],[prop_id]]))</f>
        <v/>
      </c>
      <c r="M129" s="15" t="str">
        <f>IF(BudgetsTable[[#This Row],[pi_last_name]]=" ","",HYPERLINK("https://www.ejacket.nsf.gov/ej/processReviewAnalysis.do?dispatch=add&amp;uniqId="&amp;BudgetsTable[[#This Row],[prop_id]]&amp;PO_id,"&gt;ra"))</f>
        <v/>
      </c>
      <c r="N129" s="79" t="s">
        <v>13</v>
      </c>
      <c r="O129" s="7" t="str">
        <f>IF(BudgetsTable[[#This Row],[pi_last_name]]=" ","",HYPERLINK("mailto:"&amp;BudgetsTable[[#This Row],[pi_email]]&amp;"&amp;subject=Your NSF Proposal:  "&amp;BudgetsTable[[#This Row],[prop_id]],BudgetsTable[[#This Row],[pi_email]]))</f>
        <v/>
      </c>
      <c r="P129" s="79" t="s">
        <v>13</v>
      </c>
      <c r="Q129" s="79">
        <v>1</v>
      </c>
      <c r="R129" s="79">
        <v>1</v>
      </c>
      <c r="S129" s="80">
        <v>0</v>
      </c>
      <c r="T129" s="80">
        <v>2251</v>
      </c>
      <c r="U129" s="80">
        <v>0</v>
      </c>
      <c r="V129" s="81">
        <v>142457</v>
      </c>
      <c r="W129" s="79">
        <v>0</v>
      </c>
      <c r="X129" s="79">
        <v>5</v>
      </c>
      <c r="Y129" s="11" t="str">
        <f ca="1">IF(ISBLANK(BudgetsTable[[#This Row],[budg_seq_yr]]),"FY"&amp;fiscalyear,"FY"&amp;fiscalyear-1+BudgetsTable[[#This Row],[budg_seq_yr]])</f>
        <v>FY22</v>
      </c>
      <c r="Z129" s="80">
        <v>142457</v>
      </c>
      <c r="AA129" s="79" t="s">
        <v>780</v>
      </c>
      <c r="AB129" s="79" t="s">
        <v>567</v>
      </c>
      <c r="AC129" s="106" t="s">
        <v>94</v>
      </c>
      <c r="AD129" s="79" t="s">
        <v>1410</v>
      </c>
    </row>
    <row r="130" spans="1:30">
      <c r="A130" s="10" t="s">
        <v>1066</v>
      </c>
      <c r="B130" s="77" t="s">
        <v>96</v>
      </c>
      <c r="C130" s="77">
        <f>C129+(BudgetsTable[[#This Row],[lead]]&lt;&gt;K129)</f>
        <v>32</v>
      </c>
      <c r="D130" s="77">
        <f>D129*(BudgetsTable[[#This Row],[lead]]=K129)+(BudgetsTable[[#This Row],[prop_id]]&lt;&gt;A129)</f>
        <v>1</v>
      </c>
      <c r="E130" s="78">
        <v>42935.535416666666</v>
      </c>
      <c r="F130" s="79" t="s">
        <v>244</v>
      </c>
      <c r="G130" s="79" t="s">
        <v>780</v>
      </c>
      <c r="H130" s="79" t="s">
        <v>567</v>
      </c>
      <c r="I130" s="77" t="s">
        <v>582</v>
      </c>
      <c r="J130" s="77" t="s">
        <v>1418</v>
      </c>
      <c r="K130" s="79" t="s">
        <v>1066</v>
      </c>
      <c r="L130" s="7" t="str">
        <f>IF(BudgetsTable[[#This Row],[pi_last_name]]=" ","",HYPERLINK("https://www.ejacket.nsf.gov/ej/showProposal.do?Continue=Y&amp;ID="&amp;BudgetsTable[[#This Row],[prop_id]],BudgetsTable[[#This Row],[prop_id]]))</f>
        <v>1750436</v>
      </c>
      <c r="M130" s="15" t="str">
        <f>IF(BudgetsTable[[#This Row],[pi_last_name]]=" ","",HYPERLINK("https://www.ejacket.nsf.gov/ej/processReviewAnalysis.do?dispatch=add&amp;uniqId="&amp;BudgetsTable[[#This Row],[prop_id]]&amp;PO_id,"&gt;ra"))</f>
        <v>&gt;ra</v>
      </c>
      <c r="N130" s="79" t="s">
        <v>1067</v>
      </c>
      <c r="O130" s="7" t="str">
        <f>IF(BudgetsTable[[#This Row],[pi_last_name]]=" ","",HYPERLINK("mailto:"&amp;BudgetsTable[[#This Row],[pi_email]]&amp;"&amp;subject=Your NSF Proposal:  "&amp;BudgetsTable[[#This Row],[prop_id]],BudgetsTable[[#This Row],[pi_email]]))</f>
        <v>rutameht@illinois.edu</v>
      </c>
      <c r="P130" s="79" t="s">
        <v>346</v>
      </c>
      <c r="Q130" s="79"/>
      <c r="R130" s="79"/>
      <c r="S130" s="80"/>
      <c r="T130" s="80"/>
      <c r="U130" s="80"/>
      <c r="V130" s="81"/>
      <c r="W130" s="79">
        <v>0</v>
      </c>
      <c r="X130" s="79"/>
      <c r="Y130" s="11" t="str">
        <f ca="1">IF(ISBLANK(BudgetsTable[[#This Row],[budg_seq_yr]]),"FY"&amp;fiscalyear,"FY"&amp;fiscalyear-1+BudgetsTable[[#This Row],[budg_seq_yr]])</f>
        <v>FY18</v>
      </c>
      <c r="Z130" s="80">
        <v>499906</v>
      </c>
      <c r="AA130" s="79" t="s">
        <v>780</v>
      </c>
      <c r="AB130" s="79" t="s">
        <v>567</v>
      </c>
      <c r="AC130" s="106" t="s">
        <v>94</v>
      </c>
      <c r="AD130" s="79" t="s">
        <v>1414</v>
      </c>
    </row>
    <row r="131" spans="1:30">
      <c r="A131" s="10" t="s">
        <v>1066</v>
      </c>
      <c r="B131" s="77" t="s">
        <v>96</v>
      </c>
      <c r="C131" s="77">
        <f>C130+(BudgetsTable[[#This Row],[lead]]&lt;&gt;K130)</f>
        <v>32</v>
      </c>
      <c r="D131" s="77">
        <f>D130*(BudgetsTable[[#This Row],[lead]]=K130)+(BudgetsTable[[#This Row],[prop_id]]&lt;&gt;A130)</f>
        <v>1</v>
      </c>
      <c r="E131" s="78">
        <v>42935.535416666666</v>
      </c>
      <c r="F131" s="79" t="s">
        <v>244</v>
      </c>
      <c r="G131" s="79" t="s">
        <v>780</v>
      </c>
      <c r="H131" s="79" t="s">
        <v>567</v>
      </c>
      <c r="I131" s="77" t="s">
        <v>582</v>
      </c>
      <c r="J131" s="77" t="s">
        <v>13</v>
      </c>
      <c r="K131" s="79" t="s">
        <v>1066</v>
      </c>
      <c r="L131" s="7" t="str">
        <f>IF(BudgetsTable[[#This Row],[pi_last_name]]=" ","",HYPERLINK("https://www.ejacket.nsf.gov/ej/showProposal.do?Continue=Y&amp;ID="&amp;BudgetsTable[[#This Row],[prop_id]],BudgetsTable[[#This Row],[prop_id]]))</f>
        <v/>
      </c>
      <c r="M131" s="15" t="str">
        <f>IF(BudgetsTable[[#This Row],[pi_last_name]]=" ","",HYPERLINK("https://www.ejacket.nsf.gov/ej/processReviewAnalysis.do?dispatch=add&amp;uniqId="&amp;BudgetsTable[[#This Row],[prop_id]]&amp;PO_id,"&gt;ra"))</f>
        <v/>
      </c>
      <c r="N131" s="79" t="s">
        <v>13</v>
      </c>
      <c r="O131" s="7" t="str">
        <f>IF(BudgetsTable[[#This Row],[pi_last_name]]=" ","",HYPERLINK("mailto:"&amp;BudgetsTable[[#This Row],[pi_email]]&amp;"&amp;subject=Your NSF Proposal:  "&amp;BudgetsTable[[#This Row],[prop_id]],BudgetsTable[[#This Row],[pi_email]]))</f>
        <v/>
      </c>
      <c r="P131" s="79" t="s">
        <v>13</v>
      </c>
      <c r="Q131" s="79">
        <v>1</v>
      </c>
      <c r="R131" s="79">
        <v>1</v>
      </c>
      <c r="S131" s="80">
        <v>0</v>
      </c>
      <c r="T131" s="80">
        <v>2000</v>
      </c>
      <c r="U131" s="80">
        <v>0</v>
      </c>
      <c r="V131" s="81">
        <v>101016</v>
      </c>
      <c r="W131" s="79">
        <v>0</v>
      </c>
      <c r="X131" s="79">
        <v>1</v>
      </c>
      <c r="Y131" s="11" t="str">
        <f ca="1">IF(ISBLANK(BudgetsTable[[#This Row],[budg_seq_yr]]),"FY"&amp;fiscalyear,"FY"&amp;fiscalyear-1+BudgetsTable[[#This Row],[budg_seq_yr]])</f>
        <v>FY18</v>
      </c>
      <c r="Z131" s="80">
        <v>101016</v>
      </c>
      <c r="AA131" s="79" t="s">
        <v>780</v>
      </c>
      <c r="AB131" s="79" t="s">
        <v>567</v>
      </c>
      <c r="AC131" s="106" t="s">
        <v>94</v>
      </c>
      <c r="AD131" s="79" t="s">
        <v>1414</v>
      </c>
    </row>
    <row r="132" spans="1:30">
      <c r="A132" s="10" t="s">
        <v>1066</v>
      </c>
      <c r="B132" s="77" t="s">
        <v>96</v>
      </c>
      <c r="C132" s="77">
        <f>C131+(BudgetsTable[[#This Row],[lead]]&lt;&gt;K131)</f>
        <v>32</v>
      </c>
      <c r="D132" s="77">
        <f>D131*(BudgetsTable[[#This Row],[lead]]=K131)+(BudgetsTable[[#This Row],[prop_id]]&lt;&gt;A131)</f>
        <v>1</v>
      </c>
      <c r="E132" s="78">
        <v>42935.535416666666</v>
      </c>
      <c r="F132" s="79" t="s">
        <v>244</v>
      </c>
      <c r="G132" s="79" t="s">
        <v>780</v>
      </c>
      <c r="H132" s="79" t="s">
        <v>567</v>
      </c>
      <c r="I132" s="77" t="s">
        <v>582</v>
      </c>
      <c r="J132" s="77" t="s">
        <v>13</v>
      </c>
      <c r="K132" s="79" t="s">
        <v>1066</v>
      </c>
      <c r="L132" s="7" t="str">
        <f>IF(BudgetsTable[[#This Row],[pi_last_name]]=" ","",HYPERLINK("https://www.ejacket.nsf.gov/ej/showProposal.do?Continue=Y&amp;ID="&amp;BudgetsTable[[#This Row],[prop_id]],BudgetsTable[[#This Row],[prop_id]]))</f>
        <v/>
      </c>
      <c r="M132" s="15" t="str">
        <f>IF(BudgetsTable[[#This Row],[pi_last_name]]=" ","",HYPERLINK("https://www.ejacket.nsf.gov/ej/processReviewAnalysis.do?dispatch=add&amp;uniqId="&amp;BudgetsTable[[#This Row],[prop_id]]&amp;PO_id,"&gt;ra"))</f>
        <v/>
      </c>
      <c r="N132" s="79" t="s">
        <v>13</v>
      </c>
      <c r="O132" s="7" t="str">
        <f>IF(BudgetsTable[[#This Row],[pi_last_name]]=" ","",HYPERLINK("mailto:"&amp;BudgetsTable[[#This Row],[pi_email]]&amp;"&amp;subject=Your NSF Proposal:  "&amp;BudgetsTable[[#This Row],[prop_id]],BudgetsTable[[#This Row],[pi_email]]))</f>
        <v/>
      </c>
      <c r="P132" s="79" t="s">
        <v>13</v>
      </c>
      <c r="Q132" s="79">
        <v>1</v>
      </c>
      <c r="R132" s="79">
        <v>1</v>
      </c>
      <c r="S132" s="80">
        <v>0</v>
      </c>
      <c r="T132" s="80">
        <v>2000</v>
      </c>
      <c r="U132" s="80">
        <v>0</v>
      </c>
      <c r="V132" s="81">
        <v>102073</v>
      </c>
      <c r="W132" s="79">
        <v>0</v>
      </c>
      <c r="X132" s="79">
        <v>2</v>
      </c>
      <c r="Y132" s="11" t="str">
        <f ca="1">IF(ISBLANK(BudgetsTable[[#This Row],[budg_seq_yr]]),"FY"&amp;fiscalyear,"FY"&amp;fiscalyear-1+BudgetsTable[[#This Row],[budg_seq_yr]])</f>
        <v>FY19</v>
      </c>
      <c r="Z132" s="80">
        <v>102073</v>
      </c>
      <c r="AA132" s="79" t="s">
        <v>780</v>
      </c>
      <c r="AB132" s="79" t="s">
        <v>567</v>
      </c>
      <c r="AC132" s="106" t="s">
        <v>94</v>
      </c>
      <c r="AD132" s="79" t="s">
        <v>1414</v>
      </c>
    </row>
    <row r="133" spans="1:30">
      <c r="A133" s="10" t="s">
        <v>1066</v>
      </c>
      <c r="B133" s="77" t="s">
        <v>96</v>
      </c>
      <c r="C133" s="77">
        <f>C132+(BudgetsTable[[#This Row],[lead]]&lt;&gt;K132)</f>
        <v>32</v>
      </c>
      <c r="D133" s="77">
        <f>D132*(BudgetsTable[[#This Row],[lead]]=K132)+(BudgetsTable[[#This Row],[prop_id]]&lt;&gt;A132)</f>
        <v>1</v>
      </c>
      <c r="E133" s="78">
        <v>42935.535416666666</v>
      </c>
      <c r="F133" s="79" t="s">
        <v>244</v>
      </c>
      <c r="G133" s="79" t="s">
        <v>780</v>
      </c>
      <c r="H133" s="79" t="s">
        <v>567</v>
      </c>
      <c r="I133" s="77" t="s">
        <v>582</v>
      </c>
      <c r="J133" s="77" t="s">
        <v>13</v>
      </c>
      <c r="K133" s="79" t="s">
        <v>1066</v>
      </c>
      <c r="L133" s="7" t="str">
        <f>IF(BudgetsTable[[#This Row],[pi_last_name]]=" ","",HYPERLINK("https://www.ejacket.nsf.gov/ej/showProposal.do?Continue=Y&amp;ID="&amp;BudgetsTable[[#This Row],[prop_id]],BudgetsTable[[#This Row],[prop_id]]))</f>
        <v/>
      </c>
      <c r="M133" s="15" t="str">
        <f>IF(BudgetsTable[[#This Row],[pi_last_name]]=" ","",HYPERLINK("https://www.ejacket.nsf.gov/ej/processReviewAnalysis.do?dispatch=add&amp;uniqId="&amp;BudgetsTable[[#This Row],[prop_id]]&amp;PO_id,"&gt;ra"))</f>
        <v/>
      </c>
      <c r="N133" s="79" t="s">
        <v>13</v>
      </c>
      <c r="O133" s="7" t="str">
        <f>IF(BudgetsTable[[#This Row],[pi_last_name]]=" ","",HYPERLINK("mailto:"&amp;BudgetsTable[[#This Row],[pi_email]]&amp;"&amp;subject=Your NSF Proposal:  "&amp;BudgetsTable[[#This Row],[prop_id]],BudgetsTable[[#This Row],[pi_email]]))</f>
        <v/>
      </c>
      <c r="P133" s="79" t="s">
        <v>13</v>
      </c>
      <c r="Q133" s="79">
        <v>1</v>
      </c>
      <c r="R133" s="79">
        <v>1</v>
      </c>
      <c r="S133" s="80">
        <v>0</v>
      </c>
      <c r="T133" s="80">
        <v>2000</v>
      </c>
      <c r="U133" s="80">
        <v>0</v>
      </c>
      <c r="V133" s="81">
        <v>105652</v>
      </c>
      <c r="W133" s="79">
        <v>0</v>
      </c>
      <c r="X133" s="79">
        <v>3</v>
      </c>
      <c r="Y133" s="11" t="str">
        <f ca="1">IF(ISBLANK(BudgetsTable[[#This Row],[budg_seq_yr]]),"FY"&amp;fiscalyear,"FY"&amp;fiscalyear-1+BudgetsTable[[#This Row],[budg_seq_yr]])</f>
        <v>FY20</v>
      </c>
      <c r="Z133" s="80">
        <v>105652</v>
      </c>
      <c r="AA133" s="79" t="s">
        <v>780</v>
      </c>
      <c r="AB133" s="79" t="s">
        <v>567</v>
      </c>
      <c r="AC133" s="106" t="s">
        <v>94</v>
      </c>
      <c r="AD133" s="79" t="s">
        <v>1414</v>
      </c>
    </row>
    <row r="134" spans="1:30">
      <c r="A134" s="10" t="s">
        <v>1066</v>
      </c>
      <c r="B134" s="77" t="s">
        <v>96</v>
      </c>
      <c r="C134" s="77">
        <f>C133+(BudgetsTable[[#This Row],[lead]]&lt;&gt;K133)</f>
        <v>32</v>
      </c>
      <c r="D134" s="77">
        <f>D133*(BudgetsTable[[#This Row],[lead]]=K133)+(BudgetsTable[[#This Row],[prop_id]]&lt;&gt;A133)</f>
        <v>1</v>
      </c>
      <c r="E134" s="78">
        <v>42935.535416666666</v>
      </c>
      <c r="F134" s="79" t="s">
        <v>244</v>
      </c>
      <c r="G134" s="79" t="s">
        <v>780</v>
      </c>
      <c r="H134" s="79" t="s">
        <v>567</v>
      </c>
      <c r="I134" s="77" t="s">
        <v>582</v>
      </c>
      <c r="J134" s="77" t="s">
        <v>13</v>
      </c>
      <c r="K134" s="79" t="s">
        <v>1066</v>
      </c>
      <c r="L134" s="7" t="str">
        <f>IF(BudgetsTable[[#This Row],[pi_last_name]]=" ","",HYPERLINK("https://www.ejacket.nsf.gov/ej/showProposal.do?Continue=Y&amp;ID="&amp;BudgetsTable[[#This Row],[prop_id]],BudgetsTable[[#This Row],[prop_id]]))</f>
        <v/>
      </c>
      <c r="M134" s="15" t="str">
        <f>IF(BudgetsTable[[#This Row],[pi_last_name]]=" ","",HYPERLINK("https://www.ejacket.nsf.gov/ej/processReviewAnalysis.do?dispatch=add&amp;uniqId="&amp;BudgetsTable[[#This Row],[prop_id]]&amp;PO_id,"&gt;ra"))</f>
        <v/>
      </c>
      <c r="N134" s="79" t="s">
        <v>13</v>
      </c>
      <c r="O134" s="7" t="str">
        <f>IF(BudgetsTable[[#This Row],[pi_last_name]]=" ","",HYPERLINK("mailto:"&amp;BudgetsTable[[#This Row],[pi_email]]&amp;"&amp;subject=Your NSF Proposal:  "&amp;BudgetsTable[[#This Row],[prop_id]],BudgetsTable[[#This Row],[pi_email]]))</f>
        <v/>
      </c>
      <c r="P134" s="79" t="s">
        <v>13</v>
      </c>
      <c r="Q134" s="79">
        <v>1</v>
      </c>
      <c r="R134" s="79">
        <v>1</v>
      </c>
      <c r="S134" s="80">
        <v>0</v>
      </c>
      <c r="T134" s="80">
        <v>2000</v>
      </c>
      <c r="U134" s="80">
        <v>0</v>
      </c>
      <c r="V134" s="81">
        <v>109379</v>
      </c>
      <c r="W134" s="79">
        <v>0</v>
      </c>
      <c r="X134" s="79">
        <v>4</v>
      </c>
      <c r="Y134" s="11" t="str">
        <f ca="1">IF(ISBLANK(BudgetsTable[[#This Row],[budg_seq_yr]]),"FY"&amp;fiscalyear,"FY"&amp;fiscalyear-1+BudgetsTable[[#This Row],[budg_seq_yr]])</f>
        <v>FY21</v>
      </c>
      <c r="Z134" s="80">
        <v>109379</v>
      </c>
      <c r="AA134" s="79" t="s">
        <v>780</v>
      </c>
      <c r="AB134" s="79" t="s">
        <v>567</v>
      </c>
      <c r="AC134" s="106" t="s">
        <v>94</v>
      </c>
      <c r="AD134" s="79" t="s">
        <v>1414</v>
      </c>
    </row>
    <row r="135" spans="1:30">
      <c r="A135" s="10" t="s">
        <v>1066</v>
      </c>
      <c r="B135" s="77" t="s">
        <v>96</v>
      </c>
      <c r="C135" s="77">
        <f>C134+(BudgetsTable[[#This Row],[lead]]&lt;&gt;K134)</f>
        <v>32</v>
      </c>
      <c r="D135" s="77">
        <f>D134*(BudgetsTable[[#This Row],[lead]]=K134)+(BudgetsTable[[#This Row],[prop_id]]&lt;&gt;A134)</f>
        <v>1</v>
      </c>
      <c r="E135" s="78">
        <v>42935.535416666666</v>
      </c>
      <c r="F135" s="79" t="s">
        <v>244</v>
      </c>
      <c r="G135" s="79" t="s">
        <v>780</v>
      </c>
      <c r="H135" s="79" t="s">
        <v>567</v>
      </c>
      <c r="I135" s="77" t="s">
        <v>582</v>
      </c>
      <c r="J135" s="77" t="s">
        <v>13</v>
      </c>
      <c r="K135" s="79" t="s">
        <v>1066</v>
      </c>
      <c r="L135" s="7" t="str">
        <f>IF(BudgetsTable[[#This Row],[pi_last_name]]=" ","",HYPERLINK("https://www.ejacket.nsf.gov/ej/showProposal.do?Continue=Y&amp;ID="&amp;BudgetsTable[[#This Row],[prop_id]],BudgetsTable[[#This Row],[prop_id]]))</f>
        <v/>
      </c>
      <c r="M135" s="15" t="str">
        <f>IF(BudgetsTable[[#This Row],[pi_last_name]]=" ","",HYPERLINK("https://www.ejacket.nsf.gov/ej/processReviewAnalysis.do?dispatch=add&amp;uniqId="&amp;BudgetsTable[[#This Row],[prop_id]]&amp;PO_id,"&gt;ra"))</f>
        <v/>
      </c>
      <c r="N135" s="79" t="s">
        <v>13</v>
      </c>
      <c r="O135" s="7" t="str">
        <f>IF(BudgetsTable[[#This Row],[pi_last_name]]=" ","",HYPERLINK("mailto:"&amp;BudgetsTable[[#This Row],[pi_email]]&amp;"&amp;subject=Your NSF Proposal:  "&amp;BudgetsTable[[#This Row],[prop_id]],BudgetsTable[[#This Row],[pi_email]]))</f>
        <v/>
      </c>
      <c r="P135" s="79" t="s">
        <v>13</v>
      </c>
      <c r="Q135" s="79">
        <v>0</v>
      </c>
      <c r="R135" s="79">
        <v>0</v>
      </c>
      <c r="S135" s="80">
        <v>0</v>
      </c>
      <c r="T135" s="80">
        <v>2000</v>
      </c>
      <c r="U135" s="80">
        <v>0</v>
      </c>
      <c r="V135" s="81">
        <v>81786</v>
      </c>
      <c r="W135" s="79">
        <v>0</v>
      </c>
      <c r="X135" s="79">
        <v>5</v>
      </c>
      <c r="Y135" s="11" t="str">
        <f ca="1">IF(ISBLANK(BudgetsTable[[#This Row],[budg_seq_yr]]),"FY"&amp;fiscalyear,"FY"&amp;fiscalyear-1+BudgetsTable[[#This Row],[budg_seq_yr]])</f>
        <v>FY22</v>
      </c>
      <c r="Z135" s="80">
        <v>81786</v>
      </c>
      <c r="AA135" s="79" t="s">
        <v>780</v>
      </c>
      <c r="AB135" s="79" t="s">
        <v>567</v>
      </c>
      <c r="AC135" s="106" t="s">
        <v>94</v>
      </c>
      <c r="AD135" s="79" t="s">
        <v>1414</v>
      </c>
    </row>
    <row r="136" spans="1:30">
      <c r="A136" s="10" t="s">
        <v>1077</v>
      </c>
      <c r="B136" s="77" t="s">
        <v>96</v>
      </c>
      <c r="C136" s="77">
        <f>C135+(BudgetsTable[[#This Row],[lead]]&lt;&gt;K135)</f>
        <v>33</v>
      </c>
      <c r="D136" s="77">
        <f>D135*(BudgetsTable[[#This Row],[lead]]=K135)+(BudgetsTable[[#This Row],[prop_id]]&lt;&gt;A135)</f>
        <v>1</v>
      </c>
      <c r="E136" s="78">
        <v>42935.536805555559</v>
      </c>
      <c r="F136" s="79" t="s">
        <v>244</v>
      </c>
      <c r="G136" s="79" t="s">
        <v>780</v>
      </c>
      <c r="H136" s="79" t="s">
        <v>567</v>
      </c>
      <c r="I136" s="77" t="s">
        <v>582</v>
      </c>
      <c r="J136" s="77" t="s">
        <v>1422</v>
      </c>
      <c r="K136" s="79" t="s">
        <v>1077</v>
      </c>
      <c r="L136" s="7" t="str">
        <f>IF(BudgetsTable[[#This Row],[pi_last_name]]=" ","",HYPERLINK("https://www.ejacket.nsf.gov/ej/showProposal.do?Continue=Y&amp;ID="&amp;BudgetsTable[[#This Row],[prop_id]],BudgetsTable[[#This Row],[prop_id]]))</f>
        <v>1750443</v>
      </c>
      <c r="M136" s="15" t="str">
        <f>IF(BudgetsTable[[#This Row],[pi_last_name]]=" ","",HYPERLINK("https://www.ejacket.nsf.gov/ej/processReviewAnalysis.do?dispatch=add&amp;uniqId="&amp;BudgetsTable[[#This Row],[prop_id]]&amp;PO_id,"&gt;ra"))</f>
        <v>&gt;ra</v>
      </c>
      <c r="N136" s="79" t="s">
        <v>1078</v>
      </c>
      <c r="O136" s="7" t="str">
        <f>IF(BudgetsTable[[#This Row],[pi_last_name]]=" ","",HYPERLINK("mailto:"&amp;BudgetsTable[[#This Row],[pi_email]]&amp;"&amp;subject=Your NSF Proposal:  "&amp;BudgetsTable[[#This Row],[prop_id]],BudgetsTable[[#This Row],[pi_email]]))</f>
        <v>gillat.kol@gmail.com</v>
      </c>
      <c r="P136" s="79" t="s">
        <v>1364</v>
      </c>
      <c r="Q136" s="79"/>
      <c r="R136" s="79"/>
      <c r="S136" s="80"/>
      <c r="T136" s="80"/>
      <c r="U136" s="80"/>
      <c r="V136" s="81"/>
      <c r="W136" s="79">
        <v>0</v>
      </c>
      <c r="X136" s="79"/>
      <c r="Y136" s="11" t="str">
        <f ca="1">IF(ISBLANK(BudgetsTable[[#This Row],[budg_seq_yr]]),"FY"&amp;fiscalyear,"FY"&amp;fiscalyear-1+BudgetsTable[[#This Row],[budg_seq_yr]])</f>
        <v>FY18</v>
      </c>
      <c r="Z136" s="80">
        <v>550000</v>
      </c>
      <c r="AA136" s="79" t="s">
        <v>780</v>
      </c>
      <c r="AB136" s="79" t="s">
        <v>567</v>
      </c>
      <c r="AC136" s="106" t="s">
        <v>94</v>
      </c>
      <c r="AD136" s="79" t="s">
        <v>1383</v>
      </c>
    </row>
    <row r="137" spans="1:30">
      <c r="A137" s="10" t="s">
        <v>1077</v>
      </c>
      <c r="B137" s="77" t="s">
        <v>96</v>
      </c>
      <c r="C137" s="77">
        <f>C136+(BudgetsTable[[#This Row],[lead]]&lt;&gt;K136)</f>
        <v>33</v>
      </c>
      <c r="D137" s="77">
        <f>D136*(BudgetsTable[[#This Row],[lead]]=K136)+(BudgetsTable[[#This Row],[prop_id]]&lt;&gt;A136)</f>
        <v>1</v>
      </c>
      <c r="E137" s="78">
        <v>42935.536805555559</v>
      </c>
      <c r="F137" s="79" t="s">
        <v>244</v>
      </c>
      <c r="G137" s="79" t="s">
        <v>780</v>
      </c>
      <c r="H137" s="79" t="s">
        <v>567</v>
      </c>
      <c r="I137" s="77" t="s">
        <v>582</v>
      </c>
      <c r="J137" s="77" t="s">
        <v>13</v>
      </c>
      <c r="K137" s="79" t="s">
        <v>1077</v>
      </c>
      <c r="L137" s="7" t="str">
        <f>IF(BudgetsTable[[#This Row],[pi_last_name]]=" ","",HYPERLINK("https://www.ejacket.nsf.gov/ej/showProposal.do?Continue=Y&amp;ID="&amp;BudgetsTable[[#This Row],[prop_id]],BudgetsTable[[#This Row],[prop_id]]))</f>
        <v/>
      </c>
      <c r="M137" s="15" t="str">
        <f>IF(BudgetsTable[[#This Row],[pi_last_name]]=" ","",HYPERLINK("https://www.ejacket.nsf.gov/ej/processReviewAnalysis.do?dispatch=add&amp;uniqId="&amp;BudgetsTable[[#This Row],[prop_id]]&amp;PO_id,"&gt;ra"))</f>
        <v/>
      </c>
      <c r="N137" s="79" t="s">
        <v>13</v>
      </c>
      <c r="O137" s="7" t="str">
        <f>IF(BudgetsTable[[#This Row],[pi_last_name]]=" ","",HYPERLINK("mailto:"&amp;BudgetsTable[[#This Row],[pi_email]]&amp;"&amp;subject=Your NSF Proposal:  "&amp;BudgetsTable[[#This Row],[prop_id]],BudgetsTable[[#This Row],[pi_email]]))</f>
        <v/>
      </c>
      <c r="P137" s="79" t="s">
        <v>13</v>
      </c>
      <c r="Q137" s="79">
        <v>1</v>
      </c>
      <c r="R137" s="79">
        <v>1</v>
      </c>
      <c r="S137" s="80">
        <v>0</v>
      </c>
      <c r="T137" s="80">
        <v>0</v>
      </c>
      <c r="U137" s="80">
        <v>0</v>
      </c>
      <c r="V137" s="81">
        <v>103323</v>
      </c>
      <c r="W137" s="79">
        <v>0</v>
      </c>
      <c r="X137" s="79">
        <v>1</v>
      </c>
      <c r="Y137" s="11" t="str">
        <f ca="1">IF(ISBLANK(BudgetsTable[[#This Row],[budg_seq_yr]]),"FY"&amp;fiscalyear,"FY"&amp;fiscalyear-1+BudgetsTable[[#This Row],[budg_seq_yr]])</f>
        <v>FY18</v>
      </c>
      <c r="Z137" s="80">
        <v>103323</v>
      </c>
      <c r="AA137" s="79" t="s">
        <v>780</v>
      </c>
      <c r="AB137" s="79" t="s">
        <v>567</v>
      </c>
      <c r="AC137" s="106" t="s">
        <v>94</v>
      </c>
      <c r="AD137" s="79" t="s">
        <v>1383</v>
      </c>
    </row>
    <row r="138" spans="1:30">
      <c r="A138" s="10" t="s">
        <v>1077</v>
      </c>
      <c r="B138" s="77" t="s">
        <v>96</v>
      </c>
      <c r="C138" s="77">
        <f>C137+(BudgetsTable[[#This Row],[lead]]&lt;&gt;K137)</f>
        <v>33</v>
      </c>
      <c r="D138" s="77">
        <f>D137*(BudgetsTable[[#This Row],[lead]]=K137)+(BudgetsTable[[#This Row],[prop_id]]&lt;&gt;A137)</f>
        <v>1</v>
      </c>
      <c r="E138" s="78">
        <v>42935.536805555559</v>
      </c>
      <c r="F138" s="79" t="s">
        <v>244</v>
      </c>
      <c r="G138" s="79" t="s">
        <v>780</v>
      </c>
      <c r="H138" s="79" t="s">
        <v>567</v>
      </c>
      <c r="I138" s="77" t="s">
        <v>582</v>
      </c>
      <c r="J138" s="77" t="s">
        <v>13</v>
      </c>
      <c r="K138" s="79" t="s">
        <v>1077</v>
      </c>
      <c r="L138" s="7" t="str">
        <f>IF(BudgetsTable[[#This Row],[pi_last_name]]=" ","",HYPERLINK("https://www.ejacket.nsf.gov/ej/showProposal.do?Continue=Y&amp;ID="&amp;BudgetsTable[[#This Row],[prop_id]],BudgetsTable[[#This Row],[prop_id]]))</f>
        <v/>
      </c>
      <c r="M138" s="15" t="str">
        <f>IF(BudgetsTable[[#This Row],[pi_last_name]]=" ","",HYPERLINK("https://www.ejacket.nsf.gov/ej/processReviewAnalysis.do?dispatch=add&amp;uniqId="&amp;BudgetsTable[[#This Row],[prop_id]]&amp;PO_id,"&gt;ra"))</f>
        <v/>
      </c>
      <c r="N138" s="79" t="s">
        <v>13</v>
      </c>
      <c r="O138" s="7" t="str">
        <f>IF(BudgetsTable[[#This Row],[pi_last_name]]=" ","",HYPERLINK("mailto:"&amp;BudgetsTable[[#This Row],[pi_email]]&amp;"&amp;subject=Your NSF Proposal:  "&amp;BudgetsTable[[#This Row],[prop_id]],BudgetsTable[[#This Row],[pi_email]]))</f>
        <v/>
      </c>
      <c r="P138" s="79" t="s">
        <v>13</v>
      </c>
      <c r="Q138" s="79">
        <v>1</v>
      </c>
      <c r="R138" s="79">
        <v>1</v>
      </c>
      <c r="S138" s="80">
        <v>0</v>
      </c>
      <c r="T138" s="80">
        <v>0</v>
      </c>
      <c r="U138" s="80">
        <v>0</v>
      </c>
      <c r="V138" s="81">
        <v>106541</v>
      </c>
      <c r="W138" s="79">
        <v>0</v>
      </c>
      <c r="X138" s="79">
        <v>2</v>
      </c>
      <c r="Y138" s="11" t="str">
        <f ca="1">IF(ISBLANK(BudgetsTable[[#This Row],[budg_seq_yr]]),"FY"&amp;fiscalyear,"FY"&amp;fiscalyear-1+BudgetsTable[[#This Row],[budg_seq_yr]])</f>
        <v>FY19</v>
      </c>
      <c r="Z138" s="80">
        <v>106541</v>
      </c>
      <c r="AA138" s="79" t="s">
        <v>780</v>
      </c>
      <c r="AB138" s="79" t="s">
        <v>567</v>
      </c>
      <c r="AC138" s="106" t="s">
        <v>94</v>
      </c>
      <c r="AD138" s="79" t="s">
        <v>1383</v>
      </c>
    </row>
    <row r="139" spans="1:30">
      <c r="A139" s="10" t="s">
        <v>1077</v>
      </c>
      <c r="B139" s="77" t="s">
        <v>96</v>
      </c>
      <c r="C139" s="77">
        <f>C138+(BudgetsTable[[#This Row],[lead]]&lt;&gt;K138)</f>
        <v>33</v>
      </c>
      <c r="D139" s="77">
        <f>D138*(BudgetsTable[[#This Row],[lead]]=K138)+(BudgetsTable[[#This Row],[prop_id]]&lt;&gt;A138)</f>
        <v>1</v>
      </c>
      <c r="E139" s="78">
        <v>42935.536805555559</v>
      </c>
      <c r="F139" s="79" t="s">
        <v>244</v>
      </c>
      <c r="G139" s="79" t="s">
        <v>780</v>
      </c>
      <c r="H139" s="79" t="s">
        <v>567</v>
      </c>
      <c r="I139" s="77" t="s">
        <v>582</v>
      </c>
      <c r="J139" s="77" t="s">
        <v>13</v>
      </c>
      <c r="K139" s="79" t="s">
        <v>1077</v>
      </c>
      <c r="L139" s="7" t="str">
        <f>IF(BudgetsTable[[#This Row],[pi_last_name]]=" ","",HYPERLINK("https://www.ejacket.nsf.gov/ej/showProposal.do?Continue=Y&amp;ID="&amp;BudgetsTable[[#This Row],[prop_id]],BudgetsTable[[#This Row],[prop_id]]))</f>
        <v/>
      </c>
      <c r="M139" s="15" t="str">
        <f>IF(BudgetsTable[[#This Row],[pi_last_name]]=" ","",HYPERLINK("https://www.ejacket.nsf.gov/ej/processReviewAnalysis.do?dispatch=add&amp;uniqId="&amp;BudgetsTable[[#This Row],[prop_id]]&amp;PO_id,"&gt;ra"))</f>
        <v/>
      </c>
      <c r="N139" s="79" t="s">
        <v>13</v>
      </c>
      <c r="O139" s="7" t="str">
        <f>IF(BudgetsTable[[#This Row],[pi_last_name]]=" ","",HYPERLINK("mailto:"&amp;BudgetsTable[[#This Row],[pi_email]]&amp;"&amp;subject=Your NSF Proposal:  "&amp;BudgetsTable[[#This Row],[prop_id]],BudgetsTable[[#This Row],[pi_email]]))</f>
        <v/>
      </c>
      <c r="P139" s="79" t="s">
        <v>13</v>
      </c>
      <c r="Q139" s="79">
        <v>1</v>
      </c>
      <c r="R139" s="79">
        <v>1</v>
      </c>
      <c r="S139" s="80">
        <v>0</v>
      </c>
      <c r="T139" s="80">
        <v>0</v>
      </c>
      <c r="U139" s="80">
        <v>0</v>
      </c>
      <c r="V139" s="81">
        <v>109877</v>
      </c>
      <c r="W139" s="79">
        <v>0</v>
      </c>
      <c r="X139" s="79">
        <v>3</v>
      </c>
      <c r="Y139" s="11" t="str">
        <f ca="1">IF(ISBLANK(BudgetsTable[[#This Row],[budg_seq_yr]]),"FY"&amp;fiscalyear,"FY"&amp;fiscalyear-1+BudgetsTable[[#This Row],[budg_seq_yr]])</f>
        <v>FY20</v>
      </c>
      <c r="Z139" s="80">
        <v>109877</v>
      </c>
      <c r="AA139" s="79" t="s">
        <v>780</v>
      </c>
      <c r="AB139" s="79" t="s">
        <v>567</v>
      </c>
      <c r="AC139" s="106" t="s">
        <v>94</v>
      </c>
      <c r="AD139" s="79" t="s">
        <v>1383</v>
      </c>
    </row>
    <row r="140" spans="1:30">
      <c r="A140" s="10" t="s">
        <v>1077</v>
      </c>
      <c r="B140" s="77" t="s">
        <v>96</v>
      </c>
      <c r="C140" s="77">
        <f>C139+(BudgetsTable[[#This Row],[lead]]&lt;&gt;K139)</f>
        <v>33</v>
      </c>
      <c r="D140" s="77">
        <f>D139*(BudgetsTable[[#This Row],[lead]]=K139)+(BudgetsTable[[#This Row],[prop_id]]&lt;&gt;A139)</f>
        <v>1</v>
      </c>
      <c r="E140" s="78">
        <v>42935.536805555559</v>
      </c>
      <c r="F140" s="79" t="s">
        <v>244</v>
      </c>
      <c r="G140" s="79" t="s">
        <v>780</v>
      </c>
      <c r="H140" s="79" t="s">
        <v>567</v>
      </c>
      <c r="I140" s="77" t="s">
        <v>582</v>
      </c>
      <c r="J140" s="77" t="s">
        <v>13</v>
      </c>
      <c r="K140" s="79" t="s">
        <v>1077</v>
      </c>
      <c r="L140" s="7" t="str">
        <f>IF(BudgetsTable[[#This Row],[pi_last_name]]=" ","",HYPERLINK("https://www.ejacket.nsf.gov/ej/showProposal.do?Continue=Y&amp;ID="&amp;BudgetsTable[[#This Row],[prop_id]],BudgetsTable[[#This Row],[prop_id]]))</f>
        <v/>
      </c>
      <c r="M140" s="15" t="str">
        <f>IF(BudgetsTable[[#This Row],[pi_last_name]]=" ","",HYPERLINK("https://www.ejacket.nsf.gov/ej/processReviewAnalysis.do?dispatch=add&amp;uniqId="&amp;BudgetsTable[[#This Row],[prop_id]]&amp;PO_id,"&gt;ra"))</f>
        <v/>
      </c>
      <c r="N140" s="79" t="s">
        <v>13</v>
      </c>
      <c r="O140" s="7" t="str">
        <f>IF(BudgetsTable[[#This Row],[pi_last_name]]=" ","",HYPERLINK("mailto:"&amp;BudgetsTable[[#This Row],[pi_email]]&amp;"&amp;subject=Your NSF Proposal:  "&amp;BudgetsTable[[#This Row],[prop_id]],BudgetsTable[[#This Row],[pi_email]]))</f>
        <v/>
      </c>
      <c r="P140" s="79" t="s">
        <v>13</v>
      </c>
      <c r="Q140" s="79">
        <v>1</v>
      </c>
      <c r="R140" s="79">
        <v>1</v>
      </c>
      <c r="S140" s="80">
        <v>0</v>
      </c>
      <c r="T140" s="80">
        <v>0</v>
      </c>
      <c r="U140" s="80">
        <v>0</v>
      </c>
      <c r="V140" s="81">
        <v>113336</v>
      </c>
      <c r="W140" s="79">
        <v>0</v>
      </c>
      <c r="X140" s="79">
        <v>4</v>
      </c>
      <c r="Y140" s="11" t="str">
        <f ca="1">IF(ISBLANK(BudgetsTable[[#This Row],[budg_seq_yr]]),"FY"&amp;fiscalyear,"FY"&amp;fiscalyear-1+BudgetsTable[[#This Row],[budg_seq_yr]])</f>
        <v>FY21</v>
      </c>
      <c r="Z140" s="80">
        <v>113336</v>
      </c>
      <c r="AA140" s="79" t="s">
        <v>780</v>
      </c>
      <c r="AB140" s="79" t="s">
        <v>567</v>
      </c>
      <c r="AC140" s="106" t="s">
        <v>94</v>
      </c>
      <c r="AD140" s="79" t="s">
        <v>1383</v>
      </c>
    </row>
    <row r="141" spans="1:30">
      <c r="A141" s="10" t="s">
        <v>1077</v>
      </c>
      <c r="B141" s="77" t="s">
        <v>96</v>
      </c>
      <c r="C141" s="77">
        <f>C140+(BudgetsTable[[#This Row],[lead]]&lt;&gt;K140)</f>
        <v>33</v>
      </c>
      <c r="D141" s="77">
        <f>D140*(BudgetsTable[[#This Row],[lead]]=K140)+(BudgetsTable[[#This Row],[prop_id]]&lt;&gt;A140)</f>
        <v>1</v>
      </c>
      <c r="E141" s="78">
        <v>42935.536805555559</v>
      </c>
      <c r="F141" s="79" t="s">
        <v>244</v>
      </c>
      <c r="G141" s="79" t="s">
        <v>780</v>
      </c>
      <c r="H141" s="79" t="s">
        <v>567</v>
      </c>
      <c r="I141" s="77" t="s">
        <v>582</v>
      </c>
      <c r="J141" s="77" t="s">
        <v>13</v>
      </c>
      <c r="K141" s="79" t="s">
        <v>1077</v>
      </c>
      <c r="L141" s="7" t="str">
        <f>IF(BudgetsTable[[#This Row],[pi_last_name]]=" ","",HYPERLINK("https://www.ejacket.nsf.gov/ej/showProposal.do?Continue=Y&amp;ID="&amp;BudgetsTable[[#This Row],[prop_id]],BudgetsTable[[#This Row],[prop_id]]))</f>
        <v/>
      </c>
      <c r="M141" s="15" t="str">
        <f>IF(BudgetsTable[[#This Row],[pi_last_name]]=" ","",HYPERLINK("https://www.ejacket.nsf.gov/ej/processReviewAnalysis.do?dispatch=add&amp;uniqId="&amp;BudgetsTable[[#This Row],[prop_id]]&amp;PO_id,"&gt;ra"))</f>
        <v/>
      </c>
      <c r="N141" s="79" t="s">
        <v>13</v>
      </c>
      <c r="O141" s="7" t="str">
        <f>IF(BudgetsTable[[#This Row],[pi_last_name]]=" ","",HYPERLINK("mailto:"&amp;BudgetsTable[[#This Row],[pi_email]]&amp;"&amp;subject=Your NSF Proposal:  "&amp;BudgetsTable[[#This Row],[prop_id]],BudgetsTable[[#This Row],[pi_email]]))</f>
        <v/>
      </c>
      <c r="P141" s="79" t="s">
        <v>13</v>
      </c>
      <c r="Q141" s="79">
        <v>1</v>
      </c>
      <c r="R141" s="79">
        <v>1</v>
      </c>
      <c r="S141" s="80">
        <v>0</v>
      </c>
      <c r="T141" s="80">
        <v>0</v>
      </c>
      <c r="U141" s="80">
        <v>0</v>
      </c>
      <c r="V141" s="81">
        <v>116923</v>
      </c>
      <c r="W141" s="79">
        <v>0</v>
      </c>
      <c r="X141" s="79">
        <v>5</v>
      </c>
      <c r="Y141" s="11" t="str">
        <f ca="1">IF(ISBLANK(BudgetsTable[[#This Row],[budg_seq_yr]]),"FY"&amp;fiscalyear,"FY"&amp;fiscalyear-1+BudgetsTable[[#This Row],[budg_seq_yr]])</f>
        <v>FY22</v>
      </c>
      <c r="Z141" s="80">
        <v>116923</v>
      </c>
      <c r="AA141" s="79" t="s">
        <v>780</v>
      </c>
      <c r="AB141" s="79" t="s">
        <v>567</v>
      </c>
      <c r="AC141" s="106" t="s">
        <v>94</v>
      </c>
      <c r="AD141" s="79" t="s">
        <v>1383</v>
      </c>
    </row>
    <row r="142" spans="1:30">
      <c r="A142" s="10" t="s">
        <v>1108</v>
      </c>
      <c r="B142" s="77" t="s">
        <v>96</v>
      </c>
      <c r="C142" s="77">
        <f>C141+(BudgetsTable[[#This Row],[lead]]&lt;&gt;K141)</f>
        <v>34</v>
      </c>
      <c r="D142" s="77">
        <f>D141*(BudgetsTable[[#This Row],[lead]]=K141)+(BudgetsTable[[#This Row],[prop_id]]&lt;&gt;A141)</f>
        <v>1</v>
      </c>
      <c r="E142" s="78">
        <v>42935.54583333333</v>
      </c>
      <c r="F142" s="79" t="s">
        <v>244</v>
      </c>
      <c r="G142" s="79" t="s">
        <v>780</v>
      </c>
      <c r="H142" s="79" t="s">
        <v>567</v>
      </c>
      <c r="I142" s="77" t="s">
        <v>944</v>
      </c>
      <c r="J142" s="77" t="s">
        <v>1426</v>
      </c>
      <c r="K142" s="79" t="s">
        <v>1108</v>
      </c>
      <c r="L142" s="7" t="str">
        <f>IF(BudgetsTable[[#This Row],[pi_last_name]]=" ","",HYPERLINK("https://www.ejacket.nsf.gov/ej/showProposal.do?Continue=Y&amp;ID="&amp;BudgetsTable[[#This Row],[prop_id]],BudgetsTable[[#This Row],[prop_id]]))</f>
        <v>1750463</v>
      </c>
      <c r="M142" s="15" t="str">
        <f>IF(BudgetsTable[[#This Row],[pi_last_name]]=" ","",HYPERLINK("https://www.ejacket.nsf.gov/ej/processReviewAnalysis.do?dispatch=add&amp;uniqId="&amp;BudgetsTable[[#This Row],[prop_id]]&amp;PO_id,"&gt;ra"))</f>
        <v>&gt;ra</v>
      </c>
      <c r="N142" s="79" t="s">
        <v>1109</v>
      </c>
      <c r="O142" s="7" t="str">
        <f>IF(BudgetsTable[[#This Row],[pi_last_name]]=" ","",HYPERLINK("mailto:"&amp;BudgetsTable[[#This Row],[pi_email]]&amp;"&amp;subject=Your NSF Proposal:  "&amp;BudgetsTable[[#This Row],[prop_id]],BudgetsTable[[#This Row],[pi_email]]))</f>
        <v>sharathr@vt.edu</v>
      </c>
      <c r="P142" s="79" t="s">
        <v>356</v>
      </c>
      <c r="Q142" s="79"/>
      <c r="R142" s="79"/>
      <c r="S142" s="80"/>
      <c r="T142" s="80"/>
      <c r="U142" s="80"/>
      <c r="V142" s="81"/>
      <c r="W142" s="79">
        <v>0</v>
      </c>
      <c r="X142" s="79"/>
      <c r="Y142" s="11" t="str">
        <f ca="1">IF(ISBLANK(BudgetsTable[[#This Row],[budg_seq_yr]]),"FY"&amp;fiscalyear,"FY"&amp;fiscalyear-1+BudgetsTable[[#This Row],[budg_seq_yr]])</f>
        <v>FY18</v>
      </c>
      <c r="Z142" s="80">
        <v>533991</v>
      </c>
      <c r="AA142" s="79" t="s">
        <v>780</v>
      </c>
      <c r="AB142" s="79" t="s">
        <v>567</v>
      </c>
      <c r="AC142" s="106" t="s">
        <v>94</v>
      </c>
      <c r="AD142" s="79" t="s">
        <v>783</v>
      </c>
    </row>
    <row r="143" spans="1:30">
      <c r="A143" s="10" t="s">
        <v>1108</v>
      </c>
      <c r="B143" s="77" t="s">
        <v>96</v>
      </c>
      <c r="C143" s="77">
        <f>C142+(BudgetsTable[[#This Row],[lead]]&lt;&gt;K142)</f>
        <v>34</v>
      </c>
      <c r="D143" s="77">
        <f>D142*(BudgetsTable[[#This Row],[lead]]=K142)+(BudgetsTable[[#This Row],[prop_id]]&lt;&gt;A142)</f>
        <v>1</v>
      </c>
      <c r="E143" s="78">
        <v>42935.54583333333</v>
      </c>
      <c r="F143" s="79" t="s">
        <v>244</v>
      </c>
      <c r="G143" s="79" t="s">
        <v>780</v>
      </c>
      <c r="H143" s="79" t="s">
        <v>567</v>
      </c>
      <c r="I143" s="77" t="s">
        <v>944</v>
      </c>
      <c r="J143" s="77" t="s">
        <v>13</v>
      </c>
      <c r="K143" s="79" t="s">
        <v>1108</v>
      </c>
      <c r="L143" s="7" t="str">
        <f>IF(BudgetsTable[[#This Row],[pi_last_name]]=" ","",HYPERLINK("https://www.ejacket.nsf.gov/ej/showProposal.do?Continue=Y&amp;ID="&amp;BudgetsTable[[#This Row],[prop_id]],BudgetsTable[[#This Row],[prop_id]]))</f>
        <v/>
      </c>
      <c r="M143" s="15" t="str">
        <f>IF(BudgetsTable[[#This Row],[pi_last_name]]=" ","",HYPERLINK("https://www.ejacket.nsf.gov/ej/processReviewAnalysis.do?dispatch=add&amp;uniqId="&amp;BudgetsTable[[#This Row],[prop_id]]&amp;PO_id,"&gt;ra"))</f>
        <v/>
      </c>
      <c r="N143" s="79" t="s">
        <v>13</v>
      </c>
      <c r="O143" s="7" t="str">
        <f>IF(BudgetsTable[[#This Row],[pi_last_name]]=" ","",HYPERLINK("mailto:"&amp;BudgetsTable[[#This Row],[pi_email]]&amp;"&amp;subject=Your NSF Proposal:  "&amp;BudgetsTable[[#This Row],[prop_id]],BudgetsTable[[#This Row],[pi_email]]))</f>
        <v/>
      </c>
      <c r="P143" s="79" t="s">
        <v>13</v>
      </c>
      <c r="Q143" s="79">
        <v>1</v>
      </c>
      <c r="R143" s="79">
        <v>1.5</v>
      </c>
      <c r="S143" s="80">
        <v>0</v>
      </c>
      <c r="T143" s="80">
        <v>0</v>
      </c>
      <c r="U143" s="80">
        <v>0</v>
      </c>
      <c r="V143" s="81">
        <v>104160</v>
      </c>
      <c r="W143" s="79">
        <v>0</v>
      </c>
      <c r="X143" s="79">
        <v>1</v>
      </c>
      <c r="Y143" s="11" t="str">
        <f ca="1">IF(ISBLANK(BudgetsTable[[#This Row],[budg_seq_yr]]),"FY"&amp;fiscalyear,"FY"&amp;fiscalyear-1+BudgetsTable[[#This Row],[budg_seq_yr]])</f>
        <v>FY18</v>
      </c>
      <c r="Z143" s="80">
        <v>104160</v>
      </c>
      <c r="AA143" s="79" t="s">
        <v>780</v>
      </c>
      <c r="AB143" s="79" t="s">
        <v>567</v>
      </c>
      <c r="AC143" s="106" t="s">
        <v>94</v>
      </c>
      <c r="AD143" s="79" t="s">
        <v>783</v>
      </c>
    </row>
    <row r="144" spans="1:30">
      <c r="A144" s="10" t="s">
        <v>1108</v>
      </c>
      <c r="B144" s="77" t="s">
        <v>96</v>
      </c>
      <c r="C144" s="77">
        <f>C143+(BudgetsTable[[#This Row],[lead]]&lt;&gt;K143)</f>
        <v>34</v>
      </c>
      <c r="D144" s="77">
        <f>D143*(BudgetsTable[[#This Row],[lead]]=K143)+(BudgetsTable[[#This Row],[prop_id]]&lt;&gt;A143)</f>
        <v>1</v>
      </c>
      <c r="E144" s="78">
        <v>42935.54583333333</v>
      </c>
      <c r="F144" s="79" t="s">
        <v>244</v>
      </c>
      <c r="G144" s="79" t="s">
        <v>780</v>
      </c>
      <c r="H144" s="79" t="s">
        <v>567</v>
      </c>
      <c r="I144" s="77" t="s">
        <v>944</v>
      </c>
      <c r="J144" s="77" t="s">
        <v>13</v>
      </c>
      <c r="K144" s="79" t="s">
        <v>1108</v>
      </c>
      <c r="L144" s="7" t="str">
        <f>IF(BudgetsTable[[#This Row],[pi_last_name]]=" ","",HYPERLINK("https://www.ejacket.nsf.gov/ej/showProposal.do?Continue=Y&amp;ID="&amp;BudgetsTable[[#This Row],[prop_id]],BudgetsTable[[#This Row],[prop_id]]))</f>
        <v/>
      </c>
      <c r="M144" s="15" t="str">
        <f>IF(BudgetsTable[[#This Row],[pi_last_name]]=" ","",HYPERLINK("https://www.ejacket.nsf.gov/ej/processReviewAnalysis.do?dispatch=add&amp;uniqId="&amp;BudgetsTable[[#This Row],[prop_id]]&amp;PO_id,"&gt;ra"))</f>
        <v/>
      </c>
      <c r="N144" s="79" t="s">
        <v>13</v>
      </c>
      <c r="O144" s="7" t="str">
        <f>IF(BudgetsTable[[#This Row],[pi_last_name]]=" ","",HYPERLINK("mailto:"&amp;BudgetsTable[[#This Row],[pi_email]]&amp;"&amp;subject=Your NSF Proposal:  "&amp;BudgetsTable[[#This Row],[prop_id]],BudgetsTable[[#This Row],[pi_email]]))</f>
        <v/>
      </c>
      <c r="P144" s="79" t="s">
        <v>13</v>
      </c>
      <c r="Q144" s="79">
        <v>1</v>
      </c>
      <c r="R144" s="79">
        <v>1.5</v>
      </c>
      <c r="S144" s="80">
        <v>0</v>
      </c>
      <c r="T144" s="80">
        <v>0</v>
      </c>
      <c r="U144" s="80">
        <v>0</v>
      </c>
      <c r="V144" s="81">
        <v>102988</v>
      </c>
      <c r="W144" s="79">
        <v>0</v>
      </c>
      <c r="X144" s="79">
        <v>2</v>
      </c>
      <c r="Y144" s="11" t="str">
        <f ca="1">IF(ISBLANK(BudgetsTable[[#This Row],[budg_seq_yr]]),"FY"&amp;fiscalyear,"FY"&amp;fiscalyear-1+BudgetsTable[[#This Row],[budg_seq_yr]])</f>
        <v>FY19</v>
      </c>
      <c r="Z144" s="80">
        <v>102988</v>
      </c>
      <c r="AA144" s="79" t="s">
        <v>780</v>
      </c>
      <c r="AB144" s="79" t="s">
        <v>567</v>
      </c>
      <c r="AC144" s="106" t="s">
        <v>94</v>
      </c>
      <c r="AD144" s="79" t="s">
        <v>783</v>
      </c>
    </row>
    <row r="145" spans="1:30">
      <c r="A145" s="10" t="s">
        <v>1108</v>
      </c>
      <c r="B145" s="77" t="s">
        <v>96</v>
      </c>
      <c r="C145" s="77">
        <f>C144+(BudgetsTable[[#This Row],[lead]]&lt;&gt;K144)</f>
        <v>34</v>
      </c>
      <c r="D145" s="77">
        <f>D144*(BudgetsTable[[#This Row],[lead]]=K144)+(BudgetsTable[[#This Row],[prop_id]]&lt;&gt;A144)</f>
        <v>1</v>
      </c>
      <c r="E145" s="78">
        <v>42935.54583333333</v>
      </c>
      <c r="F145" s="79" t="s">
        <v>244</v>
      </c>
      <c r="G145" s="79" t="s">
        <v>780</v>
      </c>
      <c r="H145" s="79" t="s">
        <v>567</v>
      </c>
      <c r="I145" s="77" t="s">
        <v>944</v>
      </c>
      <c r="J145" s="77" t="s">
        <v>13</v>
      </c>
      <c r="K145" s="79" t="s">
        <v>1108</v>
      </c>
      <c r="L145" s="7" t="str">
        <f>IF(BudgetsTable[[#This Row],[pi_last_name]]=" ","",HYPERLINK("https://www.ejacket.nsf.gov/ej/showProposal.do?Continue=Y&amp;ID="&amp;BudgetsTable[[#This Row],[prop_id]],BudgetsTable[[#This Row],[prop_id]]))</f>
        <v/>
      </c>
      <c r="M145" s="15" t="str">
        <f>IF(BudgetsTable[[#This Row],[pi_last_name]]=" ","",HYPERLINK("https://www.ejacket.nsf.gov/ej/processReviewAnalysis.do?dispatch=add&amp;uniqId="&amp;BudgetsTable[[#This Row],[prop_id]]&amp;PO_id,"&gt;ra"))</f>
        <v/>
      </c>
      <c r="N145" s="79" t="s">
        <v>13</v>
      </c>
      <c r="O145" s="7" t="str">
        <f>IF(BudgetsTable[[#This Row],[pi_last_name]]=" ","",HYPERLINK("mailto:"&amp;BudgetsTable[[#This Row],[pi_email]]&amp;"&amp;subject=Your NSF Proposal:  "&amp;BudgetsTable[[#This Row],[prop_id]],BudgetsTable[[#This Row],[pi_email]]))</f>
        <v/>
      </c>
      <c r="P145" s="79" t="s">
        <v>13</v>
      </c>
      <c r="Q145" s="79">
        <v>1</v>
      </c>
      <c r="R145" s="79">
        <v>1.5</v>
      </c>
      <c r="S145" s="80">
        <v>0</v>
      </c>
      <c r="T145" s="80">
        <v>2500</v>
      </c>
      <c r="U145" s="80">
        <v>0</v>
      </c>
      <c r="V145" s="81">
        <v>115813</v>
      </c>
      <c r="W145" s="79">
        <v>0</v>
      </c>
      <c r="X145" s="79">
        <v>3</v>
      </c>
      <c r="Y145" s="11" t="str">
        <f ca="1">IF(ISBLANK(BudgetsTable[[#This Row],[budg_seq_yr]]),"FY"&amp;fiscalyear,"FY"&amp;fiscalyear-1+BudgetsTable[[#This Row],[budg_seq_yr]])</f>
        <v>FY20</v>
      </c>
      <c r="Z145" s="80">
        <v>115813</v>
      </c>
      <c r="AA145" s="79" t="s">
        <v>780</v>
      </c>
      <c r="AB145" s="79" t="s">
        <v>567</v>
      </c>
      <c r="AC145" s="106" t="s">
        <v>94</v>
      </c>
      <c r="AD145" s="79" t="s">
        <v>783</v>
      </c>
    </row>
    <row r="146" spans="1:30">
      <c r="A146" s="10" t="s">
        <v>1108</v>
      </c>
      <c r="B146" s="77" t="s">
        <v>96</v>
      </c>
      <c r="C146" s="77">
        <f>C145+(BudgetsTable[[#This Row],[lead]]&lt;&gt;K145)</f>
        <v>34</v>
      </c>
      <c r="D146" s="77">
        <f>D145*(BudgetsTable[[#This Row],[lead]]=K145)+(BudgetsTable[[#This Row],[prop_id]]&lt;&gt;A145)</f>
        <v>1</v>
      </c>
      <c r="E146" s="78">
        <v>42935.54583333333</v>
      </c>
      <c r="F146" s="79" t="s">
        <v>244</v>
      </c>
      <c r="G146" s="79" t="s">
        <v>780</v>
      </c>
      <c r="H146" s="79" t="s">
        <v>567</v>
      </c>
      <c r="I146" s="77" t="s">
        <v>944</v>
      </c>
      <c r="J146" s="77" t="s">
        <v>13</v>
      </c>
      <c r="K146" s="79" t="s">
        <v>1108</v>
      </c>
      <c r="L146" s="7" t="str">
        <f>IF(BudgetsTable[[#This Row],[pi_last_name]]=" ","",HYPERLINK("https://www.ejacket.nsf.gov/ej/showProposal.do?Continue=Y&amp;ID="&amp;BudgetsTable[[#This Row],[prop_id]],BudgetsTable[[#This Row],[prop_id]]))</f>
        <v/>
      </c>
      <c r="M146" s="15" t="str">
        <f>IF(BudgetsTable[[#This Row],[pi_last_name]]=" ","",HYPERLINK("https://www.ejacket.nsf.gov/ej/processReviewAnalysis.do?dispatch=add&amp;uniqId="&amp;BudgetsTable[[#This Row],[prop_id]]&amp;PO_id,"&gt;ra"))</f>
        <v/>
      </c>
      <c r="N146" s="79" t="s">
        <v>13</v>
      </c>
      <c r="O146" s="7" t="str">
        <f>IF(BudgetsTable[[#This Row],[pi_last_name]]=" ","",HYPERLINK("mailto:"&amp;BudgetsTable[[#This Row],[pi_email]]&amp;"&amp;subject=Your NSF Proposal:  "&amp;BudgetsTable[[#This Row],[prop_id]],BudgetsTable[[#This Row],[pi_email]]))</f>
        <v/>
      </c>
      <c r="P146" s="79" t="s">
        <v>13</v>
      </c>
      <c r="Q146" s="79">
        <v>1</v>
      </c>
      <c r="R146" s="79">
        <v>1</v>
      </c>
      <c r="S146" s="80">
        <v>0</v>
      </c>
      <c r="T146" s="80">
        <v>2500</v>
      </c>
      <c r="U146" s="80">
        <v>0</v>
      </c>
      <c r="V146" s="81">
        <v>103682</v>
      </c>
      <c r="W146" s="79">
        <v>0</v>
      </c>
      <c r="X146" s="79">
        <v>4</v>
      </c>
      <c r="Y146" s="11" t="str">
        <f ca="1">IF(ISBLANK(BudgetsTable[[#This Row],[budg_seq_yr]]),"FY"&amp;fiscalyear,"FY"&amp;fiscalyear-1+BudgetsTable[[#This Row],[budg_seq_yr]])</f>
        <v>FY21</v>
      </c>
      <c r="Z146" s="80">
        <v>103682</v>
      </c>
      <c r="AA146" s="79" t="s">
        <v>780</v>
      </c>
      <c r="AB146" s="79" t="s">
        <v>567</v>
      </c>
      <c r="AC146" s="106" t="s">
        <v>94</v>
      </c>
      <c r="AD146" s="79" t="s">
        <v>783</v>
      </c>
    </row>
    <row r="147" spans="1:30">
      <c r="A147" s="10" t="s">
        <v>1108</v>
      </c>
      <c r="B147" s="77" t="s">
        <v>96</v>
      </c>
      <c r="C147" s="77">
        <f>C146+(BudgetsTable[[#This Row],[lead]]&lt;&gt;K146)</f>
        <v>34</v>
      </c>
      <c r="D147" s="77">
        <f>D146*(BudgetsTable[[#This Row],[lead]]=K146)+(BudgetsTable[[#This Row],[prop_id]]&lt;&gt;A146)</f>
        <v>1</v>
      </c>
      <c r="E147" s="78">
        <v>42935.54583333333</v>
      </c>
      <c r="F147" s="79" t="s">
        <v>244</v>
      </c>
      <c r="G147" s="79" t="s">
        <v>780</v>
      </c>
      <c r="H147" s="79" t="s">
        <v>567</v>
      </c>
      <c r="I147" s="77" t="s">
        <v>944</v>
      </c>
      <c r="J147" s="77" t="s">
        <v>13</v>
      </c>
      <c r="K147" s="79" t="s">
        <v>1108</v>
      </c>
      <c r="L147" s="7" t="str">
        <f>IF(BudgetsTable[[#This Row],[pi_last_name]]=" ","",HYPERLINK("https://www.ejacket.nsf.gov/ej/showProposal.do?Continue=Y&amp;ID="&amp;BudgetsTable[[#This Row],[prop_id]],BudgetsTable[[#This Row],[prop_id]]))</f>
        <v/>
      </c>
      <c r="M147" s="15" t="str">
        <f>IF(BudgetsTable[[#This Row],[pi_last_name]]=" ","",HYPERLINK("https://www.ejacket.nsf.gov/ej/processReviewAnalysis.do?dispatch=add&amp;uniqId="&amp;BudgetsTable[[#This Row],[prop_id]]&amp;PO_id,"&gt;ra"))</f>
        <v/>
      </c>
      <c r="N147" s="79" t="s">
        <v>13</v>
      </c>
      <c r="O147" s="7" t="str">
        <f>IF(BudgetsTable[[#This Row],[pi_last_name]]=" ","",HYPERLINK("mailto:"&amp;BudgetsTable[[#This Row],[pi_email]]&amp;"&amp;subject=Your NSF Proposal:  "&amp;BudgetsTable[[#This Row],[prop_id]],BudgetsTable[[#This Row],[pi_email]]))</f>
        <v/>
      </c>
      <c r="P147" s="79" t="s">
        <v>13</v>
      </c>
      <c r="Q147" s="79">
        <v>1</v>
      </c>
      <c r="R147" s="79">
        <v>1</v>
      </c>
      <c r="S147" s="80">
        <v>0</v>
      </c>
      <c r="T147" s="80">
        <v>2500</v>
      </c>
      <c r="U147" s="80">
        <v>0</v>
      </c>
      <c r="V147" s="81">
        <v>107348</v>
      </c>
      <c r="W147" s="79">
        <v>0</v>
      </c>
      <c r="X147" s="79">
        <v>5</v>
      </c>
      <c r="Y147" s="11" t="str">
        <f ca="1">IF(ISBLANK(BudgetsTable[[#This Row],[budg_seq_yr]]),"FY"&amp;fiscalyear,"FY"&amp;fiscalyear-1+BudgetsTable[[#This Row],[budg_seq_yr]])</f>
        <v>FY22</v>
      </c>
      <c r="Z147" s="80">
        <v>107348</v>
      </c>
      <c r="AA147" s="79" t="s">
        <v>780</v>
      </c>
      <c r="AB147" s="79" t="s">
        <v>567</v>
      </c>
      <c r="AC147" s="106" t="s">
        <v>94</v>
      </c>
      <c r="AD147" s="79" t="s">
        <v>783</v>
      </c>
    </row>
    <row r="148" spans="1:30">
      <c r="A148" s="10" t="s">
        <v>1116</v>
      </c>
      <c r="B148" s="77" t="s">
        <v>96</v>
      </c>
      <c r="C148" s="77">
        <f>C147+(BudgetsTable[[#This Row],[lead]]&lt;&gt;K147)</f>
        <v>35</v>
      </c>
      <c r="D148" s="77">
        <f>D147*(BudgetsTable[[#This Row],[lead]]=K147)+(BudgetsTable[[#This Row],[prop_id]]&lt;&gt;A147)</f>
        <v>1</v>
      </c>
      <c r="E148" s="78">
        <v>42935.576388888891</v>
      </c>
      <c r="F148" s="79" t="s">
        <v>244</v>
      </c>
      <c r="G148" s="79" t="s">
        <v>780</v>
      </c>
      <c r="H148" s="79" t="s">
        <v>567</v>
      </c>
      <c r="I148" s="77" t="s">
        <v>582</v>
      </c>
      <c r="J148" s="77" t="s">
        <v>1430</v>
      </c>
      <c r="K148" s="79" t="s">
        <v>1116</v>
      </c>
      <c r="L148" s="7" t="str">
        <f>IF(BudgetsTable[[#This Row],[pi_last_name]]=" ","",HYPERLINK("https://www.ejacket.nsf.gov/ej/showProposal.do?Continue=Y&amp;ID="&amp;BudgetsTable[[#This Row],[prop_id]],BudgetsTable[[#This Row],[prop_id]]))</f>
        <v>1750555</v>
      </c>
      <c r="M148" s="15" t="str">
        <f>IF(BudgetsTable[[#This Row],[pi_last_name]]=" ","",HYPERLINK("https://www.ejacket.nsf.gov/ej/processReviewAnalysis.do?dispatch=add&amp;uniqId="&amp;BudgetsTable[[#This Row],[prop_id]]&amp;PO_id,"&gt;ra"))</f>
        <v>&gt;ra</v>
      </c>
      <c r="N148" s="79" t="s">
        <v>1117</v>
      </c>
      <c r="O148" s="7" t="str">
        <f>IF(BudgetsTable[[#This Row],[pi_last_name]]=" ","",HYPERLINK("mailto:"&amp;BudgetsTable[[#This Row],[pi_email]]&amp;"&amp;subject=Your NSF Proposal:  "&amp;BudgetsTable[[#This Row],[prop_id]],BudgetsTable[[#This Row],[pi_email]]))</f>
        <v xml:space="preserve"> hardt@eecs.berkeley.edu</v>
      </c>
      <c r="P148" s="79" t="s">
        <v>530</v>
      </c>
      <c r="Q148" s="79"/>
      <c r="R148" s="79"/>
      <c r="S148" s="80"/>
      <c r="T148" s="80"/>
      <c r="U148" s="80"/>
      <c r="V148" s="81"/>
      <c r="W148" s="79">
        <v>0</v>
      </c>
      <c r="X148" s="79"/>
      <c r="Y148" s="11" t="str">
        <f ca="1">IF(ISBLANK(BudgetsTable[[#This Row],[budg_seq_yr]]),"FY"&amp;fiscalyear,"FY"&amp;fiscalyear-1+BudgetsTable[[#This Row],[budg_seq_yr]])</f>
        <v>FY18</v>
      </c>
      <c r="Z148" s="80">
        <v>499434</v>
      </c>
      <c r="AA148" s="79" t="s">
        <v>780</v>
      </c>
      <c r="AB148" s="79" t="s">
        <v>567</v>
      </c>
      <c r="AC148" s="106" t="s">
        <v>94</v>
      </c>
      <c r="AD148" s="79" t="s">
        <v>783</v>
      </c>
    </row>
    <row r="149" spans="1:30">
      <c r="A149" s="10" t="s">
        <v>1116</v>
      </c>
      <c r="B149" s="77" t="s">
        <v>96</v>
      </c>
      <c r="C149" s="77">
        <f>C148+(BudgetsTable[[#This Row],[lead]]&lt;&gt;K148)</f>
        <v>35</v>
      </c>
      <c r="D149" s="77">
        <f>D148*(BudgetsTable[[#This Row],[lead]]=K148)+(BudgetsTable[[#This Row],[prop_id]]&lt;&gt;A148)</f>
        <v>1</v>
      </c>
      <c r="E149" s="78">
        <v>42935.576388888891</v>
      </c>
      <c r="F149" s="79" t="s">
        <v>244</v>
      </c>
      <c r="G149" s="79" t="s">
        <v>780</v>
      </c>
      <c r="H149" s="79" t="s">
        <v>567</v>
      </c>
      <c r="I149" s="77" t="s">
        <v>582</v>
      </c>
      <c r="J149" s="77" t="s">
        <v>13</v>
      </c>
      <c r="K149" s="79" t="s">
        <v>1116</v>
      </c>
      <c r="L149" s="7" t="str">
        <f>IF(BudgetsTable[[#This Row],[pi_last_name]]=" ","",HYPERLINK("https://www.ejacket.nsf.gov/ej/showProposal.do?Continue=Y&amp;ID="&amp;BudgetsTable[[#This Row],[prop_id]],BudgetsTable[[#This Row],[prop_id]]))</f>
        <v/>
      </c>
      <c r="M149" s="15" t="str">
        <f>IF(BudgetsTable[[#This Row],[pi_last_name]]=" ","",HYPERLINK("https://www.ejacket.nsf.gov/ej/processReviewAnalysis.do?dispatch=add&amp;uniqId="&amp;BudgetsTable[[#This Row],[prop_id]]&amp;PO_id,"&gt;ra"))</f>
        <v/>
      </c>
      <c r="N149" s="79" t="s">
        <v>13</v>
      </c>
      <c r="O149" s="7" t="str">
        <f>IF(BudgetsTable[[#This Row],[pi_last_name]]=" ","",HYPERLINK("mailto:"&amp;BudgetsTable[[#This Row],[pi_email]]&amp;"&amp;subject=Your NSF Proposal:  "&amp;BudgetsTable[[#This Row],[prop_id]],BudgetsTable[[#This Row],[pi_email]]))</f>
        <v/>
      </c>
      <c r="P149" s="79" t="s">
        <v>13</v>
      </c>
      <c r="Q149" s="79">
        <v>1</v>
      </c>
      <c r="R149" s="79">
        <v>0.2</v>
      </c>
      <c r="S149" s="80">
        <v>0</v>
      </c>
      <c r="T149" s="80">
        <v>0</v>
      </c>
      <c r="U149" s="80">
        <v>0</v>
      </c>
      <c r="V149" s="81">
        <v>90466</v>
      </c>
      <c r="W149" s="79">
        <v>0</v>
      </c>
      <c r="X149" s="79">
        <v>1</v>
      </c>
      <c r="Y149" s="11" t="str">
        <f ca="1">IF(ISBLANK(BudgetsTable[[#This Row],[budg_seq_yr]]),"FY"&amp;fiscalyear,"FY"&amp;fiscalyear-1+BudgetsTable[[#This Row],[budg_seq_yr]])</f>
        <v>FY18</v>
      </c>
      <c r="Z149" s="80">
        <v>90466</v>
      </c>
      <c r="AA149" s="79" t="s">
        <v>780</v>
      </c>
      <c r="AB149" s="79" t="s">
        <v>567</v>
      </c>
      <c r="AC149" s="106" t="s">
        <v>94</v>
      </c>
      <c r="AD149" s="79" t="s">
        <v>783</v>
      </c>
    </row>
    <row r="150" spans="1:30">
      <c r="A150" s="10" t="s">
        <v>1116</v>
      </c>
      <c r="B150" s="77" t="s">
        <v>96</v>
      </c>
      <c r="C150" s="77">
        <f>C149+(BudgetsTable[[#This Row],[lead]]&lt;&gt;K149)</f>
        <v>35</v>
      </c>
      <c r="D150" s="77">
        <f>D149*(BudgetsTable[[#This Row],[lead]]=K149)+(BudgetsTable[[#This Row],[prop_id]]&lt;&gt;A149)</f>
        <v>1</v>
      </c>
      <c r="E150" s="78">
        <v>42935.576388888891</v>
      </c>
      <c r="F150" s="79" t="s">
        <v>244</v>
      </c>
      <c r="G150" s="79" t="s">
        <v>780</v>
      </c>
      <c r="H150" s="79" t="s">
        <v>567</v>
      </c>
      <c r="I150" s="77" t="s">
        <v>582</v>
      </c>
      <c r="J150" s="77" t="s">
        <v>13</v>
      </c>
      <c r="K150" s="79" t="s">
        <v>1116</v>
      </c>
      <c r="L150" s="7" t="str">
        <f>IF(BudgetsTable[[#This Row],[pi_last_name]]=" ","",HYPERLINK("https://www.ejacket.nsf.gov/ej/showProposal.do?Continue=Y&amp;ID="&amp;BudgetsTable[[#This Row],[prop_id]],BudgetsTable[[#This Row],[prop_id]]))</f>
        <v/>
      </c>
      <c r="M150" s="15" t="str">
        <f>IF(BudgetsTable[[#This Row],[pi_last_name]]=" ","",HYPERLINK("https://www.ejacket.nsf.gov/ej/processReviewAnalysis.do?dispatch=add&amp;uniqId="&amp;BudgetsTable[[#This Row],[prop_id]]&amp;PO_id,"&gt;ra"))</f>
        <v/>
      </c>
      <c r="N150" s="79" t="s">
        <v>13</v>
      </c>
      <c r="O150" s="7" t="str">
        <f>IF(BudgetsTable[[#This Row],[pi_last_name]]=" ","",HYPERLINK("mailto:"&amp;BudgetsTable[[#This Row],[pi_email]]&amp;"&amp;subject=Your NSF Proposal:  "&amp;BudgetsTable[[#This Row],[prop_id]],BudgetsTable[[#This Row],[pi_email]]))</f>
        <v/>
      </c>
      <c r="P150" s="79" t="s">
        <v>13</v>
      </c>
      <c r="Q150" s="79">
        <v>1</v>
      </c>
      <c r="R150" s="79">
        <v>0.2</v>
      </c>
      <c r="S150" s="80">
        <v>0</v>
      </c>
      <c r="T150" s="80">
        <v>0</v>
      </c>
      <c r="U150" s="80">
        <v>0</v>
      </c>
      <c r="V150" s="81">
        <v>95197</v>
      </c>
      <c r="W150" s="79">
        <v>0</v>
      </c>
      <c r="X150" s="79">
        <v>2</v>
      </c>
      <c r="Y150" s="11" t="str">
        <f ca="1">IF(ISBLANK(BudgetsTable[[#This Row],[budg_seq_yr]]),"FY"&amp;fiscalyear,"FY"&amp;fiscalyear-1+BudgetsTable[[#This Row],[budg_seq_yr]])</f>
        <v>FY19</v>
      </c>
      <c r="Z150" s="80">
        <v>95197</v>
      </c>
      <c r="AA150" s="79" t="s">
        <v>780</v>
      </c>
      <c r="AB150" s="79" t="s">
        <v>567</v>
      </c>
      <c r="AC150" s="106" t="s">
        <v>94</v>
      </c>
      <c r="AD150" s="79" t="s">
        <v>783</v>
      </c>
    </row>
    <row r="151" spans="1:30">
      <c r="A151" s="10" t="s">
        <v>1116</v>
      </c>
      <c r="B151" s="77" t="s">
        <v>96</v>
      </c>
      <c r="C151" s="77">
        <f>C150+(BudgetsTable[[#This Row],[lead]]&lt;&gt;K150)</f>
        <v>35</v>
      </c>
      <c r="D151" s="77">
        <f>D150*(BudgetsTable[[#This Row],[lead]]=K150)+(BudgetsTable[[#This Row],[prop_id]]&lt;&gt;A150)</f>
        <v>1</v>
      </c>
      <c r="E151" s="78">
        <v>42935.576388888891</v>
      </c>
      <c r="F151" s="79" t="s">
        <v>244</v>
      </c>
      <c r="G151" s="79" t="s">
        <v>780</v>
      </c>
      <c r="H151" s="79" t="s">
        <v>567</v>
      </c>
      <c r="I151" s="77" t="s">
        <v>582</v>
      </c>
      <c r="J151" s="77" t="s">
        <v>13</v>
      </c>
      <c r="K151" s="79" t="s">
        <v>1116</v>
      </c>
      <c r="L151" s="7" t="str">
        <f>IF(BudgetsTable[[#This Row],[pi_last_name]]=" ","",HYPERLINK("https://www.ejacket.nsf.gov/ej/showProposal.do?Continue=Y&amp;ID="&amp;BudgetsTable[[#This Row],[prop_id]],BudgetsTable[[#This Row],[prop_id]]))</f>
        <v/>
      </c>
      <c r="M151" s="15" t="str">
        <f>IF(BudgetsTable[[#This Row],[pi_last_name]]=" ","",HYPERLINK("https://www.ejacket.nsf.gov/ej/processReviewAnalysis.do?dispatch=add&amp;uniqId="&amp;BudgetsTable[[#This Row],[prop_id]]&amp;PO_id,"&gt;ra"))</f>
        <v/>
      </c>
      <c r="N151" s="79" t="s">
        <v>13</v>
      </c>
      <c r="O151" s="7" t="str">
        <f>IF(BudgetsTable[[#This Row],[pi_last_name]]=" ","",HYPERLINK("mailto:"&amp;BudgetsTable[[#This Row],[pi_email]]&amp;"&amp;subject=Your NSF Proposal:  "&amp;BudgetsTable[[#This Row],[prop_id]],BudgetsTable[[#This Row],[pi_email]]))</f>
        <v/>
      </c>
      <c r="P151" s="79" t="s">
        <v>13</v>
      </c>
      <c r="Q151" s="79">
        <v>1</v>
      </c>
      <c r="R151" s="79">
        <v>0.2</v>
      </c>
      <c r="S151" s="80">
        <v>0</v>
      </c>
      <c r="T151" s="80">
        <v>0</v>
      </c>
      <c r="U151" s="80">
        <v>0</v>
      </c>
      <c r="V151" s="81">
        <v>100235</v>
      </c>
      <c r="W151" s="79">
        <v>0</v>
      </c>
      <c r="X151" s="79">
        <v>3</v>
      </c>
      <c r="Y151" s="11" t="str">
        <f ca="1">IF(ISBLANK(BudgetsTable[[#This Row],[budg_seq_yr]]),"FY"&amp;fiscalyear,"FY"&amp;fiscalyear-1+BudgetsTable[[#This Row],[budg_seq_yr]])</f>
        <v>FY20</v>
      </c>
      <c r="Z151" s="80">
        <v>100235</v>
      </c>
      <c r="AA151" s="79" t="s">
        <v>780</v>
      </c>
      <c r="AB151" s="79" t="s">
        <v>567</v>
      </c>
      <c r="AC151" s="106" t="s">
        <v>94</v>
      </c>
      <c r="AD151" s="79" t="s">
        <v>783</v>
      </c>
    </row>
    <row r="152" spans="1:30">
      <c r="A152" s="10" t="s">
        <v>1116</v>
      </c>
      <c r="B152" s="77" t="s">
        <v>96</v>
      </c>
      <c r="C152" s="77">
        <f>C151+(BudgetsTable[[#This Row],[lead]]&lt;&gt;K151)</f>
        <v>35</v>
      </c>
      <c r="D152" s="77">
        <f>D151*(BudgetsTable[[#This Row],[lead]]=K151)+(BudgetsTable[[#This Row],[prop_id]]&lt;&gt;A151)</f>
        <v>1</v>
      </c>
      <c r="E152" s="78">
        <v>42935.576388888891</v>
      </c>
      <c r="F152" s="79" t="s">
        <v>244</v>
      </c>
      <c r="G152" s="79" t="s">
        <v>780</v>
      </c>
      <c r="H152" s="79" t="s">
        <v>567</v>
      </c>
      <c r="I152" s="77" t="s">
        <v>582</v>
      </c>
      <c r="J152" s="77" t="s">
        <v>13</v>
      </c>
      <c r="K152" s="79" t="s">
        <v>1116</v>
      </c>
      <c r="L152" s="7" t="str">
        <f>IF(BudgetsTable[[#This Row],[pi_last_name]]=" ","",HYPERLINK("https://www.ejacket.nsf.gov/ej/showProposal.do?Continue=Y&amp;ID="&amp;BudgetsTable[[#This Row],[prop_id]],BudgetsTable[[#This Row],[prop_id]]))</f>
        <v/>
      </c>
      <c r="M152" s="15" t="str">
        <f>IF(BudgetsTable[[#This Row],[pi_last_name]]=" ","",HYPERLINK("https://www.ejacket.nsf.gov/ej/processReviewAnalysis.do?dispatch=add&amp;uniqId="&amp;BudgetsTable[[#This Row],[prop_id]]&amp;PO_id,"&gt;ra"))</f>
        <v/>
      </c>
      <c r="N152" s="79" t="s">
        <v>13</v>
      </c>
      <c r="O152" s="7" t="str">
        <f>IF(BudgetsTable[[#This Row],[pi_last_name]]=" ","",HYPERLINK("mailto:"&amp;BudgetsTable[[#This Row],[pi_email]]&amp;"&amp;subject=Your NSF Proposal:  "&amp;BudgetsTable[[#This Row],[prop_id]],BudgetsTable[[#This Row],[pi_email]]))</f>
        <v/>
      </c>
      <c r="P152" s="79" t="s">
        <v>13</v>
      </c>
      <c r="Q152" s="79">
        <v>1</v>
      </c>
      <c r="R152" s="79">
        <v>0.1</v>
      </c>
      <c r="S152" s="80">
        <v>0</v>
      </c>
      <c r="T152" s="80">
        <v>0</v>
      </c>
      <c r="U152" s="80">
        <v>0</v>
      </c>
      <c r="V152" s="81">
        <v>102811</v>
      </c>
      <c r="W152" s="79">
        <v>0</v>
      </c>
      <c r="X152" s="79">
        <v>4</v>
      </c>
      <c r="Y152" s="11" t="str">
        <f ca="1">IF(ISBLANK(BudgetsTable[[#This Row],[budg_seq_yr]]),"FY"&amp;fiscalyear,"FY"&amp;fiscalyear-1+BudgetsTable[[#This Row],[budg_seq_yr]])</f>
        <v>FY21</v>
      </c>
      <c r="Z152" s="80">
        <v>102811</v>
      </c>
      <c r="AA152" s="79" t="s">
        <v>780</v>
      </c>
      <c r="AB152" s="79" t="s">
        <v>567</v>
      </c>
      <c r="AC152" s="106" t="s">
        <v>94</v>
      </c>
      <c r="AD152" s="79" t="s">
        <v>783</v>
      </c>
    </row>
    <row r="153" spans="1:30">
      <c r="A153" s="10" t="s">
        <v>1116</v>
      </c>
      <c r="B153" s="77" t="s">
        <v>96</v>
      </c>
      <c r="C153" s="77">
        <f>C152+(BudgetsTable[[#This Row],[lead]]&lt;&gt;K152)</f>
        <v>35</v>
      </c>
      <c r="D153" s="77">
        <f>D152*(BudgetsTable[[#This Row],[lead]]=K152)+(BudgetsTable[[#This Row],[prop_id]]&lt;&gt;A152)</f>
        <v>1</v>
      </c>
      <c r="E153" s="78">
        <v>42935.576388888891</v>
      </c>
      <c r="F153" s="79" t="s">
        <v>244</v>
      </c>
      <c r="G153" s="79" t="s">
        <v>780</v>
      </c>
      <c r="H153" s="79" t="s">
        <v>567</v>
      </c>
      <c r="I153" s="77" t="s">
        <v>582</v>
      </c>
      <c r="J153" s="77" t="s">
        <v>13</v>
      </c>
      <c r="K153" s="79" t="s">
        <v>1116</v>
      </c>
      <c r="L153" s="7" t="str">
        <f>IF(BudgetsTable[[#This Row],[pi_last_name]]=" ","",HYPERLINK("https://www.ejacket.nsf.gov/ej/showProposal.do?Continue=Y&amp;ID="&amp;BudgetsTable[[#This Row],[prop_id]],BudgetsTable[[#This Row],[prop_id]]))</f>
        <v/>
      </c>
      <c r="M153" s="15" t="str">
        <f>IF(BudgetsTable[[#This Row],[pi_last_name]]=" ","",HYPERLINK("https://www.ejacket.nsf.gov/ej/processReviewAnalysis.do?dispatch=add&amp;uniqId="&amp;BudgetsTable[[#This Row],[prop_id]]&amp;PO_id,"&gt;ra"))</f>
        <v/>
      </c>
      <c r="N153" s="79" t="s">
        <v>13</v>
      </c>
      <c r="O153" s="7" t="str">
        <f>IF(BudgetsTable[[#This Row],[pi_last_name]]=" ","",HYPERLINK("mailto:"&amp;BudgetsTable[[#This Row],[pi_email]]&amp;"&amp;subject=Your NSF Proposal:  "&amp;BudgetsTable[[#This Row],[prop_id]],BudgetsTable[[#This Row],[pi_email]]))</f>
        <v/>
      </c>
      <c r="P153" s="79" t="s">
        <v>13</v>
      </c>
      <c r="Q153" s="79">
        <v>1</v>
      </c>
      <c r="R153" s="79">
        <v>0.1</v>
      </c>
      <c r="S153" s="80">
        <v>0</v>
      </c>
      <c r="T153" s="80">
        <v>0</v>
      </c>
      <c r="U153" s="80">
        <v>0</v>
      </c>
      <c r="V153" s="81">
        <v>110725</v>
      </c>
      <c r="W153" s="79">
        <v>0</v>
      </c>
      <c r="X153" s="79">
        <v>5</v>
      </c>
      <c r="Y153" s="11" t="str">
        <f ca="1">IF(ISBLANK(BudgetsTable[[#This Row],[budg_seq_yr]]),"FY"&amp;fiscalyear,"FY"&amp;fiscalyear-1+BudgetsTable[[#This Row],[budg_seq_yr]])</f>
        <v>FY22</v>
      </c>
      <c r="Z153" s="80">
        <v>110725</v>
      </c>
      <c r="AA153" s="79" t="s">
        <v>780</v>
      </c>
      <c r="AB153" s="79" t="s">
        <v>567</v>
      </c>
      <c r="AC153" s="106" t="s">
        <v>94</v>
      </c>
      <c r="AD153" s="79" t="s">
        <v>783</v>
      </c>
    </row>
    <row r="154" spans="1:30">
      <c r="A154" s="10" t="s">
        <v>1124</v>
      </c>
      <c r="B154" s="77" t="s">
        <v>96</v>
      </c>
      <c r="C154" s="77">
        <f>C153+(BudgetsTable[[#This Row],[lead]]&lt;&gt;K153)</f>
        <v>36</v>
      </c>
      <c r="D154" s="77">
        <f>D153*(BudgetsTable[[#This Row],[lead]]=K153)+(BudgetsTable[[#This Row],[prop_id]]&lt;&gt;A153)</f>
        <v>1</v>
      </c>
      <c r="E154" s="78">
        <v>42935.599305555559</v>
      </c>
      <c r="F154" s="79" t="s">
        <v>244</v>
      </c>
      <c r="G154" s="79" t="s">
        <v>780</v>
      </c>
      <c r="H154" s="79" t="s">
        <v>567</v>
      </c>
      <c r="I154" s="77" t="s">
        <v>582</v>
      </c>
      <c r="J154" s="77" t="s">
        <v>1435</v>
      </c>
      <c r="K154" s="79" t="s">
        <v>1124</v>
      </c>
      <c r="L154" s="7" t="str">
        <f>IF(BudgetsTable[[#This Row],[pi_last_name]]=" ","",HYPERLINK("https://www.ejacket.nsf.gov/ej/showProposal.do?Continue=Y&amp;ID="&amp;BudgetsTable[[#This Row],[prop_id]],BudgetsTable[[#This Row],[prop_id]]))</f>
        <v>1750640</v>
      </c>
      <c r="M154" s="15" t="str">
        <f>IF(BudgetsTable[[#This Row],[pi_last_name]]=" ","",HYPERLINK("https://www.ejacket.nsf.gov/ej/processReviewAnalysis.do?dispatch=add&amp;uniqId="&amp;BudgetsTable[[#This Row],[prop_id]]&amp;PO_id,"&gt;ra"))</f>
        <v>&gt;ra</v>
      </c>
      <c r="N154" s="79" t="s">
        <v>1125</v>
      </c>
      <c r="O154" s="7" t="str">
        <f>IF(BudgetsTable[[#This Row],[pi_last_name]]=" ","",HYPERLINK("mailto:"&amp;BudgetsTable[[#This Row],[pi_email]]&amp;"&amp;subject=Your NSF Proposal:  "&amp;BudgetsTable[[#This Row],[prop_id]],BudgetsTable[[#This Row],[pi_email]]))</f>
        <v>jullman@ccs.neu.edu</v>
      </c>
      <c r="P154" s="79" t="s">
        <v>1432</v>
      </c>
      <c r="Q154" s="79"/>
      <c r="R154" s="79"/>
      <c r="S154" s="80"/>
      <c r="T154" s="80"/>
      <c r="U154" s="80"/>
      <c r="V154" s="81"/>
      <c r="W154" s="79">
        <v>0</v>
      </c>
      <c r="X154" s="79"/>
      <c r="Y154" s="11" t="str">
        <f ca="1">IF(ISBLANK(BudgetsTable[[#This Row],[budg_seq_yr]]),"FY"&amp;fiscalyear,"FY"&amp;fiscalyear-1+BudgetsTable[[#This Row],[budg_seq_yr]])</f>
        <v>FY18</v>
      </c>
      <c r="Z154" s="80">
        <v>545883</v>
      </c>
      <c r="AA154" s="79" t="s">
        <v>780</v>
      </c>
      <c r="AB154" s="79" t="s">
        <v>567</v>
      </c>
      <c r="AC154" s="106" t="s">
        <v>94</v>
      </c>
      <c r="AD154" s="79" t="s">
        <v>783</v>
      </c>
    </row>
    <row r="155" spans="1:30">
      <c r="A155" s="10" t="s">
        <v>1124</v>
      </c>
      <c r="B155" s="77" t="s">
        <v>96</v>
      </c>
      <c r="C155" s="77">
        <f>C154+(BudgetsTable[[#This Row],[lead]]&lt;&gt;K154)</f>
        <v>36</v>
      </c>
      <c r="D155" s="77">
        <f>D154*(BudgetsTable[[#This Row],[lead]]=K154)+(BudgetsTable[[#This Row],[prop_id]]&lt;&gt;A154)</f>
        <v>1</v>
      </c>
      <c r="E155" s="78">
        <v>42935.599305555559</v>
      </c>
      <c r="F155" s="79" t="s">
        <v>244</v>
      </c>
      <c r="G155" s="79" t="s">
        <v>780</v>
      </c>
      <c r="H155" s="79" t="s">
        <v>567</v>
      </c>
      <c r="I155" s="77" t="s">
        <v>582</v>
      </c>
      <c r="J155" s="77" t="s">
        <v>13</v>
      </c>
      <c r="K155" s="79" t="s">
        <v>1124</v>
      </c>
      <c r="L155" s="7" t="str">
        <f>IF(BudgetsTable[[#This Row],[pi_last_name]]=" ","",HYPERLINK("https://www.ejacket.nsf.gov/ej/showProposal.do?Continue=Y&amp;ID="&amp;BudgetsTable[[#This Row],[prop_id]],BudgetsTable[[#This Row],[prop_id]]))</f>
        <v/>
      </c>
      <c r="M155" s="15" t="str">
        <f>IF(BudgetsTable[[#This Row],[pi_last_name]]=" ","",HYPERLINK("https://www.ejacket.nsf.gov/ej/processReviewAnalysis.do?dispatch=add&amp;uniqId="&amp;BudgetsTable[[#This Row],[prop_id]]&amp;PO_id,"&gt;ra"))</f>
        <v/>
      </c>
      <c r="N155" s="79" t="s">
        <v>13</v>
      </c>
      <c r="O155" s="7" t="str">
        <f>IF(BudgetsTable[[#This Row],[pi_last_name]]=" ","",HYPERLINK("mailto:"&amp;BudgetsTable[[#This Row],[pi_email]]&amp;"&amp;subject=Your NSF Proposal:  "&amp;BudgetsTable[[#This Row],[prop_id]],BudgetsTable[[#This Row],[pi_email]]))</f>
        <v/>
      </c>
      <c r="P155" s="79" t="s">
        <v>13</v>
      </c>
      <c r="Q155" s="79">
        <v>1</v>
      </c>
      <c r="R155" s="79">
        <v>1</v>
      </c>
      <c r="S155" s="80">
        <v>0</v>
      </c>
      <c r="T155" s="80">
        <v>3000</v>
      </c>
      <c r="U155" s="80">
        <v>0</v>
      </c>
      <c r="V155" s="81">
        <v>102820</v>
      </c>
      <c r="W155" s="79">
        <v>0</v>
      </c>
      <c r="X155" s="79">
        <v>1</v>
      </c>
      <c r="Y155" s="11" t="str">
        <f ca="1">IF(ISBLANK(BudgetsTable[[#This Row],[budg_seq_yr]]),"FY"&amp;fiscalyear,"FY"&amp;fiscalyear-1+BudgetsTable[[#This Row],[budg_seq_yr]])</f>
        <v>FY18</v>
      </c>
      <c r="Z155" s="80">
        <v>102820</v>
      </c>
      <c r="AA155" s="79" t="s">
        <v>780</v>
      </c>
      <c r="AB155" s="79" t="s">
        <v>567</v>
      </c>
      <c r="AC155" s="106" t="s">
        <v>94</v>
      </c>
      <c r="AD155" s="79" t="s">
        <v>783</v>
      </c>
    </row>
    <row r="156" spans="1:30">
      <c r="A156" s="10" t="s">
        <v>1124</v>
      </c>
      <c r="B156" s="77" t="s">
        <v>96</v>
      </c>
      <c r="C156" s="77">
        <f>C155+(BudgetsTable[[#This Row],[lead]]&lt;&gt;K155)</f>
        <v>36</v>
      </c>
      <c r="D156" s="77">
        <f>D155*(BudgetsTable[[#This Row],[lead]]=K155)+(BudgetsTable[[#This Row],[prop_id]]&lt;&gt;A155)</f>
        <v>1</v>
      </c>
      <c r="E156" s="78">
        <v>42935.599305555559</v>
      </c>
      <c r="F156" s="79" t="s">
        <v>244</v>
      </c>
      <c r="G156" s="79" t="s">
        <v>780</v>
      </c>
      <c r="H156" s="79" t="s">
        <v>567</v>
      </c>
      <c r="I156" s="77" t="s">
        <v>582</v>
      </c>
      <c r="J156" s="77" t="s">
        <v>13</v>
      </c>
      <c r="K156" s="79" t="s">
        <v>1124</v>
      </c>
      <c r="L156" s="7" t="str">
        <f>IF(BudgetsTable[[#This Row],[pi_last_name]]=" ","",HYPERLINK("https://www.ejacket.nsf.gov/ej/showProposal.do?Continue=Y&amp;ID="&amp;BudgetsTable[[#This Row],[prop_id]],BudgetsTable[[#This Row],[prop_id]]))</f>
        <v/>
      </c>
      <c r="M156" s="15" t="str">
        <f>IF(BudgetsTable[[#This Row],[pi_last_name]]=" ","",HYPERLINK("https://www.ejacket.nsf.gov/ej/processReviewAnalysis.do?dispatch=add&amp;uniqId="&amp;BudgetsTable[[#This Row],[prop_id]]&amp;PO_id,"&gt;ra"))</f>
        <v/>
      </c>
      <c r="N156" s="79" t="s">
        <v>13</v>
      </c>
      <c r="O156" s="7" t="str">
        <f>IF(BudgetsTable[[#This Row],[pi_last_name]]=" ","",HYPERLINK("mailto:"&amp;BudgetsTable[[#This Row],[pi_email]]&amp;"&amp;subject=Your NSF Proposal:  "&amp;BudgetsTable[[#This Row],[prop_id]],BudgetsTable[[#This Row],[pi_email]]))</f>
        <v/>
      </c>
      <c r="P156" s="79" t="s">
        <v>13</v>
      </c>
      <c r="Q156" s="79">
        <v>1</v>
      </c>
      <c r="R156" s="79">
        <v>1</v>
      </c>
      <c r="S156" s="80">
        <v>0</v>
      </c>
      <c r="T156" s="80">
        <v>3090</v>
      </c>
      <c r="U156" s="80">
        <v>0</v>
      </c>
      <c r="V156" s="81">
        <v>105903</v>
      </c>
      <c r="W156" s="79">
        <v>0</v>
      </c>
      <c r="X156" s="79">
        <v>2</v>
      </c>
      <c r="Y156" s="11" t="str">
        <f ca="1">IF(ISBLANK(BudgetsTable[[#This Row],[budg_seq_yr]]),"FY"&amp;fiscalyear,"FY"&amp;fiscalyear-1+BudgetsTable[[#This Row],[budg_seq_yr]])</f>
        <v>FY19</v>
      </c>
      <c r="Z156" s="80">
        <v>105903</v>
      </c>
      <c r="AA156" s="79" t="s">
        <v>780</v>
      </c>
      <c r="AB156" s="79" t="s">
        <v>567</v>
      </c>
      <c r="AC156" s="106" t="s">
        <v>94</v>
      </c>
      <c r="AD156" s="79" t="s">
        <v>783</v>
      </c>
    </row>
    <row r="157" spans="1:30">
      <c r="A157" s="10" t="s">
        <v>1124</v>
      </c>
      <c r="B157" s="77" t="s">
        <v>96</v>
      </c>
      <c r="C157" s="77">
        <f>C156+(BudgetsTable[[#This Row],[lead]]&lt;&gt;K156)</f>
        <v>36</v>
      </c>
      <c r="D157" s="77">
        <f>D156*(BudgetsTable[[#This Row],[lead]]=K156)+(BudgetsTable[[#This Row],[prop_id]]&lt;&gt;A156)</f>
        <v>1</v>
      </c>
      <c r="E157" s="78">
        <v>42935.599305555559</v>
      </c>
      <c r="F157" s="79" t="s">
        <v>244</v>
      </c>
      <c r="G157" s="79" t="s">
        <v>780</v>
      </c>
      <c r="H157" s="79" t="s">
        <v>567</v>
      </c>
      <c r="I157" s="77" t="s">
        <v>582</v>
      </c>
      <c r="J157" s="77" t="s">
        <v>13</v>
      </c>
      <c r="K157" s="79" t="s">
        <v>1124</v>
      </c>
      <c r="L157" s="7" t="str">
        <f>IF(BudgetsTable[[#This Row],[pi_last_name]]=" ","",HYPERLINK("https://www.ejacket.nsf.gov/ej/showProposal.do?Continue=Y&amp;ID="&amp;BudgetsTable[[#This Row],[prop_id]],BudgetsTable[[#This Row],[prop_id]]))</f>
        <v/>
      </c>
      <c r="M157" s="15" t="str">
        <f>IF(BudgetsTable[[#This Row],[pi_last_name]]=" ","",HYPERLINK("https://www.ejacket.nsf.gov/ej/processReviewAnalysis.do?dispatch=add&amp;uniqId="&amp;BudgetsTable[[#This Row],[prop_id]]&amp;PO_id,"&gt;ra"))</f>
        <v/>
      </c>
      <c r="N157" s="79" t="s">
        <v>13</v>
      </c>
      <c r="O157" s="7" t="str">
        <f>IF(BudgetsTable[[#This Row],[pi_last_name]]=" ","",HYPERLINK("mailto:"&amp;BudgetsTable[[#This Row],[pi_email]]&amp;"&amp;subject=Your NSF Proposal:  "&amp;BudgetsTable[[#This Row],[prop_id]],BudgetsTable[[#This Row],[pi_email]]))</f>
        <v/>
      </c>
      <c r="P157" s="79" t="s">
        <v>13</v>
      </c>
      <c r="Q157" s="79">
        <v>1</v>
      </c>
      <c r="R157" s="79">
        <v>1</v>
      </c>
      <c r="S157" s="80">
        <v>0</v>
      </c>
      <c r="T157" s="80">
        <v>3183</v>
      </c>
      <c r="U157" s="80">
        <v>0</v>
      </c>
      <c r="V157" s="81">
        <v>109082</v>
      </c>
      <c r="W157" s="79">
        <v>0</v>
      </c>
      <c r="X157" s="79">
        <v>3</v>
      </c>
      <c r="Y157" s="11" t="str">
        <f ca="1">IF(ISBLANK(BudgetsTable[[#This Row],[budg_seq_yr]]),"FY"&amp;fiscalyear,"FY"&amp;fiscalyear-1+BudgetsTable[[#This Row],[budg_seq_yr]])</f>
        <v>FY20</v>
      </c>
      <c r="Z157" s="80">
        <v>109082</v>
      </c>
      <c r="AA157" s="79" t="s">
        <v>780</v>
      </c>
      <c r="AB157" s="79" t="s">
        <v>567</v>
      </c>
      <c r="AC157" s="106" t="s">
        <v>94</v>
      </c>
      <c r="AD157" s="79" t="s">
        <v>783</v>
      </c>
    </row>
    <row r="158" spans="1:30">
      <c r="A158" s="10" t="s">
        <v>1124</v>
      </c>
      <c r="B158" s="77" t="s">
        <v>96</v>
      </c>
      <c r="C158" s="77">
        <f>C157+(BudgetsTable[[#This Row],[lead]]&lt;&gt;K157)</f>
        <v>36</v>
      </c>
      <c r="D158" s="77">
        <f>D157*(BudgetsTable[[#This Row],[lead]]=K157)+(BudgetsTable[[#This Row],[prop_id]]&lt;&gt;A157)</f>
        <v>1</v>
      </c>
      <c r="E158" s="78">
        <v>42935.599305555559</v>
      </c>
      <c r="F158" s="79" t="s">
        <v>244</v>
      </c>
      <c r="G158" s="79" t="s">
        <v>780</v>
      </c>
      <c r="H158" s="79" t="s">
        <v>567</v>
      </c>
      <c r="I158" s="77" t="s">
        <v>582</v>
      </c>
      <c r="J158" s="77" t="s">
        <v>13</v>
      </c>
      <c r="K158" s="79" t="s">
        <v>1124</v>
      </c>
      <c r="L158" s="7" t="str">
        <f>IF(BudgetsTable[[#This Row],[pi_last_name]]=" ","",HYPERLINK("https://www.ejacket.nsf.gov/ej/showProposal.do?Continue=Y&amp;ID="&amp;BudgetsTable[[#This Row],[prop_id]],BudgetsTable[[#This Row],[prop_id]]))</f>
        <v/>
      </c>
      <c r="M158" s="15" t="str">
        <f>IF(BudgetsTable[[#This Row],[pi_last_name]]=" ","",HYPERLINK("https://www.ejacket.nsf.gov/ej/processReviewAnalysis.do?dispatch=add&amp;uniqId="&amp;BudgetsTable[[#This Row],[prop_id]]&amp;PO_id,"&gt;ra"))</f>
        <v/>
      </c>
      <c r="N158" s="79" t="s">
        <v>13</v>
      </c>
      <c r="O158" s="7" t="str">
        <f>IF(BudgetsTable[[#This Row],[pi_last_name]]=" ","",HYPERLINK("mailto:"&amp;BudgetsTable[[#This Row],[pi_email]]&amp;"&amp;subject=Your NSF Proposal:  "&amp;BudgetsTable[[#This Row],[prop_id]],BudgetsTable[[#This Row],[pi_email]]))</f>
        <v/>
      </c>
      <c r="P158" s="79" t="s">
        <v>13</v>
      </c>
      <c r="Q158" s="79">
        <v>1</v>
      </c>
      <c r="R158" s="79">
        <v>1</v>
      </c>
      <c r="S158" s="80">
        <v>0</v>
      </c>
      <c r="T158" s="80">
        <v>3278</v>
      </c>
      <c r="U158" s="80">
        <v>0</v>
      </c>
      <c r="V158" s="81">
        <v>112353</v>
      </c>
      <c r="W158" s="79">
        <v>0</v>
      </c>
      <c r="X158" s="79">
        <v>4</v>
      </c>
      <c r="Y158" s="11" t="str">
        <f ca="1">IF(ISBLANK(BudgetsTable[[#This Row],[budg_seq_yr]]),"FY"&amp;fiscalyear,"FY"&amp;fiscalyear-1+BudgetsTable[[#This Row],[budg_seq_yr]])</f>
        <v>FY21</v>
      </c>
      <c r="Z158" s="80">
        <v>112353</v>
      </c>
      <c r="AA158" s="79" t="s">
        <v>780</v>
      </c>
      <c r="AB158" s="79" t="s">
        <v>567</v>
      </c>
      <c r="AC158" s="106" t="s">
        <v>94</v>
      </c>
      <c r="AD158" s="79" t="s">
        <v>783</v>
      </c>
    </row>
    <row r="159" spans="1:30">
      <c r="A159" s="10" t="s">
        <v>1124</v>
      </c>
      <c r="B159" s="77" t="s">
        <v>96</v>
      </c>
      <c r="C159" s="77">
        <f>C158+(BudgetsTable[[#This Row],[lead]]&lt;&gt;K158)</f>
        <v>36</v>
      </c>
      <c r="D159" s="77">
        <f>D158*(BudgetsTable[[#This Row],[lead]]=K158)+(BudgetsTable[[#This Row],[prop_id]]&lt;&gt;A158)</f>
        <v>1</v>
      </c>
      <c r="E159" s="78">
        <v>42935.599305555559</v>
      </c>
      <c r="F159" s="79" t="s">
        <v>244</v>
      </c>
      <c r="G159" s="79" t="s">
        <v>780</v>
      </c>
      <c r="H159" s="79" t="s">
        <v>567</v>
      </c>
      <c r="I159" s="77" t="s">
        <v>582</v>
      </c>
      <c r="J159" s="77" t="s">
        <v>13</v>
      </c>
      <c r="K159" s="79" t="s">
        <v>1124</v>
      </c>
      <c r="L159" s="7" t="str">
        <f>IF(BudgetsTable[[#This Row],[pi_last_name]]=" ","",HYPERLINK("https://www.ejacket.nsf.gov/ej/showProposal.do?Continue=Y&amp;ID="&amp;BudgetsTable[[#This Row],[prop_id]],BudgetsTable[[#This Row],[prop_id]]))</f>
        <v/>
      </c>
      <c r="M159" s="15" t="str">
        <f>IF(BudgetsTable[[#This Row],[pi_last_name]]=" ","",HYPERLINK("https://www.ejacket.nsf.gov/ej/processReviewAnalysis.do?dispatch=add&amp;uniqId="&amp;BudgetsTable[[#This Row],[prop_id]]&amp;PO_id,"&gt;ra"))</f>
        <v/>
      </c>
      <c r="N159" s="79" t="s">
        <v>13</v>
      </c>
      <c r="O159" s="7" t="str">
        <f>IF(BudgetsTable[[#This Row],[pi_last_name]]=" ","",HYPERLINK("mailto:"&amp;BudgetsTable[[#This Row],[pi_email]]&amp;"&amp;subject=Your NSF Proposal:  "&amp;BudgetsTable[[#This Row],[prop_id]],BudgetsTable[[#This Row],[pi_email]]))</f>
        <v/>
      </c>
      <c r="P159" s="79" t="s">
        <v>13</v>
      </c>
      <c r="Q159" s="79">
        <v>1</v>
      </c>
      <c r="R159" s="79">
        <v>1</v>
      </c>
      <c r="S159" s="80">
        <v>0</v>
      </c>
      <c r="T159" s="80">
        <v>3377</v>
      </c>
      <c r="U159" s="80">
        <v>0</v>
      </c>
      <c r="V159" s="81">
        <v>115725</v>
      </c>
      <c r="W159" s="79">
        <v>0</v>
      </c>
      <c r="X159" s="79">
        <v>5</v>
      </c>
      <c r="Y159" s="11" t="str">
        <f ca="1">IF(ISBLANK(BudgetsTable[[#This Row],[budg_seq_yr]]),"FY"&amp;fiscalyear,"FY"&amp;fiscalyear-1+BudgetsTable[[#This Row],[budg_seq_yr]])</f>
        <v>FY22</v>
      </c>
      <c r="Z159" s="80">
        <v>115725</v>
      </c>
      <c r="AA159" s="79" t="s">
        <v>780</v>
      </c>
      <c r="AB159" s="79" t="s">
        <v>567</v>
      </c>
      <c r="AC159" s="106" t="s">
        <v>94</v>
      </c>
      <c r="AD159" s="79" t="s">
        <v>783</v>
      </c>
    </row>
    <row r="160" spans="1:30">
      <c r="A160" s="10" t="s">
        <v>1132</v>
      </c>
      <c r="B160" s="77" t="s">
        <v>96</v>
      </c>
      <c r="C160" s="77">
        <f>C159+(BudgetsTable[[#This Row],[lead]]&lt;&gt;K159)</f>
        <v>37</v>
      </c>
      <c r="D160" s="77">
        <f>D159*(BudgetsTable[[#This Row],[lead]]=K159)+(BudgetsTable[[#This Row],[prop_id]]&lt;&gt;A159)</f>
        <v>1</v>
      </c>
      <c r="E160" s="78">
        <v>42935.603472222225</v>
      </c>
      <c r="F160" s="79" t="s">
        <v>244</v>
      </c>
      <c r="G160" s="79" t="s">
        <v>780</v>
      </c>
      <c r="H160" s="79" t="s">
        <v>567</v>
      </c>
      <c r="I160" s="77" t="s">
        <v>582</v>
      </c>
      <c r="J160" s="77" t="s">
        <v>1438</v>
      </c>
      <c r="K160" s="79" t="s">
        <v>1132</v>
      </c>
      <c r="L160" s="7" t="str">
        <f>IF(BudgetsTable[[#This Row],[pi_last_name]]=" ","",HYPERLINK("https://www.ejacket.nsf.gov/ej/showProposal.do?Continue=Y&amp;ID="&amp;BudgetsTable[[#This Row],[prop_id]],BudgetsTable[[#This Row],[prop_id]]))</f>
        <v>1750651</v>
      </c>
      <c r="M160" s="15" t="str">
        <f>IF(BudgetsTable[[#This Row],[pi_last_name]]=" ","",HYPERLINK("https://www.ejacket.nsf.gov/ej/processReviewAnalysis.do?dispatch=add&amp;uniqId="&amp;BudgetsTable[[#This Row],[prop_id]]&amp;PO_id,"&gt;ra"))</f>
        <v>&gt;ra</v>
      </c>
      <c r="N160" s="79" t="s">
        <v>1133</v>
      </c>
      <c r="O160" s="7" t="str">
        <f>IF(BudgetsTable[[#This Row],[pi_last_name]]=" ","",HYPERLINK("mailto:"&amp;BudgetsTable[[#This Row],[pi_email]]&amp;"&amp;subject=Your NSF Proposal:  "&amp;BudgetsTable[[#This Row],[prop_id]],BudgetsTable[[#This Row],[pi_email]]))</f>
        <v>pranjal.iitm@gmail.com</v>
      </c>
      <c r="P160" s="79" t="s">
        <v>1368</v>
      </c>
      <c r="Q160" s="79"/>
      <c r="R160" s="79"/>
      <c r="S160" s="80"/>
      <c r="T160" s="80"/>
      <c r="U160" s="80"/>
      <c r="V160" s="81"/>
      <c r="W160" s="79">
        <v>0</v>
      </c>
      <c r="X160" s="79"/>
      <c r="Y160" s="11" t="str">
        <f ca="1">IF(ISBLANK(BudgetsTable[[#This Row],[budg_seq_yr]]),"FY"&amp;fiscalyear,"FY"&amp;fiscalyear-1+BudgetsTable[[#This Row],[budg_seq_yr]])</f>
        <v>FY18</v>
      </c>
      <c r="Z160" s="80">
        <v>695874</v>
      </c>
      <c r="AA160" s="79" t="s">
        <v>780</v>
      </c>
      <c r="AB160" s="79" t="s">
        <v>567</v>
      </c>
      <c r="AC160" s="106" t="s">
        <v>94</v>
      </c>
      <c r="AD160" s="79" t="s">
        <v>783</v>
      </c>
    </row>
    <row r="161" spans="1:30">
      <c r="A161" s="10" t="s">
        <v>1132</v>
      </c>
      <c r="B161" s="77" t="s">
        <v>96</v>
      </c>
      <c r="C161" s="77">
        <f>C160+(BudgetsTable[[#This Row],[lead]]&lt;&gt;K160)</f>
        <v>37</v>
      </c>
      <c r="D161" s="77">
        <f>D160*(BudgetsTable[[#This Row],[lead]]=K160)+(BudgetsTable[[#This Row],[prop_id]]&lt;&gt;A160)</f>
        <v>1</v>
      </c>
      <c r="E161" s="78">
        <v>42935.603472222225</v>
      </c>
      <c r="F161" s="79" t="s">
        <v>244</v>
      </c>
      <c r="G161" s="79" t="s">
        <v>780</v>
      </c>
      <c r="H161" s="79" t="s">
        <v>567</v>
      </c>
      <c r="I161" s="77" t="s">
        <v>582</v>
      </c>
      <c r="J161" s="77" t="s">
        <v>13</v>
      </c>
      <c r="K161" s="79" t="s">
        <v>1132</v>
      </c>
      <c r="L161" s="7" t="str">
        <f>IF(BudgetsTable[[#This Row],[pi_last_name]]=" ","",HYPERLINK("https://www.ejacket.nsf.gov/ej/showProposal.do?Continue=Y&amp;ID="&amp;BudgetsTable[[#This Row],[prop_id]],BudgetsTable[[#This Row],[prop_id]]))</f>
        <v/>
      </c>
      <c r="M161" s="15" t="str">
        <f>IF(BudgetsTable[[#This Row],[pi_last_name]]=" ","",HYPERLINK("https://www.ejacket.nsf.gov/ej/processReviewAnalysis.do?dispatch=add&amp;uniqId="&amp;BudgetsTable[[#This Row],[prop_id]]&amp;PO_id,"&gt;ra"))</f>
        <v/>
      </c>
      <c r="N161" s="79" t="s">
        <v>13</v>
      </c>
      <c r="O161" s="7" t="str">
        <f>IF(BudgetsTable[[#This Row],[pi_last_name]]=" ","",HYPERLINK("mailto:"&amp;BudgetsTable[[#This Row],[pi_email]]&amp;"&amp;subject=Your NSF Proposal:  "&amp;BudgetsTable[[#This Row],[prop_id]],BudgetsTable[[#This Row],[pi_email]]))</f>
        <v/>
      </c>
      <c r="P161" s="79" t="s">
        <v>13</v>
      </c>
      <c r="Q161" s="79">
        <v>1</v>
      </c>
      <c r="R161" s="79">
        <v>1</v>
      </c>
      <c r="S161" s="80">
        <v>0</v>
      </c>
      <c r="T161" s="80">
        <v>2575</v>
      </c>
      <c r="U161" s="80">
        <v>0</v>
      </c>
      <c r="V161" s="81">
        <v>130621</v>
      </c>
      <c r="W161" s="79">
        <v>0</v>
      </c>
      <c r="X161" s="79">
        <v>1</v>
      </c>
      <c r="Y161" s="11" t="str">
        <f ca="1">IF(ISBLANK(BudgetsTable[[#This Row],[budg_seq_yr]]),"FY"&amp;fiscalyear,"FY"&amp;fiscalyear-1+BudgetsTable[[#This Row],[budg_seq_yr]])</f>
        <v>FY18</v>
      </c>
      <c r="Z161" s="80">
        <v>130621</v>
      </c>
      <c r="AA161" s="79" t="s">
        <v>780</v>
      </c>
      <c r="AB161" s="79" t="s">
        <v>567</v>
      </c>
      <c r="AC161" s="106" t="s">
        <v>94</v>
      </c>
      <c r="AD161" s="79" t="s">
        <v>783</v>
      </c>
    </row>
    <row r="162" spans="1:30">
      <c r="A162" s="10" t="s">
        <v>1132</v>
      </c>
      <c r="B162" s="77" t="s">
        <v>96</v>
      </c>
      <c r="C162" s="77">
        <f>C161+(BudgetsTable[[#This Row],[lead]]&lt;&gt;K161)</f>
        <v>37</v>
      </c>
      <c r="D162" s="77">
        <f>D161*(BudgetsTable[[#This Row],[lead]]=K161)+(BudgetsTable[[#This Row],[prop_id]]&lt;&gt;A161)</f>
        <v>1</v>
      </c>
      <c r="E162" s="78">
        <v>42935.603472222225</v>
      </c>
      <c r="F162" s="79" t="s">
        <v>244</v>
      </c>
      <c r="G162" s="79" t="s">
        <v>780</v>
      </c>
      <c r="H162" s="79" t="s">
        <v>567</v>
      </c>
      <c r="I162" s="77" t="s">
        <v>582</v>
      </c>
      <c r="J162" s="77" t="s">
        <v>13</v>
      </c>
      <c r="K162" s="79" t="s">
        <v>1132</v>
      </c>
      <c r="L162" s="7" t="str">
        <f>IF(BudgetsTable[[#This Row],[pi_last_name]]=" ","",HYPERLINK("https://www.ejacket.nsf.gov/ej/showProposal.do?Continue=Y&amp;ID="&amp;BudgetsTable[[#This Row],[prop_id]],BudgetsTable[[#This Row],[prop_id]]))</f>
        <v/>
      </c>
      <c r="M162" s="15" t="str">
        <f>IF(BudgetsTable[[#This Row],[pi_last_name]]=" ","",HYPERLINK("https://www.ejacket.nsf.gov/ej/processReviewAnalysis.do?dispatch=add&amp;uniqId="&amp;BudgetsTable[[#This Row],[prop_id]]&amp;PO_id,"&gt;ra"))</f>
        <v/>
      </c>
      <c r="N162" s="79" t="s">
        <v>13</v>
      </c>
      <c r="O162" s="7" t="str">
        <f>IF(BudgetsTable[[#This Row],[pi_last_name]]=" ","",HYPERLINK("mailto:"&amp;BudgetsTable[[#This Row],[pi_email]]&amp;"&amp;subject=Your NSF Proposal:  "&amp;BudgetsTable[[#This Row],[prop_id]],BudgetsTable[[#This Row],[pi_email]]))</f>
        <v/>
      </c>
      <c r="P162" s="79" t="s">
        <v>13</v>
      </c>
      <c r="Q162" s="79">
        <v>1</v>
      </c>
      <c r="R162" s="79">
        <v>1</v>
      </c>
      <c r="S162" s="80">
        <v>0</v>
      </c>
      <c r="T162" s="80">
        <v>2575</v>
      </c>
      <c r="U162" s="80">
        <v>0</v>
      </c>
      <c r="V162" s="81">
        <v>136088</v>
      </c>
      <c r="W162" s="79">
        <v>0</v>
      </c>
      <c r="X162" s="79">
        <v>2</v>
      </c>
      <c r="Y162" s="11" t="str">
        <f ca="1">IF(ISBLANK(BudgetsTable[[#This Row],[budg_seq_yr]]),"FY"&amp;fiscalyear,"FY"&amp;fiscalyear-1+BudgetsTable[[#This Row],[budg_seq_yr]])</f>
        <v>FY19</v>
      </c>
      <c r="Z162" s="80">
        <v>136088</v>
      </c>
      <c r="AA162" s="79" t="s">
        <v>780</v>
      </c>
      <c r="AB162" s="79" t="s">
        <v>567</v>
      </c>
      <c r="AC162" s="106" t="s">
        <v>94</v>
      </c>
      <c r="AD162" s="79" t="s">
        <v>783</v>
      </c>
    </row>
    <row r="163" spans="1:30">
      <c r="A163" s="10" t="s">
        <v>1132</v>
      </c>
      <c r="B163" s="77" t="s">
        <v>96</v>
      </c>
      <c r="C163" s="77">
        <f>C162+(BudgetsTable[[#This Row],[lead]]&lt;&gt;K162)</f>
        <v>37</v>
      </c>
      <c r="D163" s="77">
        <f>D162*(BudgetsTable[[#This Row],[lead]]=K162)+(BudgetsTable[[#This Row],[prop_id]]&lt;&gt;A162)</f>
        <v>1</v>
      </c>
      <c r="E163" s="78">
        <v>42935.603472222225</v>
      </c>
      <c r="F163" s="79" t="s">
        <v>244</v>
      </c>
      <c r="G163" s="79" t="s">
        <v>780</v>
      </c>
      <c r="H163" s="79" t="s">
        <v>567</v>
      </c>
      <c r="I163" s="77" t="s">
        <v>582</v>
      </c>
      <c r="J163" s="77" t="s">
        <v>13</v>
      </c>
      <c r="K163" s="79" t="s">
        <v>1132</v>
      </c>
      <c r="L163" s="7" t="str">
        <f>IF(BudgetsTable[[#This Row],[pi_last_name]]=" ","",HYPERLINK("https://www.ejacket.nsf.gov/ej/showProposal.do?Continue=Y&amp;ID="&amp;BudgetsTable[[#This Row],[prop_id]],BudgetsTable[[#This Row],[prop_id]]))</f>
        <v/>
      </c>
      <c r="M163" s="15" t="str">
        <f>IF(BudgetsTable[[#This Row],[pi_last_name]]=" ","",HYPERLINK("https://www.ejacket.nsf.gov/ej/processReviewAnalysis.do?dispatch=add&amp;uniqId="&amp;BudgetsTable[[#This Row],[prop_id]]&amp;PO_id,"&gt;ra"))</f>
        <v/>
      </c>
      <c r="N163" s="79" t="s">
        <v>13</v>
      </c>
      <c r="O163" s="7" t="str">
        <f>IF(BudgetsTable[[#This Row],[pi_last_name]]=" ","",HYPERLINK("mailto:"&amp;BudgetsTable[[#This Row],[pi_email]]&amp;"&amp;subject=Your NSF Proposal:  "&amp;BudgetsTable[[#This Row],[prop_id]],BudgetsTable[[#This Row],[pi_email]]))</f>
        <v/>
      </c>
      <c r="P163" s="79" t="s">
        <v>13</v>
      </c>
      <c r="Q163" s="79">
        <v>1</v>
      </c>
      <c r="R163" s="79">
        <v>1</v>
      </c>
      <c r="S163" s="80">
        <v>0</v>
      </c>
      <c r="T163" s="80">
        <v>2575</v>
      </c>
      <c r="U163" s="80">
        <v>0</v>
      </c>
      <c r="V163" s="81">
        <v>139503</v>
      </c>
      <c r="W163" s="79">
        <v>0</v>
      </c>
      <c r="X163" s="79">
        <v>3</v>
      </c>
      <c r="Y163" s="11" t="str">
        <f ca="1">IF(ISBLANK(BudgetsTable[[#This Row],[budg_seq_yr]]),"FY"&amp;fiscalyear,"FY"&amp;fiscalyear-1+BudgetsTable[[#This Row],[budg_seq_yr]])</f>
        <v>FY20</v>
      </c>
      <c r="Z163" s="80">
        <v>139503</v>
      </c>
      <c r="AA163" s="79" t="s">
        <v>780</v>
      </c>
      <c r="AB163" s="79" t="s">
        <v>567</v>
      </c>
      <c r="AC163" s="106" t="s">
        <v>94</v>
      </c>
      <c r="AD163" s="79" t="s">
        <v>783</v>
      </c>
    </row>
    <row r="164" spans="1:30">
      <c r="A164" s="10" t="s">
        <v>1132</v>
      </c>
      <c r="B164" s="77" t="s">
        <v>96</v>
      </c>
      <c r="C164" s="77">
        <f>C163+(BudgetsTable[[#This Row],[lead]]&lt;&gt;K163)</f>
        <v>37</v>
      </c>
      <c r="D164" s="77">
        <f>D163*(BudgetsTable[[#This Row],[lead]]=K163)+(BudgetsTable[[#This Row],[prop_id]]&lt;&gt;A163)</f>
        <v>1</v>
      </c>
      <c r="E164" s="78">
        <v>42935.603472222225</v>
      </c>
      <c r="F164" s="79" t="s">
        <v>244</v>
      </c>
      <c r="G164" s="79" t="s">
        <v>780</v>
      </c>
      <c r="H164" s="79" t="s">
        <v>567</v>
      </c>
      <c r="I164" s="77" t="s">
        <v>582</v>
      </c>
      <c r="J164" s="77" t="s">
        <v>13</v>
      </c>
      <c r="K164" s="79" t="s">
        <v>1132</v>
      </c>
      <c r="L164" s="7" t="str">
        <f>IF(BudgetsTable[[#This Row],[pi_last_name]]=" ","",HYPERLINK("https://www.ejacket.nsf.gov/ej/showProposal.do?Continue=Y&amp;ID="&amp;BudgetsTable[[#This Row],[prop_id]],BudgetsTable[[#This Row],[prop_id]]))</f>
        <v/>
      </c>
      <c r="M164" s="15" t="str">
        <f>IF(BudgetsTable[[#This Row],[pi_last_name]]=" ","",HYPERLINK("https://www.ejacket.nsf.gov/ej/processReviewAnalysis.do?dispatch=add&amp;uniqId="&amp;BudgetsTable[[#This Row],[prop_id]]&amp;PO_id,"&gt;ra"))</f>
        <v/>
      </c>
      <c r="N164" s="79" t="s">
        <v>13</v>
      </c>
      <c r="O164" s="7" t="str">
        <f>IF(BudgetsTable[[#This Row],[pi_last_name]]=" ","",HYPERLINK("mailto:"&amp;BudgetsTable[[#This Row],[pi_email]]&amp;"&amp;subject=Your NSF Proposal:  "&amp;BudgetsTable[[#This Row],[prop_id]],BudgetsTable[[#This Row],[pi_email]]))</f>
        <v/>
      </c>
      <c r="P164" s="79" t="s">
        <v>13</v>
      </c>
      <c r="Q164" s="79">
        <v>1</v>
      </c>
      <c r="R164" s="79">
        <v>1</v>
      </c>
      <c r="S164" s="80">
        <v>0</v>
      </c>
      <c r="T164" s="80">
        <v>2575</v>
      </c>
      <c r="U164" s="80">
        <v>0</v>
      </c>
      <c r="V164" s="81">
        <v>143019</v>
      </c>
      <c r="W164" s="79">
        <v>0</v>
      </c>
      <c r="X164" s="79">
        <v>4</v>
      </c>
      <c r="Y164" s="11" t="str">
        <f ca="1">IF(ISBLANK(BudgetsTable[[#This Row],[budg_seq_yr]]),"FY"&amp;fiscalyear,"FY"&amp;fiscalyear-1+BudgetsTable[[#This Row],[budg_seq_yr]])</f>
        <v>FY21</v>
      </c>
      <c r="Z164" s="80">
        <v>143019</v>
      </c>
      <c r="AA164" s="79" t="s">
        <v>780</v>
      </c>
      <c r="AB164" s="79" t="s">
        <v>567</v>
      </c>
      <c r="AC164" s="106" t="s">
        <v>94</v>
      </c>
      <c r="AD164" s="79" t="s">
        <v>783</v>
      </c>
    </row>
    <row r="165" spans="1:30">
      <c r="A165" s="10" t="s">
        <v>1132</v>
      </c>
      <c r="B165" s="77" t="s">
        <v>96</v>
      </c>
      <c r="C165" s="77">
        <f>C164+(BudgetsTable[[#This Row],[lead]]&lt;&gt;K164)</f>
        <v>37</v>
      </c>
      <c r="D165" s="77">
        <f>D164*(BudgetsTable[[#This Row],[lead]]=K164)+(BudgetsTable[[#This Row],[prop_id]]&lt;&gt;A164)</f>
        <v>1</v>
      </c>
      <c r="E165" s="78">
        <v>42935.603472222225</v>
      </c>
      <c r="F165" s="79" t="s">
        <v>244</v>
      </c>
      <c r="G165" s="79" t="s">
        <v>780</v>
      </c>
      <c r="H165" s="79" t="s">
        <v>567</v>
      </c>
      <c r="I165" s="77" t="s">
        <v>582</v>
      </c>
      <c r="J165" s="77" t="s">
        <v>13</v>
      </c>
      <c r="K165" s="79" t="s">
        <v>1132</v>
      </c>
      <c r="L165" s="7" t="str">
        <f>IF(BudgetsTable[[#This Row],[pi_last_name]]=" ","",HYPERLINK("https://www.ejacket.nsf.gov/ej/showProposal.do?Continue=Y&amp;ID="&amp;BudgetsTable[[#This Row],[prop_id]],BudgetsTable[[#This Row],[prop_id]]))</f>
        <v/>
      </c>
      <c r="M165" s="15" t="str">
        <f>IF(BudgetsTable[[#This Row],[pi_last_name]]=" ","",HYPERLINK("https://www.ejacket.nsf.gov/ej/processReviewAnalysis.do?dispatch=add&amp;uniqId="&amp;BudgetsTable[[#This Row],[prop_id]]&amp;PO_id,"&gt;ra"))</f>
        <v/>
      </c>
      <c r="N165" s="79" t="s">
        <v>13</v>
      </c>
      <c r="O165" s="7" t="str">
        <f>IF(BudgetsTable[[#This Row],[pi_last_name]]=" ","",HYPERLINK("mailto:"&amp;BudgetsTable[[#This Row],[pi_email]]&amp;"&amp;subject=Your NSF Proposal:  "&amp;BudgetsTable[[#This Row],[prop_id]],BudgetsTable[[#This Row],[pi_email]]))</f>
        <v/>
      </c>
      <c r="P165" s="79" t="s">
        <v>13</v>
      </c>
      <c r="Q165" s="79">
        <v>1</v>
      </c>
      <c r="R165" s="79">
        <v>1</v>
      </c>
      <c r="S165" s="80">
        <v>0</v>
      </c>
      <c r="T165" s="80">
        <v>2575</v>
      </c>
      <c r="U165" s="80">
        <v>0</v>
      </c>
      <c r="V165" s="81">
        <v>146643</v>
      </c>
      <c r="W165" s="79">
        <v>0</v>
      </c>
      <c r="X165" s="79">
        <v>5</v>
      </c>
      <c r="Y165" s="11" t="str">
        <f ca="1">IF(ISBLANK(BudgetsTable[[#This Row],[budg_seq_yr]]),"FY"&amp;fiscalyear,"FY"&amp;fiscalyear-1+BudgetsTable[[#This Row],[budg_seq_yr]])</f>
        <v>FY22</v>
      </c>
      <c r="Z165" s="80">
        <v>146643</v>
      </c>
      <c r="AA165" s="79" t="s">
        <v>780</v>
      </c>
      <c r="AB165" s="79" t="s">
        <v>567</v>
      </c>
      <c r="AC165" s="106" t="s">
        <v>94</v>
      </c>
      <c r="AD165" s="79" t="s">
        <v>783</v>
      </c>
    </row>
    <row r="166" spans="1:30">
      <c r="A166" s="10" t="s">
        <v>1140</v>
      </c>
      <c r="B166" s="77" t="s">
        <v>96</v>
      </c>
      <c r="C166" s="77">
        <f>C165+(BudgetsTable[[#This Row],[lead]]&lt;&gt;K165)</f>
        <v>38</v>
      </c>
      <c r="D166" s="77">
        <f>D165*(BudgetsTable[[#This Row],[lead]]=K165)+(BudgetsTable[[#This Row],[prop_id]]&lt;&gt;A165)</f>
        <v>1</v>
      </c>
      <c r="E166" s="78">
        <v>42935.620138888888</v>
      </c>
      <c r="F166" s="79" t="s">
        <v>244</v>
      </c>
      <c r="G166" s="79" t="s">
        <v>780</v>
      </c>
      <c r="H166" s="79" t="s">
        <v>567</v>
      </c>
      <c r="I166" s="77" t="s">
        <v>944</v>
      </c>
      <c r="J166" s="77" t="s">
        <v>1442</v>
      </c>
      <c r="K166" s="79" t="s">
        <v>1140</v>
      </c>
      <c r="L166" s="7" t="str">
        <f>IF(BudgetsTable[[#This Row],[pi_last_name]]=" ","",HYPERLINK("https://www.ejacket.nsf.gov/ej/showProposal.do?Continue=Y&amp;ID="&amp;BudgetsTable[[#This Row],[prop_id]],BudgetsTable[[#This Row],[prop_id]]))</f>
        <v>1750716</v>
      </c>
      <c r="M166" s="15" t="str">
        <f>IF(BudgetsTable[[#This Row],[pi_last_name]]=" ","",HYPERLINK("https://www.ejacket.nsf.gov/ej/processReviewAnalysis.do?dispatch=add&amp;uniqId="&amp;BudgetsTable[[#This Row],[prop_id]]&amp;PO_id,"&gt;ra"))</f>
        <v>&gt;ra</v>
      </c>
      <c r="N166" s="79" t="s">
        <v>1141</v>
      </c>
      <c r="O166" s="7" t="str">
        <f>IF(BudgetsTable[[#This Row],[pi_last_name]]=" ","",HYPERLINK("mailto:"&amp;BudgetsTable[[#This Row],[pi_email]]&amp;"&amp;subject=Your NSF Proposal:  "&amp;BudgetsTable[[#This Row],[prop_id]],BudgetsTable[[#This Row],[pi_email]]))</f>
        <v>hu.nguyen@neu.edu</v>
      </c>
      <c r="P166" s="79" t="s">
        <v>1432</v>
      </c>
      <c r="Q166" s="79"/>
      <c r="R166" s="79"/>
      <c r="S166" s="80"/>
      <c r="T166" s="80"/>
      <c r="U166" s="80"/>
      <c r="V166" s="81"/>
      <c r="W166" s="79">
        <v>0</v>
      </c>
      <c r="X166" s="79"/>
      <c r="Y166" s="11" t="str">
        <f ca="1">IF(ISBLANK(BudgetsTable[[#This Row],[budg_seq_yr]]),"FY"&amp;fiscalyear,"FY"&amp;fiscalyear-1+BudgetsTable[[#This Row],[budg_seq_yr]])</f>
        <v>FY18</v>
      </c>
      <c r="Z166" s="80">
        <v>551453</v>
      </c>
      <c r="AA166" s="79" t="s">
        <v>780</v>
      </c>
      <c r="AB166" s="79" t="s">
        <v>567</v>
      </c>
      <c r="AC166" s="106" t="s">
        <v>94</v>
      </c>
      <c r="AD166" s="79" t="s">
        <v>783</v>
      </c>
    </row>
    <row r="167" spans="1:30">
      <c r="A167" s="10" t="s">
        <v>1140</v>
      </c>
      <c r="B167" s="77" t="s">
        <v>96</v>
      </c>
      <c r="C167" s="77">
        <f>C166+(BudgetsTable[[#This Row],[lead]]&lt;&gt;K166)</f>
        <v>38</v>
      </c>
      <c r="D167" s="77">
        <f>D166*(BudgetsTable[[#This Row],[lead]]=K166)+(BudgetsTable[[#This Row],[prop_id]]&lt;&gt;A166)</f>
        <v>1</v>
      </c>
      <c r="E167" s="78">
        <v>42935.620138888888</v>
      </c>
      <c r="F167" s="79" t="s">
        <v>244</v>
      </c>
      <c r="G167" s="79" t="s">
        <v>780</v>
      </c>
      <c r="H167" s="79" t="s">
        <v>567</v>
      </c>
      <c r="I167" s="77" t="s">
        <v>944</v>
      </c>
      <c r="J167" s="77" t="s">
        <v>13</v>
      </c>
      <c r="K167" s="79" t="s">
        <v>1140</v>
      </c>
      <c r="L167" s="7" t="str">
        <f>IF(BudgetsTable[[#This Row],[pi_last_name]]=" ","",HYPERLINK("https://www.ejacket.nsf.gov/ej/showProposal.do?Continue=Y&amp;ID="&amp;BudgetsTable[[#This Row],[prop_id]],BudgetsTable[[#This Row],[prop_id]]))</f>
        <v/>
      </c>
      <c r="M167" s="15" t="str">
        <f>IF(BudgetsTable[[#This Row],[pi_last_name]]=" ","",HYPERLINK("https://www.ejacket.nsf.gov/ej/processReviewAnalysis.do?dispatch=add&amp;uniqId="&amp;BudgetsTable[[#This Row],[prop_id]]&amp;PO_id,"&gt;ra"))</f>
        <v/>
      </c>
      <c r="N167" s="79" t="s">
        <v>13</v>
      </c>
      <c r="O167" s="7" t="str">
        <f>IF(BudgetsTable[[#This Row],[pi_last_name]]=" ","",HYPERLINK("mailto:"&amp;BudgetsTable[[#This Row],[pi_email]]&amp;"&amp;subject=Your NSF Proposal:  "&amp;BudgetsTable[[#This Row],[prop_id]],BudgetsTable[[#This Row],[pi_email]]))</f>
        <v/>
      </c>
      <c r="P167" s="79" t="s">
        <v>13</v>
      </c>
      <c r="Q167" s="79">
        <v>1</v>
      </c>
      <c r="R167" s="79">
        <v>1</v>
      </c>
      <c r="S167" s="80">
        <v>0</v>
      </c>
      <c r="T167" s="80">
        <v>2500</v>
      </c>
      <c r="U167" s="80">
        <v>0</v>
      </c>
      <c r="V167" s="81">
        <v>103869</v>
      </c>
      <c r="W167" s="79">
        <v>0</v>
      </c>
      <c r="X167" s="79">
        <v>1</v>
      </c>
      <c r="Y167" s="11" t="str">
        <f ca="1">IF(ISBLANK(BudgetsTable[[#This Row],[budg_seq_yr]]),"FY"&amp;fiscalyear,"FY"&amp;fiscalyear-1+BudgetsTable[[#This Row],[budg_seq_yr]])</f>
        <v>FY18</v>
      </c>
      <c r="Z167" s="80">
        <v>103869</v>
      </c>
      <c r="AA167" s="79" t="s">
        <v>780</v>
      </c>
      <c r="AB167" s="79" t="s">
        <v>567</v>
      </c>
      <c r="AC167" s="106" t="s">
        <v>94</v>
      </c>
      <c r="AD167" s="79" t="s">
        <v>783</v>
      </c>
    </row>
    <row r="168" spans="1:30">
      <c r="A168" s="10" t="s">
        <v>1140</v>
      </c>
      <c r="B168" s="77" t="s">
        <v>96</v>
      </c>
      <c r="C168" s="77">
        <f>C167+(BudgetsTable[[#This Row],[lead]]&lt;&gt;K167)</f>
        <v>38</v>
      </c>
      <c r="D168" s="77">
        <f>D167*(BudgetsTable[[#This Row],[lead]]=K167)+(BudgetsTable[[#This Row],[prop_id]]&lt;&gt;A167)</f>
        <v>1</v>
      </c>
      <c r="E168" s="78">
        <v>42935.620138888888</v>
      </c>
      <c r="F168" s="79" t="s">
        <v>244</v>
      </c>
      <c r="G168" s="79" t="s">
        <v>780</v>
      </c>
      <c r="H168" s="79" t="s">
        <v>567</v>
      </c>
      <c r="I168" s="77" t="s">
        <v>944</v>
      </c>
      <c r="J168" s="77" t="s">
        <v>13</v>
      </c>
      <c r="K168" s="79" t="s">
        <v>1140</v>
      </c>
      <c r="L168" s="7" t="str">
        <f>IF(BudgetsTable[[#This Row],[pi_last_name]]=" ","",HYPERLINK("https://www.ejacket.nsf.gov/ej/showProposal.do?Continue=Y&amp;ID="&amp;BudgetsTable[[#This Row],[prop_id]],BudgetsTable[[#This Row],[prop_id]]))</f>
        <v/>
      </c>
      <c r="M168" s="15" t="str">
        <f>IF(BudgetsTable[[#This Row],[pi_last_name]]=" ","",HYPERLINK("https://www.ejacket.nsf.gov/ej/processReviewAnalysis.do?dispatch=add&amp;uniqId="&amp;BudgetsTable[[#This Row],[prop_id]]&amp;PO_id,"&gt;ra"))</f>
        <v/>
      </c>
      <c r="N168" s="79" t="s">
        <v>13</v>
      </c>
      <c r="O168" s="7" t="str">
        <f>IF(BudgetsTable[[#This Row],[pi_last_name]]=" ","",HYPERLINK("mailto:"&amp;BudgetsTable[[#This Row],[pi_email]]&amp;"&amp;subject=Your NSF Proposal:  "&amp;BudgetsTable[[#This Row],[prop_id]],BudgetsTable[[#This Row],[pi_email]]))</f>
        <v/>
      </c>
      <c r="P168" s="79" t="s">
        <v>13</v>
      </c>
      <c r="Q168" s="79">
        <v>1</v>
      </c>
      <c r="R168" s="79">
        <v>1</v>
      </c>
      <c r="S168" s="80">
        <v>0</v>
      </c>
      <c r="T168" s="80">
        <v>2575</v>
      </c>
      <c r="U168" s="80">
        <v>0</v>
      </c>
      <c r="V168" s="81">
        <v>106984</v>
      </c>
      <c r="W168" s="79">
        <v>0</v>
      </c>
      <c r="X168" s="79">
        <v>2</v>
      </c>
      <c r="Y168" s="11" t="str">
        <f ca="1">IF(ISBLANK(BudgetsTable[[#This Row],[budg_seq_yr]]),"FY"&amp;fiscalyear,"FY"&amp;fiscalyear-1+BudgetsTable[[#This Row],[budg_seq_yr]])</f>
        <v>FY19</v>
      </c>
      <c r="Z168" s="80">
        <v>106984</v>
      </c>
      <c r="AA168" s="79" t="s">
        <v>780</v>
      </c>
      <c r="AB168" s="79" t="s">
        <v>567</v>
      </c>
      <c r="AC168" s="106" t="s">
        <v>94</v>
      </c>
      <c r="AD168" s="79" t="s">
        <v>783</v>
      </c>
    </row>
    <row r="169" spans="1:30">
      <c r="A169" s="10" t="s">
        <v>1140</v>
      </c>
      <c r="B169" s="77" t="s">
        <v>96</v>
      </c>
      <c r="C169" s="77">
        <f>C168+(BudgetsTable[[#This Row],[lead]]&lt;&gt;K168)</f>
        <v>38</v>
      </c>
      <c r="D169" s="77">
        <f>D168*(BudgetsTable[[#This Row],[lead]]=K168)+(BudgetsTable[[#This Row],[prop_id]]&lt;&gt;A168)</f>
        <v>1</v>
      </c>
      <c r="E169" s="78">
        <v>42935.620138888888</v>
      </c>
      <c r="F169" s="79" t="s">
        <v>244</v>
      </c>
      <c r="G169" s="79" t="s">
        <v>780</v>
      </c>
      <c r="H169" s="79" t="s">
        <v>567</v>
      </c>
      <c r="I169" s="77" t="s">
        <v>944</v>
      </c>
      <c r="J169" s="77" t="s">
        <v>13</v>
      </c>
      <c r="K169" s="79" t="s">
        <v>1140</v>
      </c>
      <c r="L169" s="7" t="str">
        <f>IF(BudgetsTable[[#This Row],[pi_last_name]]=" ","",HYPERLINK("https://www.ejacket.nsf.gov/ej/showProposal.do?Continue=Y&amp;ID="&amp;BudgetsTable[[#This Row],[prop_id]],BudgetsTable[[#This Row],[prop_id]]))</f>
        <v/>
      </c>
      <c r="M169" s="15" t="str">
        <f>IF(BudgetsTable[[#This Row],[pi_last_name]]=" ","",HYPERLINK("https://www.ejacket.nsf.gov/ej/processReviewAnalysis.do?dispatch=add&amp;uniqId="&amp;BudgetsTable[[#This Row],[prop_id]]&amp;PO_id,"&gt;ra"))</f>
        <v/>
      </c>
      <c r="N169" s="79" t="s">
        <v>13</v>
      </c>
      <c r="O169" s="7" t="str">
        <f>IF(BudgetsTable[[#This Row],[pi_last_name]]=" ","",HYPERLINK("mailto:"&amp;BudgetsTable[[#This Row],[pi_email]]&amp;"&amp;subject=Your NSF Proposal:  "&amp;BudgetsTable[[#This Row],[prop_id]],BudgetsTable[[#This Row],[pi_email]]))</f>
        <v/>
      </c>
      <c r="P169" s="79" t="s">
        <v>13</v>
      </c>
      <c r="Q169" s="79">
        <v>1</v>
      </c>
      <c r="R169" s="79">
        <v>1</v>
      </c>
      <c r="S169" s="80">
        <v>0</v>
      </c>
      <c r="T169" s="80">
        <v>2652</v>
      </c>
      <c r="U169" s="80">
        <v>0</v>
      </c>
      <c r="V169" s="81">
        <v>110195</v>
      </c>
      <c r="W169" s="79">
        <v>0</v>
      </c>
      <c r="X169" s="79">
        <v>3</v>
      </c>
      <c r="Y169" s="11" t="str">
        <f ca="1">IF(ISBLANK(BudgetsTable[[#This Row],[budg_seq_yr]]),"FY"&amp;fiscalyear,"FY"&amp;fiscalyear-1+BudgetsTable[[#This Row],[budg_seq_yr]])</f>
        <v>FY20</v>
      </c>
      <c r="Z169" s="80">
        <v>110195</v>
      </c>
      <c r="AA169" s="79" t="s">
        <v>780</v>
      </c>
      <c r="AB169" s="79" t="s">
        <v>567</v>
      </c>
      <c r="AC169" s="106" t="s">
        <v>94</v>
      </c>
      <c r="AD169" s="79" t="s">
        <v>783</v>
      </c>
    </row>
    <row r="170" spans="1:30">
      <c r="A170" s="10" t="s">
        <v>1140</v>
      </c>
      <c r="B170" s="77" t="s">
        <v>96</v>
      </c>
      <c r="C170" s="77">
        <f>C169+(BudgetsTable[[#This Row],[lead]]&lt;&gt;K169)</f>
        <v>38</v>
      </c>
      <c r="D170" s="77">
        <f>D169*(BudgetsTable[[#This Row],[lead]]=K169)+(BudgetsTable[[#This Row],[prop_id]]&lt;&gt;A169)</f>
        <v>1</v>
      </c>
      <c r="E170" s="78">
        <v>42935.620138888888</v>
      </c>
      <c r="F170" s="79" t="s">
        <v>244</v>
      </c>
      <c r="G170" s="79" t="s">
        <v>780</v>
      </c>
      <c r="H170" s="79" t="s">
        <v>567</v>
      </c>
      <c r="I170" s="77" t="s">
        <v>944</v>
      </c>
      <c r="J170" s="77" t="s">
        <v>13</v>
      </c>
      <c r="K170" s="79" t="s">
        <v>1140</v>
      </c>
      <c r="L170" s="7" t="str">
        <f>IF(BudgetsTable[[#This Row],[pi_last_name]]=" ","",HYPERLINK("https://www.ejacket.nsf.gov/ej/showProposal.do?Continue=Y&amp;ID="&amp;BudgetsTable[[#This Row],[prop_id]],BudgetsTable[[#This Row],[prop_id]]))</f>
        <v/>
      </c>
      <c r="M170" s="15" t="str">
        <f>IF(BudgetsTable[[#This Row],[pi_last_name]]=" ","",HYPERLINK("https://www.ejacket.nsf.gov/ej/processReviewAnalysis.do?dispatch=add&amp;uniqId="&amp;BudgetsTable[[#This Row],[prop_id]]&amp;PO_id,"&gt;ra"))</f>
        <v/>
      </c>
      <c r="N170" s="79" t="s">
        <v>13</v>
      </c>
      <c r="O170" s="7" t="str">
        <f>IF(BudgetsTable[[#This Row],[pi_last_name]]=" ","",HYPERLINK("mailto:"&amp;BudgetsTable[[#This Row],[pi_email]]&amp;"&amp;subject=Your NSF Proposal:  "&amp;BudgetsTable[[#This Row],[prop_id]],BudgetsTable[[#This Row],[pi_email]]))</f>
        <v/>
      </c>
      <c r="P170" s="79" t="s">
        <v>13</v>
      </c>
      <c r="Q170" s="79">
        <v>1</v>
      </c>
      <c r="R170" s="79">
        <v>1</v>
      </c>
      <c r="S170" s="80">
        <v>0</v>
      </c>
      <c r="T170" s="80">
        <v>2732</v>
      </c>
      <c r="U170" s="80">
        <v>0</v>
      </c>
      <c r="V170" s="81">
        <v>113499</v>
      </c>
      <c r="W170" s="79">
        <v>0</v>
      </c>
      <c r="X170" s="79">
        <v>4</v>
      </c>
      <c r="Y170" s="11" t="str">
        <f ca="1">IF(ISBLANK(BudgetsTable[[#This Row],[budg_seq_yr]]),"FY"&amp;fiscalyear,"FY"&amp;fiscalyear-1+BudgetsTable[[#This Row],[budg_seq_yr]])</f>
        <v>FY21</v>
      </c>
      <c r="Z170" s="80">
        <v>113499</v>
      </c>
      <c r="AA170" s="79" t="s">
        <v>780</v>
      </c>
      <c r="AB170" s="79" t="s">
        <v>567</v>
      </c>
      <c r="AC170" s="106" t="s">
        <v>94</v>
      </c>
      <c r="AD170" s="79" t="s">
        <v>783</v>
      </c>
    </row>
    <row r="171" spans="1:30">
      <c r="A171" s="10" t="s">
        <v>1140</v>
      </c>
      <c r="B171" s="77" t="s">
        <v>96</v>
      </c>
      <c r="C171" s="77">
        <f>C170+(BudgetsTable[[#This Row],[lead]]&lt;&gt;K170)</f>
        <v>38</v>
      </c>
      <c r="D171" s="77">
        <f>D170*(BudgetsTable[[#This Row],[lead]]=K170)+(BudgetsTable[[#This Row],[prop_id]]&lt;&gt;A170)</f>
        <v>1</v>
      </c>
      <c r="E171" s="78">
        <v>42935.620138888888</v>
      </c>
      <c r="F171" s="79" t="s">
        <v>244</v>
      </c>
      <c r="G171" s="79" t="s">
        <v>780</v>
      </c>
      <c r="H171" s="79" t="s">
        <v>567</v>
      </c>
      <c r="I171" s="77" t="s">
        <v>944</v>
      </c>
      <c r="J171" s="77" t="s">
        <v>13</v>
      </c>
      <c r="K171" s="79" t="s">
        <v>1140</v>
      </c>
      <c r="L171" s="7" t="str">
        <f>IF(BudgetsTable[[#This Row],[pi_last_name]]=" ","",HYPERLINK("https://www.ejacket.nsf.gov/ej/showProposal.do?Continue=Y&amp;ID="&amp;BudgetsTable[[#This Row],[prop_id]],BudgetsTable[[#This Row],[prop_id]]))</f>
        <v/>
      </c>
      <c r="M171" s="15" t="str">
        <f>IF(BudgetsTable[[#This Row],[pi_last_name]]=" ","",HYPERLINK("https://www.ejacket.nsf.gov/ej/processReviewAnalysis.do?dispatch=add&amp;uniqId="&amp;BudgetsTable[[#This Row],[prop_id]]&amp;PO_id,"&gt;ra"))</f>
        <v/>
      </c>
      <c r="N171" s="79" t="s">
        <v>13</v>
      </c>
      <c r="O171" s="7" t="str">
        <f>IF(BudgetsTable[[#This Row],[pi_last_name]]=" ","",HYPERLINK("mailto:"&amp;BudgetsTable[[#This Row],[pi_email]]&amp;"&amp;subject=Your NSF Proposal:  "&amp;BudgetsTable[[#This Row],[prop_id]],BudgetsTable[[#This Row],[pi_email]]))</f>
        <v/>
      </c>
      <c r="P171" s="79" t="s">
        <v>13</v>
      </c>
      <c r="Q171" s="79">
        <v>1</v>
      </c>
      <c r="R171" s="79">
        <v>1</v>
      </c>
      <c r="S171" s="80">
        <v>0</v>
      </c>
      <c r="T171" s="80">
        <v>2814</v>
      </c>
      <c r="U171" s="80">
        <v>0</v>
      </c>
      <c r="V171" s="81">
        <v>116906</v>
      </c>
      <c r="W171" s="79">
        <v>0</v>
      </c>
      <c r="X171" s="79">
        <v>5</v>
      </c>
      <c r="Y171" s="11" t="str">
        <f ca="1">IF(ISBLANK(BudgetsTable[[#This Row],[budg_seq_yr]]),"FY"&amp;fiscalyear,"FY"&amp;fiscalyear-1+BudgetsTable[[#This Row],[budg_seq_yr]])</f>
        <v>FY22</v>
      </c>
      <c r="Z171" s="80">
        <v>116906</v>
      </c>
      <c r="AA171" s="79" t="s">
        <v>780</v>
      </c>
      <c r="AB171" s="79" t="s">
        <v>567</v>
      </c>
      <c r="AC171" s="106" t="s">
        <v>94</v>
      </c>
      <c r="AD171" s="79" t="s">
        <v>783</v>
      </c>
    </row>
    <row r="172" spans="1:30">
      <c r="A172" s="10" t="s">
        <v>705</v>
      </c>
      <c r="B172" s="77" t="s">
        <v>96</v>
      </c>
      <c r="C172" s="77">
        <f>C171+(BudgetsTable[[#This Row],[lead]]&lt;&gt;K171)</f>
        <v>39</v>
      </c>
      <c r="D172" s="77">
        <f>D171*(BudgetsTable[[#This Row],[lead]]=K171)+(BudgetsTable[[#This Row],[prop_id]]&lt;&gt;A171)</f>
        <v>1</v>
      </c>
      <c r="E172" s="78">
        <v>42935.633333333331</v>
      </c>
      <c r="F172" s="79" t="s">
        <v>244</v>
      </c>
      <c r="G172" s="79" t="s">
        <v>780</v>
      </c>
      <c r="H172" s="79" t="s">
        <v>567</v>
      </c>
      <c r="I172" s="77" t="s">
        <v>579</v>
      </c>
      <c r="J172" s="77" t="s">
        <v>833</v>
      </c>
      <c r="K172" s="79" t="s">
        <v>705</v>
      </c>
      <c r="L172" s="7" t="str">
        <f>IF(BudgetsTable[[#This Row],[pi_last_name]]=" ","",HYPERLINK("https://www.ejacket.nsf.gov/ej/showProposal.do?Continue=Y&amp;ID="&amp;BudgetsTable[[#This Row],[prop_id]],BudgetsTable[[#This Row],[prop_id]]))</f>
        <v>1750780</v>
      </c>
      <c r="M172" s="15" t="str">
        <f>IF(BudgetsTable[[#This Row],[pi_last_name]]=" ","",HYPERLINK("https://www.ejacket.nsf.gov/ej/processReviewAnalysis.do?dispatch=add&amp;uniqId="&amp;BudgetsTable[[#This Row],[prop_id]]&amp;PO_id,"&gt;ra"))</f>
        <v>&gt;ra</v>
      </c>
      <c r="N172" s="79" t="s">
        <v>706</v>
      </c>
      <c r="O172" s="7" t="str">
        <f>IF(BudgetsTable[[#This Row],[pi_last_name]]=" ","",HYPERLINK("mailto:"&amp;BudgetsTable[[#This Row],[pi_email]]&amp;"&amp;subject=Your NSF Proposal:  "&amp;BudgetsTable[[#This Row],[prop_id]],BudgetsTable[[#This Row],[pi_email]]))</f>
        <v>Benjamin.Raichel@utdallas.edu</v>
      </c>
      <c r="P172" s="79" t="s">
        <v>830</v>
      </c>
      <c r="Q172" s="79"/>
      <c r="R172" s="79"/>
      <c r="S172" s="80"/>
      <c r="T172" s="80"/>
      <c r="U172" s="80"/>
      <c r="V172" s="81"/>
      <c r="W172" s="79">
        <v>0</v>
      </c>
      <c r="X172" s="79"/>
      <c r="Y172" s="11" t="str">
        <f ca="1">IF(ISBLANK(BudgetsTable[[#This Row],[budg_seq_yr]]),"FY"&amp;fiscalyear,"FY"&amp;fiscalyear-1+BudgetsTable[[#This Row],[budg_seq_yr]])</f>
        <v>FY18</v>
      </c>
      <c r="Z172" s="80">
        <v>582785</v>
      </c>
      <c r="AA172" s="79" t="s">
        <v>780</v>
      </c>
      <c r="AB172" s="79" t="s">
        <v>567</v>
      </c>
      <c r="AC172" s="106" t="s">
        <v>94</v>
      </c>
      <c r="AD172" s="79" t="s">
        <v>790</v>
      </c>
    </row>
    <row r="173" spans="1:30">
      <c r="A173" s="10" t="s">
        <v>705</v>
      </c>
      <c r="B173" s="77" t="s">
        <v>96</v>
      </c>
      <c r="C173" s="77">
        <f>C172+(BudgetsTable[[#This Row],[lead]]&lt;&gt;K172)</f>
        <v>39</v>
      </c>
      <c r="D173" s="77">
        <f>D172*(BudgetsTable[[#This Row],[lead]]=K172)+(BudgetsTable[[#This Row],[prop_id]]&lt;&gt;A172)</f>
        <v>1</v>
      </c>
      <c r="E173" s="78">
        <v>42935.633333333331</v>
      </c>
      <c r="F173" s="79" t="s">
        <v>244</v>
      </c>
      <c r="G173" s="79" t="s">
        <v>780</v>
      </c>
      <c r="H173" s="79" t="s">
        <v>567</v>
      </c>
      <c r="I173" s="77" t="s">
        <v>579</v>
      </c>
      <c r="J173" s="77" t="s">
        <v>13</v>
      </c>
      <c r="K173" s="79" t="s">
        <v>705</v>
      </c>
      <c r="L173" s="7" t="str">
        <f>IF(BudgetsTable[[#This Row],[pi_last_name]]=" ","",HYPERLINK("https://www.ejacket.nsf.gov/ej/showProposal.do?Continue=Y&amp;ID="&amp;BudgetsTable[[#This Row],[prop_id]],BudgetsTable[[#This Row],[prop_id]]))</f>
        <v/>
      </c>
      <c r="M173" s="15" t="str">
        <f>IF(BudgetsTable[[#This Row],[pi_last_name]]=" ","",HYPERLINK("https://www.ejacket.nsf.gov/ej/processReviewAnalysis.do?dispatch=add&amp;uniqId="&amp;BudgetsTable[[#This Row],[prop_id]]&amp;PO_id,"&gt;ra"))</f>
        <v/>
      </c>
      <c r="N173" s="79" t="s">
        <v>13</v>
      </c>
      <c r="O173" s="7" t="str">
        <f>IF(BudgetsTable[[#This Row],[pi_last_name]]=" ","",HYPERLINK("mailto:"&amp;BudgetsTable[[#This Row],[pi_email]]&amp;"&amp;subject=Your NSF Proposal:  "&amp;BudgetsTable[[#This Row],[prop_id]],BudgetsTable[[#This Row],[pi_email]]))</f>
        <v/>
      </c>
      <c r="P173" s="79" t="s">
        <v>13</v>
      </c>
      <c r="Q173" s="79">
        <v>1</v>
      </c>
      <c r="R173" s="79">
        <v>1</v>
      </c>
      <c r="S173" s="80">
        <v>0</v>
      </c>
      <c r="T173" s="80">
        <v>2500</v>
      </c>
      <c r="U173" s="80">
        <v>0</v>
      </c>
      <c r="V173" s="81">
        <v>113134</v>
      </c>
      <c r="W173" s="79">
        <v>0</v>
      </c>
      <c r="X173" s="79">
        <v>1</v>
      </c>
      <c r="Y173" s="11" t="str">
        <f ca="1">IF(ISBLANK(BudgetsTable[[#This Row],[budg_seq_yr]]),"FY"&amp;fiscalyear,"FY"&amp;fiscalyear-1+BudgetsTable[[#This Row],[budg_seq_yr]])</f>
        <v>FY18</v>
      </c>
      <c r="Z173" s="80">
        <v>113134</v>
      </c>
      <c r="AA173" s="79" t="s">
        <v>780</v>
      </c>
      <c r="AB173" s="79" t="s">
        <v>567</v>
      </c>
      <c r="AC173" s="106" t="s">
        <v>94</v>
      </c>
      <c r="AD173" s="79" t="s">
        <v>790</v>
      </c>
    </row>
    <row r="174" spans="1:30">
      <c r="A174" s="10" t="s">
        <v>705</v>
      </c>
      <c r="B174" s="77" t="s">
        <v>96</v>
      </c>
      <c r="C174" s="77">
        <f>C173+(BudgetsTable[[#This Row],[lead]]&lt;&gt;K173)</f>
        <v>39</v>
      </c>
      <c r="D174" s="77">
        <f>D173*(BudgetsTable[[#This Row],[lead]]=K173)+(BudgetsTable[[#This Row],[prop_id]]&lt;&gt;A173)</f>
        <v>1</v>
      </c>
      <c r="E174" s="78">
        <v>42935.633333333331</v>
      </c>
      <c r="F174" s="79" t="s">
        <v>244</v>
      </c>
      <c r="G174" s="79" t="s">
        <v>780</v>
      </c>
      <c r="H174" s="79" t="s">
        <v>567</v>
      </c>
      <c r="I174" s="77" t="s">
        <v>579</v>
      </c>
      <c r="J174" s="77" t="s">
        <v>13</v>
      </c>
      <c r="K174" s="79" t="s">
        <v>705</v>
      </c>
      <c r="L174" s="7" t="str">
        <f>IF(BudgetsTable[[#This Row],[pi_last_name]]=" ","",HYPERLINK("https://www.ejacket.nsf.gov/ej/showProposal.do?Continue=Y&amp;ID="&amp;BudgetsTable[[#This Row],[prop_id]],BudgetsTable[[#This Row],[prop_id]]))</f>
        <v/>
      </c>
      <c r="M174" s="15" t="str">
        <f>IF(BudgetsTable[[#This Row],[pi_last_name]]=" ","",HYPERLINK("https://www.ejacket.nsf.gov/ej/processReviewAnalysis.do?dispatch=add&amp;uniqId="&amp;BudgetsTable[[#This Row],[prop_id]]&amp;PO_id,"&gt;ra"))</f>
        <v/>
      </c>
      <c r="N174" s="79" t="s">
        <v>13</v>
      </c>
      <c r="O174" s="7" t="str">
        <f>IF(BudgetsTable[[#This Row],[pi_last_name]]=" ","",HYPERLINK("mailto:"&amp;BudgetsTable[[#This Row],[pi_email]]&amp;"&amp;subject=Your NSF Proposal:  "&amp;BudgetsTable[[#This Row],[prop_id]],BudgetsTable[[#This Row],[pi_email]]))</f>
        <v/>
      </c>
      <c r="P174" s="79" t="s">
        <v>13</v>
      </c>
      <c r="Q174" s="79">
        <v>1</v>
      </c>
      <c r="R174" s="79">
        <v>1</v>
      </c>
      <c r="S174" s="80">
        <v>0</v>
      </c>
      <c r="T174" s="80">
        <v>0</v>
      </c>
      <c r="U174" s="80">
        <v>0</v>
      </c>
      <c r="V174" s="81">
        <v>113214</v>
      </c>
      <c r="W174" s="79">
        <v>0</v>
      </c>
      <c r="X174" s="79">
        <v>2</v>
      </c>
      <c r="Y174" s="11" t="str">
        <f ca="1">IF(ISBLANK(BudgetsTable[[#This Row],[budg_seq_yr]]),"FY"&amp;fiscalyear,"FY"&amp;fiscalyear-1+BudgetsTable[[#This Row],[budg_seq_yr]])</f>
        <v>FY19</v>
      </c>
      <c r="Z174" s="80">
        <v>113214</v>
      </c>
      <c r="AA174" s="79" t="s">
        <v>780</v>
      </c>
      <c r="AB174" s="79" t="s">
        <v>567</v>
      </c>
      <c r="AC174" s="106" t="s">
        <v>94</v>
      </c>
      <c r="AD174" s="79" t="s">
        <v>790</v>
      </c>
    </row>
    <row r="175" spans="1:30">
      <c r="A175" s="10" t="s">
        <v>705</v>
      </c>
      <c r="B175" s="77" t="s">
        <v>96</v>
      </c>
      <c r="C175" s="77">
        <f>C174+(BudgetsTable[[#This Row],[lead]]&lt;&gt;K174)</f>
        <v>39</v>
      </c>
      <c r="D175" s="77">
        <f>D174*(BudgetsTable[[#This Row],[lead]]=K174)+(BudgetsTable[[#This Row],[prop_id]]&lt;&gt;A174)</f>
        <v>1</v>
      </c>
      <c r="E175" s="78">
        <v>42935.633333333331</v>
      </c>
      <c r="F175" s="79" t="s">
        <v>244</v>
      </c>
      <c r="G175" s="79" t="s">
        <v>780</v>
      </c>
      <c r="H175" s="79" t="s">
        <v>567</v>
      </c>
      <c r="I175" s="77" t="s">
        <v>579</v>
      </c>
      <c r="J175" s="77" t="s">
        <v>13</v>
      </c>
      <c r="K175" s="79" t="s">
        <v>705</v>
      </c>
      <c r="L175" s="7" t="str">
        <f>IF(BudgetsTable[[#This Row],[pi_last_name]]=" ","",HYPERLINK("https://www.ejacket.nsf.gov/ej/showProposal.do?Continue=Y&amp;ID="&amp;BudgetsTable[[#This Row],[prop_id]],BudgetsTable[[#This Row],[prop_id]]))</f>
        <v/>
      </c>
      <c r="M175" s="15" t="str">
        <f>IF(BudgetsTable[[#This Row],[pi_last_name]]=" ","",HYPERLINK("https://www.ejacket.nsf.gov/ej/processReviewAnalysis.do?dispatch=add&amp;uniqId="&amp;BudgetsTable[[#This Row],[prop_id]]&amp;PO_id,"&gt;ra"))</f>
        <v/>
      </c>
      <c r="N175" s="79" t="s">
        <v>13</v>
      </c>
      <c r="O175" s="7" t="str">
        <f>IF(BudgetsTable[[#This Row],[pi_last_name]]=" ","",HYPERLINK("mailto:"&amp;BudgetsTable[[#This Row],[pi_email]]&amp;"&amp;subject=Your NSF Proposal:  "&amp;BudgetsTable[[#This Row],[prop_id]],BudgetsTable[[#This Row],[pi_email]]))</f>
        <v/>
      </c>
      <c r="P175" s="79" t="s">
        <v>13</v>
      </c>
      <c r="Q175" s="79">
        <v>1</v>
      </c>
      <c r="R175" s="79">
        <v>1</v>
      </c>
      <c r="S175" s="80">
        <v>0</v>
      </c>
      <c r="T175" s="80">
        <v>2500</v>
      </c>
      <c r="U175" s="80">
        <v>0</v>
      </c>
      <c r="V175" s="81">
        <v>117310</v>
      </c>
      <c r="W175" s="79">
        <v>0</v>
      </c>
      <c r="X175" s="79">
        <v>3</v>
      </c>
      <c r="Y175" s="11" t="str">
        <f ca="1">IF(ISBLANK(BudgetsTable[[#This Row],[budg_seq_yr]]),"FY"&amp;fiscalyear,"FY"&amp;fiscalyear-1+BudgetsTable[[#This Row],[budg_seq_yr]])</f>
        <v>FY20</v>
      </c>
      <c r="Z175" s="80">
        <v>117310</v>
      </c>
      <c r="AA175" s="79" t="s">
        <v>780</v>
      </c>
      <c r="AB175" s="79" t="s">
        <v>567</v>
      </c>
      <c r="AC175" s="106" t="s">
        <v>94</v>
      </c>
      <c r="AD175" s="79" t="s">
        <v>790</v>
      </c>
    </row>
    <row r="176" spans="1:30">
      <c r="A176" s="10" t="s">
        <v>705</v>
      </c>
      <c r="B176" s="77" t="s">
        <v>96</v>
      </c>
      <c r="C176" s="77">
        <f>C175+(BudgetsTable[[#This Row],[lead]]&lt;&gt;K175)</f>
        <v>39</v>
      </c>
      <c r="D176" s="77">
        <f>D175*(BudgetsTable[[#This Row],[lead]]=K175)+(BudgetsTable[[#This Row],[prop_id]]&lt;&gt;A175)</f>
        <v>1</v>
      </c>
      <c r="E176" s="78">
        <v>42935.633333333331</v>
      </c>
      <c r="F176" s="79" t="s">
        <v>244</v>
      </c>
      <c r="G176" s="79" t="s">
        <v>780</v>
      </c>
      <c r="H176" s="79" t="s">
        <v>567</v>
      </c>
      <c r="I176" s="77" t="s">
        <v>579</v>
      </c>
      <c r="J176" s="77" t="s">
        <v>13</v>
      </c>
      <c r="K176" s="79" t="s">
        <v>705</v>
      </c>
      <c r="L176" s="7" t="str">
        <f>IF(BudgetsTable[[#This Row],[pi_last_name]]=" ","",HYPERLINK("https://www.ejacket.nsf.gov/ej/showProposal.do?Continue=Y&amp;ID="&amp;BudgetsTable[[#This Row],[prop_id]],BudgetsTable[[#This Row],[prop_id]]))</f>
        <v/>
      </c>
      <c r="M176" s="15" t="str">
        <f>IF(BudgetsTable[[#This Row],[pi_last_name]]=" ","",HYPERLINK("https://www.ejacket.nsf.gov/ej/processReviewAnalysis.do?dispatch=add&amp;uniqId="&amp;BudgetsTable[[#This Row],[prop_id]]&amp;PO_id,"&gt;ra"))</f>
        <v/>
      </c>
      <c r="N176" s="79" t="s">
        <v>13</v>
      </c>
      <c r="O176" s="7" t="str">
        <f>IF(BudgetsTable[[#This Row],[pi_last_name]]=" ","",HYPERLINK("mailto:"&amp;BudgetsTable[[#This Row],[pi_email]]&amp;"&amp;subject=Your NSF Proposal:  "&amp;BudgetsTable[[#This Row],[prop_id]],BudgetsTable[[#This Row],[pi_email]]))</f>
        <v/>
      </c>
      <c r="P176" s="79" t="s">
        <v>13</v>
      </c>
      <c r="Q176" s="79">
        <v>1</v>
      </c>
      <c r="R176" s="79">
        <v>1</v>
      </c>
      <c r="S176" s="80">
        <v>0</v>
      </c>
      <c r="T176" s="80">
        <v>0</v>
      </c>
      <c r="U176" s="80">
        <v>0</v>
      </c>
      <c r="V176" s="81">
        <v>117472</v>
      </c>
      <c r="W176" s="79">
        <v>0</v>
      </c>
      <c r="X176" s="79">
        <v>4</v>
      </c>
      <c r="Y176" s="11" t="str">
        <f ca="1">IF(ISBLANK(BudgetsTable[[#This Row],[budg_seq_yr]]),"FY"&amp;fiscalyear,"FY"&amp;fiscalyear-1+BudgetsTable[[#This Row],[budg_seq_yr]])</f>
        <v>FY21</v>
      </c>
      <c r="Z176" s="80">
        <v>117472</v>
      </c>
      <c r="AA176" s="79" t="s">
        <v>780</v>
      </c>
      <c r="AB176" s="79" t="s">
        <v>567</v>
      </c>
      <c r="AC176" s="106" t="s">
        <v>94</v>
      </c>
      <c r="AD176" s="79" t="s">
        <v>790</v>
      </c>
    </row>
    <row r="177" spans="1:30">
      <c r="A177" s="10" t="s">
        <v>705</v>
      </c>
      <c r="B177" s="77" t="s">
        <v>96</v>
      </c>
      <c r="C177" s="77">
        <f>C176+(BudgetsTable[[#This Row],[lead]]&lt;&gt;K176)</f>
        <v>39</v>
      </c>
      <c r="D177" s="77">
        <f>D176*(BudgetsTable[[#This Row],[lead]]=K176)+(BudgetsTable[[#This Row],[prop_id]]&lt;&gt;A176)</f>
        <v>1</v>
      </c>
      <c r="E177" s="78">
        <v>42935.633333333331</v>
      </c>
      <c r="F177" s="79" t="s">
        <v>244</v>
      </c>
      <c r="G177" s="79" t="s">
        <v>780</v>
      </c>
      <c r="H177" s="79" t="s">
        <v>567</v>
      </c>
      <c r="I177" s="77" t="s">
        <v>579</v>
      </c>
      <c r="J177" s="77" t="s">
        <v>13</v>
      </c>
      <c r="K177" s="79" t="s">
        <v>705</v>
      </c>
      <c r="L177" s="7" t="str">
        <f>IF(BudgetsTable[[#This Row],[pi_last_name]]=" ","",HYPERLINK("https://www.ejacket.nsf.gov/ej/showProposal.do?Continue=Y&amp;ID="&amp;BudgetsTable[[#This Row],[prop_id]],BudgetsTable[[#This Row],[prop_id]]))</f>
        <v/>
      </c>
      <c r="M177" s="15" t="str">
        <f>IF(BudgetsTable[[#This Row],[pi_last_name]]=" ","",HYPERLINK("https://www.ejacket.nsf.gov/ej/processReviewAnalysis.do?dispatch=add&amp;uniqId="&amp;BudgetsTable[[#This Row],[prop_id]]&amp;PO_id,"&gt;ra"))</f>
        <v/>
      </c>
      <c r="N177" s="79" t="s">
        <v>13</v>
      </c>
      <c r="O177" s="7" t="str">
        <f>IF(BudgetsTable[[#This Row],[pi_last_name]]=" ","",HYPERLINK("mailto:"&amp;BudgetsTable[[#This Row],[pi_email]]&amp;"&amp;subject=Your NSF Proposal:  "&amp;BudgetsTable[[#This Row],[prop_id]],BudgetsTable[[#This Row],[pi_email]]))</f>
        <v/>
      </c>
      <c r="P177" s="79" t="s">
        <v>13</v>
      </c>
      <c r="Q177" s="79">
        <v>1</v>
      </c>
      <c r="R177" s="79">
        <v>1</v>
      </c>
      <c r="S177" s="80">
        <v>0</v>
      </c>
      <c r="T177" s="80">
        <v>2500</v>
      </c>
      <c r="U177" s="80">
        <v>0</v>
      </c>
      <c r="V177" s="81">
        <v>121655</v>
      </c>
      <c r="W177" s="79">
        <v>0</v>
      </c>
      <c r="X177" s="79">
        <v>5</v>
      </c>
      <c r="Y177" s="11" t="str">
        <f ca="1">IF(ISBLANK(BudgetsTable[[#This Row],[budg_seq_yr]]),"FY"&amp;fiscalyear,"FY"&amp;fiscalyear-1+BudgetsTable[[#This Row],[budg_seq_yr]])</f>
        <v>FY22</v>
      </c>
      <c r="Z177" s="80">
        <v>121655</v>
      </c>
      <c r="AA177" s="79" t="s">
        <v>780</v>
      </c>
      <c r="AB177" s="79" t="s">
        <v>567</v>
      </c>
      <c r="AC177" s="106" t="s">
        <v>94</v>
      </c>
      <c r="AD177" s="79" t="s">
        <v>790</v>
      </c>
    </row>
    <row r="178" spans="1:30">
      <c r="A178" s="10" t="s">
        <v>1151</v>
      </c>
      <c r="B178" s="77" t="s">
        <v>96</v>
      </c>
      <c r="C178" s="77">
        <f>C177+(BudgetsTable[[#This Row],[lead]]&lt;&gt;K177)</f>
        <v>40</v>
      </c>
      <c r="D178" s="77">
        <f>D177*(BudgetsTable[[#This Row],[lead]]=K177)+(BudgetsTable[[#This Row],[prop_id]]&lt;&gt;A177)</f>
        <v>1</v>
      </c>
      <c r="E178" s="78">
        <v>42935.638888888891</v>
      </c>
      <c r="F178" s="79" t="s">
        <v>244</v>
      </c>
      <c r="G178" s="79" t="s">
        <v>780</v>
      </c>
      <c r="H178" s="79" t="s">
        <v>567</v>
      </c>
      <c r="I178" s="77" t="s">
        <v>944</v>
      </c>
      <c r="J178" s="77" t="s">
        <v>1446</v>
      </c>
      <c r="K178" s="79" t="s">
        <v>1151</v>
      </c>
      <c r="L178" s="7" t="str">
        <f>IF(BudgetsTable[[#This Row],[pi_last_name]]=" ","",HYPERLINK("https://www.ejacket.nsf.gov/ej/showProposal.do?Continue=Y&amp;ID="&amp;BudgetsTable[[#This Row],[prop_id]],BudgetsTable[[#This Row],[prop_id]]))</f>
        <v>1750808</v>
      </c>
      <c r="M178" s="15" t="str">
        <f>IF(BudgetsTable[[#This Row],[pi_last_name]]=" ","",HYPERLINK("https://www.ejacket.nsf.gov/ej/processReviewAnalysis.do?dispatch=add&amp;uniqId="&amp;BudgetsTable[[#This Row],[prop_id]]&amp;PO_id,"&gt;ra"))</f>
        <v>&gt;ra</v>
      </c>
      <c r="N178" s="79" t="s">
        <v>1152</v>
      </c>
      <c r="O178" s="7" t="str">
        <f>IF(BudgetsTable[[#This Row],[pi_last_name]]=" ","",HYPERLINK("mailto:"&amp;BudgetsTable[[#This Row],[pi_email]]&amp;"&amp;subject=Your NSF Proposal:  "&amp;BudgetsTable[[#This Row],[prop_id]],BudgetsTable[[#This Row],[pi_email]]))</f>
        <v>haeupler@cs.cmu.edu</v>
      </c>
      <c r="P178" s="79" t="s">
        <v>343</v>
      </c>
      <c r="Q178" s="79"/>
      <c r="R178" s="79"/>
      <c r="S178" s="80"/>
      <c r="T178" s="80"/>
      <c r="U178" s="80"/>
      <c r="V178" s="81"/>
      <c r="W178" s="79">
        <v>0</v>
      </c>
      <c r="X178" s="79"/>
      <c r="Y178" s="11" t="str">
        <f ca="1">IF(ISBLANK(BudgetsTable[[#This Row],[budg_seq_yr]]),"FY"&amp;fiscalyear,"FY"&amp;fiscalyear-1+BudgetsTable[[#This Row],[budg_seq_yr]])</f>
        <v>FY18</v>
      </c>
      <c r="Z178" s="80">
        <v>613868</v>
      </c>
      <c r="AA178" s="79" t="s">
        <v>780</v>
      </c>
      <c r="AB178" s="79" t="s">
        <v>567</v>
      </c>
      <c r="AC178" s="106" t="s">
        <v>94</v>
      </c>
      <c r="AD178" s="79" t="s">
        <v>819</v>
      </c>
    </row>
    <row r="179" spans="1:30">
      <c r="A179" s="10" t="s">
        <v>1151</v>
      </c>
      <c r="B179" s="77" t="s">
        <v>96</v>
      </c>
      <c r="C179" s="77">
        <f>C178+(BudgetsTable[[#This Row],[lead]]&lt;&gt;K178)</f>
        <v>40</v>
      </c>
      <c r="D179" s="77">
        <f>D178*(BudgetsTable[[#This Row],[lead]]=K178)+(BudgetsTable[[#This Row],[prop_id]]&lt;&gt;A178)</f>
        <v>1</v>
      </c>
      <c r="E179" s="78">
        <v>42935.638888888891</v>
      </c>
      <c r="F179" s="79" t="s">
        <v>244</v>
      </c>
      <c r="G179" s="79" t="s">
        <v>780</v>
      </c>
      <c r="H179" s="79" t="s">
        <v>567</v>
      </c>
      <c r="I179" s="77" t="s">
        <v>944</v>
      </c>
      <c r="J179" s="77" t="s">
        <v>13</v>
      </c>
      <c r="K179" s="79" t="s">
        <v>1151</v>
      </c>
      <c r="L179" s="7" t="str">
        <f>IF(BudgetsTable[[#This Row],[pi_last_name]]=" ","",HYPERLINK("https://www.ejacket.nsf.gov/ej/showProposal.do?Continue=Y&amp;ID="&amp;BudgetsTable[[#This Row],[prop_id]],BudgetsTable[[#This Row],[prop_id]]))</f>
        <v/>
      </c>
      <c r="M179" s="15" t="str">
        <f>IF(BudgetsTable[[#This Row],[pi_last_name]]=" ","",HYPERLINK("https://www.ejacket.nsf.gov/ej/processReviewAnalysis.do?dispatch=add&amp;uniqId="&amp;BudgetsTable[[#This Row],[prop_id]]&amp;PO_id,"&gt;ra"))</f>
        <v/>
      </c>
      <c r="N179" s="79" t="s">
        <v>13</v>
      </c>
      <c r="O179" s="7" t="str">
        <f>IF(BudgetsTable[[#This Row],[pi_last_name]]=" ","",HYPERLINK("mailto:"&amp;BudgetsTable[[#This Row],[pi_email]]&amp;"&amp;subject=Your NSF Proposal:  "&amp;BudgetsTable[[#This Row],[prop_id]],BudgetsTable[[#This Row],[pi_email]]))</f>
        <v/>
      </c>
      <c r="P179" s="79" t="s">
        <v>13</v>
      </c>
      <c r="Q179" s="79">
        <v>1</v>
      </c>
      <c r="R179" s="79">
        <v>0.25</v>
      </c>
      <c r="S179" s="80">
        <v>0</v>
      </c>
      <c r="T179" s="80">
        <v>0</v>
      </c>
      <c r="U179" s="80">
        <v>0</v>
      </c>
      <c r="V179" s="81">
        <v>115623</v>
      </c>
      <c r="W179" s="79">
        <v>0</v>
      </c>
      <c r="X179" s="79">
        <v>1</v>
      </c>
      <c r="Y179" s="11" t="str">
        <f ca="1">IF(ISBLANK(BudgetsTable[[#This Row],[budg_seq_yr]]),"FY"&amp;fiscalyear,"FY"&amp;fiscalyear-1+BudgetsTable[[#This Row],[budg_seq_yr]])</f>
        <v>FY18</v>
      </c>
      <c r="Z179" s="80">
        <v>115623</v>
      </c>
      <c r="AA179" s="79" t="s">
        <v>780</v>
      </c>
      <c r="AB179" s="79" t="s">
        <v>567</v>
      </c>
      <c r="AC179" s="106" t="s">
        <v>94</v>
      </c>
      <c r="AD179" s="79" t="s">
        <v>819</v>
      </c>
    </row>
    <row r="180" spans="1:30">
      <c r="A180" s="10" t="s">
        <v>1151</v>
      </c>
      <c r="B180" s="77" t="s">
        <v>96</v>
      </c>
      <c r="C180" s="77">
        <f>C179+(BudgetsTable[[#This Row],[lead]]&lt;&gt;K179)</f>
        <v>40</v>
      </c>
      <c r="D180" s="77">
        <f>D179*(BudgetsTable[[#This Row],[lead]]=K179)+(BudgetsTable[[#This Row],[prop_id]]&lt;&gt;A179)</f>
        <v>1</v>
      </c>
      <c r="E180" s="78">
        <v>42935.638888888891</v>
      </c>
      <c r="F180" s="79" t="s">
        <v>244</v>
      </c>
      <c r="G180" s="79" t="s">
        <v>780</v>
      </c>
      <c r="H180" s="79" t="s">
        <v>567</v>
      </c>
      <c r="I180" s="77" t="s">
        <v>944</v>
      </c>
      <c r="J180" s="77" t="s">
        <v>13</v>
      </c>
      <c r="K180" s="79" t="s">
        <v>1151</v>
      </c>
      <c r="L180" s="7" t="str">
        <f>IF(BudgetsTable[[#This Row],[pi_last_name]]=" ","",HYPERLINK("https://www.ejacket.nsf.gov/ej/showProposal.do?Continue=Y&amp;ID="&amp;BudgetsTable[[#This Row],[prop_id]],BudgetsTable[[#This Row],[prop_id]]))</f>
        <v/>
      </c>
      <c r="M180" s="15" t="str">
        <f>IF(BudgetsTable[[#This Row],[pi_last_name]]=" ","",HYPERLINK("https://www.ejacket.nsf.gov/ej/processReviewAnalysis.do?dispatch=add&amp;uniqId="&amp;BudgetsTable[[#This Row],[prop_id]]&amp;PO_id,"&gt;ra"))</f>
        <v/>
      </c>
      <c r="N180" s="79" t="s">
        <v>13</v>
      </c>
      <c r="O180" s="7" t="str">
        <f>IF(BudgetsTable[[#This Row],[pi_last_name]]=" ","",HYPERLINK("mailto:"&amp;BudgetsTable[[#This Row],[pi_email]]&amp;"&amp;subject=Your NSF Proposal:  "&amp;BudgetsTable[[#This Row],[prop_id]],BudgetsTable[[#This Row],[pi_email]]))</f>
        <v/>
      </c>
      <c r="P180" s="79" t="s">
        <v>13</v>
      </c>
      <c r="Q180" s="79">
        <v>1</v>
      </c>
      <c r="R180" s="79">
        <v>0.25</v>
      </c>
      <c r="S180" s="80">
        <v>0</v>
      </c>
      <c r="T180" s="80">
        <v>0</v>
      </c>
      <c r="U180" s="80">
        <v>0</v>
      </c>
      <c r="V180" s="81">
        <v>119088</v>
      </c>
      <c r="W180" s="79">
        <v>0</v>
      </c>
      <c r="X180" s="79">
        <v>2</v>
      </c>
      <c r="Y180" s="11" t="str">
        <f ca="1">IF(ISBLANK(BudgetsTable[[#This Row],[budg_seq_yr]]),"FY"&amp;fiscalyear,"FY"&amp;fiscalyear-1+BudgetsTable[[#This Row],[budg_seq_yr]])</f>
        <v>FY19</v>
      </c>
      <c r="Z180" s="80">
        <v>119088</v>
      </c>
      <c r="AA180" s="79" t="s">
        <v>780</v>
      </c>
      <c r="AB180" s="79" t="s">
        <v>567</v>
      </c>
      <c r="AC180" s="106" t="s">
        <v>94</v>
      </c>
      <c r="AD180" s="79" t="s">
        <v>819</v>
      </c>
    </row>
    <row r="181" spans="1:30">
      <c r="A181" s="10" t="s">
        <v>1151</v>
      </c>
      <c r="B181" s="77" t="s">
        <v>96</v>
      </c>
      <c r="C181" s="77">
        <f>C180+(BudgetsTable[[#This Row],[lead]]&lt;&gt;K180)</f>
        <v>40</v>
      </c>
      <c r="D181" s="77">
        <f>D180*(BudgetsTable[[#This Row],[lead]]=K180)+(BudgetsTable[[#This Row],[prop_id]]&lt;&gt;A180)</f>
        <v>1</v>
      </c>
      <c r="E181" s="78">
        <v>42935.638888888891</v>
      </c>
      <c r="F181" s="79" t="s">
        <v>244</v>
      </c>
      <c r="G181" s="79" t="s">
        <v>780</v>
      </c>
      <c r="H181" s="79" t="s">
        <v>567</v>
      </c>
      <c r="I181" s="77" t="s">
        <v>944</v>
      </c>
      <c r="J181" s="77" t="s">
        <v>13</v>
      </c>
      <c r="K181" s="79" t="s">
        <v>1151</v>
      </c>
      <c r="L181" s="7" t="str">
        <f>IF(BudgetsTable[[#This Row],[pi_last_name]]=" ","",HYPERLINK("https://www.ejacket.nsf.gov/ej/showProposal.do?Continue=Y&amp;ID="&amp;BudgetsTable[[#This Row],[prop_id]],BudgetsTable[[#This Row],[prop_id]]))</f>
        <v/>
      </c>
      <c r="M181" s="15" t="str">
        <f>IF(BudgetsTable[[#This Row],[pi_last_name]]=" ","",HYPERLINK("https://www.ejacket.nsf.gov/ej/processReviewAnalysis.do?dispatch=add&amp;uniqId="&amp;BudgetsTable[[#This Row],[prop_id]]&amp;PO_id,"&gt;ra"))</f>
        <v/>
      </c>
      <c r="N181" s="79" t="s">
        <v>13</v>
      </c>
      <c r="O181" s="7" t="str">
        <f>IF(BudgetsTable[[#This Row],[pi_last_name]]=" ","",HYPERLINK("mailto:"&amp;BudgetsTable[[#This Row],[pi_email]]&amp;"&amp;subject=Your NSF Proposal:  "&amp;BudgetsTable[[#This Row],[prop_id]],BudgetsTable[[#This Row],[pi_email]]))</f>
        <v/>
      </c>
      <c r="P181" s="79" t="s">
        <v>13</v>
      </c>
      <c r="Q181" s="79">
        <v>1</v>
      </c>
      <c r="R181" s="79">
        <v>0.25</v>
      </c>
      <c r="S181" s="80">
        <v>0</v>
      </c>
      <c r="T181" s="80">
        <v>0</v>
      </c>
      <c r="U181" s="80">
        <v>0</v>
      </c>
      <c r="V181" s="81">
        <v>122665</v>
      </c>
      <c r="W181" s="79">
        <v>0</v>
      </c>
      <c r="X181" s="79">
        <v>3</v>
      </c>
      <c r="Y181" s="11" t="str">
        <f ca="1">IF(ISBLANK(BudgetsTable[[#This Row],[budg_seq_yr]]),"FY"&amp;fiscalyear,"FY"&amp;fiscalyear-1+BudgetsTable[[#This Row],[budg_seq_yr]])</f>
        <v>FY20</v>
      </c>
      <c r="Z181" s="80">
        <v>122665</v>
      </c>
      <c r="AA181" s="79" t="s">
        <v>780</v>
      </c>
      <c r="AB181" s="79" t="s">
        <v>567</v>
      </c>
      <c r="AC181" s="106" t="s">
        <v>94</v>
      </c>
      <c r="AD181" s="79" t="s">
        <v>819</v>
      </c>
    </row>
    <row r="182" spans="1:30">
      <c r="A182" s="10" t="s">
        <v>1151</v>
      </c>
      <c r="B182" s="77" t="s">
        <v>96</v>
      </c>
      <c r="C182" s="77">
        <f>C181+(BudgetsTable[[#This Row],[lead]]&lt;&gt;K181)</f>
        <v>40</v>
      </c>
      <c r="D182" s="77">
        <f>D181*(BudgetsTable[[#This Row],[lead]]=K181)+(BudgetsTable[[#This Row],[prop_id]]&lt;&gt;A181)</f>
        <v>1</v>
      </c>
      <c r="E182" s="78">
        <v>42935.638888888891</v>
      </c>
      <c r="F182" s="79" t="s">
        <v>244</v>
      </c>
      <c r="G182" s="79" t="s">
        <v>780</v>
      </c>
      <c r="H182" s="79" t="s">
        <v>567</v>
      </c>
      <c r="I182" s="77" t="s">
        <v>944</v>
      </c>
      <c r="J182" s="77" t="s">
        <v>13</v>
      </c>
      <c r="K182" s="79" t="s">
        <v>1151</v>
      </c>
      <c r="L182" s="7" t="str">
        <f>IF(BudgetsTable[[#This Row],[pi_last_name]]=" ","",HYPERLINK("https://www.ejacket.nsf.gov/ej/showProposal.do?Continue=Y&amp;ID="&amp;BudgetsTable[[#This Row],[prop_id]],BudgetsTable[[#This Row],[prop_id]]))</f>
        <v/>
      </c>
      <c r="M182" s="15" t="str">
        <f>IF(BudgetsTable[[#This Row],[pi_last_name]]=" ","",HYPERLINK("https://www.ejacket.nsf.gov/ej/processReviewAnalysis.do?dispatch=add&amp;uniqId="&amp;BudgetsTable[[#This Row],[prop_id]]&amp;PO_id,"&gt;ra"))</f>
        <v/>
      </c>
      <c r="N182" s="79" t="s">
        <v>13</v>
      </c>
      <c r="O182" s="7" t="str">
        <f>IF(BudgetsTable[[#This Row],[pi_last_name]]=" ","",HYPERLINK("mailto:"&amp;BudgetsTable[[#This Row],[pi_email]]&amp;"&amp;subject=Your NSF Proposal:  "&amp;BudgetsTable[[#This Row],[prop_id]],BudgetsTable[[#This Row],[pi_email]]))</f>
        <v/>
      </c>
      <c r="P182" s="79" t="s">
        <v>13</v>
      </c>
      <c r="Q182" s="79">
        <v>1</v>
      </c>
      <c r="R182" s="79">
        <v>0.25</v>
      </c>
      <c r="S182" s="80">
        <v>0</v>
      </c>
      <c r="T182" s="80">
        <v>0</v>
      </c>
      <c r="U182" s="80">
        <v>0</v>
      </c>
      <c r="V182" s="81">
        <v>126351</v>
      </c>
      <c r="W182" s="79">
        <v>0</v>
      </c>
      <c r="X182" s="79">
        <v>4</v>
      </c>
      <c r="Y182" s="11" t="str">
        <f ca="1">IF(ISBLANK(BudgetsTable[[#This Row],[budg_seq_yr]]),"FY"&amp;fiscalyear,"FY"&amp;fiscalyear-1+BudgetsTable[[#This Row],[budg_seq_yr]])</f>
        <v>FY21</v>
      </c>
      <c r="Z182" s="80">
        <v>126351</v>
      </c>
      <c r="AA182" s="79" t="s">
        <v>780</v>
      </c>
      <c r="AB182" s="79" t="s">
        <v>567</v>
      </c>
      <c r="AC182" s="106" t="s">
        <v>94</v>
      </c>
      <c r="AD182" s="79" t="s">
        <v>819</v>
      </c>
    </row>
    <row r="183" spans="1:30">
      <c r="A183" s="10" t="s">
        <v>1151</v>
      </c>
      <c r="B183" s="77" t="s">
        <v>96</v>
      </c>
      <c r="C183" s="77">
        <f>C182+(BudgetsTable[[#This Row],[lead]]&lt;&gt;K182)</f>
        <v>40</v>
      </c>
      <c r="D183" s="77">
        <f>D182*(BudgetsTable[[#This Row],[lead]]=K182)+(BudgetsTable[[#This Row],[prop_id]]&lt;&gt;A182)</f>
        <v>1</v>
      </c>
      <c r="E183" s="78">
        <v>42935.638888888891</v>
      </c>
      <c r="F183" s="79" t="s">
        <v>244</v>
      </c>
      <c r="G183" s="79" t="s">
        <v>780</v>
      </c>
      <c r="H183" s="79" t="s">
        <v>567</v>
      </c>
      <c r="I183" s="77" t="s">
        <v>944</v>
      </c>
      <c r="J183" s="77" t="s">
        <v>13</v>
      </c>
      <c r="K183" s="79" t="s">
        <v>1151</v>
      </c>
      <c r="L183" s="7" t="str">
        <f>IF(BudgetsTable[[#This Row],[pi_last_name]]=" ","",HYPERLINK("https://www.ejacket.nsf.gov/ej/showProposal.do?Continue=Y&amp;ID="&amp;BudgetsTable[[#This Row],[prop_id]],BudgetsTable[[#This Row],[prop_id]]))</f>
        <v/>
      </c>
      <c r="M183" s="15" t="str">
        <f>IF(BudgetsTable[[#This Row],[pi_last_name]]=" ","",HYPERLINK("https://www.ejacket.nsf.gov/ej/processReviewAnalysis.do?dispatch=add&amp;uniqId="&amp;BudgetsTable[[#This Row],[prop_id]]&amp;PO_id,"&gt;ra"))</f>
        <v/>
      </c>
      <c r="N183" s="79" t="s">
        <v>13</v>
      </c>
      <c r="O183" s="7" t="str">
        <f>IF(BudgetsTable[[#This Row],[pi_last_name]]=" ","",HYPERLINK("mailto:"&amp;BudgetsTable[[#This Row],[pi_email]]&amp;"&amp;subject=Your NSF Proposal:  "&amp;BudgetsTable[[#This Row],[prop_id]],BudgetsTable[[#This Row],[pi_email]]))</f>
        <v/>
      </c>
      <c r="P183" s="79" t="s">
        <v>13</v>
      </c>
      <c r="Q183" s="79">
        <v>1</v>
      </c>
      <c r="R183" s="79">
        <v>0.25</v>
      </c>
      <c r="S183" s="80">
        <v>0</v>
      </c>
      <c r="T183" s="80">
        <v>0</v>
      </c>
      <c r="U183" s="80">
        <v>0</v>
      </c>
      <c r="V183" s="81">
        <v>130141</v>
      </c>
      <c r="W183" s="79">
        <v>0</v>
      </c>
      <c r="X183" s="79">
        <v>5</v>
      </c>
      <c r="Y183" s="11" t="str">
        <f ca="1">IF(ISBLANK(BudgetsTable[[#This Row],[budg_seq_yr]]),"FY"&amp;fiscalyear,"FY"&amp;fiscalyear-1+BudgetsTable[[#This Row],[budg_seq_yr]])</f>
        <v>FY22</v>
      </c>
      <c r="Z183" s="80">
        <v>130141</v>
      </c>
      <c r="AA183" s="79" t="s">
        <v>780</v>
      </c>
      <c r="AB183" s="79" t="s">
        <v>567</v>
      </c>
      <c r="AC183" s="106" t="s">
        <v>94</v>
      </c>
      <c r="AD183" s="79" t="s">
        <v>819</v>
      </c>
    </row>
    <row r="184" spans="1:30">
      <c r="A184" s="10" t="s">
        <v>1164</v>
      </c>
      <c r="B184" s="77" t="s">
        <v>96</v>
      </c>
      <c r="C184" s="77">
        <f>C183+(BudgetsTable[[#This Row],[lead]]&lt;&gt;K183)</f>
        <v>41</v>
      </c>
      <c r="D184" s="77">
        <f>D183*(BudgetsTable[[#This Row],[lead]]=K183)+(BudgetsTable[[#This Row],[prop_id]]&lt;&gt;A183)</f>
        <v>1</v>
      </c>
      <c r="E184" s="78">
        <v>42935.654166666667</v>
      </c>
      <c r="F184" s="79" t="s">
        <v>244</v>
      </c>
      <c r="G184" s="79" t="s">
        <v>780</v>
      </c>
      <c r="H184" s="79" t="s">
        <v>567</v>
      </c>
      <c r="I184" s="77" t="s">
        <v>582</v>
      </c>
      <c r="J184" s="77" t="s">
        <v>1451</v>
      </c>
      <c r="K184" s="79" t="s">
        <v>1164</v>
      </c>
      <c r="L184" s="7" t="str">
        <f>IF(BudgetsTable[[#This Row],[pi_last_name]]=" ","",HYPERLINK("https://www.ejacket.nsf.gov/ej/showProposal.do?Continue=Y&amp;ID="&amp;BudgetsTable[[#This Row],[prop_id]],BudgetsTable[[#This Row],[prop_id]]))</f>
        <v>1750893</v>
      </c>
      <c r="M184" s="15" t="str">
        <f>IF(BudgetsTable[[#This Row],[pi_last_name]]=" ","",HYPERLINK("https://www.ejacket.nsf.gov/ej/processReviewAnalysis.do?dispatch=add&amp;uniqId="&amp;BudgetsTable[[#This Row],[prop_id]]&amp;PO_id,"&gt;ra"))</f>
        <v>&gt;ra</v>
      </c>
      <c r="N184" s="79" t="s">
        <v>534</v>
      </c>
      <c r="O184" s="7" t="str">
        <f>IF(BudgetsTable[[#This Row],[pi_last_name]]=" ","",HYPERLINK("mailto:"&amp;BudgetsTable[[#This Row],[pi_email]]&amp;"&amp;subject=Your NSF Proposal:  "&amp;BudgetsTable[[#This Row],[prop_id]],BudgetsTable[[#This Row],[pi_email]]))</f>
        <v>nxie@cs.fiu.edu</v>
      </c>
      <c r="P184" s="79" t="s">
        <v>1448</v>
      </c>
      <c r="Q184" s="79"/>
      <c r="R184" s="79"/>
      <c r="S184" s="80"/>
      <c r="T184" s="80"/>
      <c r="U184" s="80"/>
      <c r="V184" s="81"/>
      <c r="W184" s="79">
        <v>0</v>
      </c>
      <c r="X184" s="79"/>
      <c r="Y184" s="11" t="str">
        <f ca="1">IF(ISBLANK(BudgetsTable[[#This Row],[budg_seq_yr]]),"FY"&amp;fiscalyear,"FY"&amp;fiscalyear-1+BudgetsTable[[#This Row],[budg_seq_yr]])</f>
        <v>FY18</v>
      </c>
      <c r="Z184" s="80">
        <v>520820</v>
      </c>
      <c r="AA184" s="79" t="s">
        <v>780</v>
      </c>
      <c r="AB184" s="79" t="s">
        <v>567</v>
      </c>
      <c r="AC184" s="106" t="s">
        <v>94</v>
      </c>
      <c r="AD184" s="79" t="s">
        <v>1383</v>
      </c>
    </row>
    <row r="185" spans="1:30">
      <c r="A185" s="10" t="s">
        <v>1164</v>
      </c>
      <c r="B185" s="77" t="s">
        <v>96</v>
      </c>
      <c r="C185" s="77">
        <f>C184+(BudgetsTable[[#This Row],[lead]]&lt;&gt;K184)</f>
        <v>41</v>
      </c>
      <c r="D185" s="77">
        <f>D184*(BudgetsTable[[#This Row],[lead]]=K184)+(BudgetsTable[[#This Row],[prop_id]]&lt;&gt;A184)</f>
        <v>1</v>
      </c>
      <c r="E185" s="78">
        <v>42935.654166666667</v>
      </c>
      <c r="F185" s="79" t="s">
        <v>244</v>
      </c>
      <c r="G185" s="79" t="s">
        <v>780</v>
      </c>
      <c r="H185" s="79" t="s">
        <v>567</v>
      </c>
      <c r="I185" s="77" t="s">
        <v>582</v>
      </c>
      <c r="J185" s="77" t="s">
        <v>13</v>
      </c>
      <c r="K185" s="79" t="s">
        <v>1164</v>
      </c>
      <c r="L185" s="7" t="str">
        <f>IF(BudgetsTable[[#This Row],[pi_last_name]]=" ","",HYPERLINK("https://www.ejacket.nsf.gov/ej/showProposal.do?Continue=Y&amp;ID="&amp;BudgetsTable[[#This Row],[prop_id]],BudgetsTable[[#This Row],[prop_id]]))</f>
        <v/>
      </c>
      <c r="M185" s="15" t="str">
        <f>IF(BudgetsTable[[#This Row],[pi_last_name]]=" ","",HYPERLINK("https://www.ejacket.nsf.gov/ej/processReviewAnalysis.do?dispatch=add&amp;uniqId="&amp;BudgetsTable[[#This Row],[prop_id]]&amp;PO_id,"&gt;ra"))</f>
        <v/>
      </c>
      <c r="N185" s="79" t="s">
        <v>13</v>
      </c>
      <c r="O185" s="7" t="str">
        <f>IF(BudgetsTable[[#This Row],[pi_last_name]]=" ","",HYPERLINK("mailto:"&amp;BudgetsTable[[#This Row],[pi_email]]&amp;"&amp;subject=Your NSF Proposal:  "&amp;BudgetsTable[[#This Row],[prop_id]],BudgetsTable[[#This Row],[pi_email]]))</f>
        <v/>
      </c>
      <c r="P185" s="79" t="s">
        <v>13</v>
      </c>
      <c r="Q185" s="79">
        <v>1</v>
      </c>
      <c r="R185" s="79">
        <v>1.5</v>
      </c>
      <c r="S185" s="80">
        <v>0</v>
      </c>
      <c r="T185" s="80">
        <v>3000</v>
      </c>
      <c r="U185" s="80">
        <v>0</v>
      </c>
      <c r="V185" s="81">
        <v>98632</v>
      </c>
      <c r="W185" s="79">
        <v>0</v>
      </c>
      <c r="X185" s="79">
        <v>1</v>
      </c>
      <c r="Y185" s="11" t="str">
        <f ca="1">IF(ISBLANK(BudgetsTable[[#This Row],[budg_seq_yr]]),"FY"&amp;fiscalyear,"FY"&amp;fiscalyear-1+BudgetsTable[[#This Row],[budg_seq_yr]])</f>
        <v>FY18</v>
      </c>
      <c r="Z185" s="80">
        <v>98632</v>
      </c>
      <c r="AA185" s="79" t="s">
        <v>780</v>
      </c>
      <c r="AB185" s="79" t="s">
        <v>567</v>
      </c>
      <c r="AC185" s="106" t="s">
        <v>94</v>
      </c>
      <c r="AD185" s="79" t="s">
        <v>1383</v>
      </c>
    </row>
    <row r="186" spans="1:30">
      <c r="A186" s="10" t="s">
        <v>1164</v>
      </c>
      <c r="B186" s="77" t="s">
        <v>96</v>
      </c>
      <c r="C186" s="77">
        <f>C185+(BudgetsTable[[#This Row],[lead]]&lt;&gt;K185)</f>
        <v>41</v>
      </c>
      <c r="D186" s="77">
        <f>D185*(BudgetsTable[[#This Row],[lead]]=K185)+(BudgetsTable[[#This Row],[prop_id]]&lt;&gt;A185)</f>
        <v>1</v>
      </c>
      <c r="E186" s="78">
        <v>42935.654166666667</v>
      </c>
      <c r="F186" s="79" t="s">
        <v>244</v>
      </c>
      <c r="G186" s="79" t="s">
        <v>780</v>
      </c>
      <c r="H186" s="79" t="s">
        <v>567</v>
      </c>
      <c r="I186" s="77" t="s">
        <v>582</v>
      </c>
      <c r="J186" s="77" t="s">
        <v>13</v>
      </c>
      <c r="K186" s="79" t="s">
        <v>1164</v>
      </c>
      <c r="L186" s="7" t="str">
        <f>IF(BudgetsTable[[#This Row],[pi_last_name]]=" ","",HYPERLINK("https://www.ejacket.nsf.gov/ej/showProposal.do?Continue=Y&amp;ID="&amp;BudgetsTable[[#This Row],[prop_id]],BudgetsTable[[#This Row],[prop_id]]))</f>
        <v/>
      </c>
      <c r="M186" s="15" t="str">
        <f>IF(BudgetsTable[[#This Row],[pi_last_name]]=" ","",HYPERLINK("https://www.ejacket.nsf.gov/ej/processReviewAnalysis.do?dispatch=add&amp;uniqId="&amp;BudgetsTable[[#This Row],[prop_id]]&amp;PO_id,"&gt;ra"))</f>
        <v/>
      </c>
      <c r="N186" s="79" t="s">
        <v>13</v>
      </c>
      <c r="O186" s="7" t="str">
        <f>IF(BudgetsTable[[#This Row],[pi_last_name]]=" ","",HYPERLINK("mailto:"&amp;BudgetsTable[[#This Row],[pi_email]]&amp;"&amp;subject=Your NSF Proposal:  "&amp;BudgetsTable[[#This Row],[prop_id]],BudgetsTable[[#This Row],[pi_email]]))</f>
        <v/>
      </c>
      <c r="P186" s="79" t="s">
        <v>13</v>
      </c>
      <c r="Q186" s="79">
        <v>1</v>
      </c>
      <c r="R186" s="79">
        <v>1.5</v>
      </c>
      <c r="S186" s="80">
        <v>0</v>
      </c>
      <c r="T186" s="80">
        <v>3000</v>
      </c>
      <c r="U186" s="80">
        <v>0</v>
      </c>
      <c r="V186" s="81">
        <v>101305</v>
      </c>
      <c r="W186" s="79">
        <v>0</v>
      </c>
      <c r="X186" s="79">
        <v>2</v>
      </c>
      <c r="Y186" s="11" t="str">
        <f ca="1">IF(ISBLANK(BudgetsTable[[#This Row],[budg_seq_yr]]),"FY"&amp;fiscalyear,"FY"&amp;fiscalyear-1+BudgetsTable[[#This Row],[budg_seq_yr]])</f>
        <v>FY19</v>
      </c>
      <c r="Z186" s="80">
        <v>101305</v>
      </c>
      <c r="AA186" s="79" t="s">
        <v>780</v>
      </c>
      <c r="AB186" s="79" t="s">
        <v>567</v>
      </c>
      <c r="AC186" s="106" t="s">
        <v>94</v>
      </c>
      <c r="AD186" s="79" t="s">
        <v>1383</v>
      </c>
    </row>
    <row r="187" spans="1:30">
      <c r="A187" s="10" t="s">
        <v>1164</v>
      </c>
      <c r="B187" s="77" t="s">
        <v>96</v>
      </c>
      <c r="C187" s="77">
        <f>C186+(BudgetsTable[[#This Row],[lead]]&lt;&gt;K186)</f>
        <v>41</v>
      </c>
      <c r="D187" s="77">
        <f>D186*(BudgetsTable[[#This Row],[lead]]=K186)+(BudgetsTable[[#This Row],[prop_id]]&lt;&gt;A186)</f>
        <v>1</v>
      </c>
      <c r="E187" s="78">
        <v>42935.654166666667</v>
      </c>
      <c r="F187" s="79" t="s">
        <v>244</v>
      </c>
      <c r="G187" s="79" t="s">
        <v>780</v>
      </c>
      <c r="H187" s="79" t="s">
        <v>567</v>
      </c>
      <c r="I187" s="77" t="s">
        <v>582</v>
      </c>
      <c r="J187" s="77" t="s">
        <v>13</v>
      </c>
      <c r="K187" s="79" t="s">
        <v>1164</v>
      </c>
      <c r="L187" s="7" t="str">
        <f>IF(BudgetsTable[[#This Row],[pi_last_name]]=" ","",HYPERLINK("https://www.ejacket.nsf.gov/ej/showProposal.do?Continue=Y&amp;ID="&amp;BudgetsTable[[#This Row],[prop_id]],BudgetsTable[[#This Row],[prop_id]]))</f>
        <v/>
      </c>
      <c r="M187" s="15" t="str">
        <f>IF(BudgetsTable[[#This Row],[pi_last_name]]=" ","",HYPERLINK("https://www.ejacket.nsf.gov/ej/processReviewAnalysis.do?dispatch=add&amp;uniqId="&amp;BudgetsTable[[#This Row],[prop_id]]&amp;PO_id,"&gt;ra"))</f>
        <v/>
      </c>
      <c r="N187" s="79" t="s">
        <v>13</v>
      </c>
      <c r="O187" s="7" t="str">
        <f>IF(BudgetsTable[[#This Row],[pi_last_name]]=" ","",HYPERLINK("mailto:"&amp;BudgetsTable[[#This Row],[pi_email]]&amp;"&amp;subject=Your NSF Proposal:  "&amp;BudgetsTable[[#This Row],[prop_id]],BudgetsTable[[#This Row],[pi_email]]))</f>
        <v/>
      </c>
      <c r="P187" s="79" t="s">
        <v>13</v>
      </c>
      <c r="Q187" s="79">
        <v>1</v>
      </c>
      <c r="R187" s="79">
        <v>1.5</v>
      </c>
      <c r="S187" s="80">
        <v>0</v>
      </c>
      <c r="T187" s="80">
        <v>3000</v>
      </c>
      <c r="U187" s="80">
        <v>0</v>
      </c>
      <c r="V187" s="81">
        <v>104071</v>
      </c>
      <c r="W187" s="79">
        <v>0</v>
      </c>
      <c r="X187" s="79">
        <v>3</v>
      </c>
      <c r="Y187" s="11" t="str">
        <f ca="1">IF(ISBLANK(BudgetsTable[[#This Row],[budg_seq_yr]]),"FY"&amp;fiscalyear,"FY"&amp;fiscalyear-1+BudgetsTable[[#This Row],[budg_seq_yr]])</f>
        <v>FY20</v>
      </c>
      <c r="Z187" s="80">
        <v>104071</v>
      </c>
      <c r="AA187" s="79" t="s">
        <v>780</v>
      </c>
      <c r="AB187" s="79" t="s">
        <v>567</v>
      </c>
      <c r="AC187" s="106" t="s">
        <v>94</v>
      </c>
      <c r="AD187" s="79" t="s">
        <v>1383</v>
      </c>
    </row>
    <row r="188" spans="1:30">
      <c r="A188" s="10" t="s">
        <v>1164</v>
      </c>
      <c r="B188" s="77" t="s">
        <v>96</v>
      </c>
      <c r="C188" s="77">
        <f>C187+(BudgetsTable[[#This Row],[lead]]&lt;&gt;K187)</f>
        <v>41</v>
      </c>
      <c r="D188" s="77">
        <f>D187*(BudgetsTable[[#This Row],[lead]]=K187)+(BudgetsTable[[#This Row],[prop_id]]&lt;&gt;A187)</f>
        <v>1</v>
      </c>
      <c r="E188" s="78">
        <v>42935.654166666667</v>
      </c>
      <c r="F188" s="79" t="s">
        <v>244</v>
      </c>
      <c r="G188" s="79" t="s">
        <v>780</v>
      </c>
      <c r="H188" s="79" t="s">
        <v>567</v>
      </c>
      <c r="I188" s="77" t="s">
        <v>582</v>
      </c>
      <c r="J188" s="77" t="s">
        <v>13</v>
      </c>
      <c r="K188" s="79" t="s">
        <v>1164</v>
      </c>
      <c r="L188" s="7" t="str">
        <f>IF(BudgetsTable[[#This Row],[pi_last_name]]=" ","",HYPERLINK("https://www.ejacket.nsf.gov/ej/showProposal.do?Continue=Y&amp;ID="&amp;BudgetsTable[[#This Row],[prop_id]],BudgetsTable[[#This Row],[prop_id]]))</f>
        <v/>
      </c>
      <c r="M188" s="15" t="str">
        <f>IF(BudgetsTable[[#This Row],[pi_last_name]]=" ","",HYPERLINK("https://www.ejacket.nsf.gov/ej/processReviewAnalysis.do?dispatch=add&amp;uniqId="&amp;BudgetsTable[[#This Row],[prop_id]]&amp;PO_id,"&gt;ra"))</f>
        <v/>
      </c>
      <c r="N188" s="79" t="s">
        <v>13</v>
      </c>
      <c r="O188" s="7" t="str">
        <f>IF(BudgetsTable[[#This Row],[pi_last_name]]=" ","",HYPERLINK("mailto:"&amp;BudgetsTable[[#This Row],[pi_email]]&amp;"&amp;subject=Your NSF Proposal:  "&amp;BudgetsTable[[#This Row],[prop_id]],BudgetsTable[[#This Row],[pi_email]]))</f>
        <v/>
      </c>
      <c r="P188" s="79" t="s">
        <v>13</v>
      </c>
      <c r="Q188" s="79">
        <v>1</v>
      </c>
      <c r="R188" s="79">
        <v>1.5</v>
      </c>
      <c r="S188" s="80">
        <v>0</v>
      </c>
      <c r="T188" s="80">
        <v>3000</v>
      </c>
      <c r="U188" s="80">
        <v>0</v>
      </c>
      <c r="V188" s="81">
        <v>106929</v>
      </c>
      <c r="W188" s="79">
        <v>0</v>
      </c>
      <c r="X188" s="79">
        <v>4</v>
      </c>
      <c r="Y188" s="11" t="str">
        <f ca="1">IF(ISBLANK(BudgetsTable[[#This Row],[budg_seq_yr]]),"FY"&amp;fiscalyear,"FY"&amp;fiscalyear-1+BudgetsTable[[#This Row],[budg_seq_yr]])</f>
        <v>FY21</v>
      </c>
      <c r="Z188" s="80">
        <v>106929</v>
      </c>
      <c r="AA188" s="79" t="s">
        <v>780</v>
      </c>
      <c r="AB188" s="79" t="s">
        <v>567</v>
      </c>
      <c r="AC188" s="106" t="s">
        <v>94</v>
      </c>
      <c r="AD188" s="79" t="s">
        <v>1383</v>
      </c>
    </row>
    <row r="189" spans="1:30">
      <c r="A189" s="10" t="s">
        <v>1164</v>
      </c>
      <c r="B189" s="77" t="s">
        <v>96</v>
      </c>
      <c r="C189" s="77">
        <f>C188+(BudgetsTable[[#This Row],[lead]]&lt;&gt;K188)</f>
        <v>41</v>
      </c>
      <c r="D189" s="77">
        <f>D188*(BudgetsTable[[#This Row],[lead]]=K188)+(BudgetsTable[[#This Row],[prop_id]]&lt;&gt;A188)</f>
        <v>1</v>
      </c>
      <c r="E189" s="78">
        <v>42935.654166666667</v>
      </c>
      <c r="F189" s="79" t="s">
        <v>244</v>
      </c>
      <c r="G189" s="79" t="s">
        <v>780</v>
      </c>
      <c r="H189" s="79" t="s">
        <v>567</v>
      </c>
      <c r="I189" s="77" t="s">
        <v>582</v>
      </c>
      <c r="J189" s="77" t="s">
        <v>13</v>
      </c>
      <c r="K189" s="79" t="s">
        <v>1164</v>
      </c>
      <c r="L189" s="7" t="str">
        <f>IF(BudgetsTable[[#This Row],[pi_last_name]]=" ","",HYPERLINK("https://www.ejacket.nsf.gov/ej/showProposal.do?Continue=Y&amp;ID="&amp;BudgetsTable[[#This Row],[prop_id]],BudgetsTable[[#This Row],[prop_id]]))</f>
        <v/>
      </c>
      <c r="M189" s="15" t="str">
        <f>IF(BudgetsTable[[#This Row],[pi_last_name]]=" ","",HYPERLINK("https://www.ejacket.nsf.gov/ej/processReviewAnalysis.do?dispatch=add&amp;uniqId="&amp;BudgetsTable[[#This Row],[prop_id]]&amp;PO_id,"&gt;ra"))</f>
        <v/>
      </c>
      <c r="N189" s="79" t="s">
        <v>13</v>
      </c>
      <c r="O189" s="7" t="str">
        <f>IF(BudgetsTable[[#This Row],[pi_last_name]]=" ","",HYPERLINK("mailto:"&amp;BudgetsTable[[#This Row],[pi_email]]&amp;"&amp;subject=Your NSF Proposal:  "&amp;BudgetsTable[[#This Row],[prop_id]],BudgetsTable[[#This Row],[pi_email]]))</f>
        <v/>
      </c>
      <c r="P189" s="79" t="s">
        <v>13</v>
      </c>
      <c r="Q189" s="79">
        <v>1</v>
      </c>
      <c r="R189" s="79">
        <v>1.5</v>
      </c>
      <c r="S189" s="80">
        <v>0</v>
      </c>
      <c r="T189" s="80">
        <v>3000</v>
      </c>
      <c r="U189" s="80">
        <v>0</v>
      </c>
      <c r="V189" s="81">
        <v>109883</v>
      </c>
      <c r="W189" s="79">
        <v>0</v>
      </c>
      <c r="X189" s="79">
        <v>5</v>
      </c>
      <c r="Y189" s="11" t="str">
        <f ca="1">IF(ISBLANK(BudgetsTable[[#This Row],[budg_seq_yr]]),"FY"&amp;fiscalyear,"FY"&amp;fiscalyear-1+BudgetsTable[[#This Row],[budg_seq_yr]])</f>
        <v>FY22</v>
      </c>
      <c r="Z189" s="80">
        <v>109883</v>
      </c>
      <c r="AA189" s="79" t="s">
        <v>780</v>
      </c>
      <c r="AB189" s="79" t="s">
        <v>567</v>
      </c>
      <c r="AC189" s="106" t="s">
        <v>94</v>
      </c>
      <c r="AD189" s="79" t="s">
        <v>1383</v>
      </c>
    </row>
    <row r="190" spans="1:30">
      <c r="A190" s="10" t="s">
        <v>1174</v>
      </c>
      <c r="B190" s="77" t="s">
        <v>96</v>
      </c>
      <c r="C190" s="77">
        <f>C189+(BudgetsTable[[#This Row],[lead]]&lt;&gt;K189)</f>
        <v>42</v>
      </c>
      <c r="D190" s="77">
        <f>D189*(BudgetsTable[[#This Row],[lead]]=K189)+(BudgetsTable[[#This Row],[prop_id]]&lt;&gt;A189)</f>
        <v>1</v>
      </c>
      <c r="E190" s="78">
        <v>42935.679166666669</v>
      </c>
      <c r="F190" s="79" t="s">
        <v>244</v>
      </c>
      <c r="G190" s="79" t="s">
        <v>780</v>
      </c>
      <c r="H190" s="79" t="s">
        <v>567</v>
      </c>
      <c r="I190" s="77" t="s">
        <v>582</v>
      </c>
      <c r="J190" s="77" t="s">
        <v>1454</v>
      </c>
      <c r="K190" s="79" t="s">
        <v>1174</v>
      </c>
      <c r="L190" s="7" t="str">
        <f>IF(BudgetsTable[[#This Row],[pi_last_name]]=" ","",HYPERLINK("https://www.ejacket.nsf.gov/ej/showProposal.do?Continue=Y&amp;ID="&amp;BudgetsTable[[#This Row],[prop_id]],BudgetsTable[[#This Row],[prop_id]]))</f>
        <v>1751040</v>
      </c>
      <c r="M190" s="15" t="str">
        <f>IF(BudgetsTable[[#This Row],[pi_last_name]]=" ","",HYPERLINK("https://www.ejacket.nsf.gov/ej/processReviewAnalysis.do?dispatch=add&amp;uniqId="&amp;BudgetsTable[[#This Row],[prop_id]]&amp;PO_id,"&gt;ra"))</f>
        <v>&gt;ra</v>
      </c>
      <c r="N190" s="79" t="s">
        <v>1175</v>
      </c>
      <c r="O190" s="7" t="str">
        <f>IF(BudgetsTable[[#This Row],[pi_last_name]]=" ","",HYPERLINK("mailto:"&amp;BudgetsTable[[#This Row],[pi_email]]&amp;"&amp;subject=Your NSF Proposal:  "&amp;BudgetsTable[[#This Row],[prop_id]],BudgetsTable[[#This Row],[pi_email]]))</f>
        <v>ecprice@cs.utexas.edu</v>
      </c>
      <c r="P190" s="79" t="s">
        <v>839</v>
      </c>
      <c r="Q190" s="79"/>
      <c r="R190" s="79"/>
      <c r="S190" s="80"/>
      <c r="T190" s="80"/>
      <c r="U190" s="80"/>
      <c r="V190" s="81"/>
      <c r="W190" s="79">
        <v>0</v>
      </c>
      <c r="X190" s="79"/>
      <c r="Y190" s="11" t="str">
        <f ca="1">IF(ISBLANK(BudgetsTable[[#This Row],[budg_seq_yr]]),"FY"&amp;fiscalyear,"FY"&amp;fiscalyear-1+BudgetsTable[[#This Row],[budg_seq_yr]])</f>
        <v>FY18</v>
      </c>
      <c r="Z190" s="80">
        <v>499575</v>
      </c>
      <c r="AA190" s="79" t="s">
        <v>780</v>
      </c>
      <c r="AB190" s="79" t="s">
        <v>567</v>
      </c>
      <c r="AC190" s="106" t="s">
        <v>94</v>
      </c>
      <c r="AD190" s="79" t="s">
        <v>783</v>
      </c>
    </row>
    <row r="191" spans="1:30">
      <c r="A191" s="10" t="s">
        <v>1174</v>
      </c>
      <c r="B191" s="77" t="s">
        <v>96</v>
      </c>
      <c r="C191" s="77">
        <f>C190+(BudgetsTable[[#This Row],[lead]]&lt;&gt;K190)</f>
        <v>42</v>
      </c>
      <c r="D191" s="77">
        <f>D190*(BudgetsTable[[#This Row],[lead]]=K190)+(BudgetsTable[[#This Row],[prop_id]]&lt;&gt;A190)</f>
        <v>1</v>
      </c>
      <c r="E191" s="78">
        <v>42935.679166666669</v>
      </c>
      <c r="F191" s="79" t="s">
        <v>244</v>
      </c>
      <c r="G191" s="79" t="s">
        <v>780</v>
      </c>
      <c r="H191" s="79" t="s">
        <v>567</v>
      </c>
      <c r="I191" s="77" t="s">
        <v>582</v>
      </c>
      <c r="J191" s="77" t="s">
        <v>13</v>
      </c>
      <c r="K191" s="79" t="s">
        <v>1174</v>
      </c>
      <c r="L191" s="7" t="str">
        <f>IF(BudgetsTable[[#This Row],[pi_last_name]]=" ","",HYPERLINK("https://www.ejacket.nsf.gov/ej/showProposal.do?Continue=Y&amp;ID="&amp;BudgetsTable[[#This Row],[prop_id]],BudgetsTable[[#This Row],[prop_id]]))</f>
        <v/>
      </c>
      <c r="M191" s="15" t="str">
        <f>IF(BudgetsTable[[#This Row],[pi_last_name]]=" ","",HYPERLINK("https://www.ejacket.nsf.gov/ej/processReviewAnalysis.do?dispatch=add&amp;uniqId="&amp;BudgetsTable[[#This Row],[prop_id]]&amp;PO_id,"&gt;ra"))</f>
        <v/>
      </c>
      <c r="N191" s="79" t="s">
        <v>13</v>
      </c>
      <c r="O191" s="7" t="str">
        <f>IF(BudgetsTable[[#This Row],[pi_last_name]]=" ","",HYPERLINK("mailto:"&amp;BudgetsTable[[#This Row],[pi_email]]&amp;"&amp;subject=Your NSF Proposal:  "&amp;BudgetsTable[[#This Row],[prop_id]],BudgetsTable[[#This Row],[pi_email]]))</f>
        <v/>
      </c>
      <c r="P191" s="79" t="s">
        <v>13</v>
      </c>
      <c r="Q191" s="79">
        <v>1</v>
      </c>
      <c r="R191" s="79">
        <v>1</v>
      </c>
      <c r="S191" s="80">
        <v>0</v>
      </c>
      <c r="T191" s="80">
        <v>0</v>
      </c>
      <c r="U191" s="80">
        <v>0</v>
      </c>
      <c r="V191" s="81">
        <v>94979</v>
      </c>
      <c r="W191" s="79">
        <v>0</v>
      </c>
      <c r="X191" s="79">
        <v>1</v>
      </c>
      <c r="Y191" s="11" t="str">
        <f ca="1">IF(ISBLANK(BudgetsTable[[#This Row],[budg_seq_yr]]),"FY"&amp;fiscalyear,"FY"&amp;fiscalyear-1+BudgetsTable[[#This Row],[budg_seq_yr]])</f>
        <v>FY18</v>
      </c>
      <c r="Z191" s="80">
        <v>94979</v>
      </c>
      <c r="AA191" s="79" t="s">
        <v>780</v>
      </c>
      <c r="AB191" s="79" t="s">
        <v>567</v>
      </c>
      <c r="AC191" s="106" t="s">
        <v>94</v>
      </c>
      <c r="AD191" s="79" t="s">
        <v>783</v>
      </c>
    </row>
    <row r="192" spans="1:30">
      <c r="A192" s="10" t="s">
        <v>1174</v>
      </c>
      <c r="B192" s="77" t="s">
        <v>96</v>
      </c>
      <c r="C192" s="77">
        <f>C191+(BudgetsTable[[#This Row],[lead]]&lt;&gt;K191)</f>
        <v>42</v>
      </c>
      <c r="D192" s="77">
        <f>D191*(BudgetsTable[[#This Row],[lead]]=K191)+(BudgetsTable[[#This Row],[prop_id]]&lt;&gt;A191)</f>
        <v>1</v>
      </c>
      <c r="E192" s="78">
        <v>42935.679166666669</v>
      </c>
      <c r="F192" s="79" t="s">
        <v>244</v>
      </c>
      <c r="G192" s="79" t="s">
        <v>780</v>
      </c>
      <c r="H192" s="79" t="s">
        <v>567</v>
      </c>
      <c r="I192" s="77" t="s">
        <v>582</v>
      </c>
      <c r="J192" s="77" t="s">
        <v>13</v>
      </c>
      <c r="K192" s="79" t="s">
        <v>1174</v>
      </c>
      <c r="L192" s="7" t="str">
        <f>IF(BudgetsTable[[#This Row],[pi_last_name]]=" ","",HYPERLINK("https://www.ejacket.nsf.gov/ej/showProposal.do?Continue=Y&amp;ID="&amp;BudgetsTable[[#This Row],[prop_id]],BudgetsTable[[#This Row],[prop_id]]))</f>
        <v/>
      </c>
      <c r="M192" s="15" t="str">
        <f>IF(BudgetsTable[[#This Row],[pi_last_name]]=" ","",HYPERLINK("https://www.ejacket.nsf.gov/ej/processReviewAnalysis.do?dispatch=add&amp;uniqId="&amp;BudgetsTable[[#This Row],[prop_id]]&amp;PO_id,"&gt;ra"))</f>
        <v/>
      </c>
      <c r="N192" s="79" t="s">
        <v>13</v>
      </c>
      <c r="O192" s="7" t="str">
        <f>IF(BudgetsTable[[#This Row],[pi_last_name]]=" ","",HYPERLINK("mailto:"&amp;BudgetsTable[[#This Row],[pi_email]]&amp;"&amp;subject=Your NSF Proposal:  "&amp;BudgetsTable[[#This Row],[prop_id]],BudgetsTable[[#This Row],[pi_email]]))</f>
        <v/>
      </c>
      <c r="P192" s="79" t="s">
        <v>13</v>
      </c>
      <c r="Q192" s="79">
        <v>1</v>
      </c>
      <c r="R192" s="79">
        <v>1</v>
      </c>
      <c r="S192" s="80">
        <v>0</v>
      </c>
      <c r="T192" s="80">
        <v>0</v>
      </c>
      <c r="U192" s="80">
        <v>0</v>
      </c>
      <c r="V192" s="81">
        <v>97373</v>
      </c>
      <c r="W192" s="79">
        <v>0</v>
      </c>
      <c r="X192" s="79">
        <v>2</v>
      </c>
      <c r="Y192" s="11" t="str">
        <f ca="1">IF(ISBLANK(BudgetsTable[[#This Row],[budg_seq_yr]]),"FY"&amp;fiscalyear,"FY"&amp;fiscalyear-1+BudgetsTable[[#This Row],[budg_seq_yr]])</f>
        <v>FY19</v>
      </c>
      <c r="Z192" s="80">
        <v>97373</v>
      </c>
      <c r="AA192" s="79" t="s">
        <v>780</v>
      </c>
      <c r="AB192" s="79" t="s">
        <v>567</v>
      </c>
      <c r="AC192" s="106" t="s">
        <v>94</v>
      </c>
      <c r="AD192" s="79" t="s">
        <v>783</v>
      </c>
    </row>
    <row r="193" spans="1:30">
      <c r="A193" s="10" t="s">
        <v>1174</v>
      </c>
      <c r="B193" s="77" t="s">
        <v>96</v>
      </c>
      <c r="C193" s="77">
        <f>C192+(BudgetsTable[[#This Row],[lead]]&lt;&gt;K192)</f>
        <v>42</v>
      </c>
      <c r="D193" s="77">
        <f>D192*(BudgetsTable[[#This Row],[lead]]=K192)+(BudgetsTable[[#This Row],[prop_id]]&lt;&gt;A192)</f>
        <v>1</v>
      </c>
      <c r="E193" s="78">
        <v>42935.679166666669</v>
      </c>
      <c r="F193" s="79" t="s">
        <v>244</v>
      </c>
      <c r="G193" s="79" t="s">
        <v>780</v>
      </c>
      <c r="H193" s="79" t="s">
        <v>567</v>
      </c>
      <c r="I193" s="77" t="s">
        <v>582</v>
      </c>
      <c r="J193" s="77" t="s">
        <v>13</v>
      </c>
      <c r="K193" s="79" t="s">
        <v>1174</v>
      </c>
      <c r="L193" s="7" t="str">
        <f>IF(BudgetsTable[[#This Row],[pi_last_name]]=" ","",HYPERLINK("https://www.ejacket.nsf.gov/ej/showProposal.do?Continue=Y&amp;ID="&amp;BudgetsTable[[#This Row],[prop_id]],BudgetsTable[[#This Row],[prop_id]]))</f>
        <v/>
      </c>
      <c r="M193" s="15" t="str">
        <f>IF(BudgetsTable[[#This Row],[pi_last_name]]=" ","",HYPERLINK("https://www.ejacket.nsf.gov/ej/processReviewAnalysis.do?dispatch=add&amp;uniqId="&amp;BudgetsTable[[#This Row],[prop_id]]&amp;PO_id,"&gt;ra"))</f>
        <v/>
      </c>
      <c r="N193" s="79" t="s">
        <v>13</v>
      </c>
      <c r="O193" s="7" t="str">
        <f>IF(BudgetsTable[[#This Row],[pi_last_name]]=" ","",HYPERLINK("mailto:"&amp;BudgetsTable[[#This Row],[pi_email]]&amp;"&amp;subject=Your NSF Proposal:  "&amp;BudgetsTable[[#This Row],[prop_id]],BudgetsTable[[#This Row],[pi_email]]))</f>
        <v/>
      </c>
      <c r="P193" s="79" t="s">
        <v>13</v>
      </c>
      <c r="Q193" s="79">
        <v>1</v>
      </c>
      <c r="R193" s="79">
        <v>1</v>
      </c>
      <c r="S193" s="80">
        <v>0</v>
      </c>
      <c r="T193" s="80">
        <v>0</v>
      </c>
      <c r="U193" s="80">
        <v>0</v>
      </c>
      <c r="V193" s="81">
        <v>99840</v>
      </c>
      <c r="W193" s="79">
        <v>0</v>
      </c>
      <c r="X193" s="79">
        <v>3</v>
      </c>
      <c r="Y193" s="11" t="str">
        <f ca="1">IF(ISBLANK(BudgetsTable[[#This Row],[budg_seq_yr]]),"FY"&amp;fiscalyear,"FY"&amp;fiscalyear-1+BudgetsTable[[#This Row],[budg_seq_yr]])</f>
        <v>FY20</v>
      </c>
      <c r="Z193" s="80">
        <v>99840</v>
      </c>
      <c r="AA193" s="79" t="s">
        <v>780</v>
      </c>
      <c r="AB193" s="79" t="s">
        <v>567</v>
      </c>
      <c r="AC193" s="106" t="s">
        <v>94</v>
      </c>
      <c r="AD193" s="79" t="s">
        <v>783</v>
      </c>
    </row>
    <row r="194" spans="1:30">
      <c r="A194" s="10" t="s">
        <v>1174</v>
      </c>
      <c r="B194" s="77" t="s">
        <v>96</v>
      </c>
      <c r="C194" s="77">
        <f>C193+(BudgetsTable[[#This Row],[lead]]&lt;&gt;K193)</f>
        <v>42</v>
      </c>
      <c r="D194" s="77">
        <f>D193*(BudgetsTable[[#This Row],[lead]]=K193)+(BudgetsTable[[#This Row],[prop_id]]&lt;&gt;A193)</f>
        <v>1</v>
      </c>
      <c r="E194" s="78">
        <v>42935.679166666669</v>
      </c>
      <c r="F194" s="79" t="s">
        <v>244</v>
      </c>
      <c r="G194" s="79" t="s">
        <v>780</v>
      </c>
      <c r="H194" s="79" t="s">
        <v>567</v>
      </c>
      <c r="I194" s="77" t="s">
        <v>582</v>
      </c>
      <c r="J194" s="77" t="s">
        <v>13</v>
      </c>
      <c r="K194" s="79" t="s">
        <v>1174</v>
      </c>
      <c r="L194" s="7" t="str">
        <f>IF(BudgetsTable[[#This Row],[pi_last_name]]=" ","",HYPERLINK("https://www.ejacket.nsf.gov/ej/showProposal.do?Continue=Y&amp;ID="&amp;BudgetsTable[[#This Row],[prop_id]],BudgetsTable[[#This Row],[prop_id]]))</f>
        <v/>
      </c>
      <c r="M194" s="15" t="str">
        <f>IF(BudgetsTable[[#This Row],[pi_last_name]]=" ","",HYPERLINK("https://www.ejacket.nsf.gov/ej/processReviewAnalysis.do?dispatch=add&amp;uniqId="&amp;BudgetsTable[[#This Row],[prop_id]]&amp;PO_id,"&gt;ra"))</f>
        <v/>
      </c>
      <c r="N194" s="79" t="s">
        <v>13</v>
      </c>
      <c r="O194" s="7" t="str">
        <f>IF(BudgetsTable[[#This Row],[pi_last_name]]=" ","",HYPERLINK("mailto:"&amp;BudgetsTable[[#This Row],[pi_email]]&amp;"&amp;subject=Your NSF Proposal:  "&amp;BudgetsTable[[#This Row],[prop_id]],BudgetsTable[[#This Row],[pi_email]]))</f>
        <v/>
      </c>
      <c r="P194" s="79" t="s">
        <v>13</v>
      </c>
      <c r="Q194" s="79">
        <v>1</v>
      </c>
      <c r="R194" s="79">
        <v>1</v>
      </c>
      <c r="S194" s="80">
        <v>0</v>
      </c>
      <c r="T194" s="80">
        <v>0</v>
      </c>
      <c r="U194" s="80">
        <v>0</v>
      </c>
      <c r="V194" s="81">
        <v>102383</v>
      </c>
      <c r="W194" s="79">
        <v>0</v>
      </c>
      <c r="X194" s="79">
        <v>4</v>
      </c>
      <c r="Y194" s="11" t="str">
        <f ca="1">IF(ISBLANK(BudgetsTable[[#This Row],[budg_seq_yr]]),"FY"&amp;fiscalyear,"FY"&amp;fiscalyear-1+BudgetsTable[[#This Row],[budg_seq_yr]])</f>
        <v>FY21</v>
      </c>
      <c r="Z194" s="80">
        <v>102383</v>
      </c>
      <c r="AA194" s="79" t="s">
        <v>780</v>
      </c>
      <c r="AB194" s="79" t="s">
        <v>567</v>
      </c>
      <c r="AC194" s="106" t="s">
        <v>94</v>
      </c>
      <c r="AD194" s="79" t="s">
        <v>783</v>
      </c>
    </row>
    <row r="195" spans="1:30">
      <c r="A195" s="10" t="s">
        <v>1174</v>
      </c>
      <c r="B195" s="77" t="s">
        <v>96</v>
      </c>
      <c r="C195" s="77">
        <f>C194+(BudgetsTable[[#This Row],[lead]]&lt;&gt;K194)</f>
        <v>42</v>
      </c>
      <c r="D195" s="77">
        <f>D194*(BudgetsTable[[#This Row],[lead]]=K194)+(BudgetsTable[[#This Row],[prop_id]]&lt;&gt;A194)</f>
        <v>1</v>
      </c>
      <c r="E195" s="78">
        <v>42935.679166666669</v>
      </c>
      <c r="F195" s="79" t="s">
        <v>244</v>
      </c>
      <c r="G195" s="79" t="s">
        <v>780</v>
      </c>
      <c r="H195" s="79" t="s">
        <v>567</v>
      </c>
      <c r="I195" s="77" t="s">
        <v>582</v>
      </c>
      <c r="J195" s="77" t="s">
        <v>13</v>
      </c>
      <c r="K195" s="79" t="s">
        <v>1174</v>
      </c>
      <c r="L195" s="7" t="str">
        <f>IF(BudgetsTable[[#This Row],[pi_last_name]]=" ","",HYPERLINK("https://www.ejacket.nsf.gov/ej/showProposal.do?Continue=Y&amp;ID="&amp;BudgetsTable[[#This Row],[prop_id]],BudgetsTable[[#This Row],[prop_id]]))</f>
        <v/>
      </c>
      <c r="M195" s="15" t="str">
        <f>IF(BudgetsTable[[#This Row],[pi_last_name]]=" ","",HYPERLINK("https://www.ejacket.nsf.gov/ej/processReviewAnalysis.do?dispatch=add&amp;uniqId="&amp;BudgetsTable[[#This Row],[prop_id]]&amp;PO_id,"&gt;ra"))</f>
        <v/>
      </c>
      <c r="N195" s="79" t="s">
        <v>13</v>
      </c>
      <c r="O195" s="7" t="str">
        <f>IF(BudgetsTable[[#This Row],[pi_last_name]]=" ","",HYPERLINK("mailto:"&amp;BudgetsTable[[#This Row],[pi_email]]&amp;"&amp;subject=Your NSF Proposal:  "&amp;BudgetsTable[[#This Row],[prop_id]],BudgetsTable[[#This Row],[pi_email]]))</f>
        <v/>
      </c>
      <c r="P195" s="79" t="s">
        <v>13</v>
      </c>
      <c r="Q195" s="79">
        <v>1</v>
      </c>
      <c r="R195" s="79">
        <v>1</v>
      </c>
      <c r="S195" s="80">
        <v>0</v>
      </c>
      <c r="T195" s="80">
        <v>0</v>
      </c>
      <c r="U195" s="80">
        <v>0</v>
      </c>
      <c r="V195" s="81">
        <v>105000</v>
      </c>
      <c r="W195" s="79">
        <v>0</v>
      </c>
      <c r="X195" s="79">
        <v>5</v>
      </c>
      <c r="Y195" s="11" t="str">
        <f ca="1">IF(ISBLANK(BudgetsTable[[#This Row],[budg_seq_yr]]),"FY"&amp;fiscalyear,"FY"&amp;fiscalyear-1+BudgetsTable[[#This Row],[budg_seq_yr]])</f>
        <v>FY22</v>
      </c>
      <c r="Z195" s="80">
        <v>105000</v>
      </c>
      <c r="AA195" s="79" t="s">
        <v>780</v>
      </c>
      <c r="AB195" s="79" t="s">
        <v>567</v>
      </c>
      <c r="AC195" s="106" t="s">
        <v>94</v>
      </c>
      <c r="AD195" s="79" t="s">
        <v>783</v>
      </c>
    </row>
    <row r="196" spans="1:30">
      <c r="A196" s="10" t="s">
        <v>717</v>
      </c>
      <c r="B196" s="77" t="s">
        <v>96</v>
      </c>
      <c r="C196" s="77">
        <f>C195+(BudgetsTable[[#This Row],[lead]]&lt;&gt;K195)</f>
        <v>43</v>
      </c>
      <c r="D196" s="77">
        <f>D195*(BudgetsTable[[#This Row],[lead]]=K195)+(BudgetsTable[[#This Row],[prop_id]]&lt;&gt;A195)</f>
        <v>1</v>
      </c>
      <c r="E196" s="78">
        <v>42935.680555555555</v>
      </c>
      <c r="F196" s="79" t="s">
        <v>244</v>
      </c>
      <c r="G196" s="79" t="s">
        <v>780</v>
      </c>
      <c r="H196" s="79" t="s">
        <v>567</v>
      </c>
      <c r="I196" s="77" t="s">
        <v>579</v>
      </c>
      <c r="J196" s="77" t="s">
        <v>837</v>
      </c>
      <c r="K196" s="79" t="s">
        <v>717</v>
      </c>
      <c r="L196" s="7" t="str">
        <f>IF(BudgetsTable[[#This Row],[pi_last_name]]=" ","",HYPERLINK("https://www.ejacket.nsf.gov/ej/showProposal.do?Continue=Y&amp;ID="&amp;BudgetsTable[[#This Row],[prop_id]],BudgetsTable[[#This Row],[prop_id]]))</f>
        <v>1751047</v>
      </c>
      <c r="M196" s="15" t="str">
        <f>IF(BudgetsTable[[#This Row],[pi_last_name]]=" ","",HYPERLINK("https://www.ejacket.nsf.gov/ej/processReviewAnalysis.do?dispatch=add&amp;uniqId="&amp;BudgetsTable[[#This Row],[prop_id]]&amp;PO_id,"&gt;ra"))</f>
        <v>&gt;ra</v>
      </c>
      <c r="N196" s="79" t="s">
        <v>718</v>
      </c>
      <c r="O196" s="7" t="str">
        <f>IF(BudgetsTable[[#This Row],[pi_last_name]]=" ","",HYPERLINK("mailto:"&amp;BudgetsTable[[#This Row],[pi_email]]&amp;"&amp;subject=Your NSF Proposal:  "&amp;BudgetsTable[[#This Row],[prop_id]],BudgetsTable[[#This Row],[pi_email]]))</f>
        <v>MATTHEW.GIBSON@UTSA.EDU</v>
      </c>
      <c r="P196" s="79" t="s">
        <v>835</v>
      </c>
      <c r="Q196" s="79"/>
      <c r="R196" s="79"/>
      <c r="S196" s="80"/>
      <c r="T196" s="80"/>
      <c r="U196" s="80"/>
      <c r="V196" s="81"/>
      <c r="W196" s="79">
        <v>0</v>
      </c>
      <c r="X196" s="79"/>
      <c r="Y196" s="11" t="str">
        <f ca="1">IF(ISBLANK(BudgetsTable[[#This Row],[budg_seq_yr]]),"FY"&amp;fiscalyear,"FY"&amp;fiscalyear-1+BudgetsTable[[#This Row],[budg_seq_yr]])</f>
        <v>FY18</v>
      </c>
      <c r="Z196" s="80">
        <v>415497</v>
      </c>
      <c r="AA196" s="79" t="s">
        <v>780</v>
      </c>
      <c r="AB196" s="79" t="s">
        <v>567</v>
      </c>
      <c r="AC196" s="106" t="s">
        <v>94</v>
      </c>
      <c r="AD196" s="79" t="s">
        <v>790</v>
      </c>
    </row>
    <row r="197" spans="1:30">
      <c r="A197" s="10" t="s">
        <v>717</v>
      </c>
      <c r="B197" s="77" t="s">
        <v>96</v>
      </c>
      <c r="C197" s="77">
        <f>C196+(BudgetsTable[[#This Row],[lead]]&lt;&gt;K196)</f>
        <v>43</v>
      </c>
      <c r="D197" s="77">
        <f>D196*(BudgetsTable[[#This Row],[lead]]=K196)+(BudgetsTable[[#This Row],[prop_id]]&lt;&gt;A196)</f>
        <v>1</v>
      </c>
      <c r="E197" s="78">
        <v>42935.680555555555</v>
      </c>
      <c r="F197" s="79" t="s">
        <v>244</v>
      </c>
      <c r="G197" s="79" t="s">
        <v>780</v>
      </c>
      <c r="H197" s="79" t="s">
        <v>567</v>
      </c>
      <c r="I197" s="77" t="s">
        <v>579</v>
      </c>
      <c r="J197" s="77" t="s">
        <v>13</v>
      </c>
      <c r="K197" s="79" t="s">
        <v>717</v>
      </c>
      <c r="L197" s="7" t="str">
        <f>IF(BudgetsTable[[#This Row],[pi_last_name]]=" ","",HYPERLINK("https://www.ejacket.nsf.gov/ej/showProposal.do?Continue=Y&amp;ID="&amp;BudgetsTable[[#This Row],[prop_id]],BudgetsTable[[#This Row],[prop_id]]))</f>
        <v/>
      </c>
      <c r="M197" s="15" t="str">
        <f>IF(BudgetsTable[[#This Row],[pi_last_name]]=" ","",HYPERLINK("https://www.ejacket.nsf.gov/ej/processReviewAnalysis.do?dispatch=add&amp;uniqId="&amp;BudgetsTable[[#This Row],[prop_id]]&amp;PO_id,"&gt;ra"))</f>
        <v/>
      </c>
      <c r="N197" s="79" t="s">
        <v>13</v>
      </c>
      <c r="O197" s="7" t="str">
        <f>IF(BudgetsTable[[#This Row],[pi_last_name]]=" ","",HYPERLINK("mailto:"&amp;BudgetsTable[[#This Row],[pi_email]]&amp;"&amp;subject=Your NSF Proposal:  "&amp;BudgetsTable[[#This Row],[prop_id]],BudgetsTable[[#This Row],[pi_email]]))</f>
        <v/>
      </c>
      <c r="P197" s="79" t="s">
        <v>13</v>
      </c>
      <c r="Q197" s="79">
        <v>1</v>
      </c>
      <c r="R197" s="79">
        <v>1</v>
      </c>
      <c r="S197" s="80">
        <v>0</v>
      </c>
      <c r="T197" s="80">
        <v>2450</v>
      </c>
      <c r="U197" s="80">
        <v>16000</v>
      </c>
      <c r="V197" s="81">
        <v>92539</v>
      </c>
      <c r="W197" s="79">
        <v>0</v>
      </c>
      <c r="X197" s="79">
        <v>1</v>
      </c>
      <c r="Y197" s="11" t="str">
        <f ca="1">IF(ISBLANK(BudgetsTable[[#This Row],[budg_seq_yr]]),"FY"&amp;fiscalyear,"FY"&amp;fiscalyear-1+BudgetsTable[[#This Row],[budg_seq_yr]])</f>
        <v>FY18</v>
      </c>
      <c r="Z197" s="80">
        <v>92539</v>
      </c>
      <c r="AA197" s="79" t="s">
        <v>780</v>
      </c>
      <c r="AB197" s="79" t="s">
        <v>567</v>
      </c>
      <c r="AC197" s="106" t="s">
        <v>94</v>
      </c>
      <c r="AD197" s="79" t="s">
        <v>790</v>
      </c>
    </row>
    <row r="198" spans="1:30">
      <c r="A198" s="10" t="s">
        <v>717</v>
      </c>
      <c r="B198" s="77" t="s">
        <v>96</v>
      </c>
      <c r="C198" s="77">
        <f>C197+(BudgetsTable[[#This Row],[lead]]&lt;&gt;K197)</f>
        <v>43</v>
      </c>
      <c r="D198" s="77">
        <f>D197*(BudgetsTable[[#This Row],[lead]]=K197)+(BudgetsTable[[#This Row],[prop_id]]&lt;&gt;A197)</f>
        <v>1</v>
      </c>
      <c r="E198" s="78">
        <v>42935.680555555555</v>
      </c>
      <c r="F198" s="79" t="s">
        <v>244</v>
      </c>
      <c r="G198" s="79" t="s">
        <v>780</v>
      </c>
      <c r="H198" s="79" t="s">
        <v>567</v>
      </c>
      <c r="I198" s="77" t="s">
        <v>579</v>
      </c>
      <c r="J198" s="77" t="s">
        <v>13</v>
      </c>
      <c r="K198" s="79" t="s">
        <v>717</v>
      </c>
      <c r="L198" s="7" t="str">
        <f>IF(BudgetsTable[[#This Row],[pi_last_name]]=" ","",HYPERLINK("https://www.ejacket.nsf.gov/ej/showProposal.do?Continue=Y&amp;ID="&amp;BudgetsTable[[#This Row],[prop_id]],BudgetsTable[[#This Row],[prop_id]]))</f>
        <v/>
      </c>
      <c r="M198" s="15" t="str">
        <f>IF(BudgetsTable[[#This Row],[pi_last_name]]=" ","",HYPERLINK("https://www.ejacket.nsf.gov/ej/processReviewAnalysis.do?dispatch=add&amp;uniqId="&amp;BudgetsTable[[#This Row],[prop_id]]&amp;PO_id,"&gt;ra"))</f>
        <v/>
      </c>
      <c r="N198" s="79" t="s">
        <v>13</v>
      </c>
      <c r="O198" s="7" t="str">
        <f>IF(BudgetsTable[[#This Row],[pi_last_name]]=" ","",HYPERLINK("mailto:"&amp;BudgetsTable[[#This Row],[pi_email]]&amp;"&amp;subject=Your NSF Proposal:  "&amp;BudgetsTable[[#This Row],[prop_id]],BudgetsTable[[#This Row],[pi_email]]))</f>
        <v/>
      </c>
      <c r="P198" s="79" t="s">
        <v>13</v>
      </c>
      <c r="Q198" s="79">
        <v>1</v>
      </c>
      <c r="R198" s="79">
        <v>1</v>
      </c>
      <c r="S198" s="80">
        <v>0</v>
      </c>
      <c r="T198" s="80">
        <v>2450</v>
      </c>
      <c r="U198" s="80">
        <v>0</v>
      </c>
      <c r="V198" s="81">
        <v>78169</v>
      </c>
      <c r="W198" s="79">
        <v>0</v>
      </c>
      <c r="X198" s="79">
        <v>2</v>
      </c>
      <c r="Y198" s="11" t="str">
        <f ca="1">IF(ISBLANK(BudgetsTable[[#This Row],[budg_seq_yr]]),"FY"&amp;fiscalyear,"FY"&amp;fiscalyear-1+BudgetsTable[[#This Row],[budg_seq_yr]])</f>
        <v>FY19</v>
      </c>
      <c r="Z198" s="80">
        <v>78169</v>
      </c>
      <c r="AA198" s="79" t="s">
        <v>780</v>
      </c>
      <c r="AB198" s="79" t="s">
        <v>567</v>
      </c>
      <c r="AC198" s="106" t="s">
        <v>94</v>
      </c>
      <c r="AD198" s="79" t="s">
        <v>790</v>
      </c>
    </row>
    <row r="199" spans="1:30">
      <c r="A199" s="10" t="s">
        <v>717</v>
      </c>
      <c r="B199" s="77" t="s">
        <v>96</v>
      </c>
      <c r="C199" s="77">
        <f>C198+(BudgetsTable[[#This Row],[lead]]&lt;&gt;K198)</f>
        <v>43</v>
      </c>
      <c r="D199" s="77">
        <f>D198*(BudgetsTable[[#This Row],[lead]]=K198)+(BudgetsTable[[#This Row],[prop_id]]&lt;&gt;A198)</f>
        <v>1</v>
      </c>
      <c r="E199" s="78">
        <v>42935.680555555555</v>
      </c>
      <c r="F199" s="79" t="s">
        <v>244</v>
      </c>
      <c r="G199" s="79" t="s">
        <v>780</v>
      </c>
      <c r="H199" s="79" t="s">
        <v>567</v>
      </c>
      <c r="I199" s="77" t="s">
        <v>579</v>
      </c>
      <c r="J199" s="77" t="s">
        <v>13</v>
      </c>
      <c r="K199" s="79" t="s">
        <v>717</v>
      </c>
      <c r="L199" s="7" t="str">
        <f>IF(BudgetsTable[[#This Row],[pi_last_name]]=" ","",HYPERLINK("https://www.ejacket.nsf.gov/ej/showProposal.do?Continue=Y&amp;ID="&amp;BudgetsTable[[#This Row],[prop_id]],BudgetsTable[[#This Row],[prop_id]]))</f>
        <v/>
      </c>
      <c r="M199" s="15" t="str">
        <f>IF(BudgetsTable[[#This Row],[pi_last_name]]=" ","",HYPERLINK("https://www.ejacket.nsf.gov/ej/processReviewAnalysis.do?dispatch=add&amp;uniqId="&amp;BudgetsTable[[#This Row],[prop_id]]&amp;PO_id,"&gt;ra"))</f>
        <v/>
      </c>
      <c r="N199" s="79" t="s">
        <v>13</v>
      </c>
      <c r="O199" s="7" t="str">
        <f>IF(BudgetsTable[[#This Row],[pi_last_name]]=" ","",HYPERLINK("mailto:"&amp;BudgetsTable[[#This Row],[pi_email]]&amp;"&amp;subject=Your NSF Proposal:  "&amp;BudgetsTable[[#This Row],[prop_id]],BudgetsTable[[#This Row],[pi_email]]))</f>
        <v/>
      </c>
      <c r="P199" s="79" t="s">
        <v>13</v>
      </c>
      <c r="Q199" s="79">
        <v>1</v>
      </c>
      <c r="R199" s="79">
        <v>1</v>
      </c>
      <c r="S199" s="80">
        <v>0</v>
      </c>
      <c r="T199" s="80">
        <v>2450</v>
      </c>
      <c r="U199" s="80">
        <v>0</v>
      </c>
      <c r="V199" s="81">
        <v>79849</v>
      </c>
      <c r="W199" s="79">
        <v>0</v>
      </c>
      <c r="X199" s="79">
        <v>3</v>
      </c>
      <c r="Y199" s="11" t="str">
        <f ca="1">IF(ISBLANK(BudgetsTable[[#This Row],[budg_seq_yr]]),"FY"&amp;fiscalyear,"FY"&amp;fiscalyear-1+BudgetsTable[[#This Row],[budg_seq_yr]])</f>
        <v>FY20</v>
      </c>
      <c r="Z199" s="80">
        <v>79849</v>
      </c>
      <c r="AA199" s="79" t="s">
        <v>780</v>
      </c>
      <c r="AB199" s="79" t="s">
        <v>567</v>
      </c>
      <c r="AC199" s="106" t="s">
        <v>94</v>
      </c>
      <c r="AD199" s="79" t="s">
        <v>790</v>
      </c>
    </row>
    <row r="200" spans="1:30">
      <c r="A200" s="10" t="s">
        <v>717</v>
      </c>
      <c r="B200" s="77" t="s">
        <v>96</v>
      </c>
      <c r="C200" s="77">
        <f>C199+(BudgetsTable[[#This Row],[lead]]&lt;&gt;K199)</f>
        <v>43</v>
      </c>
      <c r="D200" s="77">
        <f>D199*(BudgetsTable[[#This Row],[lead]]=K199)+(BudgetsTable[[#This Row],[prop_id]]&lt;&gt;A199)</f>
        <v>1</v>
      </c>
      <c r="E200" s="78">
        <v>42935.680555555555</v>
      </c>
      <c r="F200" s="79" t="s">
        <v>244</v>
      </c>
      <c r="G200" s="79" t="s">
        <v>780</v>
      </c>
      <c r="H200" s="79" t="s">
        <v>567</v>
      </c>
      <c r="I200" s="77" t="s">
        <v>579</v>
      </c>
      <c r="J200" s="77" t="s">
        <v>13</v>
      </c>
      <c r="K200" s="79" t="s">
        <v>717</v>
      </c>
      <c r="L200" s="7" t="str">
        <f>IF(BudgetsTable[[#This Row],[pi_last_name]]=" ","",HYPERLINK("https://www.ejacket.nsf.gov/ej/showProposal.do?Continue=Y&amp;ID="&amp;BudgetsTable[[#This Row],[prop_id]],BudgetsTable[[#This Row],[prop_id]]))</f>
        <v/>
      </c>
      <c r="M200" s="15" t="str">
        <f>IF(BudgetsTable[[#This Row],[pi_last_name]]=" ","",HYPERLINK("https://www.ejacket.nsf.gov/ej/processReviewAnalysis.do?dispatch=add&amp;uniqId="&amp;BudgetsTable[[#This Row],[prop_id]]&amp;PO_id,"&gt;ra"))</f>
        <v/>
      </c>
      <c r="N200" s="79" t="s">
        <v>13</v>
      </c>
      <c r="O200" s="7" t="str">
        <f>IF(BudgetsTable[[#This Row],[pi_last_name]]=" ","",HYPERLINK("mailto:"&amp;BudgetsTable[[#This Row],[pi_email]]&amp;"&amp;subject=Your NSF Proposal:  "&amp;BudgetsTable[[#This Row],[prop_id]],BudgetsTable[[#This Row],[pi_email]]))</f>
        <v/>
      </c>
      <c r="P200" s="79" t="s">
        <v>13</v>
      </c>
      <c r="Q200" s="79">
        <v>1</v>
      </c>
      <c r="R200" s="79">
        <v>1</v>
      </c>
      <c r="S200" s="80">
        <v>0</v>
      </c>
      <c r="T200" s="80">
        <v>2450</v>
      </c>
      <c r="U200" s="80">
        <v>0</v>
      </c>
      <c r="V200" s="81">
        <v>81580</v>
      </c>
      <c r="W200" s="79">
        <v>0</v>
      </c>
      <c r="X200" s="79">
        <v>4</v>
      </c>
      <c r="Y200" s="11" t="str">
        <f ca="1">IF(ISBLANK(BudgetsTable[[#This Row],[budg_seq_yr]]),"FY"&amp;fiscalyear,"FY"&amp;fiscalyear-1+BudgetsTable[[#This Row],[budg_seq_yr]])</f>
        <v>FY21</v>
      </c>
      <c r="Z200" s="80">
        <v>81580</v>
      </c>
      <c r="AA200" s="79" t="s">
        <v>780</v>
      </c>
      <c r="AB200" s="79" t="s">
        <v>567</v>
      </c>
      <c r="AC200" s="106" t="s">
        <v>94</v>
      </c>
      <c r="AD200" s="79" t="s">
        <v>790</v>
      </c>
    </row>
    <row r="201" spans="1:30">
      <c r="A201" s="10" t="s">
        <v>717</v>
      </c>
      <c r="B201" s="77" t="s">
        <v>96</v>
      </c>
      <c r="C201" s="77">
        <f>C200+(BudgetsTable[[#This Row],[lead]]&lt;&gt;K200)</f>
        <v>43</v>
      </c>
      <c r="D201" s="77">
        <f>D200*(BudgetsTable[[#This Row],[lead]]=K200)+(BudgetsTable[[#This Row],[prop_id]]&lt;&gt;A200)</f>
        <v>1</v>
      </c>
      <c r="E201" s="78">
        <v>42935.680555555555</v>
      </c>
      <c r="F201" s="79" t="s">
        <v>244</v>
      </c>
      <c r="G201" s="79" t="s">
        <v>780</v>
      </c>
      <c r="H201" s="79" t="s">
        <v>567</v>
      </c>
      <c r="I201" s="77" t="s">
        <v>579</v>
      </c>
      <c r="J201" s="77" t="s">
        <v>13</v>
      </c>
      <c r="K201" s="79" t="s">
        <v>717</v>
      </c>
      <c r="L201" s="7" t="str">
        <f>IF(BudgetsTable[[#This Row],[pi_last_name]]=" ","",HYPERLINK("https://www.ejacket.nsf.gov/ej/showProposal.do?Continue=Y&amp;ID="&amp;BudgetsTable[[#This Row],[prop_id]],BudgetsTable[[#This Row],[prop_id]]))</f>
        <v/>
      </c>
      <c r="M201" s="15" t="str">
        <f>IF(BudgetsTable[[#This Row],[pi_last_name]]=" ","",HYPERLINK("https://www.ejacket.nsf.gov/ej/processReviewAnalysis.do?dispatch=add&amp;uniqId="&amp;BudgetsTable[[#This Row],[prop_id]]&amp;PO_id,"&gt;ra"))</f>
        <v/>
      </c>
      <c r="N201" s="79" t="s">
        <v>13</v>
      </c>
      <c r="O201" s="7" t="str">
        <f>IF(BudgetsTable[[#This Row],[pi_last_name]]=" ","",HYPERLINK("mailto:"&amp;BudgetsTable[[#This Row],[pi_email]]&amp;"&amp;subject=Your NSF Proposal:  "&amp;BudgetsTable[[#This Row],[prop_id]],BudgetsTable[[#This Row],[pi_email]]))</f>
        <v/>
      </c>
      <c r="P201" s="79" t="s">
        <v>13</v>
      </c>
      <c r="Q201" s="79">
        <v>1</v>
      </c>
      <c r="R201" s="79">
        <v>1</v>
      </c>
      <c r="S201" s="80">
        <v>0</v>
      </c>
      <c r="T201" s="80">
        <v>2450</v>
      </c>
      <c r="U201" s="80">
        <v>0</v>
      </c>
      <c r="V201" s="81">
        <v>83360</v>
      </c>
      <c r="W201" s="79">
        <v>0</v>
      </c>
      <c r="X201" s="79">
        <v>5</v>
      </c>
      <c r="Y201" s="11" t="str">
        <f ca="1">IF(ISBLANK(BudgetsTable[[#This Row],[budg_seq_yr]]),"FY"&amp;fiscalyear,"FY"&amp;fiscalyear-1+BudgetsTable[[#This Row],[budg_seq_yr]])</f>
        <v>FY22</v>
      </c>
      <c r="Z201" s="80">
        <v>83360</v>
      </c>
      <c r="AA201" s="79" t="s">
        <v>780</v>
      </c>
      <c r="AB201" s="79" t="s">
        <v>567</v>
      </c>
      <c r="AC201" s="106" t="s">
        <v>94</v>
      </c>
      <c r="AD201" s="79" t="s">
        <v>790</v>
      </c>
    </row>
    <row r="202" spans="1:30">
      <c r="A202" s="10" t="s">
        <v>1182</v>
      </c>
      <c r="B202" s="77" t="s">
        <v>96</v>
      </c>
      <c r="C202" s="77">
        <f>C201+(BudgetsTable[[#This Row],[lead]]&lt;&gt;K201)</f>
        <v>44</v>
      </c>
      <c r="D202" s="77">
        <f>D201*(BudgetsTable[[#This Row],[lead]]=K201)+(BudgetsTable[[#This Row],[prop_id]]&lt;&gt;A201)</f>
        <v>1</v>
      </c>
      <c r="E202" s="78">
        <v>42935.680555555555</v>
      </c>
      <c r="F202" s="79" t="s">
        <v>244</v>
      </c>
      <c r="G202" s="79" t="s">
        <v>780</v>
      </c>
      <c r="H202" s="79" t="s">
        <v>567</v>
      </c>
      <c r="I202" s="77" t="s">
        <v>582</v>
      </c>
      <c r="J202" s="77" t="s">
        <v>1459</v>
      </c>
      <c r="K202" s="79" t="s">
        <v>1182</v>
      </c>
      <c r="L202" s="7" t="str">
        <f>IF(BudgetsTable[[#This Row],[pi_last_name]]=" ","",HYPERLINK("https://www.ejacket.nsf.gov/ej/showProposal.do?Continue=Y&amp;ID="&amp;BudgetsTable[[#This Row],[prop_id]],BudgetsTable[[#This Row],[prop_id]]))</f>
        <v>1751048</v>
      </c>
      <c r="M202" s="15" t="str">
        <f>IF(BudgetsTable[[#This Row],[pi_last_name]]=" ","",HYPERLINK("https://www.ejacket.nsf.gov/ej/processReviewAnalysis.do?dispatch=add&amp;uniqId="&amp;BudgetsTable[[#This Row],[prop_id]]&amp;PO_id,"&gt;ra"))</f>
        <v>&gt;ra</v>
      </c>
      <c r="N202" s="79" t="s">
        <v>1183</v>
      </c>
      <c r="O202" s="7" t="str">
        <f>IF(BudgetsTable[[#This Row],[pi_last_name]]=" ","",HYPERLINK("mailto:"&amp;BudgetsTable[[#This Row],[pi_email]]&amp;"&amp;subject=Your NSF Proposal:  "&amp;BudgetsTable[[#This Row],[prop_id]],BudgetsTable[[#This Row],[pi_email]]))</f>
        <v>periklis.research@gmail.com</v>
      </c>
      <c r="P202" s="79" t="s">
        <v>1456</v>
      </c>
      <c r="Q202" s="79"/>
      <c r="R202" s="79"/>
      <c r="S202" s="80"/>
      <c r="T202" s="80"/>
      <c r="U202" s="80"/>
      <c r="V202" s="81"/>
      <c r="W202" s="79">
        <v>0</v>
      </c>
      <c r="X202" s="79"/>
      <c r="Y202" s="11" t="str">
        <f ca="1">IF(ISBLANK(BudgetsTable[[#This Row],[budg_seq_yr]]),"FY"&amp;fiscalyear,"FY"&amp;fiscalyear-1+BudgetsTable[[#This Row],[budg_seq_yr]])</f>
        <v>FY18</v>
      </c>
      <c r="Z202" s="80">
        <v>667571</v>
      </c>
      <c r="AA202" s="79" t="s">
        <v>780</v>
      </c>
      <c r="AB202" s="79" t="s">
        <v>567</v>
      </c>
      <c r="AC202" s="106" t="s">
        <v>94</v>
      </c>
      <c r="AD202" s="79" t="s">
        <v>783</v>
      </c>
    </row>
    <row r="203" spans="1:30">
      <c r="A203" s="10" t="s">
        <v>1182</v>
      </c>
      <c r="B203" s="77" t="s">
        <v>96</v>
      </c>
      <c r="C203" s="77">
        <f>C202+(BudgetsTable[[#This Row],[lead]]&lt;&gt;K202)</f>
        <v>44</v>
      </c>
      <c r="D203" s="77">
        <f>D202*(BudgetsTable[[#This Row],[lead]]=K202)+(BudgetsTable[[#This Row],[prop_id]]&lt;&gt;A202)</f>
        <v>1</v>
      </c>
      <c r="E203" s="78">
        <v>42935.680555555555</v>
      </c>
      <c r="F203" s="79" t="s">
        <v>244</v>
      </c>
      <c r="G203" s="79" t="s">
        <v>780</v>
      </c>
      <c r="H203" s="79" t="s">
        <v>567</v>
      </c>
      <c r="I203" s="77" t="s">
        <v>582</v>
      </c>
      <c r="J203" s="77" t="s">
        <v>13</v>
      </c>
      <c r="K203" s="79" t="s">
        <v>1182</v>
      </c>
      <c r="L203" s="7" t="str">
        <f>IF(BudgetsTable[[#This Row],[pi_last_name]]=" ","",HYPERLINK("https://www.ejacket.nsf.gov/ej/showProposal.do?Continue=Y&amp;ID="&amp;BudgetsTable[[#This Row],[prop_id]],BudgetsTable[[#This Row],[prop_id]]))</f>
        <v/>
      </c>
      <c r="M203" s="15" t="str">
        <f>IF(BudgetsTable[[#This Row],[pi_last_name]]=" ","",HYPERLINK("https://www.ejacket.nsf.gov/ej/processReviewAnalysis.do?dispatch=add&amp;uniqId="&amp;BudgetsTable[[#This Row],[prop_id]]&amp;PO_id,"&gt;ra"))</f>
        <v/>
      </c>
      <c r="N203" s="79" t="s">
        <v>13</v>
      </c>
      <c r="O203" s="7" t="str">
        <f>IF(BudgetsTable[[#This Row],[pi_last_name]]=" ","",HYPERLINK("mailto:"&amp;BudgetsTable[[#This Row],[pi_email]]&amp;"&amp;subject=Your NSF Proposal:  "&amp;BudgetsTable[[#This Row],[prop_id]],BudgetsTable[[#This Row],[pi_email]]))</f>
        <v/>
      </c>
      <c r="P203" s="79" t="s">
        <v>13</v>
      </c>
      <c r="Q203" s="79">
        <v>1</v>
      </c>
      <c r="R203" s="79">
        <v>1</v>
      </c>
      <c r="S203" s="80">
        <v>0</v>
      </c>
      <c r="T203" s="80">
        <v>5000</v>
      </c>
      <c r="U203" s="80">
        <v>0</v>
      </c>
      <c r="V203" s="81">
        <v>129588</v>
      </c>
      <c r="W203" s="79">
        <v>0</v>
      </c>
      <c r="X203" s="79">
        <v>1</v>
      </c>
      <c r="Y203" s="11" t="str">
        <f ca="1">IF(ISBLANK(BudgetsTable[[#This Row],[budg_seq_yr]]),"FY"&amp;fiscalyear,"FY"&amp;fiscalyear-1+BudgetsTable[[#This Row],[budg_seq_yr]])</f>
        <v>FY18</v>
      </c>
      <c r="Z203" s="80">
        <v>129588</v>
      </c>
      <c r="AA203" s="79" t="s">
        <v>780</v>
      </c>
      <c r="AB203" s="79" t="s">
        <v>567</v>
      </c>
      <c r="AC203" s="106" t="s">
        <v>94</v>
      </c>
      <c r="AD203" s="79" t="s">
        <v>783</v>
      </c>
    </row>
    <row r="204" spans="1:30">
      <c r="A204" s="10" t="s">
        <v>1182</v>
      </c>
      <c r="B204" s="77" t="s">
        <v>96</v>
      </c>
      <c r="C204" s="77">
        <f>C203+(BudgetsTable[[#This Row],[lead]]&lt;&gt;K203)</f>
        <v>44</v>
      </c>
      <c r="D204" s="77">
        <f>D203*(BudgetsTable[[#This Row],[lead]]=K203)+(BudgetsTable[[#This Row],[prop_id]]&lt;&gt;A203)</f>
        <v>1</v>
      </c>
      <c r="E204" s="78">
        <v>42935.680555555555</v>
      </c>
      <c r="F204" s="79" t="s">
        <v>244</v>
      </c>
      <c r="G204" s="79" t="s">
        <v>780</v>
      </c>
      <c r="H204" s="79" t="s">
        <v>567</v>
      </c>
      <c r="I204" s="77" t="s">
        <v>582</v>
      </c>
      <c r="J204" s="77" t="s">
        <v>13</v>
      </c>
      <c r="K204" s="79" t="s">
        <v>1182</v>
      </c>
      <c r="L204" s="7" t="str">
        <f>IF(BudgetsTable[[#This Row],[pi_last_name]]=" ","",HYPERLINK("https://www.ejacket.nsf.gov/ej/showProposal.do?Continue=Y&amp;ID="&amp;BudgetsTable[[#This Row],[prop_id]],BudgetsTable[[#This Row],[prop_id]]))</f>
        <v/>
      </c>
      <c r="M204" s="15" t="str">
        <f>IF(BudgetsTable[[#This Row],[pi_last_name]]=" ","",HYPERLINK("https://www.ejacket.nsf.gov/ej/processReviewAnalysis.do?dispatch=add&amp;uniqId="&amp;BudgetsTable[[#This Row],[prop_id]]&amp;PO_id,"&gt;ra"))</f>
        <v/>
      </c>
      <c r="N204" s="79" t="s">
        <v>13</v>
      </c>
      <c r="O204" s="7" t="str">
        <f>IF(BudgetsTable[[#This Row],[pi_last_name]]=" ","",HYPERLINK("mailto:"&amp;BudgetsTable[[#This Row],[pi_email]]&amp;"&amp;subject=Your NSF Proposal:  "&amp;BudgetsTable[[#This Row],[prop_id]],BudgetsTable[[#This Row],[pi_email]]))</f>
        <v/>
      </c>
      <c r="P204" s="79" t="s">
        <v>13</v>
      </c>
      <c r="Q204" s="79">
        <v>1</v>
      </c>
      <c r="R204" s="79">
        <v>1</v>
      </c>
      <c r="S204" s="80">
        <v>0</v>
      </c>
      <c r="T204" s="80">
        <v>5000</v>
      </c>
      <c r="U204" s="80">
        <v>0</v>
      </c>
      <c r="V204" s="81">
        <v>128146</v>
      </c>
      <c r="W204" s="79">
        <v>0</v>
      </c>
      <c r="X204" s="79">
        <v>2</v>
      </c>
      <c r="Y204" s="11" t="str">
        <f ca="1">IF(ISBLANK(BudgetsTable[[#This Row],[budg_seq_yr]]),"FY"&amp;fiscalyear,"FY"&amp;fiscalyear-1+BudgetsTable[[#This Row],[budg_seq_yr]])</f>
        <v>FY19</v>
      </c>
      <c r="Z204" s="80">
        <v>128146</v>
      </c>
      <c r="AA204" s="79" t="s">
        <v>780</v>
      </c>
      <c r="AB204" s="79" t="s">
        <v>567</v>
      </c>
      <c r="AC204" s="106" t="s">
        <v>94</v>
      </c>
      <c r="AD204" s="79" t="s">
        <v>783</v>
      </c>
    </row>
    <row r="205" spans="1:30">
      <c r="A205" s="10" t="s">
        <v>1182</v>
      </c>
      <c r="B205" s="77" t="s">
        <v>96</v>
      </c>
      <c r="C205" s="77">
        <f>C204+(BudgetsTable[[#This Row],[lead]]&lt;&gt;K204)</f>
        <v>44</v>
      </c>
      <c r="D205" s="77">
        <f>D204*(BudgetsTable[[#This Row],[lead]]=K204)+(BudgetsTable[[#This Row],[prop_id]]&lt;&gt;A204)</f>
        <v>1</v>
      </c>
      <c r="E205" s="78">
        <v>42935.680555555555</v>
      </c>
      <c r="F205" s="79" t="s">
        <v>244</v>
      </c>
      <c r="G205" s="79" t="s">
        <v>780</v>
      </c>
      <c r="H205" s="79" t="s">
        <v>567</v>
      </c>
      <c r="I205" s="77" t="s">
        <v>582</v>
      </c>
      <c r="J205" s="77" t="s">
        <v>13</v>
      </c>
      <c r="K205" s="79" t="s">
        <v>1182</v>
      </c>
      <c r="L205" s="7" t="str">
        <f>IF(BudgetsTable[[#This Row],[pi_last_name]]=" ","",HYPERLINK("https://www.ejacket.nsf.gov/ej/showProposal.do?Continue=Y&amp;ID="&amp;BudgetsTable[[#This Row],[prop_id]],BudgetsTable[[#This Row],[prop_id]]))</f>
        <v/>
      </c>
      <c r="M205" s="15" t="str">
        <f>IF(BudgetsTable[[#This Row],[pi_last_name]]=" ","",HYPERLINK("https://www.ejacket.nsf.gov/ej/processReviewAnalysis.do?dispatch=add&amp;uniqId="&amp;BudgetsTable[[#This Row],[prop_id]]&amp;PO_id,"&gt;ra"))</f>
        <v/>
      </c>
      <c r="N205" s="79" t="s">
        <v>13</v>
      </c>
      <c r="O205" s="7" t="str">
        <f>IF(BudgetsTable[[#This Row],[pi_last_name]]=" ","",HYPERLINK("mailto:"&amp;BudgetsTable[[#This Row],[pi_email]]&amp;"&amp;subject=Your NSF Proposal:  "&amp;BudgetsTable[[#This Row],[prop_id]],BudgetsTable[[#This Row],[pi_email]]))</f>
        <v/>
      </c>
      <c r="P205" s="79" t="s">
        <v>13</v>
      </c>
      <c r="Q205" s="79">
        <v>1</v>
      </c>
      <c r="R205" s="79">
        <v>1</v>
      </c>
      <c r="S205" s="80">
        <v>0</v>
      </c>
      <c r="T205" s="80">
        <v>5000</v>
      </c>
      <c r="U205" s="80">
        <v>0</v>
      </c>
      <c r="V205" s="81">
        <v>132271</v>
      </c>
      <c r="W205" s="79">
        <v>0</v>
      </c>
      <c r="X205" s="79">
        <v>3</v>
      </c>
      <c r="Y205" s="11" t="str">
        <f ca="1">IF(ISBLANK(BudgetsTable[[#This Row],[budg_seq_yr]]),"FY"&amp;fiscalyear,"FY"&amp;fiscalyear-1+BudgetsTable[[#This Row],[budg_seq_yr]])</f>
        <v>FY20</v>
      </c>
      <c r="Z205" s="80">
        <v>132271</v>
      </c>
      <c r="AA205" s="79" t="s">
        <v>780</v>
      </c>
      <c r="AB205" s="79" t="s">
        <v>567</v>
      </c>
      <c r="AC205" s="106" t="s">
        <v>94</v>
      </c>
      <c r="AD205" s="79" t="s">
        <v>783</v>
      </c>
    </row>
    <row r="206" spans="1:30">
      <c r="A206" s="10" t="s">
        <v>1182</v>
      </c>
      <c r="B206" s="77" t="s">
        <v>96</v>
      </c>
      <c r="C206" s="77">
        <f>C205+(BudgetsTable[[#This Row],[lead]]&lt;&gt;K205)</f>
        <v>44</v>
      </c>
      <c r="D206" s="77">
        <f>D205*(BudgetsTable[[#This Row],[lead]]=K205)+(BudgetsTable[[#This Row],[prop_id]]&lt;&gt;A205)</f>
        <v>1</v>
      </c>
      <c r="E206" s="78">
        <v>42935.680555555555</v>
      </c>
      <c r="F206" s="79" t="s">
        <v>244</v>
      </c>
      <c r="G206" s="79" t="s">
        <v>780</v>
      </c>
      <c r="H206" s="79" t="s">
        <v>567</v>
      </c>
      <c r="I206" s="77" t="s">
        <v>582</v>
      </c>
      <c r="J206" s="77" t="s">
        <v>13</v>
      </c>
      <c r="K206" s="79" t="s">
        <v>1182</v>
      </c>
      <c r="L206" s="7" t="str">
        <f>IF(BudgetsTable[[#This Row],[pi_last_name]]=" ","",HYPERLINK("https://www.ejacket.nsf.gov/ej/showProposal.do?Continue=Y&amp;ID="&amp;BudgetsTable[[#This Row],[prop_id]],BudgetsTable[[#This Row],[prop_id]]))</f>
        <v/>
      </c>
      <c r="M206" s="15" t="str">
        <f>IF(BudgetsTable[[#This Row],[pi_last_name]]=" ","",HYPERLINK("https://www.ejacket.nsf.gov/ej/processReviewAnalysis.do?dispatch=add&amp;uniqId="&amp;BudgetsTable[[#This Row],[prop_id]]&amp;PO_id,"&gt;ra"))</f>
        <v/>
      </c>
      <c r="N206" s="79" t="s">
        <v>13</v>
      </c>
      <c r="O206" s="7" t="str">
        <f>IF(BudgetsTable[[#This Row],[pi_last_name]]=" ","",HYPERLINK("mailto:"&amp;BudgetsTable[[#This Row],[pi_email]]&amp;"&amp;subject=Your NSF Proposal:  "&amp;BudgetsTable[[#This Row],[prop_id]],BudgetsTable[[#This Row],[pi_email]]))</f>
        <v/>
      </c>
      <c r="P206" s="79" t="s">
        <v>13</v>
      </c>
      <c r="Q206" s="79">
        <v>1</v>
      </c>
      <c r="R206" s="79">
        <v>1</v>
      </c>
      <c r="S206" s="80">
        <v>0</v>
      </c>
      <c r="T206" s="80">
        <v>5000</v>
      </c>
      <c r="U206" s="80">
        <v>0</v>
      </c>
      <c r="V206" s="81">
        <v>136556</v>
      </c>
      <c r="W206" s="79">
        <v>0</v>
      </c>
      <c r="X206" s="79">
        <v>4</v>
      </c>
      <c r="Y206" s="11" t="str">
        <f ca="1">IF(ISBLANK(BudgetsTable[[#This Row],[budg_seq_yr]]),"FY"&amp;fiscalyear,"FY"&amp;fiscalyear-1+BudgetsTable[[#This Row],[budg_seq_yr]])</f>
        <v>FY21</v>
      </c>
      <c r="Z206" s="80">
        <v>136556</v>
      </c>
      <c r="AA206" s="79" t="s">
        <v>780</v>
      </c>
      <c r="AB206" s="79" t="s">
        <v>567</v>
      </c>
      <c r="AC206" s="106" t="s">
        <v>94</v>
      </c>
      <c r="AD206" s="79" t="s">
        <v>783</v>
      </c>
    </row>
    <row r="207" spans="1:30">
      <c r="A207" s="10" t="s">
        <v>1182</v>
      </c>
      <c r="B207" s="77" t="s">
        <v>96</v>
      </c>
      <c r="C207" s="77">
        <f>C206+(BudgetsTable[[#This Row],[lead]]&lt;&gt;K206)</f>
        <v>44</v>
      </c>
      <c r="D207" s="77">
        <f>D206*(BudgetsTable[[#This Row],[lead]]=K206)+(BudgetsTable[[#This Row],[prop_id]]&lt;&gt;A206)</f>
        <v>1</v>
      </c>
      <c r="E207" s="78">
        <v>42935.680555555555</v>
      </c>
      <c r="F207" s="79" t="s">
        <v>244</v>
      </c>
      <c r="G207" s="79" t="s">
        <v>780</v>
      </c>
      <c r="H207" s="79" t="s">
        <v>567</v>
      </c>
      <c r="I207" s="77" t="s">
        <v>582</v>
      </c>
      <c r="J207" s="77" t="s">
        <v>13</v>
      </c>
      <c r="K207" s="79" t="s">
        <v>1182</v>
      </c>
      <c r="L207" s="7" t="str">
        <f>IF(BudgetsTable[[#This Row],[pi_last_name]]=" ","",HYPERLINK("https://www.ejacket.nsf.gov/ej/showProposal.do?Continue=Y&amp;ID="&amp;BudgetsTable[[#This Row],[prop_id]],BudgetsTable[[#This Row],[prop_id]]))</f>
        <v/>
      </c>
      <c r="M207" s="15" t="str">
        <f>IF(BudgetsTable[[#This Row],[pi_last_name]]=" ","",HYPERLINK("https://www.ejacket.nsf.gov/ej/processReviewAnalysis.do?dispatch=add&amp;uniqId="&amp;BudgetsTable[[#This Row],[prop_id]]&amp;PO_id,"&gt;ra"))</f>
        <v/>
      </c>
      <c r="N207" s="79" t="s">
        <v>13</v>
      </c>
      <c r="O207" s="7" t="str">
        <f>IF(BudgetsTable[[#This Row],[pi_last_name]]=" ","",HYPERLINK("mailto:"&amp;BudgetsTable[[#This Row],[pi_email]]&amp;"&amp;subject=Your NSF Proposal:  "&amp;BudgetsTable[[#This Row],[prop_id]],BudgetsTable[[#This Row],[pi_email]]))</f>
        <v/>
      </c>
      <c r="P207" s="79" t="s">
        <v>13</v>
      </c>
      <c r="Q207" s="79">
        <v>1</v>
      </c>
      <c r="R207" s="79">
        <v>1</v>
      </c>
      <c r="S207" s="80">
        <v>0</v>
      </c>
      <c r="T207" s="80">
        <v>5000</v>
      </c>
      <c r="U207" s="80">
        <v>0</v>
      </c>
      <c r="V207" s="81">
        <v>141010</v>
      </c>
      <c r="W207" s="79">
        <v>0</v>
      </c>
      <c r="X207" s="79">
        <v>5</v>
      </c>
      <c r="Y207" s="11" t="str">
        <f ca="1">IF(ISBLANK(BudgetsTable[[#This Row],[budg_seq_yr]]),"FY"&amp;fiscalyear,"FY"&amp;fiscalyear-1+BudgetsTable[[#This Row],[budg_seq_yr]])</f>
        <v>FY22</v>
      </c>
      <c r="Z207" s="80">
        <v>141010</v>
      </c>
      <c r="AA207" s="79" t="s">
        <v>780</v>
      </c>
      <c r="AB207" s="79" t="s">
        <v>567</v>
      </c>
      <c r="AC207" s="106" t="s">
        <v>94</v>
      </c>
      <c r="AD207" s="79" t="s">
        <v>783</v>
      </c>
    </row>
    <row r="208" spans="1:30">
      <c r="A208" s="10" t="s">
        <v>1190</v>
      </c>
      <c r="B208" s="77" t="s">
        <v>96</v>
      </c>
      <c r="C208" s="77">
        <f>C207+(BudgetsTable[[#This Row],[lead]]&lt;&gt;K207)</f>
        <v>45</v>
      </c>
      <c r="D208" s="77">
        <f>D207*(BudgetsTable[[#This Row],[lead]]=K207)+(BudgetsTable[[#This Row],[prop_id]]&lt;&gt;A207)</f>
        <v>1</v>
      </c>
      <c r="E208" s="78">
        <v>42935.68472222222</v>
      </c>
      <c r="F208" s="79" t="s">
        <v>244</v>
      </c>
      <c r="G208" s="79" t="s">
        <v>780</v>
      </c>
      <c r="H208" s="79" t="s">
        <v>567</v>
      </c>
      <c r="I208" s="77" t="s">
        <v>582</v>
      </c>
      <c r="J208" s="77" t="s">
        <v>1463</v>
      </c>
      <c r="K208" s="79" t="s">
        <v>1190</v>
      </c>
      <c r="L208" s="7" t="str">
        <f>IF(BudgetsTable[[#This Row],[pi_last_name]]=" ","",HYPERLINK("https://www.ejacket.nsf.gov/ej/showProposal.do?Continue=Y&amp;ID="&amp;BudgetsTable[[#This Row],[prop_id]],BudgetsTable[[#This Row],[prop_id]]))</f>
        <v>1751076</v>
      </c>
      <c r="M208" s="15" t="str">
        <f>IF(BudgetsTable[[#This Row],[pi_last_name]]=" ","",HYPERLINK("https://www.ejacket.nsf.gov/ej/processReviewAnalysis.do?dispatch=add&amp;uniqId="&amp;BudgetsTable[[#This Row],[prop_id]]&amp;PO_id,"&gt;ra"))</f>
        <v>&gt;ra</v>
      </c>
      <c r="N208" s="79" t="s">
        <v>1191</v>
      </c>
      <c r="O208" s="7" t="str">
        <f>IF(BudgetsTable[[#This Row],[pi_last_name]]=" ","",HYPERLINK("mailto:"&amp;BudgetsTable[[#This Row],[pi_email]]&amp;"&amp;subject=Your NSF Proposal:  "&amp;BudgetsTable[[#This Row],[prop_id]],BudgetsTable[[#This Row],[pi_email]]))</f>
        <v>gkatz@drexel.edu</v>
      </c>
      <c r="P208" s="79" t="s">
        <v>1461</v>
      </c>
      <c r="Q208" s="79"/>
      <c r="R208" s="79"/>
      <c r="S208" s="80"/>
      <c r="T208" s="80"/>
      <c r="U208" s="80"/>
      <c r="V208" s="81"/>
      <c r="W208" s="79">
        <v>0</v>
      </c>
      <c r="X208" s="79"/>
      <c r="Y208" s="11" t="str">
        <f ca="1">IF(ISBLANK(BudgetsTable[[#This Row],[budg_seq_yr]]),"FY"&amp;fiscalyear,"FY"&amp;fiscalyear-1+BudgetsTable[[#This Row],[budg_seq_yr]])</f>
        <v>FY18</v>
      </c>
      <c r="Z208" s="80">
        <v>559983</v>
      </c>
      <c r="AA208" s="79" t="s">
        <v>780</v>
      </c>
      <c r="AB208" s="79" t="s">
        <v>567</v>
      </c>
      <c r="AC208" s="106" t="s">
        <v>94</v>
      </c>
      <c r="AD208" s="79" t="s">
        <v>1414</v>
      </c>
    </row>
    <row r="209" spans="1:30">
      <c r="A209" s="10" t="s">
        <v>1190</v>
      </c>
      <c r="B209" s="77" t="s">
        <v>96</v>
      </c>
      <c r="C209" s="77">
        <f>C208+(BudgetsTable[[#This Row],[lead]]&lt;&gt;K208)</f>
        <v>45</v>
      </c>
      <c r="D209" s="77">
        <f>D208*(BudgetsTable[[#This Row],[lead]]=K208)+(BudgetsTable[[#This Row],[prop_id]]&lt;&gt;A208)</f>
        <v>1</v>
      </c>
      <c r="E209" s="78">
        <v>42935.68472222222</v>
      </c>
      <c r="F209" s="79" t="s">
        <v>244</v>
      </c>
      <c r="G209" s="79" t="s">
        <v>780</v>
      </c>
      <c r="H209" s="79" t="s">
        <v>567</v>
      </c>
      <c r="I209" s="77" t="s">
        <v>582</v>
      </c>
      <c r="J209" s="77" t="s">
        <v>13</v>
      </c>
      <c r="K209" s="79" t="s">
        <v>1190</v>
      </c>
      <c r="L209" s="7" t="str">
        <f>IF(BudgetsTable[[#This Row],[pi_last_name]]=" ","",HYPERLINK("https://www.ejacket.nsf.gov/ej/showProposal.do?Continue=Y&amp;ID="&amp;BudgetsTable[[#This Row],[prop_id]],BudgetsTable[[#This Row],[prop_id]]))</f>
        <v/>
      </c>
      <c r="M209" s="15" t="str">
        <f>IF(BudgetsTable[[#This Row],[pi_last_name]]=" ","",HYPERLINK("https://www.ejacket.nsf.gov/ej/processReviewAnalysis.do?dispatch=add&amp;uniqId="&amp;BudgetsTable[[#This Row],[prop_id]]&amp;PO_id,"&gt;ra"))</f>
        <v/>
      </c>
      <c r="N209" s="79" t="s">
        <v>13</v>
      </c>
      <c r="O209" s="7" t="str">
        <f>IF(BudgetsTable[[#This Row],[pi_last_name]]=" ","",HYPERLINK("mailto:"&amp;BudgetsTable[[#This Row],[pi_email]]&amp;"&amp;subject=Your NSF Proposal:  "&amp;BudgetsTable[[#This Row],[prop_id]],BudgetsTable[[#This Row],[pi_email]]))</f>
        <v/>
      </c>
      <c r="P209" s="79" t="s">
        <v>13</v>
      </c>
      <c r="Q209" s="79">
        <v>1</v>
      </c>
      <c r="R209" s="79">
        <v>1</v>
      </c>
      <c r="S209" s="80">
        <v>0</v>
      </c>
      <c r="T209" s="80">
        <v>2000</v>
      </c>
      <c r="U209" s="80">
        <v>0</v>
      </c>
      <c r="V209" s="81">
        <v>112409</v>
      </c>
      <c r="W209" s="79">
        <v>0</v>
      </c>
      <c r="X209" s="79">
        <v>1</v>
      </c>
      <c r="Y209" s="11" t="str">
        <f ca="1">IF(ISBLANK(BudgetsTable[[#This Row],[budg_seq_yr]]),"FY"&amp;fiscalyear,"FY"&amp;fiscalyear-1+BudgetsTable[[#This Row],[budg_seq_yr]])</f>
        <v>FY18</v>
      </c>
      <c r="Z209" s="80">
        <v>112409</v>
      </c>
      <c r="AA209" s="79" t="s">
        <v>780</v>
      </c>
      <c r="AB209" s="79" t="s">
        <v>567</v>
      </c>
      <c r="AC209" s="106" t="s">
        <v>94</v>
      </c>
      <c r="AD209" s="79" t="s">
        <v>1414</v>
      </c>
    </row>
    <row r="210" spans="1:30">
      <c r="A210" s="10" t="s">
        <v>1190</v>
      </c>
      <c r="B210" s="77" t="s">
        <v>96</v>
      </c>
      <c r="C210" s="77">
        <f>C209+(BudgetsTable[[#This Row],[lead]]&lt;&gt;K209)</f>
        <v>45</v>
      </c>
      <c r="D210" s="77">
        <f>D209*(BudgetsTable[[#This Row],[lead]]=K209)+(BudgetsTable[[#This Row],[prop_id]]&lt;&gt;A209)</f>
        <v>1</v>
      </c>
      <c r="E210" s="78">
        <v>42935.68472222222</v>
      </c>
      <c r="F210" s="79" t="s">
        <v>244</v>
      </c>
      <c r="G210" s="79" t="s">
        <v>780</v>
      </c>
      <c r="H210" s="79" t="s">
        <v>567</v>
      </c>
      <c r="I210" s="77" t="s">
        <v>582</v>
      </c>
      <c r="J210" s="77" t="s">
        <v>13</v>
      </c>
      <c r="K210" s="79" t="s">
        <v>1190</v>
      </c>
      <c r="L210" s="7" t="str">
        <f>IF(BudgetsTable[[#This Row],[pi_last_name]]=" ","",HYPERLINK("https://www.ejacket.nsf.gov/ej/showProposal.do?Continue=Y&amp;ID="&amp;BudgetsTable[[#This Row],[prop_id]],BudgetsTable[[#This Row],[prop_id]]))</f>
        <v/>
      </c>
      <c r="M210" s="15" t="str">
        <f>IF(BudgetsTable[[#This Row],[pi_last_name]]=" ","",HYPERLINK("https://www.ejacket.nsf.gov/ej/processReviewAnalysis.do?dispatch=add&amp;uniqId="&amp;BudgetsTable[[#This Row],[prop_id]]&amp;PO_id,"&gt;ra"))</f>
        <v/>
      </c>
      <c r="N210" s="79" t="s">
        <v>13</v>
      </c>
      <c r="O210" s="7" t="str">
        <f>IF(BudgetsTable[[#This Row],[pi_last_name]]=" ","",HYPERLINK("mailto:"&amp;BudgetsTable[[#This Row],[pi_email]]&amp;"&amp;subject=Your NSF Proposal:  "&amp;BudgetsTable[[#This Row],[prop_id]],BudgetsTable[[#This Row],[pi_email]]))</f>
        <v/>
      </c>
      <c r="P210" s="79" t="s">
        <v>13</v>
      </c>
      <c r="Q210" s="79">
        <v>1</v>
      </c>
      <c r="R210" s="79">
        <v>1</v>
      </c>
      <c r="S210" s="80">
        <v>0</v>
      </c>
      <c r="T210" s="80">
        <v>2000</v>
      </c>
      <c r="U210" s="80">
        <v>0</v>
      </c>
      <c r="V210" s="81">
        <v>107326</v>
      </c>
      <c r="W210" s="79">
        <v>0</v>
      </c>
      <c r="X210" s="79">
        <v>2</v>
      </c>
      <c r="Y210" s="11" t="str">
        <f ca="1">IF(ISBLANK(BudgetsTable[[#This Row],[budg_seq_yr]]),"FY"&amp;fiscalyear,"FY"&amp;fiscalyear-1+BudgetsTable[[#This Row],[budg_seq_yr]])</f>
        <v>FY19</v>
      </c>
      <c r="Z210" s="80">
        <v>107326</v>
      </c>
      <c r="AA210" s="79" t="s">
        <v>780</v>
      </c>
      <c r="AB210" s="79" t="s">
        <v>567</v>
      </c>
      <c r="AC210" s="106" t="s">
        <v>94</v>
      </c>
      <c r="AD210" s="79" t="s">
        <v>1414</v>
      </c>
    </row>
    <row r="211" spans="1:30">
      <c r="A211" s="10" t="s">
        <v>1190</v>
      </c>
      <c r="B211" s="77" t="s">
        <v>96</v>
      </c>
      <c r="C211" s="77">
        <f>C210+(BudgetsTable[[#This Row],[lead]]&lt;&gt;K210)</f>
        <v>45</v>
      </c>
      <c r="D211" s="77">
        <f>D210*(BudgetsTable[[#This Row],[lead]]=K210)+(BudgetsTable[[#This Row],[prop_id]]&lt;&gt;A210)</f>
        <v>1</v>
      </c>
      <c r="E211" s="78">
        <v>42935.68472222222</v>
      </c>
      <c r="F211" s="79" t="s">
        <v>244</v>
      </c>
      <c r="G211" s="79" t="s">
        <v>780</v>
      </c>
      <c r="H211" s="79" t="s">
        <v>567</v>
      </c>
      <c r="I211" s="77" t="s">
        <v>582</v>
      </c>
      <c r="J211" s="77" t="s">
        <v>13</v>
      </c>
      <c r="K211" s="79" t="s">
        <v>1190</v>
      </c>
      <c r="L211" s="7" t="str">
        <f>IF(BudgetsTable[[#This Row],[pi_last_name]]=" ","",HYPERLINK("https://www.ejacket.nsf.gov/ej/showProposal.do?Continue=Y&amp;ID="&amp;BudgetsTable[[#This Row],[prop_id]],BudgetsTable[[#This Row],[prop_id]]))</f>
        <v/>
      </c>
      <c r="M211" s="15" t="str">
        <f>IF(BudgetsTable[[#This Row],[pi_last_name]]=" ","",HYPERLINK("https://www.ejacket.nsf.gov/ej/processReviewAnalysis.do?dispatch=add&amp;uniqId="&amp;BudgetsTable[[#This Row],[prop_id]]&amp;PO_id,"&gt;ra"))</f>
        <v/>
      </c>
      <c r="N211" s="79" t="s">
        <v>13</v>
      </c>
      <c r="O211" s="7" t="str">
        <f>IF(BudgetsTable[[#This Row],[pi_last_name]]=" ","",HYPERLINK("mailto:"&amp;BudgetsTable[[#This Row],[pi_email]]&amp;"&amp;subject=Your NSF Proposal:  "&amp;BudgetsTable[[#This Row],[prop_id]],BudgetsTable[[#This Row],[pi_email]]))</f>
        <v/>
      </c>
      <c r="P211" s="79" t="s">
        <v>13</v>
      </c>
      <c r="Q211" s="79">
        <v>1</v>
      </c>
      <c r="R211" s="79">
        <v>1</v>
      </c>
      <c r="S211" s="80">
        <v>0</v>
      </c>
      <c r="T211" s="80">
        <v>2000</v>
      </c>
      <c r="U211" s="80">
        <v>0</v>
      </c>
      <c r="V211" s="81">
        <v>110310</v>
      </c>
      <c r="W211" s="79">
        <v>0</v>
      </c>
      <c r="X211" s="79">
        <v>3</v>
      </c>
      <c r="Y211" s="11" t="str">
        <f ca="1">IF(ISBLANK(BudgetsTable[[#This Row],[budg_seq_yr]]),"FY"&amp;fiscalyear,"FY"&amp;fiscalyear-1+BudgetsTable[[#This Row],[budg_seq_yr]])</f>
        <v>FY20</v>
      </c>
      <c r="Z211" s="80">
        <v>110310</v>
      </c>
      <c r="AA211" s="79" t="s">
        <v>780</v>
      </c>
      <c r="AB211" s="79" t="s">
        <v>567</v>
      </c>
      <c r="AC211" s="106" t="s">
        <v>94</v>
      </c>
      <c r="AD211" s="79" t="s">
        <v>1414</v>
      </c>
    </row>
    <row r="212" spans="1:30">
      <c r="A212" s="10" t="s">
        <v>1190</v>
      </c>
      <c r="B212" s="77" t="s">
        <v>96</v>
      </c>
      <c r="C212" s="77">
        <f>C211+(BudgetsTable[[#This Row],[lead]]&lt;&gt;K211)</f>
        <v>45</v>
      </c>
      <c r="D212" s="77">
        <f>D211*(BudgetsTable[[#This Row],[lead]]=K211)+(BudgetsTable[[#This Row],[prop_id]]&lt;&gt;A211)</f>
        <v>1</v>
      </c>
      <c r="E212" s="78">
        <v>42935.68472222222</v>
      </c>
      <c r="F212" s="79" t="s">
        <v>244</v>
      </c>
      <c r="G212" s="79" t="s">
        <v>780</v>
      </c>
      <c r="H212" s="79" t="s">
        <v>567</v>
      </c>
      <c r="I212" s="77" t="s">
        <v>582</v>
      </c>
      <c r="J212" s="77" t="s">
        <v>13</v>
      </c>
      <c r="K212" s="79" t="s">
        <v>1190</v>
      </c>
      <c r="L212" s="7" t="str">
        <f>IF(BudgetsTable[[#This Row],[pi_last_name]]=" ","",HYPERLINK("https://www.ejacket.nsf.gov/ej/showProposal.do?Continue=Y&amp;ID="&amp;BudgetsTable[[#This Row],[prop_id]],BudgetsTable[[#This Row],[prop_id]]))</f>
        <v/>
      </c>
      <c r="M212" s="15" t="str">
        <f>IF(BudgetsTable[[#This Row],[pi_last_name]]=" ","",HYPERLINK("https://www.ejacket.nsf.gov/ej/processReviewAnalysis.do?dispatch=add&amp;uniqId="&amp;BudgetsTable[[#This Row],[prop_id]]&amp;PO_id,"&gt;ra"))</f>
        <v/>
      </c>
      <c r="N212" s="79" t="s">
        <v>13</v>
      </c>
      <c r="O212" s="7" t="str">
        <f>IF(BudgetsTable[[#This Row],[pi_last_name]]=" ","",HYPERLINK("mailto:"&amp;BudgetsTable[[#This Row],[pi_email]]&amp;"&amp;subject=Your NSF Proposal:  "&amp;BudgetsTable[[#This Row],[prop_id]],BudgetsTable[[#This Row],[pi_email]]))</f>
        <v/>
      </c>
      <c r="P212" s="79" t="s">
        <v>13</v>
      </c>
      <c r="Q212" s="79">
        <v>1</v>
      </c>
      <c r="R212" s="79">
        <v>1</v>
      </c>
      <c r="S212" s="80">
        <v>0</v>
      </c>
      <c r="T212" s="80">
        <v>2000</v>
      </c>
      <c r="U212" s="80">
        <v>0</v>
      </c>
      <c r="V212" s="81">
        <v>113386</v>
      </c>
      <c r="W212" s="79">
        <v>0</v>
      </c>
      <c r="X212" s="79">
        <v>4</v>
      </c>
      <c r="Y212" s="11" t="str">
        <f ca="1">IF(ISBLANK(BudgetsTable[[#This Row],[budg_seq_yr]]),"FY"&amp;fiscalyear,"FY"&amp;fiscalyear-1+BudgetsTable[[#This Row],[budg_seq_yr]])</f>
        <v>FY21</v>
      </c>
      <c r="Z212" s="80">
        <v>113386</v>
      </c>
      <c r="AA212" s="79" t="s">
        <v>780</v>
      </c>
      <c r="AB212" s="79" t="s">
        <v>567</v>
      </c>
      <c r="AC212" s="106" t="s">
        <v>94</v>
      </c>
      <c r="AD212" s="79" t="s">
        <v>1414</v>
      </c>
    </row>
    <row r="213" spans="1:30">
      <c r="A213" s="10" t="s">
        <v>1190</v>
      </c>
      <c r="B213" s="77" t="s">
        <v>96</v>
      </c>
      <c r="C213" s="77">
        <f>C212+(BudgetsTable[[#This Row],[lead]]&lt;&gt;K212)</f>
        <v>45</v>
      </c>
      <c r="D213" s="77">
        <f>D212*(BudgetsTable[[#This Row],[lead]]=K212)+(BudgetsTable[[#This Row],[prop_id]]&lt;&gt;A212)</f>
        <v>1</v>
      </c>
      <c r="E213" s="78">
        <v>42935.68472222222</v>
      </c>
      <c r="F213" s="79" t="s">
        <v>244</v>
      </c>
      <c r="G213" s="79" t="s">
        <v>780</v>
      </c>
      <c r="H213" s="79" t="s">
        <v>567</v>
      </c>
      <c r="I213" s="77" t="s">
        <v>582</v>
      </c>
      <c r="J213" s="77" t="s">
        <v>13</v>
      </c>
      <c r="K213" s="79" t="s">
        <v>1190</v>
      </c>
      <c r="L213" s="7" t="str">
        <f>IF(BudgetsTable[[#This Row],[pi_last_name]]=" ","",HYPERLINK("https://www.ejacket.nsf.gov/ej/showProposal.do?Continue=Y&amp;ID="&amp;BudgetsTable[[#This Row],[prop_id]],BudgetsTable[[#This Row],[prop_id]]))</f>
        <v/>
      </c>
      <c r="M213" s="15" t="str">
        <f>IF(BudgetsTable[[#This Row],[pi_last_name]]=" ","",HYPERLINK("https://www.ejacket.nsf.gov/ej/processReviewAnalysis.do?dispatch=add&amp;uniqId="&amp;BudgetsTable[[#This Row],[prop_id]]&amp;PO_id,"&gt;ra"))</f>
        <v/>
      </c>
      <c r="N213" s="79" t="s">
        <v>13</v>
      </c>
      <c r="O213" s="7" t="str">
        <f>IF(BudgetsTable[[#This Row],[pi_last_name]]=" ","",HYPERLINK("mailto:"&amp;BudgetsTable[[#This Row],[pi_email]]&amp;"&amp;subject=Your NSF Proposal:  "&amp;BudgetsTable[[#This Row],[prop_id]],BudgetsTable[[#This Row],[pi_email]]))</f>
        <v/>
      </c>
      <c r="P213" s="79" t="s">
        <v>13</v>
      </c>
      <c r="Q213" s="79">
        <v>1</v>
      </c>
      <c r="R213" s="79">
        <v>1</v>
      </c>
      <c r="S213" s="80">
        <v>0</v>
      </c>
      <c r="T213" s="80">
        <v>2000</v>
      </c>
      <c r="U213" s="80">
        <v>0</v>
      </c>
      <c r="V213" s="81">
        <v>116552</v>
      </c>
      <c r="W213" s="79">
        <v>0</v>
      </c>
      <c r="X213" s="79">
        <v>5</v>
      </c>
      <c r="Y213" s="11" t="str">
        <f ca="1">IF(ISBLANK(BudgetsTable[[#This Row],[budg_seq_yr]]),"FY"&amp;fiscalyear,"FY"&amp;fiscalyear-1+BudgetsTable[[#This Row],[budg_seq_yr]])</f>
        <v>FY22</v>
      </c>
      <c r="Z213" s="80">
        <v>116552</v>
      </c>
      <c r="AA213" s="79" t="s">
        <v>780</v>
      </c>
      <c r="AB213" s="79" t="s">
        <v>567</v>
      </c>
      <c r="AC213" s="106" t="s">
        <v>94</v>
      </c>
      <c r="AD213" s="79" t="s">
        <v>1414</v>
      </c>
    </row>
    <row r="214" spans="1:30">
      <c r="A214" s="10" t="s">
        <v>725</v>
      </c>
      <c r="B214" s="77" t="s">
        <v>96</v>
      </c>
      <c r="C214" s="77">
        <f>C213+(BudgetsTable[[#This Row],[lead]]&lt;&gt;K213)</f>
        <v>46</v>
      </c>
      <c r="D214" s="77">
        <f>D213*(BudgetsTable[[#This Row],[lead]]=K213)+(BudgetsTable[[#This Row],[prop_id]]&lt;&gt;A213)</f>
        <v>1</v>
      </c>
      <c r="E214" s="78">
        <v>42935.69027777778</v>
      </c>
      <c r="F214" s="79" t="s">
        <v>244</v>
      </c>
      <c r="G214" s="79" t="s">
        <v>780</v>
      </c>
      <c r="H214" s="79" t="s">
        <v>567</v>
      </c>
      <c r="I214" s="77" t="s">
        <v>579</v>
      </c>
      <c r="J214" s="77" t="s">
        <v>841</v>
      </c>
      <c r="K214" s="79" t="s">
        <v>725</v>
      </c>
      <c r="L214" s="7" t="str">
        <f>IF(BudgetsTable[[#This Row],[pi_last_name]]=" ","",HYPERLINK("https://www.ejacket.nsf.gov/ej/showProposal.do?Continue=Y&amp;ID="&amp;BudgetsTable[[#This Row],[prop_id]],BudgetsTable[[#This Row],[prop_id]]))</f>
        <v>1751102</v>
      </c>
      <c r="M214" s="15" t="str">
        <f>IF(BudgetsTable[[#This Row],[pi_last_name]]=" ","",HYPERLINK("https://www.ejacket.nsf.gov/ej/processReviewAnalysis.do?dispatch=add&amp;uniqId="&amp;BudgetsTable[[#This Row],[prop_id]]&amp;PO_id,"&gt;ra"))</f>
        <v>&gt;ra</v>
      </c>
      <c r="N214" s="79" t="s">
        <v>726</v>
      </c>
      <c r="O214" s="7" t="str">
        <f>IF(BudgetsTable[[#This Row],[pi_last_name]]=" ","",HYPERLINK("mailto:"&amp;BudgetsTable[[#This Row],[pi_email]]&amp;"&amp;subject=Your NSF Proposal:  "&amp;BudgetsTable[[#This Row],[prop_id]],BudgetsTable[[#This Row],[pi_email]]))</f>
        <v>evouga@cs.utexas.edu</v>
      </c>
      <c r="P214" s="79" t="s">
        <v>839</v>
      </c>
      <c r="Q214" s="79"/>
      <c r="R214" s="79"/>
      <c r="S214" s="80"/>
      <c r="T214" s="80"/>
      <c r="U214" s="80"/>
      <c r="V214" s="81"/>
      <c r="W214" s="79">
        <v>0</v>
      </c>
      <c r="X214" s="79"/>
      <c r="Y214" s="11" t="str">
        <f ca="1">IF(ISBLANK(BudgetsTable[[#This Row],[budg_seq_yr]]),"FY"&amp;fiscalyear,"FY"&amp;fiscalyear-1+BudgetsTable[[#This Row],[budg_seq_yr]])</f>
        <v>FY18</v>
      </c>
      <c r="Z214" s="80">
        <v>523537</v>
      </c>
      <c r="AA214" s="79" t="s">
        <v>780</v>
      </c>
      <c r="AB214" s="79" t="s">
        <v>567</v>
      </c>
      <c r="AC214" s="106" t="s">
        <v>94</v>
      </c>
      <c r="AD214" s="79" t="s">
        <v>790</v>
      </c>
    </row>
    <row r="215" spans="1:30">
      <c r="A215" s="10" t="s">
        <v>725</v>
      </c>
      <c r="B215" s="77" t="s">
        <v>96</v>
      </c>
      <c r="C215" s="77">
        <f>C214+(BudgetsTable[[#This Row],[lead]]&lt;&gt;K214)</f>
        <v>46</v>
      </c>
      <c r="D215" s="77">
        <f>D214*(BudgetsTable[[#This Row],[lead]]=K214)+(BudgetsTable[[#This Row],[prop_id]]&lt;&gt;A214)</f>
        <v>1</v>
      </c>
      <c r="E215" s="78">
        <v>42935.69027777778</v>
      </c>
      <c r="F215" s="79" t="s">
        <v>244</v>
      </c>
      <c r="G215" s="79" t="s">
        <v>780</v>
      </c>
      <c r="H215" s="79" t="s">
        <v>567</v>
      </c>
      <c r="I215" s="77" t="s">
        <v>579</v>
      </c>
      <c r="J215" s="77" t="s">
        <v>13</v>
      </c>
      <c r="K215" s="79" t="s">
        <v>725</v>
      </c>
      <c r="L215" s="7" t="str">
        <f>IF(BudgetsTable[[#This Row],[pi_last_name]]=" ","",HYPERLINK("https://www.ejacket.nsf.gov/ej/showProposal.do?Continue=Y&amp;ID="&amp;BudgetsTable[[#This Row],[prop_id]],BudgetsTable[[#This Row],[prop_id]]))</f>
        <v/>
      </c>
      <c r="M215" s="15" t="str">
        <f>IF(BudgetsTable[[#This Row],[pi_last_name]]=" ","",HYPERLINK("https://www.ejacket.nsf.gov/ej/processReviewAnalysis.do?dispatch=add&amp;uniqId="&amp;BudgetsTable[[#This Row],[prop_id]]&amp;PO_id,"&gt;ra"))</f>
        <v/>
      </c>
      <c r="N215" s="79" t="s">
        <v>13</v>
      </c>
      <c r="O215" s="7" t="str">
        <f>IF(BudgetsTable[[#This Row],[pi_last_name]]=" ","",HYPERLINK("mailto:"&amp;BudgetsTable[[#This Row],[pi_email]]&amp;"&amp;subject=Your NSF Proposal:  "&amp;BudgetsTable[[#This Row],[prop_id]],BudgetsTable[[#This Row],[pi_email]]))</f>
        <v/>
      </c>
      <c r="P215" s="79" t="s">
        <v>13</v>
      </c>
      <c r="Q215" s="79">
        <v>1</v>
      </c>
      <c r="R215" s="79">
        <v>0.4</v>
      </c>
      <c r="S215" s="80">
        <v>0</v>
      </c>
      <c r="T215" s="80">
        <v>3000</v>
      </c>
      <c r="U215" s="80">
        <v>0</v>
      </c>
      <c r="V215" s="81">
        <v>150440</v>
      </c>
      <c r="W215" s="79">
        <v>0</v>
      </c>
      <c r="X215" s="79">
        <v>1</v>
      </c>
      <c r="Y215" s="11" t="str">
        <f ca="1">IF(ISBLANK(BudgetsTable[[#This Row],[budg_seq_yr]]),"FY"&amp;fiscalyear,"FY"&amp;fiscalyear-1+BudgetsTable[[#This Row],[budg_seq_yr]])</f>
        <v>FY18</v>
      </c>
      <c r="Z215" s="80">
        <v>150440</v>
      </c>
      <c r="AA215" s="79" t="s">
        <v>780</v>
      </c>
      <c r="AB215" s="79" t="s">
        <v>567</v>
      </c>
      <c r="AC215" s="106" t="s">
        <v>94</v>
      </c>
      <c r="AD215" s="79" t="s">
        <v>790</v>
      </c>
    </row>
    <row r="216" spans="1:30">
      <c r="A216" s="10" t="s">
        <v>725</v>
      </c>
      <c r="B216" s="77" t="s">
        <v>96</v>
      </c>
      <c r="C216" s="77">
        <f>C215+(BudgetsTable[[#This Row],[lead]]&lt;&gt;K215)</f>
        <v>46</v>
      </c>
      <c r="D216" s="77">
        <f>D215*(BudgetsTable[[#This Row],[lead]]=K215)+(BudgetsTable[[#This Row],[prop_id]]&lt;&gt;A215)</f>
        <v>1</v>
      </c>
      <c r="E216" s="78">
        <v>42935.69027777778</v>
      </c>
      <c r="F216" s="79" t="s">
        <v>244</v>
      </c>
      <c r="G216" s="79" t="s">
        <v>780</v>
      </c>
      <c r="H216" s="79" t="s">
        <v>567</v>
      </c>
      <c r="I216" s="77" t="s">
        <v>579</v>
      </c>
      <c r="J216" s="77" t="s">
        <v>13</v>
      </c>
      <c r="K216" s="79" t="s">
        <v>725</v>
      </c>
      <c r="L216" s="7" t="str">
        <f>IF(BudgetsTable[[#This Row],[pi_last_name]]=" ","",HYPERLINK("https://www.ejacket.nsf.gov/ej/showProposal.do?Continue=Y&amp;ID="&amp;BudgetsTable[[#This Row],[prop_id]],BudgetsTable[[#This Row],[prop_id]]))</f>
        <v/>
      </c>
      <c r="M216" s="15" t="str">
        <f>IF(BudgetsTable[[#This Row],[pi_last_name]]=" ","",HYPERLINK("https://www.ejacket.nsf.gov/ej/processReviewAnalysis.do?dispatch=add&amp;uniqId="&amp;BudgetsTable[[#This Row],[prop_id]]&amp;PO_id,"&gt;ra"))</f>
        <v/>
      </c>
      <c r="N216" s="79" t="s">
        <v>13</v>
      </c>
      <c r="O216" s="7" t="str">
        <f>IF(BudgetsTable[[#This Row],[pi_last_name]]=" ","",HYPERLINK("mailto:"&amp;BudgetsTable[[#This Row],[pi_email]]&amp;"&amp;subject=Your NSF Proposal:  "&amp;BudgetsTable[[#This Row],[prop_id]],BudgetsTable[[#This Row],[pi_email]]))</f>
        <v/>
      </c>
      <c r="P216" s="79" t="s">
        <v>13</v>
      </c>
      <c r="Q216" s="79">
        <v>1</v>
      </c>
      <c r="R216" s="79">
        <v>0.4</v>
      </c>
      <c r="S216" s="80">
        <v>0</v>
      </c>
      <c r="T216" s="80">
        <v>3000</v>
      </c>
      <c r="U216" s="80">
        <v>0</v>
      </c>
      <c r="V216" s="81">
        <v>148480</v>
      </c>
      <c r="W216" s="79">
        <v>0</v>
      </c>
      <c r="X216" s="79">
        <v>2</v>
      </c>
      <c r="Y216" s="11" t="str">
        <f ca="1">IF(ISBLANK(BudgetsTable[[#This Row],[budg_seq_yr]]),"FY"&amp;fiscalyear,"FY"&amp;fiscalyear-1+BudgetsTable[[#This Row],[budg_seq_yr]])</f>
        <v>FY19</v>
      </c>
      <c r="Z216" s="80">
        <v>148480</v>
      </c>
      <c r="AA216" s="79" t="s">
        <v>780</v>
      </c>
      <c r="AB216" s="79" t="s">
        <v>567</v>
      </c>
      <c r="AC216" s="106" t="s">
        <v>94</v>
      </c>
      <c r="AD216" s="79" t="s">
        <v>790</v>
      </c>
    </row>
    <row r="217" spans="1:30">
      <c r="A217" s="10" t="s">
        <v>725</v>
      </c>
      <c r="B217" s="77" t="s">
        <v>96</v>
      </c>
      <c r="C217" s="77">
        <f>C216+(BudgetsTable[[#This Row],[lead]]&lt;&gt;K216)</f>
        <v>46</v>
      </c>
      <c r="D217" s="77">
        <f>D216*(BudgetsTable[[#This Row],[lead]]=K216)+(BudgetsTable[[#This Row],[prop_id]]&lt;&gt;A216)</f>
        <v>1</v>
      </c>
      <c r="E217" s="78">
        <v>42935.69027777778</v>
      </c>
      <c r="F217" s="79" t="s">
        <v>244</v>
      </c>
      <c r="G217" s="79" t="s">
        <v>780</v>
      </c>
      <c r="H217" s="79" t="s">
        <v>567</v>
      </c>
      <c r="I217" s="77" t="s">
        <v>579</v>
      </c>
      <c r="J217" s="77" t="s">
        <v>13</v>
      </c>
      <c r="K217" s="79" t="s">
        <v>725</v>
      </c>
      <c r="L217" s="7" t="str">
        <f>IF(BudgetsTable[[#This Row],[pi_last_name]]=" ","",HYPERLINK("https://www.ejacket.nsf.gov/ej/showProposal.do?Continue=Y&amp;ID="&amp;BudgetsTable[[#This Row],[prop_id]],BudgetsTable[[#This Row],[prop_id]]))</f>
        <v/>
      </c>
      <c r="M217" s="15" t="str">
        <f>IF(BudgetsTable[[#This Row],[pi_last_name]]=" ","",HYPERLINK("https://www.ejacket.nsf.gov/ej/processReviewAnalysis.do?dispatch=add&amp;uniqId="&amp;BudgetsTable[[#This Row],[prop_id]]&amp;PO_id,"&gt;ra"))</f>
        <v/>
      </c>
      <c r="N217" s="79" t="s">
        <v>13</v>
      </c>
      <c r="O217" s="7" t="str">
        <f>IF(BudgetsTable[[#This Row],[pi_last_name]]=" ","",HYPERLINK("mailto:"&amp;BudgetsTable[[#This Row],[pi_email]]&amp;"&amp;subject=Your NSF Proposal:  "&amp;BudgetsTable[[#This Row],[prop_id]],BudgetsTable[[#This Row],[pi_email]]))</f>
        <v/>
      </c>
      <c r="P217" s="79" t="s">
        <v>13</v>
      </c>
      <c r="Q217" s="79">
        <v>1</v>
      </c>
      <c r="R217" s="79">
        <v>0.4</v>
      </c>
      <c r="S217" s="80">
        <v>0</v>
      </c>
      <c r="T217" s="80">
        <v>3000</v>
      </c>
      <c r="U217" s="80">
        <v>0</v>
      </c>
      <c r="V217" s="81">
        <v>74290</v>
      </c>
      <c r="W217" s="79">
        <v>0</v>
      </c>
      <c r="X217" s="79">
        <v>3</v>
      </c>
      <c r="Y217" s="11" t="str">
        <f ca="1">IF(ISBLANK(BudgetsTable[[#This Row],[budg_seq_yr]]),"FY"&amp;fiscalyear,"FY"&amp;fiscalyear-1+BudgetsTable[[#This Row],[budg_seq_yr]])</f>
        <v>FY20</v>
      </c>
      <c r="Z217" s="80">
        <v>74290</v>
      </c>
      <c r="AA217" s="79" t="s">
        <v>780</v>
      </c>
      <c r="AB217" s="79" t="s">
        <v>567</v>
      </c>
      <c r="AC217" s="106" t="s">
        <v>94</v>
      </c>
      <c r="AD217" s="79" t="s">
        <v>790</v>
      </c>
    </row>
    <row r="218" spans="1:30">
      <c r="A218" s="10" t="s">
        <v>725</v>
      </c>
      <c r="B218" s="77" t="s">
        <v>96</v>
      </c>
      <c r="C218" s="77">
        <f>C217+(BudgetsTable[[#This Row],[lead]]&lt;&gt;K217)</f>
        <v>46</v>
      </c>
      <c r="D218" s="77">
        <f>D217*(BudgetsTable[[#This Row],[lead]]=K217)+(BudgetsTable[[#This Row],[prop_id]]&lt;&gt;A217)</f>
        <v>1</v>
      </c>
      <c r="E218" s="78">
        <v>42935.69027777778</v>
      </c>
      <c r="F218" s="79" t="s">
        <v>244</v>
      </c>
      <c r="G218" s="79" t="s">
        <v>780</v>
      </c>
      <c r="H218" s="79" t="s">
        <v>567</v>
      </c>
      <c r="I218" s="77" t="s">
        <v>579</v>
      </c>
      <c r="J218" s="77" t="s">
        <v>13</v>
      </c>
      <c r="K218" s="79" t="s">
        <v>725</v>
      </c>
      <c r="L218" s="7" t="str">
        <f>IF(BudgetsTable[[#This Row],[pi_last_name]]=" ","",HYPERLINK("https://www.ejacket.nsf.gov/ej/showProposal.do?Continue=Y&amp;ID="&amp;BudgetsTable[[#This Row],[prop_id]],BudgetsTable[[#This Row],[prop_id]]))</f>
        <v/>
      </c>
      <c r="M218" s="15" t="str">
        <f>IF(BudgetsTable[[#This Row],[pi_last_name]]=" ","",HYPERLINK("https://www.ejacket.nsf.gov/ej/processReviewAnalysis.do?dispatch=add&amp;uniqId="&amp;BudgetsTable[[#This Row],[prop_id]]&amp;PO_id,"&gt;ra"))</f>
        <v/>
      </c>
      <c r="N218" s="79" t="s">
        <v>13</v>
      </c>
      <c r="O218" s="7" t="str">
        <f>IF(BudgetsTable[[#This Row],[pi_last_name]]=" ","",HYPERLINK("mailto:"&amp;BudgetsTable[[#This Row],[pi_email]]&amp;"&amp;subject=Your NSF Proposal:  "&amp;BudgetsTable[[#This Row],[prop_id]],BudgetsTable[[#This Row],[pi_email]]))</f>
        <v/>
      </c>
      <c r="P218" s="79" t="s">
        <v>13</v>
      </c>
      <c r="Q218" s="79">
        <v>1</v>
      </c>
      <c r="R218" s="79">
        <v>0.4</v>
      </c>
      <c r="S218" s="80">
        <v>0</v>
      </c>
      <c r="T218" s="80">
        <v>3000</v>
      </c>
      <c r="U218" s="80">
        <v>0</v>
      </c>
      <c r="V218" s="81">
        <v>74335</v>
      </c>
      <c r="W218" s="79">
        <v>0</v>
      </c>
      <c r="X218" s="79">
        <v>4</v>
      </c>
      <c r="Y218" s="11" t="str">
        <f ca="1">IF(ISBLANK(BudgetsTable[[#This Row],[budg_seq_yr]]),"FY"&amp;fiscalyear,"FY"&amp;fiscalyear-1+BudgetsTable[[#This Row],[budg_seq_yr]])</f>
        <v>FY21</v>
      </c>
      <c r="Z218" s="80">
        <v>74335</v>
      </c>
      <c r="AA218" s="79" t="s">
        <v>780</v>
      </c>
      <c r="AB218" s="79" t="s">
        <v>567</v>
      </c>
      <c r="AC218" s="106" t="s">
        <v>94</v>
      </c>
      <c r="AD218" s="79" t="s">
        <v>790</v>
      </c>
    </row>
    <row r="219" spans="1:30">
      <c r="A219" s="10" t="s">
        <v>725</v>
      </c>
      <c r="B219" s="77" t="s">
        <v>96</v>
      </c>
      <c r="C219" s="77">
        <f>C218+(BudgetsTable[[#This Row],[lead]]&lt;&gt;K218)</f>
        <v>46</v>
      </c>
      <c r="D219" s="77">
        <f>D218*(BudgetsTable[[#This Row],[lead]]=K218)+(BudgetsTable[[#This Row],[prop_id]]&lt;&gt;A218)</f>
        <v>1</v>
      </c>
      <c r="E219" s="78">
        <v>42935.69027777778</v>
      </c>
      <c r="F219" s="79" t="s">
        <v>244</v>
      </c>
      <c r="G219" s="79" t="s">
        <v>780</v>
      </c>
      <c r="H219" s="79" t="s">
        <v>567</v>
      </c>
      <c r="I219" s="77" t="s">
        <v>579</v>
      </c>
      <c r="J219" s="77" t="s">
        <v>13</v>
      </c>
      <c r="K219" s="79" t="s">
        <v>725</v>
      </c>
      <c r="L219" s="7" t="str">
        <f>IF(BudgetsTable[[#This Row],[pi_last_name]]=" ","",HYPERLINK("https://www.ejacket.nsf.gov/ej/showProposal.do?Continue=Y&amp;ID="&amp;BudgetsTable[[#This Row],[prop_id]],BudgetsTable[[#This Row],[prop_id]]))</f>
        <v/>
      </c>
      <c r="M219" s="15" t="str">
        <f>IF(BudgetsTable[[#This Row],[pi_last_name]]=" ","",HYPERLINK("https://www.ejacket.nsf.gov/ej/processReviewAnalysis.do?dispatch=add&amp;uniqId="&amp;BudgetsTable[[#This Row],[prop_id]]&amp;PO_id,"&gt;ra"))</f>
        <v/>
      </c>
      <c r="N219" s="79" t="s">
        <v>13</v>
      </c>
      <c r="O219" s="7" t="str">
        <f>IF(BudgetsTable[[#This Row],[pi_last_name]]=" ","",HYPERLINK("mailto:"&amp;BudgetsTable[[#This Row],[pi_email]]&amp;"&amp;subject=Your NSF Proposal:  "&amp;BudgetsTable[[#This Row],[prop_id]],BudgetsTable[[#This Row],[pi_email]]))</f>
        <v/>
      </c>
      <c r="P219" s="79" t="s">
        <v>13</v>
      </c>
      <c r="Q219" s="79">
        <v>1</v>
      </c>
      <c r="R219" s="79">
        <v>0.4</v>
      </c>
      <c r="S219" s="80">
        <v>0</v>
      </c>
      <c r="T219" s="80">
        <v>3000</v>
      </c>
      <c r="U219" s="80">
        <v>0</v>
      </c>
      <c r="V219" s="81">
        <v>75992</v>
      </c>
      <c r="W219" s="79">
        <v>0</v>
      </c>
      <c r="X219" s="79">
        <v>5</v>
      </c>
      <c r="Y219" s="11" t="str">
        <f ca="1">IF(ISBLANK(BudgetsTable[[#This Row],[budg_seq_yr]]),"FY"&amp;fiscalyear,"FY"&amp;fiscalyear-1+BudgetsTable[[#This Row],[budg_seq_yr]])</f>
        <v>FY22</v>
      </c>
      <c r="Z219" s="80">
        <v>75992</v>
      </c>
      <c r="AA219" s="79" t="s">
        <v>780</v>
      </c>
      <c r="AB219" s="79" t="s">
        <v>567</v>
      </c>
      <c r="AC219" s="106" t="s">
        <v>94</v>
      </c>
      <c r="AD219" s="79" t="s">
        <v>790</v>
      </c>
    </row>
    <row r="220" spans="1:30">
      <c r="A220" s="10" t="s">
        <v>734</v>
      </c>
      <c r="B220" s="77" t="s">
        <v>96</v>
      </c>
      <c r="C220" s="77">
        <f>C219+(BudgetsTable[[#This Row],[lead]]&lt;&gt;K219)</f>
        <v>47</v>
      </c>
      <c r="D220" s="77">
        <f>D219*(BudgetsTable[[#This Row],[lead]]=K219)+(BudgetsTable[[#This Row],[prop_id]]&lt;&gt;A219)</f>
        <v>1</v>
      </c>
      <c r="E220" s="78">
        <v>42935.696527777778</v>
      </c>
      <c r="F220" s="79" t="s">
        <v>244</v>
      </c>
      <c r="G220" s="79" t="s">
        <v>780</v>
      </c>
      <c r="H220" s="79" t="s">
        <v>567</v>
      </c>
      <c r="I220" s="77" t="s">
        <v>579</v>
      </c>
      <c r="J220" s="77" t="s">
        <v>847</v>
      </c>
      <c r="K220" s="79" t="s">
        <v>734</v>
      </c>
      <c r="L220" s="7" t="str">
        <f>IF(BudgetsTable[[#This Row],[pi_last_name]]=" ","",HYPERLINK("https://www.ejacket.nsf.gov/ej/showProposal.do?Continue=Y&amp;ID="&amp;BudgetsTable[[#This Row],[prop_id]],BudgetsTable[[#This Row],[prop_id]]))</f>
        <v>1751135</v>
      </c>
      <c r="M220" s="15" t="str">
        <f>IF(BudgetsTable[[#This Row],[pi_last_name]]=" ","",HYPERLINK("https://www.ejacket.nsf.gov/ej/processReviewAnalysis.do?dispatch=add&amp;uniqId="&amp;BudgetsTable[[#This Row],[prop_id]]&amp;PO_id,"&gt;ra"))</f>
        <v>&gt;ra</v>
      </c>
      <c r="N220" s="79" t="s">
        <v>735</v>
      </c>
      <c r="O220" s="7" t="str">
        <f>IF(BudgetsTable[[#This Row],[pi_last_name]]=" ","",HYPERLINK("mailto:"&amp;BudgetsTable[[#This Row],[pi_email]]&amp;"&amp;subject=Your NSF Proposal:  "&amp;BudgetsTable[[#This Row],[prop_id]],BudgetsTable[[#This Row],[pi_email]]))</f>
        <v>nayyeria@eecs.oregonstate.edu</v>
      </c>
      <c r="P220" s="79" t="s">
        <v>844</v>
      </c>
      <c r="Q220" s="79"/>
      <c r="R220" s="79"/>
      <c r="S220" s="80"/>
      <c r="T220" s="80"/>
      <c r="U220" s="80"/>
      <c r="V220" s="81"/>
      <c r="W220" s="79">
        <v>0</v>
      </c>
      <c r="X220" s="79"/>
      <c r="Y220" s="11" t="str">
        <f ca="1">IF(ISBLANK(BudgetsTable[[#This Row],[budg_seq_yr]]),"FY"&amp;fiscalyear,"FY"&amp;fiscalyear-1+BudgetsTable[[#This Row],[budg_seq_yr]])</f>
        <v>FY18</v>
      </c>
      <c r="Z220" s="80">
        <v>607459</v>
      </c>
      <c r="AA220" s="79" t="s">
        <v>780</v>
      </c>
      <c r="AB220" s="79" t="s">
        <v>567</v>
      </c>
      <c r="AC220" s="106" t="s">
        <v>94</v>
      </c>
      <c r="AD220" s="79" t="s">
        <v>790</v>
      </c>
    </row>
    <row r="221" spans="1:30">
      <c r="A221" s="10" t="s">
        <v>734</v>
      </c>
      <c r="B221" s="77" t="s">
        <v>96</v>
      </c>
      <c r="C221" s="77">
        <f>C220+(BudgetsTable[[#This Row],[lead]]&lt;&gt;K220)</f>
        <v>47</v>
      </c>
      <c r="D221" s="77">
        <f>D220*(BudgetsTable[[#This Row],[lead]]=K220)+(BudgetsTable[[#This Row],[prop_id]]&lt;&gt;A220)</f>
        <v>1</v>
      </c>
      <c r="E221" s="78">
        <v>42935.696527777778</v>
      </c>
      <c r="F221" s="79" t="s">
        <v>244</v>
      </c>
      <c r="G221" s="79" t="s">
        <v>780</v>
      </c>
      <c r="H221" s="79" t="s">
        <v>567</v>
      </c>
      <c r="I221" s="77" t="s">
        <v>579</v>
      </c>
      <c r="J221" s="77" t="s">
        <v>13</v>
      </c>
      <c r="K221" s="79" t="s">
        <v>734</v>
      </c>
      <c r="L221" s="7" t="str">
        <f>IF(BudgetsTable[[#This Row],[pi_last_name]]=" ","",HYPERLINK("https://www.ejacket.nsf.gov/ej/showProposal.do?Continue=Y&amp;ID="&amp;BudgetsTable[[#This Row],[prop_id]],BudgetsTable[[#This Row],[prop_id]]))</f>
        <v/>
      </c>
      <c r="M221" s="15" t="str">
        <f>IF(BudgetsTable[[#This Row],[pi_last_name]]=" ","",HYPERLINK("https://www.ejacket.nsf.gov/ej/processReviewAnalysis.do?dispatch=add&amp;uniqId="&amp;BudgetsTable[[#This Row],[prop_id]]&amp;PO_id,"&gt;ra"))</f>
        <v/>
      </c>
      <c r="N221" s="79" t="s">
        <v>13</v>
      </c>
      <c r="O221" s="7" t="str">
        <f>IF(BudgetsTable[[#This Row],[pi_last_name]]=" ","",HYPERLINK("mailto:"&amp;BudgetsTable[[#This Row],[pi_email]]&amp;"&amp;subject=Your NSF Proposal:  "&amp;BudgetsTable[[#This Row],[prop_id]],BudgetsTable[[#This Row],[pi_email]]))</f>
        <v/>
      </c>
      <c r="P221" s="79" t="s">
        <v>13</v>
      </c>
      <c r="Q221" s="79">
        <v>1</v>
      </c>
      <c r="R221" s="79">
        <v>0.5</v>
      </c>
      <c r="S221" s="80">
        <v>0</v>
      </c>
      <c r="T221" s="80">
        <v>0</v>
      </c>
      <c r="U221" s="80">
        <v>1100</v>
      </c>
      <c r="V221" s="81">
        <v>94905</v>
      </c>
      <c r="W221" s="79">
        <v>0</v>
      </c>
      <c r="X221" s="79">
        <v>1</v>
      </c>
      <c r="Y221" s="11" t="str">
        <f ca="1">IF(ISBLANK(BudgetsTable[[#This Row],[budg_seq_yr]]),"FY"&amp;fiscalyear,"FY"&amp;fiscalyear-1+BudgetsTable[[#This Row],[budg_seq_yr]])</f>
        <v>FY18</v>
      </c>
      <c r="Z221" s="80">
        <v>94905</v>
      </c>
      <c r="AA221" s="79" t="s">
        <v>780</v>
      </c>
      <c r="AB221" s="79" t="s">
        <v>567</v>
      </c>
      <c r="AC221" s="106" t="s">
        <v>94</v>
      </c>
      <c r="AD221" s="79" t="s">
        <v>790</v>
      </c>
    </row>
    <row r="222" spans="1:30">
      <c r="A222" s="10" t="s">
        <v>734</v>
      </c>
      <c r="B222" s="77" t="s">
        <v>96</v>
      </c>
      <c r="C222" s="77">
        <f>C221+(BudgetsTable[[#This Row],[lead]]&lt;&gt;K221)</f>
        <v>47</v>
      </c>
      <c r="D222" s="77">
        <f>D221*(BudgetsTable[[#This Row],[lead]]=K221)+(BudgetsTable[[#This Row],[prop_id]]&lt;&gt;A221)</f>
        <v>1</v>
      </c>
      <c r="E222" s="78">
        <v>42935.696527777778</v>
      </c>
      <c r="F222" s="79" t="s">
        <v>244</v>
      </c>
      <c r="G222" s="79" t="s">
        <v>780</v>
      </c>
      <c r="H222" s="79" t="s">
        <v>567</v>
      </c>
      <c r="I222" s="77" t="s">
        <v>579</v>
      </c>
      <c r="J222" s="77" t="s">
        <v>13</v>
      </c>
      <c r="K222" s="79" t="s">
        <v>734</v>
      </c>
      <c r="L222" s="7" t="str">
        <f>IF(BudgetsTable[[#This Row],[pi_last_name]]=" ","",HYPERLINK("https://www.ejacket.nsf.gov/ej/showProposal.do?Continue=Y&amp;ID="&amp;BudgetsTable[[#This Row],[prop_id]],BudgetsTable[[#This Row],[prop_id]]))</f>
        <v/>
      </c>
      <c r="M222" s="15" t="str">
        <f>IF(BudgetsTable[[#This Row],[pi_last_name]]=" ","",HYPERLINK("https://www.ejacket.nsf.gov/ej/processReviewAnalysis.do?dispatch=add&amp;uniqId="&amp;BudgetsTable[[#This Row],[prop_id]]&amp;PO_id,"&gt;ra"))</f>
        <v/>
      </c>
      <c r="N222" s="79" t="s">
        <v>13</v>
      </c>
      <c r="O222" s="7" t="str">
        <f>IF(BudgetsTable[[#This Row],[pi_last_name]]=" ","",HYPERLINK("mailto:"&amp;BudgetsTable[[#This Row],[pi_email]]&amp;"&amp;subject=Your NSF Proposal:  "&amp;BudgetsTable[[#This Row],[prop_id]],BudgetsTable[[#This Row],[pi_email]]))</f>
        <v/>
      </c>
      <c r="P222" s="79" t="s">
        <v>13</v>
      </c>
      <c r="Q222" s="79">
        <v>1</v>
      </c>
      <c r="R222" s="79">
        <v>1</v>
      </c>
      <c r="S222" s="80">
        <v>0</v>
      </c>
      <c r="T222" s="80">
        <v>7485</v>
      </c>
      <c r="U222" s="80">
        <v>1100</v>
      </c>
      <c r="V222" s="81">
        <v>121969</v>
      </c>
      <c r="W222" s="79">
        <v>0</v>
      </c>
      <c r="X222" s="79">
        <v>2</v>
      </c>
      <c r="Y222" s="11" t="str">
        <f ca="1">IF(ISBLANK(BudgetsTable[[#This Row],[budg_seq_yr]]),"FY"&amp;fiscalyear,"FY"&amp;fiscalyear-1+BudgetsTable[[#This Row],[budg_seq_yr]])</f>
        <v>FY19</v>
      </c>
      <c r="Z222" s="80">
        <v>121969</v>
      </c>
      <c r="AA222" s="79" t="s">
        <v>780</v>
      </c>
      <c r="AB222" s="79" t="s">
        <v>567</v>
      </c>
      <c r="AC222" s="106" t="s">
        <v>94</v>
      </c>
      <c r="AD222" s="79" t="s">
        <v>790</v>
      </c>
    </row>
    <row r="223" spans="1:30">
      <c r="A223" s="10" t="s">
        <v>734</v>
      </c>
      <c r="B223" s="77" t="s">
        <v>96</v>
      </c>
      <c r="C223" s="77">
        <f>C222+(BudgetsTable[[#This Row],[lead]]&lt;&gt;K222)</f>
        <v>47</v>
      </c>
      <c r="D223" s="77">
        <f>D222*(BudgetsTable[[#This Row],[lead]]=K222)+(BudgetsTable[[#This Row],[prop_id]]&lt;&gt;A222)</f>
        <v>1</v>
      </c>
      <c r="E223" s="78">
        <v>42935.696527777778</v>
      </c>
      <c r="F223" s="79" t="s">
        <v>244</v>
      </c>
      <c r="G223" s="79" t="s">
        <v>780</v>
      </c>
      <c r="H223" s="79" t="s">
        <v>567</v>
      </c>
      <c r="I223" s="77" t="s">
        <v>579</v>
      </c>
      <c r="J223" s="77" t="s">
        <v>13</v>
      </c>
      <c r="K223" s="79" t="s">
        <v>734</v>
      </c>
      <c r="L223" s="7" t="str">
        <f>IF(BudgetsTable[[#This Row],[pi_last_name]]=" ","",HYPERLINK("https://www.ejacket.nsf.gov/ej/showProposal.do?Continue=Y&amp;ID="&amp;BudgetsTable[[#This Row],[prop_id]],BudgetsTable[[#This Row],[prop_id]]))</f>
        <v/>
      </c>
      <c r="M223" s="15" t="str">
        <f>IF(BudgetsTable[[#This Row],[pi_last_name]]=" ","",HYPERLINK("https://www.ejacket.nsf.gov/ej/processReviewAnalysis.do?dispatch=add&amp;uniqId="&amp;BudgetsTable[[#This Row],[prop_id]]&amp;PO_id,"&gt;ra"))</f>
        <v/>
      </c>
      <c r="N223" s="79" t="s">
        <v>13</v>
      </c>
      <c r="O223" s="7" t="str">
        <f>IF(BudgetsTable[[#This Row],[pi_last_name]]=" ","",HYPERLINK("mailto:"&amp;BudgetsTable[[#This Row],[pi_email]]&amp;"&amp;subject=Your NSF Proposal:  "&amp;BudgetsTable[[#This Row],[prop_id]],BudgetsTable[[#This Row],[pi_email]]))</f>
        <v/>
      </c>
      <c r="P223" s="79" t="s">
        <v>13</v>
      </c>
      <c r="Q223" s="79">
        <v>1</v>
      </c>
      <c r="R223" s="79">
        <v>1</v>
      </c>
      <c r="S223" s="80">
        <v>0</v>
      </c>
      <c r="T223" s="80">
        <v>7709</v>
      </c>
      <c r="U223" s="80">
        <v>1100</v>
      </c>
      <c r="V223" s="81">
        <v>128760</v>
      </c>
      <c r="W223" s="79">
        <v>0</v>
      </c>
      <c r="X223" s="79">
        <v>3</v>
      </c>
      <c r="Y223" s="11" t="str">
        <f ca="1">IF(ISBLANK(BudgetsTable[[#This Row],[budg_seq_yr]]),"FY"&amp;fiscalyear,"FY"&amp;fiscalyear-1+BudgetsTable[[#This Row],[budg_seq_yr]])</f>
        <v>FY20</v>
      </c>
      <c r="Z223" s="80">
        <v>128760</v>
      </c>
      <c r="AA223" s="79" t="s">
        <v>780</v>
      </c>
      <c r="AB223" s="79" t="s">
        <v>567</v>
      </c>
      <c r="AC223" s="106" t="s">
        <v>94</v>
      </c>
      <c r="AD223" s="79" t="s">
        <v>790</v>
      </c>
    </row>
    <row r="224" spans="1:30">
      <c r="A224" s="10" t="s">
        <v>734</v>
      </c>
      <c r="B224" s="77" t="s">
        <v>96</v>
      </c>
      <c r="C224" s="77">
        <f>C223+(BudgetsTable[[#This Row],[lead]]&lt;&gt;K223)</f>
        <v>47</v>
      </c>
      <c r="D224" s="77">
        <f>D223*(BudgetsTable[[#This Row],[lead]]=K223)+(BudgetsTable[[#This Row],[prop_id]]&lt;&gt;A223)</f>
        <v>1</v>
      </c>
      <c r="E224" s="78">
        <v>42935.696527777778</v>
      </c>
      <c r="F224" s="79" t="s">
        <v>244</v>
      </c>
      <c r="G224" s="79" t="s">
        <v>780</v>
      </c>
      <c r="H224" s="79" t="s">
        <v>567</v>
      </c>
      <c r="I224" s="77" t="s">
        <v>579</v>
      </c>
      <c r="J224" s="77" t="s">
        <v>13</v>
      </c>
      <c r="K224" s="79" t="s">
        <v>734</v>
      </c>
      <c r="L224" s="7" t="str">
        <f>IF(BudgetsTable[[#This Row],[pi_last_name]]=" ","",HYPERLINK("https://www.ejacket.nsf.gov/ej/showProposal.do?Continue=Y&amp;ID="&amp;BudgetsTable[[#This Row],[prop_id]],BudgetsTable[[#This Row],[prop_id]]))</f>
        <v/>
      </c>
      <c r="M224" s="15" t="str">
        <f>IF(BudgetsTable[[#This Row],[pi_last_name]]=" ","",HYPERLINK("https://www.ejacket.nsf.gov/ej/processReviewAnalysis.do?dispatch=add&amp;uniqId="&amp;BudgetsTable[[#This Row],[prop_id]]&amp;PO_id,"&gt;ra"))</f>
        <v/>
      </c>
      <c r="N224" s="79" t="s">
        <v>13</v>
      </c>
      <c r="O224" s="7" t="str">
        <f>IF(BudgetsTable[[#This Row],[pi_last_name]]=" ","",HYPERLINK("mailto:"&amp;BudgetsTable[[#This Row],[pi_email]]&amp;"&amp;subject=Your NSF Proposal:  "&amp;BudgetsTable[[#This Row],[prop_id]],BudgetsTable[[#This Row],[pi_email]]))</f>
        <v/>
      </c>
      <c r="P224" s="79" t="s">
        <v>13</v>
      </c>
      <c r="Q224" s="79">
        <v>1</v>
      </c>
      <c r="R224" s="79">
        <v>1</v>
      </c>
      <c r="S224" s="80">
        <v>0</v>
      </c>
      <c r="T224" s="80">
        <v>7939</v>
      </c>
      <c r="U224" s="80">
        <v>1100</v>
      </c>
      <c r="V224" s="81">
        <v>134130</v>
      </c>
      <c r="W224" s="79">
        <v>0</v>
      </c>
      <c r="X224" s="79">
        <v>4</v>
      </c>
      <c r="Y224" s="11" t="str">
        <f ca="1">IF(ISBLANK(BudgetsTable[[#This Row],[budg_seq_yr]]),"FY"&amp;fiscalyear,"FY"&amp;fiscalyear-1+BudgetsTable[[#This Row],[budg_seq_yr]])</f>
        <v>FY21</v>
      </c>
      <c r="Z224" s="80">
        <v>134130</v>
      </c>
      <c r="AA224" s="79" t="s">
        <v>780</v>
      </c>
      <c r="AB224" s="79" t="s">
        <v>567</v>
      </c>
      <c r="AC224" s="106" t="s">
        <v>94</v>
      </c>
      <c r="AD224" s="79" t="s">
        <v>790</v>
      </c>
    </row>
    <row r="225" spans="1:30">
      <c r="A225" s="10" t="s">
        <v>734</v>
      </c>
      <c r="B225" s="77" t="s">
        <v>96</v>
      </c>
      <c r="C225" s="77">
        <f>C224+(BudgetsTable[[#This Row],[lead]]&lt;&gt;K224)</f>
        <v>47</v>
      </c>
      <c r="D225" s="77">
        <f>D224*(BudgetsTable[[#This Row],[lead]]=K224)+(BudgetsTable[[#This Row],[prop_id]]&lt;&gt;A224)</f>
        <v>1</v>
      </c>
      <c r="E225" s="78">
        <v>42935.696527777778</v>
      </c>
      <c r="F225" s="79" t="s">
        <v>244</v>
      </c>
      <c r="G225" s="79" t="s">
        <v>780</v>
      </c>
      <c r="H225" s="79" t="s">
        <v>567</v>
      </c>
      <c r="I225" s="77" t="s">
        <v>579</v>
      </c>
      <c r="J225" s="77" t="s">
        <v>13</v>
      </c>
      <c r="K225" s="79" t="s">
        <v>734</v>
      </c>
      <c r="L225" s="7" t="str">
        <f>IF(BudgetsTable[[#This Row],[pi_last_name]]=" ","",HYPERLINK("https://www.ejacket.nsf.gov/ej/showProposal.do?Continue=Y&amp;ID="&amp;BudgetsTable[[#This Row],[prop_id]],BudgetsTable[[#This Row],[prop_id]]))</f>
        <v/>
      </c>
      <c r="M225" s="15" t="str">
        <f>IF(BudgetsTable[[#This Row],[pi_last_name]]=" ","",HYPERLINK("https://www.ejacket.nsf.gov/ej/processReviewAnalysis.do?dispatch=add&amp;uniqId="&amp;BudgetsTable[[#This Row],[prop_id]]&amp;PO_id,"&gt;ra"))</f>
        <v/>
      </c>
      <c r="N225" s="79" t="s">
        <v>13</v>
      </c>
      <c r="O225" s="7" t="str">
        <f>IF(BudgetsTable[[#This Row],[pi_last_name]]=" ","",HYPERLINK("mailto:"&amp;BudgetsTable[[#This Row],[pi_email]]&amp;"&amp;subject=Your NSF Proposal:  "&amp;BudgetsTable[[#This Row],[prop_id]],BudgetsTable[[#This Row],[pi_email]]))</f>
        <v/>
      </c>
      <c r="P225" s="79" t="s">
        <v>13</v>
      </c>
      <c r="Q225" s="79">
        <v>1</v>
      </c>
      <c r="R225" s="79">
        <v>1</v>
      </c>
      <c r="S225" s="80">
        <v>0</v>
      </c>
      <c r="T225" s="80">
        <v>0</v>
      </c>
      <c r="U225" s="80">
        <v>1100</v>
      </c>
      <c r="V225" s="81">
        <v>127695</v>
      </c>
      <c r="W225" s="79">
        <v>0</v>
      </c>
      <c r="X225" s="79">
        <v>5</v>
      </c>
      <c r="Y225" s="11" t="str">
        <f ca="1">IF(ISBLANK(BudgetsTable[[#This Row],[budg_seq_yr]]),"FY"&amp;fiscalyear,"FY"&amp;fiscalyear-1+BudgetsTable[[#This Row],[budg_seq_yr]])</f>
        <v>FY22</v>
      </c>
      <c r="Z225" s="80">
        <v>127695</v>
      </c>
      <c r="AA225" s="79" t="s">
        <v>780</v>
      </c>
      <c r="AB225" s="79" t="s">
        <v>567</v>
      </c>
      <c r="AC225" s="106" t="s">
        <v>94</v>
      </c>
      <c r="AD225" s="79" t="s">
        <v>790</v>
      </c>
    </row>
    <row r="226" spans="1:30">
      <c r="A226" s="10" t="s">
        <v>1198</v>
      </c>
      <c r="B226" s="77" t="s">
        <v>96</v>
      </c>
      <c r="C226" s="77">
        <f>C225+(BudgetsTable[[#This Row],[lead]]&lt;&gt;K225)</f>
        <v>48</v>
      </c>
      <c r="D226" s="77">
        <f>D225*(BudgetsTable[[#This Row],[lead]]=K225)+(BudgetsTable[[#This Row],[prop_id]]&lt;&gt;A225)</f>
        <v>1</v>
      </c>
      <c r="E226" s="78">
        <v>42935.70416666667</v>
      </c>
      <c r="F226" s="79" t="s">
        <v>244</v>
      </c>
      <c r="G226" s="79" t="s">
        <v>780</v>
      </c>
      <c r="H226" s="79" t="s">
        <v>567</v>
      </c>
      <c r="I226" s="77" t="s">
        <v>944</v>
      </c>
      <c r="J226" s="77" t="s">
        <v>1469</v>
      </c>
      <c r="K226" s="79" t="s">
        <v>1198</v>
      </c>
      <c r="L226" s="7" t="str">
        <f>IF(BudgetsTable[[#This Row],[pi_last_name]]=" ","",HYPERLINK("https://www.ejacket.nsf.gov/ej/showProposal.do?Continue=Y&amp;ID="&amp;BudgetsTable[[#This Row],[prop_id]],BudgetsTable[[#This Row],[prop_id]]))</f>
        <v>1751181</v>
      </c>
      <c r="M226" s="15" t="str">
        <f>IF(BudgetsTable[[#This Row],[pi_last_name]]=" ","",HYPERLINK("https://www.ejacket.nsf.gov/ej/processReviewAnalysis.do?dispatch=add&amp;uniqId="&amp;BudgetsTable[[#This Row],[prop_id]]&amp;PO_id,"&gt;ra"))</f>
        <v>&gt;ra</v>
      </c>
      <c r="N226" s="79" t="s">
        <v>1199</v>
      </c>
      <c r="O226" s="7" t="str">
        <f>IF(BudgetsTable[[#This Row],[pi_last_name]]=" ","",HYPERLINK("mailto:"&amp;BudgetsTable[[#This Row],[pi_email]]&amp;"&amp;subject=Your NSF Proposal:  "&amp;BudgetsTable[[#This Row],[prop_id]],BudgetsTable[[#This Row],[pi_email]]))</f>
        <v>maxwelly@outlook.com</v>
      </c>
      <c r="P226" s="79" t="s">
        <v>1466</v>
      </c>
      <c r="Q226" s="79"/>
      <c r="R226" s="79"/>
      <c r="S226" s="80"/>
      <c r="T226" s="80"/>
      <c r="U226" s="80"/>
      <c r="V226" s="81"/>
      <c r="W226" s="79">
        <v>0</v>
      </c>
      <c r="X226" s="79"/>
      <c r="Y226" s="11" t="str">
        <f ca="1">IF(ISBLANK(BudgetsTable[[#This Row],[budg_seq_yr]]),"FY"&amp;fiscalyear,"FY"&amp;fiscalyear-1+BudgetsTable[[#This Row],[budg_seq_yr]])</f>
        <v>FY18</v>
      </c>
      <c r="Z226" s="80">
        <v>400000</v>
      </c>
      <c r="AA226" s="79" t="s">
        <v>780</v>
      </c>
      <c r="AB226" s="79" t="s">
        <v>567</v>
      </c>
      <c r="AC226" s="106" t="s">
        <v>94</v>
      </c>
      <c r="AD226" s="79" t="s">
        <v>1464</v>
      </c>
    </row>
    <row r="227" spans="1:30">
      <c r="A227" s="10" t="s">
        <v>1198</v>
      </c>
      <c r="B227" s="77" t="s">
        <v>96</v>
      </c>
      <c r="C227" s="77">
        <f>C226+(BudgetsTable[[#This Row],[lead]]&lt;&gt;K226)</f>
        <v>48</v>
      </c>
      <c r="D227" s="77">
        <f>D226*(BudgetsTable[[#This Row],[lead]]=K226)+(BudgetsTable[[#This Row],[prop_id]]&lt;&gt;A226)</f>
        <v>1</v>
      </c>
      <c r="E227" s="78">
        <v>42935.70416666667</v>
      </c>
      <c r="F227" s="79" t="s">
        <v>244</v>
      </c>
      <c r="G227" s="79" t="s">
        <v>780</v>
      </c>
      <c r="H227" s="79" t="s">
        <v>567</v>
      </c>
      <c r="I227" s="77" t="s">
        <v>944</v>
      </c>
      <c r="J227" s="77" t="s">
        <v>13</v>
      </c>
      <c r="K227" s="79" t="s">
        <v>1198</v>
      </c>
      <c r="L227" s="7" t="str">
        <f>IF(BudgetsTable[[#This Row],[pi_last_name]]=" ","",HYPERLINK("https://www.ejacket.nsf.gov/ej/showProposal.do?Continue=Y&amp;ID="&amp;BudgetsTable[[#This Row],[prop_id]],BudgetsTable[[#This Row],[prop_id]]))</f>
        <v/>
      </c>
      <c r="M227" s="15" t="str">
        <f>IF(BudgetsTable[[#This Row],[pi_last_name]]=" ","",HYPERLINK("https://www.ejacket.nsf.gov/ej/processReviewAnalysis.do?dispatch=add&amp;uniqId="&amp;BudgetsTable[[#This Row],[prop_id]]&amp;PO_id,"&gt;ra"))</f>
        <v/>
      </c>
      <c r="N227" s="79" t="s">
        <v>13</v>
      </c>
      <c r="O227" s="7" t="str">
        <f>IF(BudgetsTable[[#This Row],[pi_last_name]]=" ","",HYPERLINK("mailto:"&amp;BudgetsTable[[#This Row],[pi_email]]&amp;"&amp;subject=Your NSF Proposal:  "&amp;BudgetsTable[[#This Row],[prop_id]],BudgetsTable[[#This Row],[pi_email]]))</f>
        <v/>
      </c>
      <c r="P227" s="79" t="s">
        <v>13</v>
      </c>
      <c r="Q227" s="79">
        <v>1</v>
      </c>
      <c r="R227" s="79">
        <v>0.5</v>
      </c>
      <c r="S227" s="80">
        <v>0</v>
      </c>
      <c r="T227" s="80">
        <v>3000</v>
      </c>
      <c r="U227" s="80">
        <v>0</v>
      </c>
      <c r="V227" s="81">
        <v>79592</v>
      </c>
      <c r="W227" s="79">
        <v>0</v>
      </c>
      <c r="X227" s="79">
        <v>1</v>
      </c>
      <c r="Y227" s="11" t="str">
        <f ca="1">IF(ISBLANK(BudgetsTable[[#This Row],[budg_seq_yr]]),"FY"&amp;fiscalyear,"FY"&amp;fiscalyear-1+BudgetsTable[[#This Row],[budg_seq_yr]])</f>
        <v>FY18</v>
      </c>
      <c r="Z227" s="80">
        <v>79592</v>
      </c>
      <c r="AA227" s="79" t="s">
        <v>780</v>
      </c>
      <c r="AB227" s="79" t="s">
        <v>567</v>
      </c>
      <c r="AC227" s="106" t="s">
        <v>94</v>
      </c>
      <c r="AD227" s="79" t="s">
        <v>1464</v>
      </c>
    </row>
    <row r="228" spans="1:30">
      <c r="A228" s="10" t="s">
        <v>1198</v>
      </c>
      <c r="B228" s="77" t="s">
        <v>96</v>
      </c>
      <c r="C228" s="77">
        <f>C227+(BudgetsTable[[#This Row],[lead]]&lt;&gt;K227)</f>
        <v>48</v>
      </c>
      <c r="D228" s="77">
        <f>D227*(BudgetsTable[[#This Row],[lead]]=K227)+(BudgetsTable[[#This Row],[prop_id]]&lt;&gt;A227)</f>
        <v>1</v>
      </c>
      <c r="E228" s="78">
        <v>42935.70416666667</v>
      </c>
      <c r="F228" s="79" t="s">
        <v>244</v>
      </c>
      <c r="G228" s="79" t="s">
        <v>780</v>
      </c>
      <c r="H228" s="79" t="s">
        <v>567</v>
      </c>
      <c r="I228" s="77" t="s">
        <v>944</v>
      </c>
      <c r="J228" s="77" t="s">
        <v>13</v>
      </c>
      <c r="K228" s="79" t="s">
        <v>1198</v>
      </c>
      <c r="L228" s="7" t="str">
        <f>IF(BudgetsTable[[#This Row],[pi_last_name]]=" ","",HYPERLINK("https://www.ejacket.nsf.gov/ej/showProposal.do?Continue=Y&amp;ID="&amp;BudgetsTable[[#This Row],[prop_id]],BudgetsTable[[#This Row],[prop_id]]))</f>
        <v/>
      </c>
      <c r="M228" s="15" t="str">
        <f>IF(BudgetsTable[[#This Row],[pi_last_name]]=" ","",HYPERLINK("https://www.ejacket.nsf.gov/ej/processReviewAnalysis.do?dispatch=add&amp;uniqId="&amp;BudgetsTable[[#This Row],[prop_id]]&amp;PO_id,"&gt;ra"))</f>
        <v/>
      </c>
      <c r="N228" s="79" t="s">
        <v>13</v>
      </c>
      <c r="O228" s="7" t="str">
        <f>IF(BudgetsTable[[#This Row],[pi_last_name]]=" ","",HYPERLINK("mailto:"&amp;BudgetsTable[[#This Row],[pi_email]]&amp;"&amp;subject=Your NSF Proposal:  "&amp;BudgetsTable[[#This Row],[prop_id]],BudgetsTable[[#This Row],[pi_email]]))</f>
        <v/>
      </c>
      <c r="P228" s="79" t="s">
        <v>13</v>
      </c>
      <c r="Q228" s="79">
        <v>1</v>
      </c>
      <c r="R228" s="79">
        <v>0.5</v>
      </c>
      <c r="S228" s="80">
        <v>0</v>
      </c>
      <c r="T228" s="80">
        <v>3000</v>
      </c>
      <c r="U228" s="80">
        <v>0</v>
      </c>
      <c r="V228" s="81">
        <v>80758</v>
      </c>
      <c r="W228" s="79">
        <v>0</v>
      </c>
      <c r="X228" s="79">
        <v>2</v>
      </c>
      <c r="Y228" s="11" t="str">
        <f ca="1">IF(ISBLANK(BudgetsTable[[#This Row],[budg_seq_yr]]),"FY"&amp;fiscalyear,"FY"&amp;fiscalyear-1+BudgetsTable[[#This Row],[budg_seq_yr]])</f>
        <v>FY19</v>
      </c>
      <c r="Z228" s="80">
        <v>80758</v>
      </c>
      <c r="AA228" s="79" t="s">
        <v>780</v>
      </c>
      <c r="AB228" s="79" t="s">
        <v>567</v>
      </c>
      <c r="AC228" s="106" t="s">
        <v>94</v>
      </c>
      <c r="AD228" s="79" t="s">
        <v>1464</v>
      </c>
    </row>
    <row r="229" spans="1:30">
      <c r="A229" s="10" t="s">
        <v>1198</v>
      </c>
      <c r="B229" s="77" t="s">
        <v>96</v>
      </c>
      <c r="C229" s="77">
        <f>C228+(BudgetsTable[[#This Row],[lead]]&lt;&gt;K228)</f>
        <v>48</v>
      </c>
      <c r="D229" s="77">
        <f>D228*(BudgetsTable[[#This Row],[lead]]=K228)+(BudgetsTable[[#This Row],[prop_id]]&lt;&gt;A228)</f>
        <v>1</v>
      </c>
      <c r="E229" s="78">
        <v>42935.70416666667</v>
      </c>
      <c r="F229" s="79" t="s">
        <v>244</v>
      </c>
      <c r="G229" s="79" t="s">
        <v>780</v>
      </c>
      <c r="H229" s="79" t="s">
        <v>567</v>
      </c>
      <c r="I229" s="77" t="s">
        <v>944</v>
      </c>
      <c r="J229" s="77" t="s">
        <v>13</v>
      </c>
      <c r="K229" s="79" t="s">
        <v>1198</v>
      </c>
      <c r="L229" s="7" t="str">
        <f>IF(BudgetsTable[[#This Row],[pi_last_name]]=" ","",HYPERLINK("https://www.ejacket.nsf.gov/ej/showProposal.do?Continue=Y&amp;ID="&amp;BudgetsTable[[#This Row],[prop_id]],BudgetsTable[[#This Row],[prop_id]]))</f>
        <v/>
      </c>
      <c r="M229" s="15" t="str">
        <f>IF(BudgetsTable[[#This Row],[pi_last_name]]=" ","",HYPERLINK("https://www.ejacket.nsf.gov/ej/processReviewAnalysis.do?dispatch=add&amp;uniqId="&amp;BudgetsTable[[#This Row],[prop_id]]&amp;PO_id,"&gt;ra"))</f>
        <v/>
      </c>
      <c r="N229" s="79" t="s">
        <v>13</v>
      </c>
      <c r="O229" s="7" t="str">
        <f>IF(BudgetsTable[[#This Row],[pi_last_name]]=" ","",HYPERLINK("mailto:"&amp;BudgetsTable[[#This Row],[pi_email]]&amp;"&amp;subject=Your NSF Proposal:  "&amp;BudgetsTable[[#This Row],[prop_id]],BudgetsTable[[#This Row],[pi_email]]))</f>
        <v/>
      </c>
      <c r="P229" s="79" t="s">
        <v>13</v>
      </c>
      <c r="Q229" s="79">
        <v>1</v>
      </c>
      <c r="R229" s="79">
        <v>0.5</v>
      </c>
      <c r="S229" s="80">
        <v>0</v>
      </c>
      <c r="T229" s="80">
        <v>3000</v>
      </c>
      <c r="U229" s="80">
        <v>0</v>
      </c>
      <c r="V229" s="81">
        <v>78586</v>
      </c>
      <c r="W229" s="79">
        <v>0</v>
      </c>
      <c r="X229" s="79">
        <v>3</v>
      </c>
      <c r="Y229" s="11" t="str">
        <f ca="1">IF(ISBLANK(BudgetsTable[[#This Row],[budg_seq_yr]]),"FY"&amp;fiscalyear,"FY"&amp;fiscalyear-1+BudgetsTable[[#This Row],[budg_seq_yr]])</f>
        <v>FY20</v>
      </c>
      <c r="Z229" s="80">
        <v>78586</v>
      </c>
      <c r="AA229" s="79" t="s">
        <v>780</v>
      </c>
      <c r="AB229" s="79" t="s">
        <v>567</v>
      </c>
      <c r="AC229" s="106" t="s">
        <v>94</v>
      </c>
      <c r="AD229" s="79" t="s">
        <v>1464</v>
      </c>
    </row>
    <row r="230" spans="1:30">
      <c r="A230" s="10" t="s">
        <v>1198</v>
      </c>
      <c r="B230" s="77" t="s">
        <v>96</v>
      </c>
      <c r="C230" s="77">
        <f>C229+(BudgetsTable[[#This Row],[lead]]&lt;&gt;K229)</f>
        <v>48</v>
      </c>
      <c r="D230" s="77">
        <f>D229*(BudgetsTable[[#This Row],[lead]]=K229)+(BudgetsTable[[#This Row],[prop_id]]&lt;&gt;A229)</f>
        <v>1</v>
      </c>
      <c r="E230" s="78">
        <v>42935.70416666667</v>
      </c>
      <c r="F230" s="79" t="s">
        <v>244</v>
      </c>
      <c r="G230" s="79" t="s">
        <v>780</v>
      </c>
      <c r="H230" s="79" t="s">
        <v>567</v>
      </c>
      <c r="I230" s="77" t="s">
        <v>944</v>
      </c>
      <c r="J230" s="77" t="s">
        <v>13</v>
      </c>
      <c r="K230" s="79" t="s">
        <v>1198</v>
      </c>
      <c r="L230" s="7" t="str">
        <f>IF(BudgetsTable[[#This Row],[pi_last_name]]=" ","",HYPERLINK("https://www.ejacket.nsf.gov/ej/showProposal.do?Continue=Y&amp;ID="&amp;BudgetsTable[[#This Row],[prop_id]],BudgetsTable[[#This Row],[prop_id]]))</f>
        <v/>
      </c>
      <c r="M230" s="15" t="str">
        <f>IF(BudgetsTable[[#This Row],[pi_last_name]]=" ","",HYPERLINK("https://www.ejacket.nsf.gov/ej/processReviewAnalysis.do?dispatch=add&amp;uniqId="&amp;BudgetsTable[[#This Row],[prop_id]]&amp;PO_id,"&gt;ra"))</f>
        <v/>
      </c>
      <c r="N230" s="79" t="s">
        <v>13</v>
      </c>
      <c r="O230" s="7" t="str">
        <f>IF(BudgetsTable[[#This Row],[pi_last_name]]=" ","",HYPERLINK("mailto:"&amp;BudgetsTable[[#This Row],[pi_email]]&amp;"&amp;subject=Your NSF Proposal:  "&amp;BudgetsTable[[#This Row],[prop_id]],BudgetsTable[[#This Row],[pi_email]]))</f>
        <v/>
      </c>
      <c r="P230" s="79" t="s">
        <v>13</v>
      </c>
      <c r="Q230" s="79">
        <v>1</v>
      </c>
      <c r="R230" s="79">
        <v>0.5</v>
      </c>
      <c r="S230" s="80">
        <v>0</v>
      </c>
      <c r="T230" s="80">
        <v>3000</v>
      </c>
      <c r="U230" s="80">
        <v>0</v>
      </c>
      <c r="V230" s="81">
        <v>79863</v>
      </c>
      <c r="W230" s="79">
        <v>0</v>
      </c>
      <c r="X230" s="79">
        <v>4</v>
      </c>
      <c r="Y230" s="11" t="str">
        <f ca="1">IF(ISBLANK(BudgetsTable[[#This Row],[budg_seq_yr]]),"FY"&amp;fiscalyear,"FY"&amp;fiscalyear-1+BudgetsTable[[#This Row],[budg_seq_yr]])</f>
        <v>FY21</v>
      </c>
      <c r="Z230" s="80">
        <v>79863</v>
      </c>
      <c r="AA230" s="79" t="s">
        <v>780</v>
      </c>
      <c r="AB230" s="79" t="s">
        <v>567</v>
      </c>
      <c r="AC230" s="106" t="s">
        <v>94</v>
      </c>
      <c r="AD230" s="79" t="s">
        <v>1464</v>
      </c>
    </row>
    <row r="231" spans="1:30">
      <c r="A231" s="10" t="s">
        <v>1198</v>
      </c>
      <c r="B231" s="77" t="s">
        <v>96</v>
      </c>
      <c r="C231" s="77">
        <f>C230+(BudgetsTable[[#This Row],[lead]]&lt;&gt;K230)</f>
        <v>48</v>
      </c>
      <c r="D231" s="77">
        <f>D230*(BudgetsTable[[#This Row],[lead]]=K230)+(BudgetsTable[[#This Row],[prop_id]]&lt;&gt;A230)</f>
        <v>1</v>
      </c>
      <c r="E231" s="78">
        <v>42935.70416666667</v>
      </c>
      <c r="F231" s="79" t="s">
        <v>244</v>
      </c>
      <c r="G231" s="79" t="s">
        <v>780</v>
      </c>
      <c r="H231" s="79" t="s">
        <v>567</v>
      </c>
      <c r="I231" s="77" t="s">
        <v>944</v>
      </c>
      <c r="J231" s="77" t="s">
        <v>13</v>
      </c>
      <c r="K231" s="79" t="s">
        <v>1198</v>
      </c>
      <c r="L231" s="7" t="str">
        <f>IF(BudgetsTable[[#This Row],[pi_last_name]]=" ","",HYPERLINK("https://www.ejacket.nsf.gov/ej/showProposal.do?Continue=Y&amp;ID="&amp;BudgetsTable[[#This Row],[prop_id]],BudgetsTable[[#This Row],[prop_id]]))</f>
        <v/>
      </c>
      <c r="M231" s="15" t="str">
        <f>IF(BudgetsTable[[#This Row],[pi_last_name]]=" ","",HYPERLINK("https://www.ejacket.nsf.gov/ej/processReviewAnalysis.do?dispatch=add&amp;uniqId="&amp;BudgetsTable[[#This Row],[prop_id]]&amp;PO_id,"&gt;ra"))</f>
        <v/>
      </c>
      <c r="N231" s="79" t="s">
        <v>13</v>
      </c>
      <c r="O231" s="7" t="str">
        <f>IF(BudgetsTable[[#This Row],[pi_last_name]]=" ","",HYPERLINK("mailto:"&amp;BudgetsTable[[#This Row],[pi_email]]&amp;"&amp;subject=Your NSF Proposal:  "&amp;BudgetsTable[[#This Row],[prop_id]],BudgetsTable[[#This Row],[pi_email]]))</f>
        <v/>
      </c>
      <c r="P231" s="79" t="s">
        <v>13</v>
      </c>
      <c r="Q231" s="79">
        <v>1</v>
      </c>
      <c r="R231" s="79">
        <v>0.5</v>
      </c>
      <c r="S231" s="80">
        <v>0</v>
      </c>
      <c r="T231" s="80">
        <v>3000</v>
      </c>
      <c r="U231" s="80">
        <v>0</v>
      </c>
      <c r="V231" s="81">
        <v>81201</v>
      </c>
      <c r="W231" s="79">
        <v>0</v>
      </c>
      <c r="X231" s="79">
        <v>5</v>
      </c>
      <c r="Y231" s="11" t="str">
        <f ca="1">IF(ISBLANK(BudgetsTable[[#This Row],[budg_seq_yr]]),"FY"&amp;fiscalyear,"FY"&amp;fiscalyear-1+BudgetsTable[[#This Row],[budg_seq_yr]])</f>
        <v>FY22</v>
      </c>
      <c r="Z231" s="80">
        <v>81201</v>
      </c>
      <c r="AA231" s="79" t="s">
        <v>780</v>
      </c>
      <c r="AB231" s="79" t="s">
        <v>567</v>
      </c>
      <c r="AC231" s="106" t="s">
        <v>94</v>
      </c>
      <c r="AD231" s="79" t="s">
        <v>1464</v>
      </c>
    </row>
    <row r="232" spans="1:30">
      <c r="A232" s="10" t="s">
        <v>1206</v>
      </c>
      <c r="B232" s="77" t="s">
        <v>96</v>
      </c>
      <c r="C232" s="77">
        <f>C231+(BudgetsTable[[#This Row],[lead]]&lt;&gt;K231)</f>
        <v>49</v>
      </c>
      <c r="D232" s="77">
        <f>D231*(BudgetsTable[[#This Row],[lead]]=K231)+(BudgetsTable[[#This Row],[prop_id]]&lt;&gt;A231)</f>
        <v>1</v>
      </c>
      <c r="E232" s="78">
        <v>42935.717361111114</v>
      </c>
      <c r="F232" s="79" t="s">
        <v>244</v>
      </c>
      <c r="G232" s="79" t="s">
        <v>780</v>
      </c>
      <c r="H232" s="79" t="s">
        <v>567</v>
      </c>
      <c r="I232" s="77" t="s">
        <v>582</v>
      </c>
      <c r="J232" s="77" t="s">
        <v>1472</v>
      </c>
      <c r="K232" s="79" t="s">
        <v>1206</v>
      </c>
      <c r="L232" s="7" t="str">
        <f>IF(BudgetsTable[[#This Row],[pi_last_name]]=" ","",HYPERLINK("https://www.ejacket.nsf.gov/ej/showProposal.do?Continue=Y&amp;ID="&amp;BudgetsTable[[#This Row],[prop_id]],BudgetsTable[[#This Row],[prop_id]]))</f>
        <v>1751234</v>
      </c>
      <c r="M232" s="15" t="str">
        <f>IF(BudgetsTable[[#This Row],[pi_last_name]]=" ","",HYPERLINK("https://www.ejacket.nsf.gov/ej/processReviewAnalysis.do?dispatch=add&amp;uniqId="&amp;BudgetsTable[[#This Row],[prop_id]]&amp;PO_id,"&gt;ra"))</f>
        <v>&gt;ra</v>
      </c>
      <c r="N232" s="79" t="s">
        <v>1207</v>
      </c>
      <c r="O232" s="7" t="str">
        <f>IF(BudgetsTable[[#This Row],[pi_last_name]]=" ","",HYPERLINK("mailto:"&amp;BudgetsTable[[#This Row],[pi_email]]&amp;"&amp;subject=Your NSF Proposal:  "&amp;BudgetsTable[[#This Row],[prop_id]],BudgetsTable[[#This Row],[pi_email]]))</f>
        <v>bhaskara@cs.utah.edu</v>
      </c>
      <c r="P232" s="79" t="s">
        <v>1361</v>
      </c>
      <c r="Q232" s="79"/>
      <c r="R232" s="79"/>
      <c r="S232" s="80"/>
      <c r="T232" s="80"/>
      <c r="U232" s="80"/>
      <c r="V232" s="81"/>
      <c r="W232" s="79">
        <v>0</v>
      </c>
      <c r="X232" s="79"/>
      <c r="Y232" s="11" t="str">
        <f ca="1">IF(ISBLANK(BudgetsTable[[#This Row],[budg_seq_yr]]),"FY"&amp;fiscalyear,"FY"&amp;fiscalyear-1+BudgetsTable[[#This Row],[budg_seq_yr]])</f>
        <v>FY18</v>
      </c>
      <c r="Z232" s="80">
        <v>536841</v>
      </c>
      <c r="AA232" s="79" t="s">
        <v>780</v>
      </c>
      <c r="AB232" s="79" t="s">
        <v>567</v>
      </c>
      <c r="AC232" s="106" t="s">
        <v>94</v>
      </c>
      <c r="AD232" s="79" t="s">
        <v>1383</v>
      </c>
    </row>
    <row r="233" spans="1:30">
      <c r="A233" s="10" t="s">
        <v>1206</v>
      </c>
      <c r="B233" s="77" t="s">
        <v>96</v>
      </c>
      <c r="C233" s="77">
        <f>C232+(BudgetsTable[[#This Row],[lead]]&lt;&gt;K232)</f>
        <v>49</v>
      </c>
      <c r="D233" s="77">
        <f>D232*(BudgetsTable[[#This Row],[lead]]=K232)+(BudgetsTable[[#This Row],[prop_id]]&lt;&gt;A232)</f>
        <v>1</v>
      </c>
      <c r="E233" s="78">
        <v>42935.717361111114</v>
      </c>
      <c r="F233" s="79" t="s">
        <v>244</v>
      </c>
      <c r="G233" s="79" t="s">
        <v>780</v>
      </c>
      <c r="H233" s="79" t="s">
        <v>567</v>
      </c>
      <c r="I233" s="77" t="s">
        <v>582</v>
      </c>
      <c r="J233" s="77" t="s">
        <v>13</v>
      </c>
      <c r="K233" s="79" t="s">
        <v>1206</v>
      </c>
      <c r="L233" s="7" t="str">
        <f>IF(BudgetsTable[[#This Row],[pi_last_name]]=" ","",HYPERLINK("https://www.ejacket.nsf.gov/ej/showProposal.do?Continue=Y&amp;ID="&amp;BudgetsTable[[#This Row],[prop_id]],BudgetsTable[[#This Row],[prop_id]]))</f>
        <v/>
      </c>
      <c r="M233" s="15" t="str">
        <f>IF(BudgetsTable[[#This Row],[pi_last_name]]=" ","",HYPERLINK("https://www.ejacket.nsf.gov/ej/processReviewAnalysis.do?dispatch=add&amp;uniqId="&amp;BudgetsTable[[#This Row],[prop_id]]&amp;PO_id,"&gt;ra"))</f>
        <v/>
      </c>
      <c r="N233" s="79" t="s">
        <v>13</v>
      </c>
      <c r="O233" s="7" t="str">
        <f>IF(BudgetsTable[[#This Row],[pi_last_name]]=" ","",HYPERLINK("mailto:"&amp;BudgetsTable[[#This Row],[pi_email]]&amp;"&amp;subject=Your NSF Proposal:  "&amp;BudgetsTable[[#This Row],[prop_id]],BudgetsTable[[#This Row],[pi_email]]))</f>
        <v/>
      </c>
      <c r="P233" s="79" t="s">
        <v>13</v>
      </c>
      <c r="Q233" s="79">
        <v>1</v>
      </c>
      <c r="R233" s="79">
        <v>1</v>
      </c>
      <c r="S233" s="80">
        <v>0</v>
      </c>
      <c r="T233" s="80">
        <v>5500</v>
      </c>
      <c r="U233" s="80">
        <v>4000</v>
      </c>
      <c r="V233" s="81">
        <v>105452</v>
      </c>
      <c r="W233" s="79">
        <v>0</v>
      </c>
      <c r="X233" s="79">
        <v>1</v>
      </c>
      <c r="Y233" s="11" t="str">
        <f ca="1">IF(ISBLANK(BudgetsTable[[#This Row],[budg_seq_yr]]),"FY"&amp;fiscalyear,"FY"&amp;fiscalyear-1+BudgetsTable[[#This Row],[budg_seq_yr]])</f>
        <v>FY18</v>
      </c>
      <c r="Z233" s="80">
        <v>105452</v>
      </c>
      <c r="AA233" s="79" t="s">
        <v>780</v>
      </c>
      <c r="AB233" s="79" t="s">
        <v>567</v>
      </c>
      <c r="AC233" s="106" t="s">
        <v>94</v>
      </c>
      <c r="AD233" s="79" t="s">
        <v>1383</v>
      </c>
    </row>
    <row r="234" spans="1:30">
      <c r="A234" s="10" t="s">
        <v>1206</v>
      </c>
      <c r="B234" s="77" t="s">
        <v>96</v>
      </c>
      <c r="C234" s="77">
        <f>C233+(BudgetsTable[[#This Row],[lead]]&lt;&gt;K233)</f>
        <v>49</v>
      </c>
      <c r="D234" s="77">
        <f>D233*(BudgetsTable[[#This Row],[lead]]=K233)+(BudgetsTable[[#This Row],[prop_id]]&lt;&gt;A233)</f>
        <v>1</v>
      </c>
      <c r="E234" s="78">
        <v>42935.717361111114</v>
      </c>
      <c r="F234" s="79" t="s">
        <v>244</v>
      </c>
      <c r="G234" s="79" t="s">
        <v>780</v>
      </c>
      <c r="H234" s="79" t="s">
        <v>567</v>
      </c>
      <c r="I234" s="77" t="s">
        <v>582</v>
      </c>
      <c r="J234" s="77" t="s">
        <v>13</v>
      </c>
      <c r="K234" s="79" t="s">
        <v>1206</v>
      </c>
      <c r="L234" s="7" t="str">
        <f>IF(BudgetsTable[[#This Row],[pi_last_name]]=" ","",HYPERLINK("https://www.ejacket.nsf.gov/ej/showProposal.do?Continue=Y&amp;ID="&amp;BudgetsTable[[#This Row],[prop_id]],BudgetsTable[[#This Row],[prop_id]]))</f>
        <v/>
      </c>
      <c r="M234" s="15" t="str">
        <f>IF(BudgetsTable[[#This Row],[pi_last_name]]=" ","",HYPERLINK("https://www.ejacket.nsf.gov/ej/processReviewAnalysis.do?dispatch=add&amp;uniqId="&amp;BudgetsTable[[#This Row],[prop_id]]&amp;PO_id,"&gt;ra"))</f>
        <v/>
      </c>
      <c r="N234" s="79" t="s">
        <v>13</v>
      </c>
      <c r="O234" s="7" t="str">
        <f>IF(BudgetsTable[[#This Row],[pi_last_name]]=" ","",HYPERLINK("mailto:"&amp;BudgetsTable[[#This Row],[pi_email]]&amp;"&amp;subject=Your NSF Proposal:  "&amp;BudgetsTable[[#This Row],[prop_id]],BudgetsTable[[#This Row],[pi_email]]))</f>
        <v/>
      </c>
      <c r="P234" s="79" t="s">
        <v>13</v>
      </c>
      <c r="Q234" s="79">
        <v>1</v>
      </c>
      <c r="R234" s="79">
        <v>1</v>
      </c>
      <c r="S234" s="80">
        <v>0</v>
      </c>
      <c r="T234" s="80">
        <v>5500</v>
      </c>
      <c r="U234" s="80">
        <v>4000</v>
      </c>
      <c r="V234" s="81">
        <v>104543</v>
      </c>
      <c r="W234" s="79">
        <v>0</v>
      </c>
      <c r="X234" s="79">
        <v>2</v>
      </c>
      <c r="Y234" s="11" t="str">
        <f ca="1">IF(ISBLANK(BudgetsTable[[#This Row],[budg_seq_yr]]),"FY"&amp;fiscalyear,"FY"&amp;fiscalyear-1+BudgetsTable[[#This Row],[budg_seq_yr]])</f>
        <v>FY19</v>
      </c>
      <c r="Z234" s="80">
        <v>104543</v>
      </c>
      <c r="AA234" s="79" t="s">
        <v>780</v>
      </c>
      <c r="AB234" s="79" t="s">
        <v>567</v>
      </c>
      <c r="AC234" s="106" t="s">
        <v>94</v>
      </c>
      <c r="AD234" s="79" t="s">
        <v>1383</v>
      </c>
    </row>
    <row r="235" spans="1:30">
      <c r="A235" s="10" t="s">
        <v>1206</v>
      </c>
      <c r="B235" s="77" t="s">
        <v>96</v>
      </c>
      <c r="C235" s="77">
        <f>C234+(BudgetsTable[[#This Row],[lead]]&lt;&gt;K234)</f>
        <v>49</v>
      </c>
      <c r="D235" s="77">
        <f>D234*(BudgetsTable[[#This Row],[lead]]=K234)+(BudgetsTable[[#This Row],[prop_id]]&lt;&gt;A234)</f>
        <v>1</v>
      </c>
      <c r="E235" s="78">
        <v>42935.717361111114</v>
      </c>
      <c r="F235" s="79" t="s">
        <v>244</v>
      </c>
      <c r="G235" s="79" t="s">
        <v>780</v>
      </c>
      <c r="H235" s="79" t="s">
        <v>567</v>
      </c>
      <c r="I235" s="77" t="s">
        <v>582</v>
      </c>
      <c r="J235" s="77" t="s">
        <v>13</v>
      </c>
      <c r="K235" s="79" t="s">
        <v>1206</v>
      </c>
      <c r="L235" s="7" t="str">
        <f>IF(BudgetsTable[[#This Row],[pi_last_name]]=" ","",HYPERLINK("https://www.ejacket.nsf.gov/ej/showProposal.do?Continue=Y&amp;ID="&amp;BudgetsTable[[#This Row],[prop_id]],BudgetsTable[[#This Row],[prop_id]]))</f>
        <v/>
      </c>
      <c r="M235" s="15" t="str">
        <f>IF(BudgetsTable[[#This Row],[pi_last_name]]=" ","",HYPERLINK("https://www.ejacket.nsf.gov/ej/processReviewAnalysis.do?dispatch=add&amp;uniqId="&amp;BudgetsTable[[#This Row],[prop_id]]&amp;PO_id,"&gt;ra"))</f>
        <v/>
      </c>
      <c r="N235" s="79" t="s">
        <v>13</v>
      </c>
      <c r="O235" s="7" t="str">
        <f>IF(BudgetsTable[[#This Row],[pi_last_name]]=" ","",HYPERLINK("mailto:"&amp;BudgetsTable[[#This Row],[pi_email]]&amp;"&amp;subject=Your NSF Proposal:  "&amp;BudgetsTable[[#This Row],[prop_id]],BudgetsTable[[#This Row],[pi_email]]))</f>
        <v/>
      </c>
      <c r="P235" s="79" t="s">
        <v>13</v>
      </c>
      <c r="Q235" s="79">
        <v>1</v>
      </c>
      <c r="R235" s="79">
        <v>1</v>
      </c>
      <c r="S235" s="80">
        <v>0</v>
      </c>
      <c r="T235" s="80">
        <v>5500</v>
      </c>
      <c r="U235" s="80">
        <v>4000</v>
      </c>
      <c r="V235" s="81">
        <v>106721</v>
      </c>
      <c r="W235" s="79">
        <v>0</v>
      </c>
      <c r="X235" s="79">
        <v>3</v>
      </c>
      <c r="Y235" s="11" t="str">
        <f ca="1">IF(ISBLANK(BudgetsTable[[#This Row],[budg_seq_yr]]),"FY"&amp;fiscalyear,"FY"&amp;fiscalyear-1+BudgetsTable[[#This Row],[budg_seq_yr]])</f>
        <v>FY20</v>
      </c>
      <c r="Z235" s="80">
        <v>106721</v>
      </c>
      <c r="AA235" s="79" t="s">
        <v>780</v>
      </c>
      <c r="AB235" s="79" t="s">
        <v>567</v>
      </c>
      <c r="AC235" s="106" t="s">
        <v>94</v>
      </c>
      <c r="AD235" s="79" t="s">
        <v>1383</v>
      </c>
    </row>
    <row r="236" spans="1:30">
      <c r="A236" s="10" t="s">
        <v>1206</v>
      </c>
      <c r="B236" s="77" t="s">
        <v>96</v>
      </c>
      <c r="C236" s="77">
        <f>C235+(BudgetsTable[[#This Row],[lead]]&lt;&gt;K235)</f>
        <v>49</v>
      </c>
      <c r="D236" s="77">
        <f>D235*(BudgetsTable[[#This Row],[lead]]=K235)+(BudgetsTable[[#This Row],[prop_id]]&lt;&gt;A235)</f>
        <v>1</v>
      </c>
      <c r="E236" s="78">
        <v>42935.717361111114</v>
      </c>
      <c r="F236" s="79" t="s">
        <v>244</v>
      </c>
      <c r="G236" s="79" t="s">
        <v>780</v>
      </c>
      <c r="H236" s="79" t="s">
        <v>567</v>
      </c>
      <c r="I236" s="77" t="s">
        <v>582</v>
      </c>
      <c r="J236" s="77" t="s">
        <v>13</v>
      </c>
      <c r="K236" s="79" t="s">
        <v>1206</v>
      </c>
      <c r="L236" s="7" t="str">
        <f>IF(BudgetsTable[[#This Row],[pi_last_name]]=" ","",HYPERLINK("https://www.ejacket.nsf.gov/ej/showProposal.do?Continue=Y&amp;ID="&amp;BudgetsTable[[#This Row],[prop_id]],BudgetsTable[[#This Row],[prop_id]]))</f>
        <v/>
      </c>
      <c r="M236" s="15" t="str">
        <f>IF(BudgetsTable[[#This Row],[pi_last_name]]=" ","",HYPERLINK("https://www.ejacket.nsf.gov/ej/processReviewAnalysis.do?dispatch=add&amp;uniqId="&amp;BudgetsTable[[#This Row],[prop_id]]&amp;PO_id,"&gt;ra"))</f>
        <v/>
      </c>
      <c r="N236" s="79" t="s">
        <v>13</v>
      </c>
      <c r="O236" s="7" t="str">
        <f>IF(BudgetsTable[[#This Row],[pi_last_name]]=" ","",HYPERLINK("mailto:"&amp;BudgetsTable[[#This Row],[pi_email]]&amp;"&amp;subject=Your NSF Proposal:  "&amp;BudgetsTable[[#This Row],[prop_id]],BudgetsTable[[#This Row],[pi_email]]))</f>
        <v/>
      </c>
      <c r="P236" s="79" t="s">
        <v>13</v>
      </c>
      <c r="Q236" s="79">
        <v>1</v>
      </c>
      <c r="R236" s="79">
        <v>1</v>
      </c>
      <c r="S236" s="80">
        <v>0</v>
      </c>
      <c r="T236" s="80">
        <v>5500</v>
      </c>
      <c r="U236" s="80">
        <v>4000</v>
      </c>
      <c r="V236" s="81">
        <v>108936</v>
      </c>
      <c r="W236" s="79">
        <v>0</v>
      </c>
      <c r="X236" s="79">
        <v>4</v>
      </c>
      <c r="Y236" s="11" t="str">
        <f ca="1">IF(ISBLANK(BudgetsTable[[#This Row],[budg_seq_yr]]),"FY"&amp;fiscalyear,"FY"&amp;fiscalyear-1+BudgetsTable[[#This Row],[budg_seq_yr]])</f>
        <v>FY21</v>
      </c>
      <c r="Z236" s="80">
        <v>108936</v>
      </c>
      <c r="AA236" s="79" t="s">
        <v>780</v>
      </c>
      <c r="AB236" s="79" t="s">
        <v>567</v>
      </c>
      <c r="AC236" s="106" t="s">
        <v>94</v>
      </c>
      <c r="AD236" s="79" t="s">
        <v>1383</v>
      </c>
    </row>
    <row r="237" spans="1:30">
      <c r="A237" s="10" t="s">
        <v>1206</v>
      </c>
      <c r="B237" s="77" t="s">
        <v>96</v>
      </c>
      <c r="C237" s="77">
        <f>C236+(BudgetsTable[[#This Row],[lead]]&lt;&gt;K236)</f>
        <v>49</v>
      </c>
      <c r="D237" s="77">
        <f>D236*(BudgetsTable[[#This Row],[lead]]=K236)+(BudgetsTable[[#This Row],[prop_id]]&lt;&gt;A236)</f>
        <v>1</v>
      </c>
      <c r="E237" s="78">
        <v>42935.717361111114</v>
      </c>
      <c r="F237" s="79" t="s">
        <v>244</v>
      </c>
      <c r="G237" s="79" t="s">
        <v>780</v>
      </c>
      <c r="H237" s="79" t="s">
        <v>567</v>
      </c>
      <c r="I237" s="77" t="s">
        <v>582</v>
      </c>
      <c r="J237" s="77" t="s">
        <v>13</v>
      </c>
      <c r="K237" s="79" t="s">
        <v>1206</v>
      </c>
      <c r="L237" s="7" t="str">
        <f>IF(BudgetsTable[[#This Row],[pi_last_name]]=" ","",HYPERLINK("https://www.ejacket.nsf.gov/ej/showProposal.do?Continue=Y&amp;ID="&amp;BudgetsTable[[#This Row],[prop_id]],BudgetsTable[[#This Row],[prop_id]]))</f>
        <v/>
      </c>
      <c r="M237" s="15" t="str">
        <f>IF(BudgetsTable[[#This Row],[pi_last_name]]=" ","",HYPERLINK("https://www.ejacket.nsf.gov/ej/processReviewAnalysis.do?dispatch=add&amp;uniqId="&amp;BudgetsTable[[#This Row],[prop_id]]&amp;PO_id,"&gt;ra"))</f>
        <v/>
      </c>
      <c r="N237" s="79" t="s">
        <v>13</v>
      </c>
      <c r="O237" s="7" t="str">
        <f>IF(BudgetsTable[[#This Row],[pi_last_name]]=" ","",HYPERLINK("mailto:"&amp;BudgetsTable[[#This Row],[pi_email]]&amp;"&amp;subject=Your NSF Proposal:  "&amp;BudgetsTable[[#This Row],[prop_id]],BudgetsTable[[#This Row],[pi_email]]))</f>
        <v/>
      </c>
      <c r="P237" s="79" t="s">
        <v>13</v>
      </c>
      <c r="Q237" s="79">
        <v>1</v>
      </c>
      <c r="R237" s="79">
        <v>1</v>
      </c>
      <c r="S237" s="80">
        <v>0</v>
      </c>
      <c r="T237" s="80">
        <v>5500</v>
      </c>
      <c r="U237" s="80">
        <v>4000</v>
      </c>
      <c r="V237" s="81">
        <v>111189</v>
      </c>
      <c r="W237" s="79">
        <v>0</v>
      </c>
      <c r="X237" s="79">
        <v>5</v>
      </c>
      <c r="Y237" s="11" t="str">
        <f ca="1">IF(ISBLANK(BudgetsTable[[#This Row],[budg_seq_yr]]),"FY"&amp;fiscalyear,"FY"&amp;fiscalyear-1+BudgetsTable[[#This Row],[budg_seq_yr]])</f>
        <v>FY22</v>
      </c>
      <c r="Z237" s="80">
        <v>111189</v>
      </c>
      <c r="AA237" s="79" t="s">
        <v>780</v>
      </c>
      <c r="AB237" s="79" t="s">
        <v>567</v>
      </c>
      <c r="AC237" s="106" t="s">
        <v>94</v>
      </c>
      <c r="AD237" s="79" t="s">
        <v>1383</v>
      </c>
    </row>
    <row r="238" spans="1:30">
      <c r="A238" s="10" t="s">
        <v>1214</v>
      </c>
      <c r="B238" s="77" t="s">
        <v>96</v>
      </c>
      <c r="C238" s="77">
        <f>C237+(BudgetsTable[[#This Row],[lead]]&lt;&gt;K237)</f>
        <v>50</v>
      </c>
      <c r="D238" s="77">
        <f>D237*(BudgetsTable[[#This Row],[lead]]=K237)+(BudgetsTable[[#This Row],[prop_id]]&lt;&gt;A237)</f>
        <v>1</v>
      </c>
      <c r="E238" s="78">
        <v>42935.723611111112</v>
      </c>
      <c r="F238" s="79" t="s">
        <v>244</v>
      </c>
      <c r="G238" s="79" t="s">
        <v>780</v>
      </c>
      <c r="H238" s="79" t="s">
        <v>567</v>
      </c>
      <c r="I238" s="77" t="s">
        <v>582</v>
      </c>
      <c r="J238" s="77" t="s">
        <v>1476</v>
      </c>
      <c r="K238" s="79" t="s">
        <v>1214</v>
      </c>
      <c r="L238" s="7" t="str">
        <f>IF(BudgetsTable[[#This Row],[pi_last_name]]=" ","",HYPERLINK("https://www.ejacket.nsf.gov/ej/showProposal.do?Continue=Y&amp;ID="&amp;BudgetsTable[[#This Row],[prop_id]],BudgetsTable[[#This Row],[prop_id]]))</f>
        <v>1751254</v>
      </c>
      <c r="M238" s="15" t="str">
        <f>IF(BudgetsTable[[#This Row],[pi_last_name]]=" ","",HYPERLINK("https://www.ejacket.nsf.gov/ej/processReviewAnalysis.do?dispatch=add&amp;uniqId="&amp;BudgetsTable[[#This Row],[prop_id]]&amp;PO_id,"&gt;ra"))</f>
        <v>&gt;ra</v>
      </c>
      <c r="N238" s="79" t="s">
        <v>1215</v>
      </c>
      <c r="O238" s="7" t="str">
        <f>IF(BudgetsTable[[#This Row],[pi_last_name]]=" ","",HYPERLINK("mailto:"&amp;BudgetsTable[[#This Row],[pi_email]]&amp;"&amp;subject=Your NSF Proposal:  "&amp;BudgetsTable[[#This Row],[prop_id]],BudgetsTable[[#This Row],[pi_email]]))</f>
        <v>brittany@cs.montana.edu</v>
      </c>
      <c r="P238" s="79" t="s">
        <v>1362</v>
      </c>
      <c r="Q238" s="79"/>
      <c r="R238" s="79"/>
      <c r="S238" s="80"/>
      <c r="T238" s="80"/>
      <c r="U238" s="80"/>
      <c r="V238" s="81"/>
      <c r="W238" s="79">
        <v>0</v>
      </c>
      <c r="X238" s="79"/>
      <c r="Y238" s="11" t="str">
        <f ca="1">IF(ISBLANK(BudgetsTable[[#This Row],[budg_seq_yr]]),"FY"&amp;fiscalyear,"FY"&amp;fiscalyear-1+BudgetsTable[[#This Row],[budg_seq_yr]])</f>
        <v>FY18</v>
      </c>
      <c r="Z238" s="80">
        <v>552355</v>
      </c>
      <c r="AA238" s="79" t="s">
        <v>780</v>
      </c>
      <c r="AB238" s="79" t="s">
        <v>567</v>
      </c>
      <c r="AC238" s="106" t="s">
        <v>94</v>
      </c>
      <c r="AD238" s="79" t="s">
        <v>1473</v>
      </c>
    </row>
    <row r="239" spans="1:30">
      <c r="A239" s="10" t="s">
        <v>1214</v>
      </c>
      <c r="B239" s="77" t="s">
        <v>96</v>
      </c>
      <c r="C239" s="77">
        <f>C238+(BudgetsTable[[#This Row],[lead]]&lt;&gt;K238)</f>
        <v>50</v>
      </c>
      <c r="D239" s="77">
        <f>D238*(BudgetsTable[[#This Row],[lead]]=K238)+(BudgetsTable[[#This Row],[prop_id]]&lt;&gt;A238)</f>
        <v>1</v>
      </c>
      <c r="E239" s="78">
        <v>42935.723611111112</v>
      </c>
      <c r="F239" s="79" t="s">
        <v>244</v>
      </c>
      <c r="G239" s="79" t="s">
        <v>780</v>
      </c>
      <c r="H239" s="79" t="s">
        <v>567</v>
      </c>
      <c r="I239" s="77" t="s">
        <v>582</v>
      </c>
      <c r="J239" s="77" t="s">
        <v>13</v>
      </c>
      <c r="K239" s="79" t="s">
        <v>1214</v>
      </c>
      <c r="L239" s="7" t="str">
        <f>IF(BudgetsTable[[#This Row],[pi_last_name]]=" ","",HYPERLINK("https://www.ejacket.nsf.gov/ej/showProposal.do?Continue=Y&amp;ID="&amp;BudgetsTable[[#This Row],[prop_id]],BudgetsTable[[#This Row],[prop_id]]))</f>
        <v/>
      </c>
      <c r="M239" s="15" t="str">
        <f>IF(BudgetsTable[[#This Row],[pi_last_name]]=" ","",HYPERLINK("https://www.ejacket.nsf.gov/ej/processReviewAnalysis.do?dispatch=add&amp;uniqId="&amp;BudgetsTable[[#This Row],[prop_id]]&amp;PO_id,"&gt;ra"))</f>
        <v/>
      </c>
      <c r="N239" s="79" t="s">
        <v>13</v>
      </c>
      <c r="O239" s="7" t="str">
        <f>IF(BudgetsTable[[#This Row],[pi_last_name]]=" ","",HYPERLINK("mailto:"&amp;BudgetsTable[[#This Row],[pi_email]]&amp;"&amp;subject=Your NSF Proposal:  "&amp;BudgetsTable[[#This Row],[prop_id]],BudgetsTable[[#This Row],[pi_email]]))</f>
        <v/>
      </c>
      <c r="P239" s="79" t="s">
        <v>13</v>
      </c>
      <c r="Q239" s="79">
        <v>1</v>
      </c>
      <c r="R239" s="79">
        <v>1</v>
      </c>
      <c r="S239" s="80">
        <v>0</v>
      </c>
      <c r="T239" s="80">
        <v>2600</v>
      </c>
      <c r="U239" s="80">
        <v>0</v>
      </c>
      <c r="V239" s="81">
        <v>91913</v>
      </c>
      <c r="W239" s="79">
        <v>0</v>
      </c>
      <c r="X239" s="79">
        <v>1</v>
      </c>
      <c r="Y239" s="11" t="str">
        <f ca="1">IF(ISBLANK(BudgetsTable[[#This Row],[budg_seq_yr]]),"FY"&amp;fiscalyear,"FY"&amp;fiscalyear-1+BudgetsTable[[#This Row],[budg_seq_yr]])</f>
        <v>FY18</v>
      </c>
      <c r="Z239" s="80">
        <v>91913</v>
      </c>
      <c r="AA239" s="79" t="s">
        <v>780</v>
      </c>
      <c r="AB239" s="79" t="s">
        <v>567</v>
      </c>
      <c r="AC239" s="106" t="s">
        <v>94</v>
      </c>
      <c r="AD239" s="79" t="s">
        <v>1473</v>
      </c>
    </row>
    <row r="240" spans="1:30">
      <c r="A240" s="10" t="s">
        <v>1214</v>
      </c>
      <c r="B240" s="77" t="s">
        <v>96</v>
      </c>
      <c r="C240" s="77">
        <f>C239+(BudgetsTable[[#This Row],[lead]]&lt;&gt;K239)</f>
        <v>50</v>
      </c>
      <c r="D240" s="77">
        <f>D239*(BudgetsTable[[#This Row],[lead]]=K239)+(BudgetsTable[[#This Row],[prop_id]]&lt;&gt;A239)</f>
        <v>1</v>
      </c>
      <c r="E240" s="78">
        <v>42935.723611111112</v>
      </c>
      <c r="F240" s="79" t="s">
        <v>244</v>
      </c>
      <c r="G240" s="79" t="s">
        <v>780</v>
      </c>
      <c r="H240" s="79" t="s">
        <v>567</v>
      </c>
      <c r="I240" s="77" t="s">
        <v>582</v>
      </c>
      <c r="J240" s="77" t="s">
        <v>13</v>
      </c>
      <c r="K240" s="79" t="s">
        <v>1214</v>
      </c>
      <c r="L240" s="7" t="str">
        <f>IF(BudgetsTable[[#This Row],[pi_last_name]]=" ","",HYPERLINK("https://www.ejacket.nsf.gov/ej/showProposal.do?Continue=Y&amp;ID="&amp;BudgetsTable[[#This Row],[prop_id]],BudgetsTable[[#This Row],[prop_id]]))</f>
        <v/>
      </c>
      <c r="M240" s="15" t="str">
        <f>IF(BudgetsTable[[#This Row],[pi_last_name]]=" ","",HYPERLINK("https://www.ejacket.nsf.gov/ej/processReviewAnalysis.do?dispatch=add&amp;uniqId="&amp;BudgetsTable[[#This Row],[prop_id]]&amp;PO_id,"&gt;ra"))</f>
        <v/>
      </c>
      <c r="N240" s="79" t="s">
        <v>13</v>
      </c>
      <c r="O240" s="7" t="str">
        <f>IF(BudgetsTable[[#This Row],[pi_last_name]]=" ","",HYPERLINK("mailto:"&amp;BudgetsTable[[#This Row],[pi_email]]&amp;"&amp;subject=Your NSF Proposal:  "&amp;BudgetsTable[[#This Row],[prop_id]],BudgetsTable[[#This Row],[pi_email]]))</f>
        <v/>
      </c>
      <c r="P240" s="79" t="s">
        <v>13</v>
      </c>
      <c r="Q240" s="79">
        <v>1</v>
      </c>
      <c r="R240" s="79">
        <v>1</v>
      </c>
      <c r="S240" s="80">
        <v>0</v>
      </c>
      <c r="T240" s="80">
        <v>2600</v>
      </c>
      <c r="U240" s="80">
        <v>0</v>
      </c>
      <c r="V240" s="81">
        <v>94307</v>
      </c>
      <c r="W240" s="79">
        <v>0</v>
      </c>
      <c r="X240" s="79">
        <v>2</v>
      </c>
      <c r="Y240" s="11" t="str">
        <f ca="1">IF(ISBLANK(BudgetsTable[[#This Row],[budg_seq_yr]]),"FY"&amp;fiscalyear,"FY"&amp;fiscalyear-1+BudgetsTable[[#This Row],[budg_seq_yr]])</f>
        <v>FY19</v>
      </c>
      <c r="Z240" s="80">
        <v>94307</v>
      </c>
      <c r="AA240" s="79" t="s">
        <v>780</v>
      </c>
      <c r="AB240" s="79" t="s">
        <v>567</v>
      </c>
      <c r="AC240" s="106" t="s">
        <v>94</v>
      </c>
      <c r="AD240" s="79" t="s">
        <v>1473</v>
      </c>
    </row>
    <row r="241" spans="1:30">
      <c r="A241" s="10" t="s">
        <v>1214</v>
      </c>
      <c r="B241" s="77" t="s">
        <v>96</v>
      </c>
      <c r="C241" s="77">
        <f>C240+(BudgetsTable[[#This Row],[lead]]&lt;&gt;K240)</f>
        <v>50</v>
      </c>
      <c r="D241" s="77">
        <f>D240*(BudgetsTable[[#This Row],[lead]]=K240)+(BudgetsTable[[#This Row],[prop_id]]&lt;&gt;A240)</f>
        <v>1</v>
      </c>
      <c r="E241" s="78">
        <v>42935.723611111112</v>
      </c>
      <c r="F241" s="79" t="s">
        <v>244</v>
      </c>
      <c r="G241" s="79" t="s">
        <v>780</v>
      </c>
      <c r="H241" s="79" t="s">
        <v>567</v>
      </c>
      <c r="I241" s="77" t="s">
        <v>582</v>
      </c>
      <c r="J241" s="77" t="s">
        <v>13</v>
      </c>
      <c r="K241" s="79" t="s">
        <v>1214</v>
      </c>
      <c r="L241" s="7" t="str">
        <f>IF(BudgetsTable[[#This Row],[pi_last_name]]=" ","",HYPERLINK("https://www.ejacket.nsf.gov/ej/showProposal.do?Continue=Y&amp;ID="&amp;BudgetsTable[[#This Row],[prop_id]],BudgetsTable[[#This Row],[prop_id]]))</f>
        <v/>
      </c>
      <c r="M241" s="15" t="str">
        <f>IF(BudgetsTable[[#This Row],[pi_last_name]]=" ","",HYPERLINK("https://www.ejacket.nsf.gov/ej/processReviewAnalysis.do?dispatch=add&amp;uniqId="&amp;BudgetsTable[[#This Row],[prop_id]]&amp;PO_id,"&gt;ra"))</f>
        <v/>
      </c>
      <c r="N241" s="79" t="s">
        <v>13</v>
      </c>
      <c r="O241" s="7" t="str">
        <f>IF(BudgetsTable[[#This Row],[pi_last_name]]=" ","",HYPERLINK("mailto:"&amp;BudgetsTable[[#This Row],[pi_email]]&amp;"&amp;subject=Your NSF Proposal:  "&amp;BudgetsTable[[#This Row],[prop_id]],BudgetsTable[[#This Row],[pi_email]]))</f>
        <v/>
      </c>
      <c r="P241" s="79" t="s">
        <v>13</v>
      </c>
      <c r="Q241" s="79">
        <v>1</v>
      </c>
      <c r="R241" s="79">
        <v>1</v>
      </c>
      <c r="S241" s="80">
        <v>0</v>
      </c>
      <c r="T241" s="80">
        <v>2600</v>
      </c>
      <c r="U241" s="80">
        <v>0</v>
      </c>
      <c r="V241" s="81">
        <v>137366</v>
      </c>
      <c r="W241" s="79">
        <v>0</v>
      </c>
      <c r="X241" s="79">
        <v>3</v>
      </c>
      <c r="Y241" s="11" t="str">
        <f ca="1">IF(ISBLANK(BudgetsTable[[#This Row],[budg_seq_yr]]),"FY"&amp;fiscalyear,"FY"&amp;fiscalyear-1+BudgetsTable[[#This Row],[budg_seq_yr]])</f>
        <v>FY20</v>
      </c>
      <c r="Z241" s="80">
        <v>137366</v>
      </c>
      <c r="AA241" s="79" t="s">
        <v>780</v>
      </c>
      <c r="AB241" s="79" t="s">
        <v>567</v>
      </c>
      <c r="AC241" s="106" t="s">
        <v>94</v>
      </c>
      <c r="AD241" s="79" t="s">
        <v>1473</v>
      </c>
    </row>
    <row r="242" spans="1:30">
      <c r="A242" s="10" t="s">
        <v>1214</v>
      </c>
      <c r="B242" s="77" t="s">
        <v>96</v>
      </c>
      <c r="C242" s="77">
        <f>C241+(BudgetsTable[[#This Row],[lead]]&lt;&gt;K241)</f>
        <v>50</v>
      </c>
      <c r="D242" s="77">
        <f>D241*(BudgetsTable[[#This Row],[lead]]=K241)+(BudgetsTable[[#This Row],[prop_id]]&lt;&gt;A241)</f>
        <v>1</v>
      </c>
      <c r="E242" s="78">
        <v>42935.723611111112</v>
      </c>
      <c r="F242" s="79" t="s">
        <v>244</v>
      </c>
      <c r="G242" s="79" t="s">
        <v>780</v>
      </c>
      <c r="H242" s="79" t="s">
        <v>567</v>
      </c>
      <c r="I242" s="77" t="s">
        <v>582</v>
      </c>
      <c r="J242" s="77" t="s">
        <v>13</v>
      </c>
      <c r="K242" s="79" t="s">
        <v>1214</v>
      </c>
      <c r="L242" s="7" t="str">
        <f>IF(BudgetsTable[[#This Row],[pi_last_name]]=" ","",HYPERLINK("https://www.ejacket.nsf.gov/ej/showProposal.do?Continue=Y&amp;ID="&amp;BudgetsTable[[#This Row],[prop_id]],BudgetsTable[[#This Row],[prop_id]]))</f>
        <v/>
      </c>
      <c r="M242" s="15" t="str">
        <f>IF(BudgetsTable[[#This Row],[pi_last_name]]=" ","",HYPERLINK("https://www.ejacket.nsf.gov/ej/processReviewAnalysis.do?dispatch=add&amp;uniqId="&amp;BudgetsTable[[#This Row],[prop_id]]&amp;PO_id,"&gt;ra"))</f>
        <v/>
      </c>
      <c r="N242" s="79" t="s">
        <v>13</v>
      </c>
      <c r="O242" s="7" t="str">
        <f>IF(BudgetsTable[[#This Row],[pi_last_name]]=" ","",HYPERLINK("mailto:"&amp;BudgetsTable[[#This Row],[pi_email]]&amp;"&amp;subject=Your NSF Proposal:  "&amp;BudgetsTable[[#This Row],[prop_id]],BudgetsTable[[#This Row],[pi_email]]))</f>
        <v/>
      </c>
      <c r="P242" s="79" t="s">
        <v>13</v>
      </c>
      <c r="Q242" s="79">
        <v>1</v>
      </c>
      <c r="R242" s="79">
        <v>1</v>
      </c>
      <c r="S242" s="80">
        <v>0</v>
      </c>
      <c r="T242" s="80">
        <v>2600</v>
      </c>
      <c r="U242" s="80">
        <v>0</v>
      </c>
      <c r="V242" s="81">
        <v>100963</v>
      </c>
      <c r="W242" s="79">
        <v>0</v>
      </c>
      <c r="X242" s="79">
        <v>4</v>
      </c>
      <c r="Y242" s="11" t="str">
        <f ca="1">IF(ISBLANK(BudgetsTable[[#This Row],[budg_seq_yr]]),"FY"&amp;fiscalyear,"FY"&amp;fiscalyear-1+BudgetsTable[[#This Row],[budg_seq_yr]])</f>
        <v>FY21</v>
      </c>
      <c r="Z242" s="80">
        <v>100963</v>
      </c>
      <c r="AA242" s="79" t="s">
        <v>780</v>
      </c>
      <c r="AB242" s="79" t="s">
        <v>567</v>
      </c>
      <c r="AC242" s="106" t="s">
        <v>94</v>
      </c>
      <c r="AD242" s="79" t="s">
        <v>1473</v>
      </c>
    </row>
    <row r="243" spans="1:30">
      <c r="A243" s="10" t="s">
        <v>1214</v>
      </c>
      <c r="B243" s="77" t="s">
        <v>96</v>
      </c>
      <c r="C243" s="77">
        <f>C242+(BudgetsTable[[#This Row],[lead]]&lt;&gt;K242)</f>
        <v>50</v>
      </c>
      <c r="D243" s="77">
        <f>D242*(BudgetsTable[[#This Row],[lead]]=K242)+(BudgetsTable[[#This Row],[prop_id]]&lt;&gt;A242)</f>
        <v>1</v>
      </c>
      <c r="E243" s="78">
        <v>42935.723611111112</v>
      </c>
      <c r="F243" s="79" t="s">
        <v>244</v>
      </c>
      <c r="G243" s="79" t="s">
        <v>780</v>
      </c>
      <c r="H243" s="79" t="s">
        <v>567</v>
      </c>
      <c r="I243" s="77" t="s">
        <v>582</v>
      </c>
      <c r="J243" s="77" t="s">
        <v>13</v>
      </c>
      <c r="K243" s="79" t="s">
        <v>1214</v>
      </c>
      <c r="L243" s="7" t="str">
        <f>IF(BudgetsTable[[#This Row],[pi_last_name]]=" ","",HYPERLINK("https://www.ejacket.nsf.gov/ej/showProposal.do?Continue=Y&amp;ID="&amp;BudgetsTable[[#This Row],[prop_id]],BudgetsTable[[#This Row],[prop_id]]))</f>
        <v/>
      </c>
      <c r="M243" s="15" t="str">
        <f>IF(BudgetsTable[[#This Row],[pi_last_name]]=" ","",HYPERLINK("https://www.ejacket.nsf.gov/ej/processReviewAnalysis.do?dispatch=add&amp;uniqId="&amp;BudgetsTable[[#This Row],[prop_id]]&amp;PO_id,"&gt;ra"))</f>
        <v/>
      </c>
      <c r="N243" s="79" t="s">
        <v>13</v>
      </c>
      <c r="O243" s="7" t="str">
        <f>IF(BudgetsTable[[#This Row],[pi_last_name]]=" ","",HYPERLINK("mailto:"&amp;BudgetsTable[[#This Row],[pi_email]]&amp;"&amp;subject=Your NSF Proposal:  "&amp;BudgetsTable[[#This Row],[prop_id]],BudgetsTable[[#This Row],[pi_email]]))</f>
        <v/>
      </c>
      <c r="P243" s="79" t="s">
        <v>13</v>
      </c>
      <c r="Q243" s="79">
        <v>1</v>
      </c>
      <c r="R243" s="79">
        <v>1</v>
      </c>
      <c r="S243" s="80">
        <v>0</v>
      </c>
      <c r="T243" s="80">
        <v>2600</v>
      </c>
      <c r="U243" s="80">
        <v>0</v>
      </c>
      <c r="V243" s="81">
        <v>127806</v>
      </c>
      <c r="W243" s="79">
        <v>0</v>
      </c>
      <c r="X243" s="79">
        <v>5</v>
      </c>
      <c r="Y243" s="11" t="str">
        <f ca="1">IF(ISBLANK(BudgetsTable[[#This Row],[budg_seq_yr]]),"FY"&amp;fiscalyear,"FY"&amp;fiscalyear-1+BudgetsTable[[#This Row],[budg_seq_yr]])</f>
        <v>FY22</v>
      </c>
      <c r="Z243" s="80">
        <v>127806</v>
      </c>
      <c r="AA243" s="79" t="s">
        <v>780</v>
      </c>
      <c r="AB243" s="79" t="s">
        <v>567</v>
      </c>
      <c r="AC243" s="106" t="s">
        <v>94</v>
      </c>
      <c r="AD243" s="79" t="s">
        <v>1473</v>
      </c>
    </row>
    <row r="244" spans="1:30">
      <c r="A244" s="10" t="s">
        <v>1222</v>
      </c>
      <c r="B244" s="77" t="s">
        <v>96</v>
      </c>
      <c r="C244" s="77">
        <f>C243+(BudgetsTable[[#This Row],[lead]]&lt;&gt;K243)</f>
        <v>51</v>
      </c>
      <c r="D244" s="77">
        <f>D243*(BudgetsTable[[#This Row],[lead]]=K243)+(BudgetsTable[[#This Row],[prop_id]]&lt;&gt;A243)</f>
        <v>1</v>
      </c>
      <c r="E244" s="78">
        <v>42935.851388888892</v>
      </c>
      <c r="F244" s="79" t="s">
        <v>244</v>
      </c>
      <c r="G244" s="79" t="s">
        <v>780</v>
      </c>
      <c r="H244" s="79" t="s">
        <v>567</v>
      </c>
      <c r="I244" s="77" t="s">
        <v>944</v>
      </c>
      <c r="J244" s="77" t="s">
        <v>1479</v>
      </c>
      <c r="K244" s="79" t="s">
        <v>1222</v>
      </c>
      <c r="L244" s="7" t="str">
        <f>IF(BudgetsTable[[#This Row],[pi_last_name]]=" ","",HYPERLINK("https://www.ejacket.nsf.gov/ej/showProposal.do?Continue=Y&amp;ID="&amp;BudgetsTable[[#This Row],[prop_id]],BudgetsTable[[#This Row],[prop_id]]))</f>
        <v>1751416</v>
      </c>
      <c r="M244" s="15" t="str">
        <f>IF(BudgetsTable[[#This Row],[pi_last_name]]=" ","",HYPERLINK("https://www.ejacket.nsf.gov/ej/processReviewAnalysis.do?dispatch=add&amp;uniqId="&amp;BudgetsTable[[#This Row],[prop_id]]&amp;PO_id,"&gt;ra"))</f>
        <v>&gt;ra</v>
      </c>
      <c r="N244" s="79" t="s">
        <v>1223</v>
      </c>
      <c r="O244" s="7" t="str">
        <f>IF(BudgetsTable[[#This Row],[pi_last_name]]=" ","",HYPERLINK("mailto:"&amp;BudgetsTable[[#This Row],[pi_email]]&amp;"&amp;subject=Your NSF Proposal:  "&amp;BudgetsTable[[#This Row],[prop_id]],BudgetsTable[[#This Row],[pi_email]]))</f>
        <v>nodari@hawaii.edu</v>
      </c>
      <c r="P244" s="79" t="s">
        <v>360</v>
      </c>
      <c r="Q244" s="79"/>
      <c r="R244" s="79"/>
      <c r="S244" s="80"/>
      <c r="T244" s="80"/>
      <c r="U244" s="80"/>
      <c r="V244" s="81"/>
      <c r="W244" s="79">
        <v>0</v>
      </c>
      <c r="X244" s="79"/>
      <c r="Y244" s="11" t="str">
        <f ca="1">IF(ISBLANK(BudgetsTable[[#This Row],[budg_seq_yr]]),"FY"&amp;fiscalyear,"FY"&amp;fiscalyear-1+BudgetsTable[[#This Row],[budg_seq_yr]])</f>
        <v>FY18</v>
      </c>
      <c r="Z244" s="80">
        <v>549999</v>
      </c>
      <c r="AA244" s="79" t="s">
        <v>780</v>
      </c>
      <c r="AB244" s="79" t="s">
        <v>567</v>
      </c>
      <c r="AC244" s="106" t="s">
        <v>94</v>
      </c>
      <c r="AD244" s="79" t="s">
        <v>1464</v>
      </c>
    </row>
    <row r="245" spans="1:30">
      <c r="A245" s="10" t="s">
        <v>1222</v>
      </c>
      <c r="B245" s="77" t="s">
        <v>96</v>
      </c>
      <c r="C245" s="77">
        <f>C244+(BudgetsTable[[#This Row],[lead]]&lt;&gt;K244)</f>
        <v>51</v>
      </c>
      <c r="D245" s="77">
        <f>D244*(BudgetsTable[[#This Row],[lead]]=K244)+(BudgetsTable[[#This Row],[prop_id]]&lt;&gt;A244)</f>
        <v>1</v>
      </c>
      <c r="E245" s="78">
        <v>42935.851388888892</v>
      </c>
      <c r="F245" s="79" t="s">
        <v>244</v>
      </c>
      <c r="G245" s="79" t="s">
        <v>780</v>
      </c>
      <c r="H245" s="79" t="s">
        <v>567</v>
      </c>
      <c r="I245" s="77" t="s">
        <v>944</v>
      </c>
      <c r="J245" s="77" t="s">
        <v>13</v>
      </c>
      <c r="K245" s="79" t="s">
        <v>1222</v>
      </c>
      <c r="L245" s="7" t="str">
        <f>IF(BudgetsTable[[#This Row],[pi_last_name]]=" ","",HYPERLINK("https://www.ejacket.nsf.gov/ej/showProposal.do?Continue=Y&amp;ID="&amp;BudgetsTable[[#This Row],[prop_id]],BudgetsTable[[#This Row],[prop_id]]))</f>
        <v/>
      </c>
      <c r="M245" s="15" t="str">
        <f>IF(BudgetsTable[[#This Row],[pi_last_name]]=" ","",HYPERLINK("https://www.ejacket.nsf.gov/ej/processReviewAnalysis.do?dispatch=add&amp;uniqId="&amp;BudgetsTable[[#This Row],[prop_id]]&amp;PO_id,"&gt;ra"))</f>
        <v/>
      </c>
      <c r="N245" s="79" t="s">
        <v>13</v>
      </c>
      <c r="O245" s="7" t="str">
        <f>IF(BudgetsTable[[#This Row],[pi_last_name]]=" ","",HYPERLINK("mailto:"&amp;BudgetsTable[[#This Row],[pi_email]]&amp;"&amp;subject=Your NSF Proposal:  "&amp;BudgetsTable[[#This Row],[prop_id]],BudgetsTable[[#This Row],[pi_email]]))</f>
        <v/>
      </c>
      <c r="P245" s="79" t="s">
        <v>13</v>
      </c>
      <c r="Q245" s="79">
        <v>1</v>
      </c>
      <c r="R245" s="79">
        <v>1</v>
      </c>
      <c r="S245" s="80">
        <v>0</v>
      </c>
      <c r="T245" s="80">
        <v>4000</v>
      </c>
      <c r="U245" s="80">
        <v>0</v>
      </c>
      <c r="V245" s="81">
        <v>107503</v>
      </c>
      <c r="W245" s="79">
        <v>0</v>
      </c>
      <c r="X245" s="79">
        <v>1</v>
      </c>
      <c r="Y245" s="11" t="str">
        <f ca="1">IF(ISBLANK(BudgetsTable[[#This Row],[budg_seq_yr]]),"FY"&amp;fiscalyear,"FY"&amp;fiscalyear-1+BudgetsTable[[#This Row],[budg_seq_yr]])</f>
        <v>FY18</v>
      </c>
      <c r="Z245" s="80">
        <v>107503</v>
      </c>
      <c r="AA245" s="79" t="s">
        <v>780</v>
      </c>
      <c r="AB245" s="79" t="s">
        <v>567</v>
      </c>
      <c r="AC245" s="106" t="s">
        <v>94</v>
      </c>
      <c r="AD245" s="79" t="s">
        <v>1464</v>
      </c>
    </row>
    <row r="246" spans="1:30">
      <c r="A246" s="10" t="s">
        <v>1222</v>
      </c>
      <c r="B246" s="77" t="s">
        <v>96</v>
      </c>
      <c r="C246" s="77">
        <f>C245+(BudgetsTable[[#This Row],[lead]]&lt;&gt;K245)</f>
        <v>51</v>
      </c>
      <c r="D246" s="77">
        <f>D245*(BudgetsTable[[#This Row],[lead]]=K245)+(BudgetsTable[[#This Row],[prop_id]]&lt;&gt;A245)</f>
        <v>1</v>
      </c>
      <c r="E246" s="78">
        <v>42935.851388888892</v>
      </c>
      <c r="F246" s="79" t="s">
        <v>244</v>
      </c>
      <c r="G246" s="79" t="s">
        <v>780</v>
      </c>
      <c r="H246" s="79" t="s">
        <v>567</v>
      </c>
      <c r="I246" s="77" t="s">
        <v>944</v>
      </c>
      <c r="J246" s="77" t="s">
        <v>13</v>
      </c>
      <c r="K246" s="79" t="s">
        <v>1222</v>
      </c>
      <c r="L246" s="7" t="str">
        <f>IF(BudgetsTable[[#This Row],[pi_last_name]]=" ","",HYPERLINK("https://www.ejacket.nsf.gov/ej/showProposal.do?Continue=Y&amp;ID="&amp;BudgetsTable[[#This Row],[prop_id]],BudgetsTable[[#This Row],[prop_id]]))</f>
        <v/>
      </c>
      <c r="M246" s="15" t="str">
        <f>IF(BudgetsTable[[#This Row],[pi_last_name]]=" ","",HYPERLINK("https://www.ejacket.nsf.gov/ej/processReviewAnalysis.do?dispatch=add&amp;uniqId="&amp;BudgetsTable[[#This Row],[prop_id]]&amp;PO_id,"&gt;ra"))</f>
        <v/>
      </c>
      <c r="N246" s="79" t="s">
        <v>13</v>
      </c>
      <c r="O246" s="7" t="str">
        <f>IF(BudgetsTable[[#This Row],[pi_last_name]]=" ","",HYPERLINK("mailto:"&amp;BudgetsTable[[#This Row],[pi_email]]&amp;"&amp;subject=Your NSF Proposal:  "&amp;BudgetsTable[[#This Row],[prop_id]],BudgetsTable[[#This Row],[pi_email]]))</f>
        <v/>
      </c>
      <c r="P246" s="79" t="s">
        <v>13</v>
      </c>
      <c r="Q246" s="79">
        <v>1</v>
      </c>
      <c r="R246" s="79">
        <v>1</v>
      </c>
      <c r="S246" s="80">
        <v>0</v>
      </c>
      <c r="T246" s="80">
        <v>4000</v>
      </c>
      <c r="U246" s="80">
        <v>0</v>
      </c>
      <c r="V246" s="81">
        <v>106381</v>
      </c>
      <c r="W246" s="79">
        <v>0</v>
      </c>
      <c r="X246" s="79">
        <v>2</v>
      </c>
      <c r="Y246" s="11" t="str">
        <f ca="1">IF(ISBLANK(BudgetsTable[[#This Row],[budg_seq_yr]]),"FY"&amp;fiscalyear,"FY"&amp;fiscalyear-1+BudgetsTable[[#This Row],[budg_seq_yr]])</f>
        <v>FY19</v>
      </c>
      <c r="Z246" s="80">
        <v>106381</v>
      </c>
      <c r="AA246" s="79" t="s">
        <v>780</v>
      </c>
      <c r="AB246" s="79" t="s">
        <v>567</v>
      </c>
      <c r="AC246" s="106" t="s">
        <v>94</v>
      </c>
      <c r="AD246" s="79" t="s">
        <v>1464</v>
      </c>
    </row>
    <row r="247" spans="1:30">
      <c r="A247" s="10" t="s">
        <v>1222</v>
      </c>
      <c r="B247" s="77" t="s">
        <v>96</v>
      </c>
      <c r="C247" s="77">
        <f>C246+(BudgetsTable[[#This Row],[lead]]&lt;&gt;K246)</f>
        <v>51</v>
      </c>
      <c r="D247" s="77">
        <f>D246*(BudgetsTable[[#This Row],[lead]]=K246)+(BudgetsTable[[#This Row],[prop_id]]&lt;&gt;A246)</f>
        <v>1</v>
      </c>
      <c r="E247" s="78">
        <v>42935.851388888892</v>
      </c>
      <c r="F247" s="79" t="s">
        <v>244</v>
      </c>
      <c r="G247" s="79" t="s">
        <v>780</v>
      </c>
      <c r="H247" s="79" t="s">
        <v>567</v>
      </c>
      <c r="I247" s="77" t="s">
        <v>944</v>
      </c>
      <c r="J247" s="77" t="s">
        <v>13</v>
      </c>
      <c r="K247" s="79" t="s">
        <v>1222</v>
      </c>
      <c r="L247" s="7" t="str">
        <f>IF(BudgetsTable[[#This Row],[pi_last_name]]=" ","",HYPERLINK("https://www.ejacket.nsf.gov/ej/showProposal.do?Continue=Y&amp;ID="&amp;BudgetsTable[[#This Row],[prop_id]],BudgetsTable[[#This Row],[prop_id]]))</f>
        <v/>
      </c>
      <c r="M247" s="15" t="str">
        <f>IF(BudgetsTable[[#This Row],[pi_last_name]]=" ","",HYPERLINK("https://www.ejacket.nsf.gov/ej/processReviewAnalysis.do?dispatch=add&amp;uniqId="&amp;BudgetsTable[[#This Row],[prop_id]]&amp;PO_id,"&gt;ra"))</f>
        <v/>
      </c>
      <c r="N247" s="79" t="s">
        <v>13</v>
      </c>
      <c r="O247" s="7" t="str">
        <f>IF(BudgetsTable[[#This Row],[pi_last_name]]=" ","",HYPERLINK("mailto:"&amp;BudgetsTable[[#This Row],[pi_email]]&amp;"&amp;subject=Your NSF Proposal:  "&amp;BudgetsTable[[#This Row],[prop_id]],BudgetsTable[[#This Row],[pi_email]]))</f>
        <v/>
      </c>
      <c r="P247" s="79" t="s">
        <v>13</v>
      </c>
      <c r="Q247" s="79">
        <v>1</v>
      </c>
      <c r="R247" s="79">
        <v>1</v>
      </c>
      <c r="S247" s="80">
        <v>0</v>
      </c>
      <c r="T247" s="80">
        <v>4000</v>
      </c>
      <c r="U247" s="80">
        <v>0</v>
      </c>
      <c r="V247" s="81">
        <v>109149</v>
      </c>
      <c r="W247" s="79">
        <v>0</v>
      </c>
      <c r="X247" s="79">
        <v>3</v>
      </c>
      <c r="Y247" s="11" t="str">
        <f ca="1">IF(ISBLANK(BudgetsTable[[#This Row],[budg_seq_yr]]),"FY"&amp;fiscalyear,"FY"&amp;fiscalyear-1+BudgetsTable[[#This Row],[budg_seq_yr]])</f>
        <v>FY20</v>
      </c>
      <c r="Z247" s="80">
        <v>109149</v>
      </c>
      <c r="AA247" s="79" t="s">
        <v>780</v>
      </c>
      <c r="AB247" s="79" t="s">
        <v>567</v>
      </c>
      <c r="AC247" s="106" t="s">
        <v>94</v>
      </c>
      <c r="AD247" s="79" t="s">
        <v>1464</v>
      </c>
    </row>
    <row r="248" spans="1:30">
      <c r="A248" s="10" t="s">
        <v>1222</v>
      </c>
      <c r="B248" s="77" t="s">
        <v>96</v>
      </c>
      <c r="C248" s="77">
        <f>C247+(BudgetsTable[[#This Row],[lead]]&lt;&gt;K247)</f>
        <v>51</v>
      </c>
      <c r="D248" s="77">
        <f>D247*(BudgetsTable[[#This Row],[lead]]=K247)+(BudgetsTable[[#This Row],[prop_id]]&lt;&gt;A247)</f>
        <v>1</v>
      </c>
      <c r="E248" s="78">
        <v>42935.851388888892</v>
      </c>
      <c r="F248" s="79" t="s">
        <v>244</v>
      </c>
      <c r="G248" s="79" t="s">
        <v>780</v>
      </c>
      <c r="H248" s="79" t="s">
        <v>567</v>
      </c>
      <c r="I248" s="77" t="s">
        <v>944</v>
      </c>
      <c r="J248" s="77" t="s">
        <v>13</v>
      </c>
      <c r="K248" s="79" t="s">
        <v>1222</v>
      </c>
      <c r="L248" s="7" t="str">
        <f>IF(BudgetsTable[[#This Row],[pi_last_name]]=" ","",HYPERLINK("https://www.ejacket.nsf.gov/ej/showProposal.do?Continue=Y&amp;ID="&amp;BudgetsTable[[#This Row],[prop_id]],BudgetsTable[[#This Row],[prop_id]]))</f>
        <v/>
      </c>
      <c r="M248" s="15" t="str">
        <f>IF(BudgetsTable[[#This Row],[pi_last_name]]=" ","",HYPERLINK("https://www.ejacket.nsf.gov/ej/processReviewAnalysis.do?dispatch=add&amp;uniqId="&amp;BudgetsTable[[#This Row],[prop_id]]&amp;PO_id,"&gt;ra"))</f>
        <v/>
      </c>
      <c r="N248" s="79" t="s">
        <v>13</v>
      </c>
      <c r="O248" s="7" t="str">
        <f>IF(BudgetsTable[[#This Row],[pi_last_name]]=" ","",HYPERLINK("mailto:"&amp;BudgetsTable[[#This Row],[pi_email]]&amp;"&amp;subject=Your NSF Proposal:  "&amp;BudgetsTable[[#This Row],[prop_id]],BudgetsTable[[#This Row],[pi_email]]))</f>
        <v/>
      </c>
      <c r="P248" s="79" t="s">
        <v>13</v>
      </c>
      <c r="Q248" s="79">
        <v>1</v>
      </c>
      <c r="R248" s="79">
        <v>1</v>
      </c>
      <c r="S248" s="80">
        <v>0</v>
      </c>
      <c r="T248" s="80">
        <v>4000</v>
      </c>
      <c r="U248" s="80">
        <v>0</v>
      </c>
      <c r="V248" s="81">
        <v>112009</v>
      </c>
      <c r="W248" s="79">
        <v>0</v>
      </c>
      <c r="X248" s="79">
        <v>4</v>
      </c>
      <c r="Y248" s="11" t="str">
        <f ca="1">IF(ISBLANK(BudgetsTable[[#This Row],[budg_seq_yr]]),"FY"&amp;fiscalyear,"FY"&amp;fiscalyear-1+BudgetsTable[[#This Row],[budg_seq_yr]])</f>
        <v>FY21</v>
      </c>
      <c r="Z248" s="80">
        <v>112009</v>
      </c>
      <c r="AA248" s="79" t="s">
        <v>780</v>
      </c>
      <c r="AB248" s="79" t="s">
        <v>567</v>
      </c>
      <c r="AC248" s="106" t="s">
        <v>94</v>
      </c>
      <c r="AD248" s="79" t="s">
        <v>1464</v>
      </c>
    </row>
    <row r="249" spans="1:30">
      <c r="A249" s="10" t="s">
        <v>1222</v>
      </c>
      <c r="B249" s="77" t="s">
        <v>96</v>
      </c>
      <c r="C249" s="77">
        <f>C248+(BudgetsTable[[#This Row],[lead]]&lt;&gt;K248)</f>
        <v>51</v>
      </c>
      <c r="D249" s="77">
        <f>D248*(BudgetsTable[[#This Row],[lead]]=K248)+(BudgetsTable[[#This Row],[prop_id]]&lt;&gt;A248)</f>
        <v>1</v>
      </c>
      <c r="E249" s="78">
        <v>42935.851388888892</v>
      </c>
      <c r="F249" s="79" t="s">
        <v>244</v>
      </c>
      <c r="G249" s="79" t="s">
        <v>780</v>
      </c>
      <c r="H249" s="79" t="s">
        <v>567</v>
      </c>
      <c r="I249" s="77" t="s">
        <v>944</v>
      </c>
      <c r="J249" s="77" t="s">
        <v>13</v>
      </c>
      <c r="K249" s="79" t="s">
        <v>1222</v>
      </c>
      <c r="L249" s="7" t="str">
        <f>IF(BudgetsTable[[#This Row],[pi_last_name]]=" ","",HYPERLINK("https://www.ejacket.nsf.gov/ej/showProposal.do?Continue=Y&amp;ID="&amp;BudgetsTable[[#This Row],[prop_id]],BudgetsTable[[#This Row],[prop_id]]))</f>
        <v/>
      </c>
      <c r="M249" s="15" t="str">
        <f>IF(BudgetsTable[[#This Row],[pi_last_name]]=" ","",HYPERLINK("https://www.ejacket.nsf.gov/ej/processReviewAnalysis.do?dispatch=add&amp;uniqId="&amp;BudgetsTable[[#This Row],[prop_id]]&amp;PO_id,"&gt;ra"))</f>
        <v/>
      </c>
      <c r="N249" s="79" t="s">
        <v>13</v>
      </c>
      <c r="O249" s="7" t="str">
        <f>IF(BudgetsTable[[#This Row],[pi_last_name]]=" ","",HYPERLINK("mailto:"&amp;BudgetsTable[[#This Row],[pi_email]]&amp;"&amp;subject=Your NSF Proposal:  "&amp;BudgetsTable[[#This Row],[prop_id]],BudgetsTable[[#This Row],[pi_email]]))</f>
        <v/>
      </c>
      <c r="P249" s="79" t="s">
        <v>13</v>
      </c>
      <c r="Q249" s="79">
        <v>1</v>
      </c>
      <c r="R249" s="79">
        <v>1</v>
      </c>
      <c r="S249" s="80">
        <v>0</v>
      </c>
      <c r="T249" s="80">
        <v>4000</v>
      </c>
      <c r="U249" s="80">
        <v>0</v>
      </c>
      <c r="V249" s="81">
        <v>114957</v>
      </c>
      <c r="W249" s="79">
        <v>0</v>
      </c>
      <c r="X249" s="79">
        <v>5</v>
      </c>
      <c r="Y249" s="11" t="str">
        <f ca="1">IF(ISBLANK(BudgetsTable[[#This Row],[budg_seq_yr]]),"FY"&amp;fiscalyear,"FY"&amp;fiscalyear-1+BudgetsTable[[#This Row],[budg_seq_yr]])</f>
        <v>FY22</v>
      </c>
      <c r="Z249" s="80">
        <v>114957</v>
      </c>
      <c r="AA249" s="79" t="s">
        <v>780</v>
      </c>
      <c r="AB249" s="79" t="s">
        <v>567</v>
      </c>
      <c r="AC249" s="106" t="s">
        <v>94</v>
      </c>
      <c r="AD249" s="79" t="s">
        <v>1464</v>
      </c>
    </row>
    <row r="250" spans="1:30">
      <c r="A250" s="10" t="s">
        <v>1230</v>
      </c>
      <c r="B250" s="77" t="s">
        <v>96</v>
      </c>
      <c r="C250" s="77">
        <f>C249+(BudgetsTable[[#This Row],[lead]]&lt;&gt;K249)</f>
        <v>52</v>
      </c>
      <c r="D250" s="77">
        <f>D249*(BudgetsTable[[#This Row],[lead]]=K249)+(BudgetsTable[[#This Row],[prop_id]]&lt;&gt;A249)</f>
        <v>1</v>
      </c>
      <c r="E250" s="78">
        <v>42950.663888888892</v>
      </c>
      <c r="F250" s="79" t="s">
        <v>848</v>
      </c>
      <c r="G250" s="79" t="s">
        <v>1371</v>
      </c>
      <c r="H250" s="79" t="s">
        <v>531</v>
      </c>
      <c r="I250" s="77" t="s">
        <v>1233</v>
      </c>
      <c r="J250" s="77" t="s">
        <v>1485</v>
      </c>
      <c r="K250" s="79" t="s">
        <v>1230</v>
      </c>
      <c r="L250" s="7" t="str">
        <f>IF(BudgetsTable[[#This Row],[pi_last_name]]=" ","",HYPERLINK("https://www.ejacket.nsf.gov/ej/showProposal.do?Continue=Y&amp;ID="&amp;BudgetsTable[[#This Row],[prop_id]],BudgetsTable[[#This Row],[prop_id]]))</f>
        <v>1755038</v>
      </c>
      <c r="M250" s="15" t="str">
        <f>IF(BudgetsTable[[#This Row],[pi_last_name]]=" ","",HYPERLINK("https://www.ejacket.nsf.gov/ej/processReviewAnalysis.do?dispatch=add&amp;uniqId="&amp;BudgetsTable[[#This Row],[prop_id]]&amp;PO_id,"&gt;ra"))</f>
        <v>&gt;ra</v>
      </c>
      <c r="N250" s="79" t="s">
        <v>1231</v>
      </c>
      <c r="O250" s="7" t="str">
        <f>IF(BudgetsTable[[#This Row],[pi_last_name]]=" ","",HYPERLINK("mailto:"&amp;BudgetsTable[[#This Row],[pi_email]]&amp;"&amp;subject=Your NSF Proposal:  "&amp;BudgetsTable[[#This Row],[prop_id]],BudgetsTable[[#This Row],[pi_email]]))</f>
        <v>ani.majumdar@princeton.edu</v>
      </c>
      <c r="P250" s="79" t="s">
        <v>1364</v>
      </c>
      <c r="Q250" s="79"/>
      <c r="R250" s="79"/>
      <c r="S250" s="80"/>
      <c r="T250" s="80"/>
      <c r="U250" s="80"/>
      <c r="V250" s="81"/>
      <c r="W250" s="79">
        <v>0</v>
      </c>
      <c r="X250" s="79"/>
      <c r="Y250" s="11" t="str">
        <f ca="1">IF(ISBLANK(BudgetsTable[[#This Row],[budg_seq_yr]]),"FY"&amp;fiscalyear,"FY"&amp;fiscalyear-1+BudgetsTable[[#This Row],[budg_seq_yr]])</f>
        <v>FY18</v>
      </c>
      <c r="Z250" s="80">
        <v>175000</v>
      </c>
      <c r="AA250" s="79" t="s">
        <v>1371</v>
      </c>
      <c r="AB250" s="79" t="s">
        <v>531</v>
      </c>
      <c r="AC250" s="106" t="s">
        <v>94</v>
      </c>
      <c r="AD250" s="79" t="s">
        <v>1481</v>
      </c>
    </row>
    <row r="251" spans="1:30">
      <c r="A251" s="10" t="s">
        <v>1230</v>
      </c>
      <c r="B251" s="77" t="s">
        <v>96</v>
      </c>
      <c r="C251" s="77">
        <f>C250+(BudgetsTable[[#This Row],[lead]]&lt;&gt;K250)</f>
        <v>52</v>
      </c>
      <c r="D251" s="77">
        <f>D250*(BudgetsTable[[#This Row],[lead]]=K250)+(BudgetsTable[[#This Row],[prop_id]]&lt;&gt;A250)</f>
        <v>1</v>
      </c>
      <c r="E251" s="78">
        <v>42950.663888888892</v>
      </c>
      <c r="F251" s="79" t="s">
        <v>848</v>
      </c>
      <c r="G251" s="79" t="s">
        <v>1371</v>
      </c>
      <c r="H251" s="79" t="s">
        <v>531</v>
      </c>
      <c r="I251" s="77" t="s">
        <v>1233</v>
      </c>
      <c r="J251" s="77" t="s">
        <v>13</v>
      </c>
      <c r="K251" s="79" t="s">
        <v>1230</v>
      </c>
      <c r="L251" s="7" t="str">
        <f>IF(BudgetsTable[[#This Row],[pi_last_name]]=" ","",HYPERLINK("https://www.ejacket.nsf.gov/ej/showProposal.do?Continue=Y&amp;ID="&amp;BudgetsTable[[#This Row],[prop_id]],BudgetsTable[[#This Row],[prop_id]]))</f>
        <v/>
      </c>
      <c r="M251" s="15" t="str">
        <f>IF(BudgetsTable[[#This Row],[pi_last_name]]=" ","",HYPERLINK("https://www.ejacket.nsf.gov/ej/processReviewAnalysis.do?dispatch=add&amp;uniqId="&amp;BudgetsTable[[#This Row],[prop_id]]&amp;PO_id,"&gt;ra"))</f>
        <v/>
      </c>
      <c r="N251" s="79" t="s">
        <v>13</v>
      </c>
      <c r="O251" s="7" t="str">
        <f>IF(BudgetsTable[[#This Row],[pi_last_name]]=" ","",HYPERLINK("mailto:"&amp;BudgetsTable[[#This Row],[pi_email]]&amp;"&amp;subject=Your NSF Proposal:  "&amp;BudgetsTable[[#This Row],[prop_id]],BudgetsTable[[#This Row],[pi_email]]))</f>
        <v/>
      </c>
      <c r="P251" s="79" t="s">
        <v>13</v>
      </c>
      <c r="Q251" s="79">
        <v>0</v>
      </c>
      <c r="R251" s="79">
        <v>0</v>
      </c>
      <c r="S251" s="80">
        <v>0</v>
      </c>
      <c r="T251" s="80">
        <v>0</v>
      </c>
      <c r="U251" s="80">
        <v>0</v>
      </c>
      <c r="V251" s="81">
        <v>86326</v>
      </c>
      <c r="W251" s="79">
        <v>0</v>
      </c>
      <c r="X251" s="79">
        <v>1</v>
      </c>
      <c r="Y251" s="11" t="str">
        <f ca="1">IF(ISBLANK(BudgetsTable[[#This Row],[budg_seq_yr]]),"FY"&amp;fiscalyear,"FY"&amp;fiscalyear-1+BudgetsTable[[#This Row],[budg_seq_yr]])</f>
        <v>FY18</v>
      </c>
      <c r="Z251" s="80">
        <v>86326</v>
      </c>
      <c r="AA251" s="79" t="s">
        <v>1371</v>
      </c>
      <c r="AB251" s="79" t="s">
        <v>531</v>
      </c>
      <c r="AC251" s="106" t="s">
        <v>94</v>
      </c>
      <c r="AD251" s="79" t="s">
        <v>1481</v>
      </c>
    </row>
    <row r="252" spans="1:30">
      <c r="A252" s="10" t="s">
        <v>1230</v>
      </c>
      <c r="B252" s="77" t="s">
        <v>96</v>
      </c>
      <c r="C252" s="77">
        <f>C251+(BudgetsTable[[#This Row],[lead]]&lt;&gt;K251)</f>
        <v>52</v>
      </c>
      <c r="D252" s="77">
        <f>D251*(BudgetsTable[[#This Row],[lead]]=K251)+(BudgetsTable[[#This Row],[prop_id]]&lt;&gt;A251)</f>
        <v>1</v>
      </c>
      <c r="E252" s="78">
        <v>42950.663888888892</v>
      </c>
      <c r="F252" s="79" t="s">
        <v>848</v>
      </c>
      <c r="G252" s="79" t="s">
        <v>1371</v>
      </c>
      <c r="H252" s="79" t="s">
        <v>531</v>
      </c>
      <c r="I252" s="77" t="s">
        <v>1233</v>
      </c>
      <c r="J252" s="77" t="s">
        <v>13</v>
      </c>
      <c r="K252" s="79" t="s">
        <v>1230</v>
      </c>
      <c r="L252" s="7" t="str">
        <f>IF(BudgetsTable[[#This Row],[pi_last_name]]=" ","",HYPERLINK("https://www.ejacket.nsf.gov/ej/showProposal.do?Continue=Y&amp;ID="&amp;BudgetsTable[[#This Row],[prop_id]],BudgetsTable[[#This Row],[prop_id]]))</f>
        <v/>
      </c>
      <c r="M252" s="15" t="str">
        <f>IF(BudgetsTable[[#This Row],[pi_last_name]]=" ","",HYPERLINK("https://www.ejacket.nsf.gov/ej/processReviewAnalysis.do?dispatch=add&amp;uniqId="&amp;BudgetsTable[[#This Row],[prop_id]]&amp;PO_id,"&gt;ra"))</f>
        <v/>
      </c>
      <c r="N252" s="79" t="s">
        <v>13</v>
      </c>
      <c r="O252" s="7" t="str">
        <f>IF(BudgetsTable[[#This Row],[pi_last_name]]=" ","",HYPERLINK("mailto:"&amp;BudgetsTable[[#This Row],[pi_email]]&amp;"&amp;subject=Your NSF Proposal:  "&amp;BudgetsTable[[#This Row],[prop_id]],BudgetsTable[[#This Row],[pi_email]]))</f>
        <v/>
      </c>
      <c r="P252" s="79" t="s">
        <v>13</v>
      </c>
      <c r="Q252" s="79">
        <v>0</v>
      </c>
      <c r="R252" s="79">
        <v>0</v>
      </c>
      <c r="S252" s="80">
        <v>0</v>
      </c>
      <c r="T252" s="80">
        <v>0</v>
      </c>
      <c r="U252" s="80">
        <v>0</v>
      </c>
      <c r="V252" s="81">
        <v>88674</v>
      </c>
      <c r="W252" s="79">
        <v>0</v>
      </c>
      <c r="X252" s="79">
        <v>2</v>
      </c>
      <c r="Y252" s="11" t="str">
        <f ca="1">IF(ISBLANK(BudgetsTable[[#This Row],[budg_seq_yr]]),"FY"&amp;fiscalyear,"FY"&amp;fiscalyear-1+BudgetsTable[[#This Row],[budg_seq_yr]])</f>
        <v>FY19</v>
      </c>
      <c r="Z252" s="80">
        <v>88674</v>
      </c>
      <c r="AA252" s="79" t="s">
        <v>1371</v>
      </c>
      <c r="AB252" s="79" t="s">
        <v>531</v>
      </c>
      <c r="AC252" s="106" t="s">
        <v>94</v>
      </c>
      <c r="AD252" s="79" t="s">
        <v>1481</v>
      </c>
    </row>
    <row r="253" spans="1:30">
      <c r="A253" s="10" t="s">
        <v>1256</v>
      </c>
      <c r="B253" s="77" t="s">
        <v>96</v>
      </c>
      <c r="C253" s="77">
        <f>C252+(BudgetsTable[[#This Row],[lead]]&lt;&gt;K252)</f>
        <v>53</v>
      </c>
      <c r="D253" s="77">
        <f>D252*(BudgetsTable[[#This Row],[lead]]=K252)+(BudgetsTable[[#This Row],[prop_id]]&lt;&gt;A252)</f>
        <v>1</v>
      </c>
      <c r="E253" s="78">
        <v>42954.456944444442</v>
      </c>
      <c r="F253" s="79" t="s">
        <v>848</v>
      </c>
      <c r="G253" s="79" t="s">
        <v>780</v>
      </c>
      <c r="H253" s="79" t="s">
        <v>565</v>
      </c>
      <c r="I253" s="77" t="s">
        <v>582</v>
      </c>
      <c r="J253" s="77" t="s">
        <v>1489</v>
      </c>
      <c r="K253" s="79" t="s">
        <v>1256</v>
      </c>
      <c r="L253" s="7" t="str">
        <f>IF(BudgetsTable[[#This Row],[pi_last_name]]=" ","",HYPERLINK("https://www.ejacket.nsf.gov/ej/showProposal.do?Continue=Y&amp;ID="&amp;BudgetsTable[[#This Row],[prop_id]],BudgetsTable[[#This Row],[prop_id]]))</f>
        <v>1755471</v>
      </c>
      <c r="M253" s="15" t="str">
        <f>IF(BudgetsTable[[#This Row],[pi_last_name]]=" ","",HYPERLINK("https://www.ejacket.nsf.gov/ej/processReviewAnalysis.do?dispatch=add&amp;uniqId="&amp;BudgetsTable[[#This Row],[prop_id]]&amp;PO_id,"&gt;ra"))</f>
        <v>&gt;ra</v>
      </c>
      <c r="N253" s="79" t="s">
        <v>1257</v>
      </c>
      <c r="O253" s="7" t="str">
        <f>IF(BudgetsTable[[#This Row],[pi_last_name]]=" ","",HYPERLINK("mailto:"&amp;BudgetsTable[[#This Row],[pi_email]]&amp;"&amp;subject=Your NSF Proposal:  "&amp;BudgetsTable[[#This Row],[prop_id]],BudgetsTable[[#This Row],[pi_email]]))</f>
        <v>wtong@georgiasouthern.edu</v>
      </c>
      <c r="P253" s="79" t="s">
        <v>1487</v>
      </c>
      <c r="Q253" s="79"/>
      <c r="R253" s="79"/>
      <c r="S253" s="80"/>
      <c r="T253" s="80"/>
      <c r="U253" s="80"/>
      <c r="V253" s="81"/>
      <c r="W253" s="79">
        <v>0</v>
      </c>
      <c r="X253" s="79"/>
      <c r="Y253" s="11" t="str">
        <f ca="1">IF(ISBLANK(BudgetsTable[[#This Row],[budg_seq_yr]]),"FY"&amp;fiscalyear,"FY"&amp;fiscalyear-1+BudgetsTable[[#This Row],[budg_seq_yr]])</f>
        <v>FY18</v>
      </c>
      <c r="Z253" s="80">
        <v>162689</v>
      </c>
      <c r="AA253" s="79" t="s">
        <v>780</v>
      </c>
      <c r="AB253" s="79" t="s">
        <v>565</v>
      </c>
      <c r="AC253" s="106" t="s">
        <v>94</v>
      </c>
      <c r="AD253" s="79" t="s">
        <v>850</v>
      </c>
    </row>
    <row r="254" spans="1:30">
      <c r="A254" s="10" t="s">
        <v>1256</v>
      </c>
      <c r="B254" s="77" t="s">
        <v>96</v>
      </c>
      <c r="C254" s="77">
        <f>C253+(BudgetsTable[[#This Row],[lead]]&lt;&gt;K253)</f>
        <v>53</v>
      </c>
      <c r="D254" s="77">
        <f>D253*(BudgetsTable[[#This Row],[lead]]=K253)+(BudgetsTable[[#This Row],[prop_id]]&lt;&gt;A253)</f>
        <v>1</v>
      </c>
      <c r="E254" s="78">
        <v>42954.456944444442</v>
      </c>
      <c r="F254" s="79" t="s">
        <v>848</v>
      </c>
      <c r="G254" s="79" t="s">
        <v>780</v>
      </c>
      <c r="H254" s="79" t="s">
        <v>565</v>
      </c>
      <c r="I254" s="77" t="s">
        <v>582</v>
      </c>
      <c r="J254" s="77" t="s">
        <v>13</v>
      </c>
      <c r="K254" s="79" t="s">
        <v>1256</v>
      </c>
      <c r="L254" s="7" t="str">
        <f>IF(BudgetsTable[[#This Row],[pi_last_name]]=" ","",HYPERLINK("https://www.ejacket.nsf.gov/ej/showProposal.do?Continue=Y&amp;ID="&amp;BudgetsTable[[#This Row],[prop_id]],BudgetsTable[[#This Row],[prop_id]]))</f>
        <v/>
      </c>
      <c r="M254" s="15" t="str">
        <f>IF(BudgetsTable[[#This Row],[pi_last_name]]=" ","",HYPERLINK("https://www.ejacket.nsf.gov/ej/processReviewAnalysis.do?dispatch=add&amp;uniqId="&amp;BudgetsTable[[#This Row],[prop_id]]&amp;PO_id,"&gt;ra"))</f>
        <v/>
      </c>
      <c r="N254" s="79" t="s">
        <v>13</v>
      </c>
      <c r="O254" s="7" t="str">
        <f>IF(BudgetsTable[[#This Row],[pi_last_name]]=" ","",HYPERLINK("mailto:"&amp;BudgetsTable[[#This Row],[pi_email]]&amp;"&amp;subject=Your NSF Proposal:  "&amp;BudgetsTable[[#This Row],[prop_id]],BudgetsTable[[#This Row],[pi_email]]))</f>
        <v/>
      </c>
      <c r="P254" s="79" t="s">
        <v>13</v>
      </c>
      <c r="Q254" s="79">
        <v>0</v>
      </c>
      <c r="R254" s="79">
        <v>0</v>
      </c>
      <c r="S254" s="80">
        <v>0</v>
      </c>
      <c r="T254" s="80">
        <v>4000</v>
      </c>
      <c r="U254" s="80">
        <v>0</v>
      </c>
      <c r="V254" s="81">
        <v>79936</v>
      </c>
      <c r="W254" s="79">
        <v>0</v>
      </c>
      <c r="X254" s="79">
        <v>1</v>
      </c>
      <c r="Y254" s="11" t="str">
        <f ca="1">IF(ISBLANK(BudgetsTable[[#This Row],[budg_seq_yr]]),"FY"&amp;fiscalyear,"FY"&amp;fiscalyear-1+BudgetsTable[[#This Row],[budg_seq_yr]])</f>
        <v>FY18</v>
      </c>
      <c r="Z254" s="80">
        <v>79936</v>
      </c>
      <c r="AA254" s="79" t="s">
        <v>780</v>
      </c>
      <c r="AB254" s="79" t="s">
        <v>565</v>
      </c>
      <c r="AC254" s="106" t="s">
        <v>94</v>
      </c>
      <c r="AD254" s="79" t="s">
        <v>850</v>
      </c>
    </row>
    <row r="255" spans="1:30">
      <c r="A255" s="10" t="s">
        <v>1256</v>
      </c>
      <c r="B255" s="77" t="s">
        <v>96</v>
      </c>
      <c r="C255" s="77">
        <f>C254+(BudgetsTable[[#This Row],[lead]]&lt;&gt;K254)</f>
        <v>53</v>
      </c>
      <c r="D255" s="77">
        <f>D254*(BudgetsTable[[#This Row],[lead]]=K254)+(BudgetsTable[[#This Row],[prop_id]]&lt;&gt;A254)</f>
        <v>1</v>
      </c>
      <c r="E255" s="78">
        <v>42954.456944444442</v>
      </c>
      <c r="F255" s="79" t="s">
        <v>848</v>
      </c>
      <c r="G255" s="79" t="s">
        <v>780</v>
      </c>
      <c r="H255" s="79" t="s">
        <v>565</v>
      </c>
      <c r="I255" s="77" t="s">
        <v>582</v>
      </c>
      <c r="J255" s="77" t="s">
        <v>13</v>
      </c>
      <c r="K255" s="79" t="s">
        <v>1256</v>
      </c>
      <c r="L255" s="7" t="str">
        <f>IF(BudgetsTable[[#This Row],[pi_last_name]]=" ","",HYPERLINK("https://www.ejacket.nsf.gov/ej/showProposal.do?Continue=Y&amp;ID="&amp;BudgetsTable[[#This Row],[prop_id]],BudgetsTable[[#This Row],[prop_id]]))</f>
        <v/>
      </c>
      <c r="M255" s="15" t="str">
        <f>IF(BudgetsTable[[#This Row],[pi_last_name]]=" ","",HYPERLINK("https://www.ejacket.nsf.gov/ej/processReviewAnalysis.do?dispatch=add&amp;uniqId="&amp;BudgetsTable[[#This Row],[prop_id]]&amp;PO_id,"&gt;ra"))</f>
        <v/>
      </c>
      <c r="N255" s="79" t="s">
        <v>13</v>
      </c>
      <c r="O255" s="7" t="str">
        <f>IF(BudgetsTable[[#This Row],[pi_last_name]]=" ","",HYPERLINK("mailto:"&amp;BudgetsTable[[#This Row],[pi_email]]&amp;"&amp;subject=Your NSF Proposal:  "&amp;BudgetsTable[[#This Row],[prop_id]],BudgetsTable[[#This Row],[pi_email]]))</f>
        <v/>
      </c>
      <c r="P255" s="79" t="s">
        <v>13</v>
      </c>
      <c r="Q255" s="79">
        <v>0</v>
      </c>
      <c r="R255" s="79">
        <v>0</v>
      </c>
      <c r="S255" s="80">
        <v>0</v>
      </c>
      <c r="T255" s="80">
        <v>4120</v>
      </c>
      <c r="U255" s="80">
        <v>0</v>
      </c>
      <c r="V255" s="81">
        <v>82753</v>
      </c>
      <c r="W255" s="79">
        <v>0</v>
      </c>
      <c r="X255" s="79">
        <v>2</v>
      </c>
      <c r="Y255" s="11" t="str">
        <f ca="1">IF(ISBLANK(BudgetsTable[[#This Row],[budg_seq_yr]]),"FY"&amp;fiscalyear,"FY"&amp;fiscalyear-1+BudgetsTable[[#This Row],[budg_seq_yr]])</f>
        <v>FY19</v>
      </c>
      <c r="Z255" s="80">
        <v>82753</v>
      </c>
      <c r="AA255" s="79" t="s">
        <v>780</v>
      </c>
      <c r="AB255" s="79" t="s">
        <v>565</v>
      </c>
      <c r="AC255" s="106" t="s">
        <v>94</v>
      </c>
      <c r="AD255" s="79" t="s">
        <v>850</v>
      </c>
    </row>
    <row r="256" spans="1:30">
      <c r="A256" s="10" t="s">
        <v>1263</v>
      </c>
      <c r="B256" s="77" t="s">
        <v>96</v>
      </c>
      <c r="C256" s="77">
        <f>C255+(BudgetsTable[[#This Row],[lead]]&lt;&gt;K255)</f>
        <v>54</v>
      </c>
      <c r="D256" s="77">
        <f>D255*(BudgetsTable[[#This Row],[lead]]=K255)+(BudgetsTable[[#This Row],[prop_id]]&lt;&gt;A255)</f>
        <v>1</v>
      </c>
      <c r="E256" s="78">
        <v>42954.500694444447</v>
      </c>
      <c r="F256" s="79" t="s">
        <v>848</v>
      </c>
      <c r="G256" s="79" t="s">
        <v>780</v>
      </c>
      <c r="H256" s="79" t="s">
        <v>565</v>
      </c>
      <c r="I256" s="77" t="s">
        <v>944</v>
      </c>
      <c r="J256" s="77" t="s">
        <v>1492</v>
      </c>
      <c r="K256" s="79" t="s">
        <v>1263</v>
      </c>
      <c r="L256" s="7" t="str">
        <f>IF(BudgetsTable[[#This Row],[pi_last_name]]=" ","",HYPERLINK("https://www.ejacket.nsf.gov/ej/showProposal.do?Continue=Y&amp;ID="&amp;BudgetsTable[[#This Row],[prop_id]],BudgetsTable[[#This Row],[prop_id]]))</f>
        <v>1755481</v>
      </c>
      <c r="M256" s="15" t="str">
        <f>IF(BudgetsTable[[#This Row],[pi_last_name]]=" ","",HYPERLINK("https://www.ejacket.nsf.gov/ej/processReviewAnalysis.do?dispatch=add&amp;uniqId="&amp;BudgetsTable[[#This Row],[prop_id]]&amp;PO_id,"&gt;ra"))</f>
        <v>&gt;ra</v>
      </c>
      <c r="N256" s="79" t="s">
        <v>342</v>
      </c>
      <c r="O256" s="7" t="str">
        <f>IF(BudgetsTable[[#This Row],[pi_last_name]]=" ","",HYPERLINK("mailto:"&amp;BudgetsTable[[#This Row],[pi_email]]&amp;"&amp;subject=Your NSF Proposal:  "&amp;BudgetsTable[[#This Row],[prop_id]],BudgetsTable[[#This Row],[pi_email]]))</f>
        <v>kwang@georgiasouthern.edu</v>
      </c>
      <c r="P256" s="79" t="s">
        <v>1487</v>
      </c>
      <c r="Q256" s="79"/>
      <c r="R256" s="79"/>
      <c r="S256" s="80"/>
      <c r="T256" s="80"/>
      <c r="U256" s="80"/>
      <c r="V256" s="81"/>
      <c r="W256" s="79">
        <v>0</v>
      </c>
      <c r="X256" s="79"/>
      <c r="Y256" s="11" t="str">
        <f ca="1">IF(ISBLANK(BudgetsTable[[#This Row],[budg_seq_yr]]),"FY"&amp;fiscalyear,"FY"&amp;fiscalyear-1+BudgetsTable[[#This Row],[budg_seq_yr]])</f>
        <v>FY18</v>
      </c>
      <c r="Z256" s="80">
        <v>168126</v>
      </c>
      <c r="AA256" s="79" t="s">
        <v>780</v>
      </c>
      <c r="AB256" s="79" t="s">
        <v>565</v>
      </c>
      <c r="AC256" s="106" t="s">
        <v>94</v>
      </c>
      <c r="AD256" s="79" t="s">
        <v>850</v>
      </c>
    </row>
    <row r="257" spans="1:30">
      <c r="A257" s="10" t="s">
        <v>1263</v>
      </c>
      <c r="B257" s="77" t="s">
        <v>96</v>
      </c>
      <c r="C257" s="77">
        <f>C256+(BudgetsTable[[#This Row],[lead]]&lt;&gt;K256)</f>
        <v>54</v>
      </c>
      <c r="D257" s="77">
        <f>D256*(BudgetsTable[[#This Row],[lead]]=K256)+(BudgetsTable[[#This Row],[prop_id]]&lt;&gt;A256)</f>
        <v>1</v>
      </c>
      <c r="E257" s="78">
        <v>42954.500694444447</v>
      </c>
      <c r="F257" s="79" t="s">
        <v>848</v>
      </c>
      <c r="G257" s="79" t="s">
        <v>780</v>
      </c>
      <c r="H257" s="79" t="s">
        <v>565</v>
      </c>
      <c r="I257" s="77" t="s">
        <v>944</v>
      </c>
      <c r="J257" s="77" t="s">
        <v>13</v>
      </c>
      <c r="K257" s="79" t="s">
        <v>1263</v>
      </c>
      <c r="L257" s="7" t="str">
        <f>IF(BudgetsTable[[#This Row],[pi_last_name]]=" ","",HYPERLINK("https://www.ejacket.nsf.gov/ej/showProposal.do?Continue=Y&amp;ID="&amp;BudgetsTable[[#This Row],[prop_id]],BudgetsTable[[#This Row],[prop_id]]))</f>
        <v/>
      </c>
      <c r="M257" s="15" t="str">
        <f>IF(BudgetsTable[[#This Row],[pi_last_name]]=" ","",HYPERLINK("https://www.ejacket.nsf.gov/ej/processReviewAnalysis.do?dispatch=add&amp;uniqId="&amp;BudgetsTable[[#This Row],[prop_id]]&amp;PO_id,"&gt;ra"))</f>
        <v/>
      </c>
      <c r="N257" s="79" t="s">
        <v>13</v>
      </c>
      <c r="O257" s="7" t="str">
        <f>IF(BudgetsTable[[#This Row],[pi_last_name]]=" ","",HYPERLINK("mailto:"&amp;BudgetsTable[[#This Row],[pi_email]]&amp;"&amp;subject=Your NSF Proposal:  "&amp;BudgetsTable[[#This Row],[prop_id]],BudgetsTable[[#This Row],[pi_email]]))</f>
        <v/>
      </c>
      <c r="P257" s="79" t="s">
        <v>13</v>
      </c>
      <c r="Q257" s="79">
        <v>0</v>
      </c>
      <c r="R257" s="79">
        <v>0</v>
      </c>
      <c r="S257" s="80">
        <v>0</v>
      </c>
      <c r="T257" s="80">
        <v>0</v>
      </c>
      <c r="U257" s="80">
        <v>0</v>
      </c>
      <c r="V257" s="81">
        <v>90062</v>
      </c>
      <c r="W257" s="79">
        <v>0</v>
      </c>
      <c r="X257" s="79">
        <v>1</v>
      </c>
      <c r="Y257" s="11" t="str">
        <f ca="1">IF(ISBLANK(BudgetsTable[[#This Row],[budg_seq_yr]]),"FY"&amp;fiscalyear,"FY"&amp;fiscalyear-1+BudgetsTable[[#This Row],[budg_seq_yr]])</f>
        <v>FY18</v>
      </c>
      <c r="Z257" s="80">
        <v>90062</v>
      </c>
      <c r="AA257" s="79" t="s">
        <v>780</v>
      </c>
      <c r="AB257" s="79" t="s">
        <v>565</v>
      </c>
      <c r="AC257" s="106" t="s">
        <v>94</v>
      </c>
      <c r="AD257" s="79" t="s">
        <v>850</v>
      </c>
    </row>
    <row r="258" spans="1:30">
      <c r="A258" s="10" t="s">
        <v>1263</v>
      </c>
      <c r="B258" s="77" t="s">
        <v>96</v>
      </c>
      <c r="C258" s="77">
        <f>C257+(BudgetsTable[[#This Row],[lead]]&lt;&gt;K257)</f>
        <v>54</v>
      </c>
      <c r="D258" s="77">
        <f>D257*(BudgetsTable[[#This Row],[lead]]=K257)+(BudgetsTable[[#This Row],[prop_id]]&lt;&gt;A257)</f>
        <v>1</v>
      </c>
      <c r="E258" s="78">
        <v>42954.500694444447</v>
      </c>
      <c r="F258" s="79" t="s">
        <v>848</v>
      </c>
      <c r="G258" s="79" t="s">
        <v>780</v>
      </c>
      <c r="H258" s="79" t="s">
        <v>565</v>
      </c>
      <c r="I258" s="77" t="s">
        <v>944</v>
      </c>
      <c r="J258" s="77" t="s">
        <v>13</v>
      </c>
      <c r="K258" s="79" t="s">
        <v>1263</v>
      </c>
      <c r="L258" s="7" t="str">
        <f>IF(BudgetsTable[[#This Row],[pi_last_name]]=" ","",HYPERLINK("https://www.ejacket.nsf.gov/ej/showProposal.do?Continue=Y&amp;ID="&amp;BudgetsTable[[#This Row],[prop_id]],BudgetsTable[[#This Row],[prop_id]]))</f>
        <v/>
      </c>
      <c r="M258" s="15" t="str">
        <f>IF(BudgetsTable[[#This Row],[pi_last_name]]=" ","",HYPERLINK("https://www.ejacket.nsf.gov/ej/processReviewAnalysis.do?dispatch=add&amp;uniqId="&amp;BudgetsTable[[#This Row],[prop_id]]&amp;PO_id,"&gt;ra"))</f>
        <v/>
      </c>
      <c r="N258" s="79" t="s">
        <v>13</v>
      </c>
      <c r="O258" s="7" t="str">
        <f>IF(BudgetsTable[[#This Row],[pi_last_name]]=" ","",HYPERLINK("mailto:"&amp;BudgetsTable[[#This Row],[pi_email]]&amp;"&amp;subject=Your NSF Proposal:  "&amp;BudgetsTable[[#This Row],[prop_id]],BudgetsTable[[#This Row],[pi_email]]))</f>
        <v/>
      </c>
      <c r="P258" s="79" t="s">
        <v>13</v>
      </c>
      <c r="Q258" s="79">
        <v>0</v>
      </c>
      <c r="R258" s="79">
        <v>0</v>
      </c>
      <c r="S258" s="80">
        <v>0</v>
      </c>
      <c r="T258" s="80">
        <v>0</v>
      </c>
      <c r="U258" s="80">
        <v>0</v>
      </c>
      <c r="V258" s="81">
        <v>78064</v>
      </c>
      <c r="W258" s="79">
        <v>0</v>
      </c>
      <c r="X258" s="79">
        <v>2</v>
      </c>
      <c r="Y258" s="11" t="str">
        <f ca="1">IF(ISBLANK(BudgetsTable[[#This Row],[budg_seq_yr]]),"FY"&amp;fiscalyear,"FY"&amp;fiscalyear-1+BudgetsTable[[#This Row],[budg_seq_yr]])</f>
        <v>FY19</v>
      </c>
      <c r="Z258" s="80">
        <v>78064</v>
      </c>
      <c r="AA258" s="79" t="s">
        <v>780</v>
      </c>
      <c r="AB258" s="79" t="s">
        <v>565</v>
      </c>
      <c r="AC258" s="106" t="s">
        <v>94</v>
      </c>
      <c r="AD258" s="79" t="s">
        <v>850</v>
      </c>
    </row>
    <row r="259" spans="1:30">
      <c r="A259" s="10" t="s">
        <v>1269</v>
      </c>
      <c r="B259" s="77" t="s">
        <v>96</v>
      </c>
      <c r="C259" s="77">
        <f>C258+(BudgetsTable[[#This Row],[lead]]&lt;&gt;K258)</f>
        <v>55</v>
      </c>
      <c r="D259" s="77">
        <f>D258*(BudgetsTable[[#This Row],[lead]]=K258)+(BudgetsTable[[#This Row],[prop_id]]&lt;&gt;A258)</f>
        <v>1</v>
      </c>
      <c r="E259" s="78">
        <v>42955.429861111108</v>
      </c>
      <c r="F259" s="79" t="s">
        <v>848</v>
      </c>
      <c r="G259" s="79" t="s">
        <v>780</v>
      </c>
      <c r="H259" s="79" t="s">
        <v>565</v>
      </c>
      <c r="I259" s="77" t="s">
        <v>944</v>
      </c>
      <c r="J259" s="77" t="s">
        <v>1494</v>
      </c>
      <c r="K259" s="79" t="s">
        <v>1269</v>
      </c>
      <c r="L259" s="7" t="str">
        <f>IF(BudgetsTable[[#This Row],[pi_last_name]]=" ","",HYPERLINK("https://www.ejacket.nsf.gov/ej/showProposal.do?Continue=Y&amp;ID="&amp;BudgetsTable[[#This Row],[prop_id]],BudgetsTable[[#This Row],[prop_id]]))</f>
        <v>1755548</v>
      </c>
      <c r="M259" s="15" t="str">
        <f>IF(BudgetsTable[[#This Row],[pi_last_name]]=" ","",HYPERLINK("https://www.ejacket.nsf.gov/ej/processReviewAnalysis.do?dispatch=add&amp;uniqId="&amp;BudgetsTable[[#This Row],[prop_id]]&amp;PO_id,"&gt;ra"))</f>
        <v>&gt;ra</v>
      </c>
      <c r="N259" s="79" t="s">
        <v>1270</v>
      </c>
      <c r="O259" s="7" t="str">
        <f>IF(BudgetsTable[[#This Row],[pi_last_name]]=" ","",HYPERLINK("mailto:"&amp;BudgetsTable[[#This Row],[pi_email]]&amp;"&amp;subject=Your NSF Proposal:  "&amp;BudgetsTable[[#This Row],[prop_id]],BudgetsTable[[#This Row],[pi_email]]))</f>
        <v>yzhoucs@indiana.edu</v>
      </c>
      <c r="P259" s="79" t="s">
        <v>1358</v>
      </c>
      <c r="Q259" s="79"/>
      <c r="R259" s="79"/>
      <c r="S259" s="80"/>
      <c r="T259" s="80"/>
      <c r="U259" s="80"/>
      <c r="V259" s="81"/>
      <c r="W259" s="79">
        <v>0</v>
      </c>
      <c r="X259" s="79"/>
      <c r="Y259" s="11" t="str">
        <f ca="1">IF(ISBLANK(BudgetsTable[[#This Row],[budg_seq_yr]]),"FY"&amp;fiscalyear,"FY"&amp;fiscalyear-1+BudgetsTable[[#This Row],[budg_seq_yr]])</f>
        <v>FY18</v>
      </c>
      <c r="Z259" s="80">
        <v>174974</v>
      </c>
      <c r="AA259" s="79" t="s">
        <v>780</v>
      </c>
      <c r="AB259" s="79" t="s">
        <v>565</v>
      </c>
      <c r="AC259" s="106" t="s">
        <v>94</v>
      </c>
      <c r="AD259" s="79" t="s">
        <v>850</v>
      </c>
    </row>
    <row r="260" spans="1:30">
      <c r="A260" s="10" t="s">
        <v>1269</v>
      </c>
      <c r="B260" s="77" t="s">
        <v>96</v>
      </c>
      <c r="C260" s="77">
        <f>C259+(BudgetsTable[[#This Row],[lead]]&lt;&gt;K259)</f>
        <v>55</v>
      </c>
      <c r="D260" s="77">
        <f>D259*(BudgetsTable[[#This Row],[lead]]=K259)+(BudgetsTable[[#This Row],[prop_id]]&lt;&gt;A259)</f>
        <v>1</v>
      </c>
      <c r="E260" s="78">
        <v>42955.429861111108</v>
      </c>
      <c r="F260" s="79" t="s">
        <v>848</v>
      </c>
      <c r="G260" s="79" t="s">
        <v>780</v>
      </c>
      <c r="H260" s="79" t="s">
        <v>565</v>
      </c>
      <c r="I260" s="77" t="s">
        <v>944</v>
      </c>
      <c r="J260" s="77" t="s">
        <v>13</v>
      </c>
      <c r="K260" s="79" t="s">
        <v>1269</v>
      </c>
      <c r="L260" s="7" t="str">
        <f>IF(BudgetsTable[[#This Row],[pi_last_name]]=" ","",HYPERLINK("https://www.ejacket.nsf.gov/ej/showProposal.do?Continue=Y&amp;ID="&amp;BudgetsTable[[#This Row],[prop_id]],BudgetsTable[[#This Row],[prop_id]]))</f>
        <v/>
      </c>
      <c r="M260" s="15" t="str">
        <f>IF(BudgetsTable[[#This Row],[pi_last_name]]=" ","",HYPERLINK("https://www.ejacket.nsf.gov/ej/processReviewAnalysis.do?dispatch=add&amp;uniqId="&amp;BudgetsTable[[#This Row],[prop_id]]&amp;PO_id,"&gt;ra"))</f>
        <v/>
      </c>
      <c r="N260" s="79" t="s">
        <v>13</v>
      </c>
      <c r="O260" s="7" t="str">
        <f>IF(BudgetsTable[[#This Row],[pi_last_name]]=" ","",HYPERLINK("mailto:"&amp;BudgetsTable[[#This Row],[pi_email]]&amp;"&amp;subject=Your NSF Proposal:  "&amp;BudgetsTable[[#This Row],[prop_id]],BudgetsTable[[#This Row],[pi_email]]))</f>
        <v/>
      </c>
      <c r="P260" s="79" t="s">
        <v>13</v>
      </c>
      <c r="Q260" s="79">
        <v>0</v>
      </c>
      <c r="R260" s="79">
        <v>0</v>
      </c>
      <c r="S260" s="80">
        <v>0</v>
      </c>
      <c r="T260" s="80">
        <v>4200</v>
      </c>
      <c r="U260" s="80">
        <v>0</v>
      </c>
      <c r="V260" s="81">
        <v>63411</v>
      </c>
      <c r="W260" s="79">
        <v>0</v>
      </c>
      <c r="X260" s="79">
        <v>1</v>
      </c>
      <c r="Y260" s="11" t="str">
        <f ca="1">IF(ISBLANK(BudgetsTable[[#This Row],[budg_seq_yr]]),"FY"&amp;fiscalyear,"FY"&amp;fiscalyear-1+BudgetsTable[[#This Row],[budg_seq_yr]])</f>
        <v>FY18</v>
      </c>
      <c r="Z260" s="80">
        <v>63411</v>
      </c>
      <c r="AA260" s="79" t="s">
        <v>780</v>
      </c>
      <c r="AB260" s="79" t="s">
        <v>565</v>
      </c>
      <c r="AC260" s="106" t="s">
        <v>94</v>
      </c>
      <c r="AD260" s="79" t="s">
        <v>850</v>
      </c>
    </row>
    <row r="261" spans="1:30">
      <c r="A261" s="10" t="s">
        <v>1269</v>
      </c>
      <c r="B261" s="77" t="s">
        <v>96</v>
      </c>
      <c r="C261" s="77">
        <f>C260+(BudgetsTable[[#This Row],[lead]]&lt;&gt;K260)</f>
        <v>55</v>
      </c>
      <c r="D261" s="77">
        <f>D260*(BudgetsTable[[#This Row],[lead]]=K260)+(BudgetsTable[[#This Row],[prop_id]]&lt;&gt;A260)</f>
        <v>1</v>
      </c>
      <c r="E261" s="78">
        <v>42955.429861111108</v>
      </c>
      <c r="F261" s="79" t="s">
        <v>848</v>
      </c>
      <c r="G261" s="79" t="s">
        <v>780</v>
      </c>
      <c r="H261" s="79" t="s">
        <v>565</v>
      </c>
      <c r="I261" s="77" t="s">
        <v>944</v>
      </c>
      <c r="J261" s="77" t="s">
        <v>13</v>
      </c>
      <c r="K261" s="79" t="s">
        <v>1269</v>
      </c>
      <c r="L261" s="7" t="str">
        <f>IF(BudgetsTable[[#This Row],[pi_last_name]]=" ","",HYPERLINK("https://www.ejacket.nsf.gov/ej/showProposal.do?Continue=Y&amp;ID="&amp;BudgetsTable[[#This Row],[prop_id]],BudgetsTable[[#This Row],[prop_id]]))</f>
        <v/>
      </c>
      <c r="M261" s="15" t="str">
        <f>IF(BudgetsTable[[#This Row],[pi_last_name]]=" ","",HYPERLINK("https://www.ejacket.nsf.gov/ej/processReviewAnalysis.do?dispatch=add&amp;uniqId="&amp;BudgetsTable[[#This Row],[prop_id]]&amp;PO_id,"&gt;ra"))</f>
        <v/>
      </c>
      <c r="N261" s="79" t="s">
        <v>13</v>
      </c>
      <c r="O261" s="7" t="str">
        <f>IF(BudgetsTable[[#This Row],[pi_last_name]]=" ","",HYPERLINK("mailto:"&amp;BudgetsTable[[#This Row],[pi_email]]&amp;"&amp;subject=Your NSF Proposal:  "&amp;BudgetsTable[[#This Row],[prop_id]],BudgetsTable[[#This Row],[pi_email]]))</f>
        <v/>
      </c>
      <c r="P261" s="79" t="s">
        <v>13</v>
      </c>
      <c r="Q261" s="79">
        <v>0</v>
      </c>
      <c r="R261" s="79">
        <v>0</v>
      </c>
      <c r="S261" s="80">
        <v>0</v>
      </c>
      <c r="T261" s="80">
        <v>4200</v>
      </c>
      <c r="U261" s="80">
        <v>0</v>
      </c>
      <c r="V261" s="81">
        <v>111563</v>
      </c>
      <c r="W261" s="79">
        <v>0</v>
      </c>
      <c r="X261" s="79">
        <v>2</v>
      </c>
      <c r="Y261" s="11" t="str">
        <f ca="1">IF(ISBLANK(BudgetsTable[[#This Row],[budg_seq_yr]]),"FY"&amp;fiscalyear,"FY"&amp;fiscalyear-1+BudgetsTable[[#This Row],[budg_seq_yr]])</f>
        <v>FY19</v>
      </c>
      <c r="Z261" s="80">
        <v>111563</v>
      </c>
      <c r="AA261" s="79" t="s">
        <v>780</v>
      </c>
      <c r="AB261" s="79" t="s">
        <v>565</v>
      </c>
      <c r="AC261" s="106" t="s">
        <v>94</v>
      </c>
      <c r="AD261" s="79" t="s">
        <v>850</v>
      </c>
    </row>
    <row r="262" spans="1:30">
      <c r="A262" s="10" t="s">
        <v>1277</v>
      </c>
      <c r="B262" s="77" t="s">
        <v>96</v>
      </c>
      <c r="C262" s="77">
        <f>C261+(BudgetsTable[[#This Row],[lead]]&lt;&gt;K261)</f>
        <v>56</v>
      </c>
      <c r="D262" s="77">
        <f>D261*(BudgetsTable[[#This Row],[lead]]=K261)+(BudgetsTable[[#This Row],[prop_id]]&lt;&gt;A261)</f>
        <v>1</v>
      </c>
      <c r="E262" s="78">
        <v>42955.700694444444</v>
      </c>
      <c r="F262" s="79" t="s">
        <v>848</v>
      </c>
      <c r="G262" s="79" t="s">
        <v>780</v>
      </c>
      <c r="H262" s="79" t="s">
        <v>565</v>
      </c>
      <c r="I262" s="77" t="s">
        <v>582</v>
      </c>
      <c r="J262" s="77" t="s">
        <v>1498</v>
      </c>
      <c r="K262" s="79" t="s">
        <v>1277</v>
      </c>
      <c r="L262" s="7" t="str">
        <f>IF(BudgetsTable[[#This Row],[pi_last_name]]=" ","",HYPERLINK("https://www.ejacket.nsf.gov/ej/showProposal.do?Continue=Y&amp;ID="&amp;BudgetsTable[[#This Row],[prop_id]],BudgetsTable[[#This Row],[prop_id]]))</f>
        <v>1755619</v>
      </c>
      <c r="M262" s="15" t="str">
        <f>IF(BudgetsTable[[#This Row],[pi_last_name]]=" ","",HYPERLINK("https://www.ejacket.nsf.gov/ej/processReviewAnalysis.do?dispatch=add&amp;uniqId="&amp;BudgetsTable[[#This Row],[prop_id]]&amp;PO_id,"&gt;ra"))</f>
        <v>&gt;ra</v>
      </c>
      <c r="N262" s="79" t="s">
        <v>1145</v>
      </c>
      <c r="O262" s="7" t="str">
        <f>IF(BudgetsTable[[#This Row],[pi_last_name]]=" ","",HYPERLINK("mailto:"&amp;BudgetsTable[[#This Row],[pi_email]]&amp;"&amp;subject=Your NSF Proposal:  "&amp;BudgetsTable[[#This Row],[prop_id]],BudgetsTable[[#This Row],[pi_email]]))</f>
        <v>jugal@illinois.edu</v>
      </c>
      <c r="P262" s="79" t="s">
        <v>346</v>
      </c>
      <c r="Q262" s="79"/>
      <c r="R262" s="79"/>
      <c r="S262" s="80"/>
      <c r="T262" s="80"/>
      <c r="U262" s="80"/>
      <c r="V262" s="81"/>
      <c r="W262" s="79">
        <v>0</v>
      </c>
      <c r="X262" s="79"/>
      <c r="Y262" s="11" t="str">
        <f ca="1">IF(ISBLANK(BudgetsTable[[#This Row],[budg_seq_yr]]),"FY"&amp;fiscalyear,"FY"&amp;fiscalyear-1+BudgetsTable[[#This Row],[budg_seq_yr]])</f>
        <v>FY18</v>
      </c>
      <c r="Z262" s="80">
        <v>175000</v>
      </c>
      <c r="AA262" s="79" t="s">
        <v>780</v>
      </c>
      <c r="AB262" s="79" t="s">
        <v>565</v>
      </c>
      <c r="AC262" s="106" t="s">
        <v>94</v>
      </c>
      <c r="AD262" s="79" t="s">
        <v>1495</v>
      </c>
    </row>
    <row r="263" spans="1:30">
      <c r="A263" s="10" t="s">
        <v>1277</v>
      </c>
      <c r="B263" s="77" t="s">
        <v>96</v>
      </c>
      <c r="C263" s="77">
        <f>C262+(BudgetsTable[[#This Row],[lead]]&lt;&gt;K262)</f>
        <v>56</v>
      </c>
      <c r="D263" s="77">
        <f>D262*(BudgetsTable[[#This Row],[lead]]=K262)+(BudgetsTable[[#This Row],[prop_id]]&lt;&gt;A262)</f>
        <v>1</v>
      </c>
      <c r="E263" s="78">
        <v>42955.700694444444</v>
      </c>
      <c r="F263" s="79" t="s">
        <v>848</v>
      </c>
      <c r="G263" s="79" t="s">
        <v>780</v>
      </c>
      <c r="H263" s="79" t="s">
        <v>565</v>
      </c>
      <c r="I263" s="77" t="s">
        <v>582</v>
      </c>
      <c r="J263" s="77" t="s">
        <v>13</v>
      </c>
      <c r="K263" s="79" t="s">
        <v>1277</v>
      </c>
      <c r="L263" s="7" t="str">
        <f>IF(BudgetsTable[[#This Row],[pi_last_name]]=" ","",HYPERLINK("https://www.ejacket.nsf.gov/ej/showProposal.do?Continue=Y&amp;ID="&amp;BudgetsTable[[#This Row],[prop_id]],BudgetsTable[[#This Row],[prop_id]]))</f>
        <v/>
      </c>
      <c r="M263" s="15" t="str">
        <f>IF(BudgetsTable[[#This Row],[pi_last_name]]=" ","",HYPERLINK("https://www.ejacket.nsf.gov/ej/processReviewAnalysis.do?dispatch=add&amp;uniqId="&amp;BudgetsTable[[#This Row],[prop_id]]&amp;PO_id,"&gt;ra"))</f>
        <v/>
      </c>
      <c r="N263" s="79" t="s">
        <v>13</v>
      </c>
      <c r="O263" s="7" t="str">
        <f>IF(BudgetsTable[[#This Row],[pi_last_name]]=" ","",HYPERLINK("mailto:"&amp;BudgetsTable[[#This Row],[pi_email]]&amp;"&amp;subject=Your NSF Proposal:  "&amp;BudgetsTable[[#This Row],[prop_id]],BudgetsTable[[#This Row],[pi_email]]))</f>
        <v/>
      </c>
      <c r="P263" s="79" t="s">
        <v>13</v>
      </c>
      <c r="Q263" s="79">
        <v>0</v>
      </c>
      <c r="R263" s="79">
        <v>0</v>
      </c>
      <c r="S263" s="80">
        <v>0</v>
      </c>
      <c r="T263" s="80">
        <v>2000</v>
      </c>
      <c r="U263" s="80">
        <v>0</v>
      </c>
      <c r="V263" s="81">
        <v>86350</v>
      </c>
      <c r="W263" s="79">
        <v>0</v>
      </c>
      <c r="X263" s="79">
        <v>1</v>
      </c>
      <c r="Y263" s="11" t="str">
        <f ca="1">IF(ISBLANK(BudgetsTable[[#This Row],[budg_seq_yr]]),"FY"&amp;fiscalyear,"FY"&amp;fiscalyear-1+BudgetsTable[[#This Row],[budg_seq_yr]])</f>
        <v>FY18</v>
      </c>
      <c r="Z263" s="80">
        <v>86350</v>
      </c>
      <c r="AA263" s="79" t="s">
        <v>780</v>
      </c>
      <c r="AB263" s="79" t="s">
        <v>565</v>
      </c>
      <c r="AC263" s="106" t="s">
        <v>94</v>
      </c>
      <c r="AD263" s="79" t="s">
        <v>1495</v>
      </c>
    </row>
    <row r="264" spans="1:30">
      <c r="A264" s="10" t="s">
        <v>1277</v>
      </c>
      <c r="B264" s="77" t="s">
        <v>96</v>
      </c>
      <c r="C264" s="77">
        <f>C263+(BudgetsTable[[#This Row],[lead]]&lt;&gt;K263)</f>
        <v>56</v>
      </c>
      <c r="D264" s="77">
        <f>D263*(BudgetsTable[[#This Row],[lead]]=K263)+(BudgetsTable[[#This Row],[prop_id]]&lt;&gt;A263)</f>
        <v>1</v>
      </c>
      <c r="E264" s="78">
        <v>42955.700694444444</v>
      </c>
      <c r="F264" s="79" t="s">
        <v>848</v>
      </c>
      <c r="G264" s="79" t="s">
        <v>780</v>
      </c>
      <c r="H264" s="79" t="s">
        <v>565</v>
      </c>
      <c r="I264" s="77" t="s">
        <v>582</v>
      </c>
      <c r="J264" s="77" t="s">
        <v>13</v>
      </c>
      <c r="K264" s="79" t="s">
        <v>1277</v>
      </c>
      <c r="L264" s="7" t="str">
        <f>IF(BudgetsTable[[#This Row],[pi_last_name]]=" ","",HYPERLINK("https://www.ejacket.nsf.gov/ej/showProposal.do?Continue=Y&amp;ID="&amp;BudgetsTable[[#This Row],[prop_id]],BudgetsTable[[#This Row],[prop_id]]))</f>
        <v/>
      </c>
      <c r="M264" s="15" t="str">
        <f>IF(BudgetsTable[[#This Row],[pi_last_name]]=" ","",HYPERLINK("https://www.ejacket.nsf.gov/ej/processReviewAnalysis.do?dispatch=add&amp;uniqId="&amp;BudgetsTable[[#This Row],[prop_id]]&amp;PO_id,"&gt;ra"))</f>
        <v/>
      </c>
      <c r="N264" s="79" t="s">
        <v>13</v>
      </c>
      <c r="O264" s="7" t="str">
        <f>IF(BudgetsTable[[#This Row],[pi_last_name]]=" ","",HYPERLINK("mailto:"&amp;BudgetsTable[[#This Row],[pi_email]]&amp;"&amp;subject=Your NSF Proposal:  "&amp;BudgetsTable[[#This Row],[prop_id]],BudgetsTable[[#This Row],[pi_email]]))</f>
        <v/>
      </c>
      <c r="P264" s="79" t="s">
        <v>13</v>
      </c>
      <c r="Q264" s="79">
        <v>0</v>
      </c>
      <c r="R264" s="79">
        <v>0</v>
      </c>
      <c r="S264" s="80">
        <v>0</v>
      </c>
      <c r="T264" s="80">
        <v>2000</v>
      </c>
      <c r="U264" s="80">
        <v>0</v>
      </c>
      <c r="V264" s="81">
        <v>88650</v>
      </c>
      <c r="W264" s="79">
        <v>0</v>
      </c>
      <c r="X264" s="79">
        <v>2</v>
      </c>
      <c r="Y264" s="11" t="str">
        <f ca="1">IF(ISBLANK(BudgetsTable[[#This Row],[budg_seq_yr]]),"FY"&amp;fiscalyear,"FY"&amp;fiscalyear-1+BudgetsTable[[#This Row],[budg_seq_yr]])</f>
        <v>FY19</v>
      </c>
      <c r="Z264" s="80">
        <v>88650</v>
      </c>
      <c r="AA264" s="79" t="s">
        <v>780</v>
      </c>
      <c r="AB264" s="79" t="s">
        <v>565</v>
      </c>
      <c r="AC264" s="106" t="s">
        <v>94</v>
      </c>
      <c r="AD264" s="79" t="s">
        <v>1495</v>
      </c>
    </row>
    <row r="265" spans="1:30">
      <c r="A265" s="10" t="s">
        <v>742</v>
      </c>
      <c r="B265" s="77" t="s">
        <v>96</v>
      </c>
      <c r="C265" s="77">
        <f>C264+(BudgetsTable[[#This Row],[lead]]&lt;&gt;K264)</f>
        <v>57</v>
      </c>
      <c r="D265" s="77">
        <f>D264*(BudgetsTable[[#This Row],[lead]]=K264)+(BudgetsTable[[#This Row],[prop_id]]&lt;&gt;A264)</f>
        <v>1</v>
      </c>
      <c r="E265" s="78">
        <v>42956.472222222219</v>
      </c>
      <c r="F265" s="79" t="s">
        <v>848</v>
      </c>
      <c r="G265" s="79" t="s">
        <v>780</v>
      </c>
      <c r="H265" s="79" t="s">
        <v>565</v>
      </c>
      <c r="I265" s="77" t="s">
        <v>579</v>
      </c>
      <c r="J265" s="77" t="s">
        <v>855</v>
      </c>
      <c r="K265" s="79" t="s">
        <v>742</v>
      </c>
      <c r="L265" s="7" t="str">
        <f>IF(BudgetsTable[[#This Row],[pi_last_name]]=" ","",HYPERLINK("https://www.ejacket.nsf.gov/ej/showProposal.do?Continue=Y&amp;ID="&amp;BudgetsTable[[#This Row],[prop_id]],BudgetsTable[[#This Row],[prop_id]]))</f>
        <v>1755702</v>
      </c>
      <c r="M265" s="15" t="str">
        <f>IF(BudgetsTable[[#This Row],[pi_last_name]]=" ","",HYPERLINK("https://www.ejacket.nsf.gov/ej/processReviewAnalysis.do?dispatch=add&amp;uniqId="&amp;BudgetsTable[[#This Row],[prop_id]]&amp;PO_id,"&gt;ra"))</f>
        <v>&gt;ra</v>
      </c>
      <c r="N265" s="79" t="s">
        <v>743</v>
      </c>
      <c r="O265" s="7" t="str">
        <f>IF(BudgetsTable[[#This Row],[pi_last_name]]=" ","",HYPERLINK("mailto:"&amp;BudgetsTable[[#This Row],[pi_email]]&amp;"&amp;subject=Your NSF Proposal:  "&amp;BudgetsTable[[#This Row],[prop_id]],BudgetsTable[[#This Row],[pi_email]]))</f>
        <v>hcharkhgard@usf.edu</v>
      </c>
      <c r="P265" s="79" t="s">
        <v>852</v>
      </c>
      <c r="Q265" s="79"/>
      <c r="R265" s="79"/>
      <c r="S265" s="80"/>
      <c r="T265" s="80"/>
      <c r="U265" s="80"/>
      <c r="V265" s="81"/>
      <c r="W265" s="79">
        <v>0</v>
      </c>
      <c r="X265" s="79"/>
      <c r="Y265" s="11" t="str">
        <f ca="1">IF(ISBLANK(BudgetsTable[[#This Row],[budg_seq_yr]]),"FY"&amp;fiscalyear,"FY"&amp;fiscalyear-1+BudgetsTable[[#This Row],[budg_seq_yr]])</f>
        <v>FY18</v>
      </c>
      <c r="Z265" s="80">
        <v>172682</v>
      </c>
      <c r="AA265" s="79" t="s">
        <v>780</v>
      </c>
      <c r="AB265" s="79" t="s">
        <v>565</v>
      </c>
      <c r="AC265" s="106" t="s">
        <v>94</v>
      </c>
      <c r="AD265" s="79" t="s">
        <v>850</v>
      </c>
    </row>
    <row r="266" spans="1:30">
      <c r="A266" s="10" t="s">
        <v>742</v>
      </c>
      <c r="B266" s="77" t="s">
        <v>96</v>
      </c>
      <c r="C266" s="77">
        <f>C265+(BudgetsTable[[#This Row],[lead]]&lt;&gt;K265)</f>
        <v>57</v>
      </c>
      <c r="D266" s="77">
        <f>D265*(BudgetsTable[[#This Row],[lead]]=K265)+(BudgetsTable[[#This Row],[prop_id]]&lt;&gt;A265)</f>
        <v>1</v>
      </c>
      <c r="E266" s="78">
        <v>42956.472222222219</v>
      </c>
      <c r="F266" s="79" t="s">
        <v>848</v>
      </c>
      <c r="G266" s="79" t="s">
        <v>780</v>
      </c>
      <c r="H266" s="79" t="s">
        <v>565</v>
      </c>
      <c r="I266" s="77" t="s">
        <v>579</v>
      </c>
      <c r="J266" s="77" t="s">
        <v>13</v>
      </c>
      <c r="K266" s="79" t="s">
        <v>742</v>
      </c>
      <c r="L266" s="7" t="str">
        <f>IF(BudgetsTable[[#This Row],[pi_last_name]]=" ","",HYPERLINK("https://www.ejacket.nsf.gov/ej/showProposal.do?Continue=Y&amp;ID="&amp;BudgetsTable[[#This Row],[prop_id]],BudgetsTable[[#This Row],[prop_id]]))</f>
        <v/>
      </c>
      <c r="M266" s="15" t="str">
        <f>IF(BudgetsTable[[#This Row],[pi_last_name]]=" ","",HYPERLINK("https://www.ejacket.nsf.gov/ej/processReviewAnalysis.do?dispatch=add&amp;uniqId="&amp;BudgetsTable[[#This Row],[prop_id]]&amp;PO_id,"&gt;ra"))</f>
        <v/>
      </c>
      <c r="N266" s="79" t="s">
        <v>13</v>
      </c>
      <c r="O266" s="7" t="str">
        <f>IF(BudgetsTable[[#This Row],[pi_last_name]]=" ","",HYPERLINK("mailto:"&amp;BudgetsTable[[#This Row],[pi_email]]&amp;"&amp;subject=Your NSF Proposal:  "&amp;BudgetsTable[[#This Row],[prop_id]],BudgetsTable[[#This Row],[pi_email]]))</f>
        <v/>
      </c>
      <c r="P266" s="79" t="s">
        <v>13</v>
      </c>
      <c r="Q266" s="79">
        <v>0</v>
      </c>
      <c r="R266" s="79">
        <v>0</v>
      </c>
      <c r="S266" s="80">
        <v>0</v>
      </c>
      <c r="T266" s="80">
        <v>0</v>
      </c>
      <c r="U266" s="80">
        <v>0</v>
      </c>
      <c r="V266" s="81">
        <v>86673</v>
      </c>
      <c r="W266" s="79">
        <v>0</v>
      </c>
      <c r="X266" s="79">
        <v>1</v>
      </c>
      <c r="Y266" s="11" t="str">
        <f ca="1">IF(ISBLANK(BudgetsTable[[#This Row],[budg_seq_yr]]),"FY"&amp;fiscalyear,"FY"&amp;fiscalyear-1+BudgetsTable[[#This Row],[budg_seq_yr]])</f>
        <v>FY18</v>
      </c>
      <c r="Z266" s="80">
        <v>86673</v>
      </c>
      <c r="AA266" s="79" t="s">
        <v>780</v>
      </c>
      <c r="AB266" s="79" t="s">
        <v>565</v>
      </c>
      <c r="AC266" s="106" t="s">
        <v>94</v>
      </c>
      <c r="AD266" s="79" t="s">
        <v>850</v>
      </c>
    </row>
    <row r="267" spans="1:30">
      <c r="A267" s="10" t="s">
        <v>742</v>
      </c>
      <c r="B267" s="77" t="s">
        <v>96</v>
      </c>
      <c r="C267" s="77">
        <f>C266+(BudgetsTable[[#This Row],[lead]]&lt;&gt;K266)</f>
        <v>57</v>
      </c>
      <c r="D267" s="77">
        <f>D266*(BudgetsTable[[#This Row],[lead]]=K266)+(BudgetsTable[[#This Row],[prop_id]]&lt;&gt;A266)</f>
        <v>1</v>
      </c>
      <c r="E267" s="78">
        <v>42956.472222222219</v>
      </c>
      <c r="F267" s="79" t="s">
        <v>848</v>
      </c>
      <c r="G267" s="79" t="s">
        <v>780</v>
      </c>
      <c r="H267" s="79" t="s">
        <v>565</v>
      </c>
      <c r="I267" s="77" t="s">
        <v>579</v>
      </c>
      <c r="J267" s="77" t="s">
        <v>13</v>
      </c>
      <c r="K267" s="79" t="s">
        <v>742</v>
      </c>
      <c r="L267" s="7" t="str">
        <f>IF(BudgetsTable[[#This Row],[pi_last_name]]=" ","",HYPERLINK("https://www.ejacket.nsf.gov/ej/showProposal.do?Continue=Y&amp;ID="&amp;BudgetsTable[[#This Row],[prop_id]],BudgetsTable[[#This Row],[prop_id]]))</f>
        <v/>
      </c>
      <c r="M267" s="15" t="str">
        <f>IF(BudgetsTable[[#This Row],[pi_last_name]]=" ","",HYPERLINK("https://www.ejacket.nsf.gov/ej/processReviewAnalysis.do?dispatch=add&amp;uniqId="&amp;BudgetsTable[[#This Row],[prop_id]]&amp;PO_id,"&gt;ra"))</f>
        <v/>
      </c>
      <c r="N267" s="79" t="s">
        <v>13</v>
      </c>
      <c r="O267" s="7" t="str">
        <f>IF(BudgetsTable[[#This Row],[pi_last_name]]=" ","",HYPERLINK("mailto:"&amp;BudgetsTable[[#This Row],[pi_email]]&amp;"&amp;subject=Your NSF Proposal:  "&amp;BudgetsTable[[#This Row],[prop_id]],BudgetsTable[[#This Row],[pi_email]]))</f>
        <v/>
      </c>
      <c r="P267" s="79" t="s">
        <v>13</v>
      </c>
      <c r="Q267" s="79">
        <v>0</v>
      </c>
      <c r="R267" s="79">
        <v>0</v>
      </c>
      <c r="S267" s="80">
        <v>0</v>
      </c>
      <c r="T267" s="80">
        <v>0</v>
      </c>
      <c r="U267" s="80">
        <v>0</v>
      </c>
      <c r="V267" s="81">
        <v>86009</v>
      </c>
      <c r="W267" s="79">
        <v>0</v>
      </c>
      <c r="X267" s="79">
        <v>2</v>
      </c>
      <c r="Y267" s="11" t="str">
        <f ca="1">IF(ISBLANK(BudgetsTable[[#This Row],[budg_seq_yr]]),"FY"&amp;fiscalyear,"FY"&amp;fiscalyear-1+BudgetsTable[[#This Row],[budg_seq_yr]])</f>
        <v>FY19</v>
      </c>
      <c r="Z267" s="80">
        <v>86009</v>
      </c>
      <c r="AA267" s="79" t="s">
        <v>780</v>
      </c>
      <c r="AB267" s="79" t="s">
        <v>565</v>
      </c>
      <c r="AC267" s="106" t="s">
        <v>94</v>
      </c>
      <c r="AD267" s="79" t="s">
        <v>850</v>
      </c>
    </row>
    <row r="268" spans="1:30">
      <c r="A268" s="10" t="s">
        <v>1283</v>
      </c>
      <c r="B268" s="77" t="s">
        <v>96</v>
      </c>
      <c r="C268" s="77">
        <f>C267+(BudgetsTable[[#This Row],[lead]]&lt;&gt;K267)</f>
        <v>58</v>
      </c>
      <c r="D268" s="77">
        <f>D267*(BudgetsTable[[#This Row],[lead]]=K267)+(BudgetsTable[[#This Row],[prop_id]]&lt;&gt;A267)</f>
        <v>1</v>
      </c>
      <c r="E268" s="78">
        <v>42956.581944444442</v>
      </c>
      <c r="F268" s="79" t="s">
        <v>848</v>
      </c>
      <c r="G268" s="79" t="s">
        <v>780</v>
      </c>
      <c r="H268" s="79" t="s">
        <v>565</v>
      </c>
      <c r="I268" s="77" t="s">
        <v>944</v>
      </c>
      <c r="J268" s="77" t="s">
        <v>1503</v>
      </c>
      <c r="K268" s="79" t="s">
        <v>1283</v>
      </c>
      <c r="L268" s="7" t="str">
        <f>IF(BudgetsTable[[#This Row],[pi_last_name]]=" ","",HYPERLINK("https://www.ejacket.nsf.gov/ej/showProposal.do?Continue=Y&amp;ID="&amp;BudgetsTable[[#This Row],[prop_id]],BudgetsTable[[#This Row],[prop_id]]))</f>
        <v>1755791</v>
      </c>
      <c r="M268" s="15" t="str">
        <f>IF(BudgetsTable[[#This Row],[pi_last_name]]=" ","",HYPERLINK("https://www.ejacket.nsf.gov/ej/processReviewAnalysis.do?dispatch=add&amp;uniqId="&amp;BudgetsTable[[#This Row],[prop_id]]&amp;PO_id,"&gt;ra"))</f>
        <v>&gt;ra</v>
      </c>
      <c r="N268" s="79" t="s">
        <v>1284</v>
      </c>
      <c r="O268" s="7" t="str">
        <f>IF(BudgetsTable[[#This Row],[pi_last_name]]=" ","",HYPERLINK("mailto:"&amp;BudgetsTable[[#This Row],[pi_email]]&amp;"&amp;subject=Your NSF Proposal:  "&amp;BudgetsTable[[#This Row],[prop_id]],BudgetsTable[[#This Row],[pi_email]]))</f>
        <v>Mayank.Goswami@qc.cuny.edu</v>
      </c>
      <c r="P268" s="79" t="s">
        <v>1500</v>
      </c>
      <c r="Q268" s="79"/>
      <c r="R268" s="79"/>
      <c r="S268" s="80"/>
      <c r="T268" s="80"/>
      <c r="U268" s="80"/>
      <c r="V268" s="81"/>
      <c r="W268" s="79">
        <v>0</v>
      </c>
      <c r="X268" s="79"/>
      <c r="Y268" s="11" t="str">
        <f ca="1">IF(ISBLANK(BudgetsTable[[#This Row],[budg_seq_yr]]),"FY"&amp;fiscalyear,"FY"&amp;fiscalyear-1+BudgetsTable[[#This Row],[budg_seq_yr]])</f>
        <v>FY18</v>
      </c>
      <c r="Z268" s="80">
        <v>175000</v>
      </c>
      <c r="AA268" s="79" t="s">
        <v>780</v>
      </c>
      <c r="AB268" s="79" t="s">
        <v>565</v>
      </c>
      <c r="AC268" s="106" t="s">
        <v>94</v>
      </c>
      <c r="AD268" s="79" t="s">
        <v>850</v>
      </c>
    </row>
    <row r="269" spans="1:30">
      <c r="A269" s="10" t="s">
        <v>1283</v>
      </c>
      <c r="B269" s="77" t="s">
        <v>96</v>
      </c>
      <c r="C269" s="77">
        <f>C268+(BudgetsTable[[#This Row],[lead]]&lt;&gt;K268)</f>
        <v>58</v>
      </c>
      <c r="D269" s="77">
        <f>D268*(BudgetsTable[[#This Row],[lead]]=K268)+(BudgetsTable[[#This Row],[prop_id]]&lt;&gt;A268)</f>
        <v>1</v>
      </c>
      <c r="E269" s="78">
        <v>42956.581944444442</v>
      </c>
      <c r="F269" s="79" t="s">
        <v>848</v>
      </c>
      <c r="G269" s="79" t="s">
        <v>780</v>
      </c>
      <c r="H269" s="79" t="s">
        <v>565</v>
      </c>
      <c r="I269" s="77" t="s">
        <v>944</v>
      </c>
      <c r="J269" s="77" t="s">
        <v>13</v>
      </c>
      <c r="K269" s="79" t="s">
        <v>1283</v>
      </c>
      <c r="L269" s="7" t="str">
        <f>IF(BudgetsTable[[#This Row],[pi_last_name]]=" ","",HYPERLINK("https://www.ejacket.nsf.gov/ej/showProposal.do?Continue=Y&amp;ID="&amp;BudgetsTable[[#This Row],[prop_id]],BudgetsTable[[#This Row],[prop_id]]))</f>
        <v/>
      </c>
      <c r="M269" s="15" t="str">
        <f>IF(BudgetsTable[[#This Row],[pi_last_name]]=" ","",HYPERLINK("https://www.ejacket.nsf.gov/ej/processReviewAnalysis.do?dispatch=add&amp;uniqId="&amp;BudgetsTable[[#This Row],[prop_id]]&amp;PO_id,"&gt;ra"))</f>
        <v/>
      </c>
      <c r="N269" s="79" t="s">
        <v>13</v>
      </c>
      <c r="O269" s="7" t="str">
        <f>IF(BudgetsTable[[#This Row],[pi_last_name]]=" ","",HYPERLINK("mailto:"&amp;BudgetsTable[[#This Row],[pi_email]]&amp;"&amp;subject=Your NSF Proposal:  "&amp;BudgetsTable[[#This Row],[prop_id]],BudgetsTable[[#This Row],[pi_email]]))</f>
        <v/>
      </c>
      <c r="P269" s="79" t="s">
        <v>13</v>
      </c>
      <c r="Q269" s="79">
        <v>0</v>
      </c>
      <c r="R269" s="79">
        <v>0</v>
      </c>
      <c r="S269" s="80">
        <v>0</v>
      </c>
      <c r="T269" s="80">
        <v>6000</v>
      </c>
      <c r="U269" s="80">
        <v>0</v>
      </c>
      <c r="V269" s="81">
        <v>73951</v>
      </c>
      <c r="W269" s="79">
        <v>0</v>
      </c>
      <c r="X269" s="79">
        <v>1</v>
      </c>
      <c r="Y269" s="11" t="str">
        <f ca="1">IF(ISBLANK(BudgetsTable[[#This Row],[budg_seq_yr]]),"FY"&amp;fiscalyear,"FY"&amp;fiscalyear-1+BudgetsTable[[#This Row],[budg_seq_yr]])</f>
        <v>FY18</v>
      </c>
      <c r="Z269" s="80">
        <v>73951</v>
      </c>
      <c r="AA269" s="79" t="s">
        <v>780</v>
      </c>
      <c r="AB269" s="79" t="s">
        <v>565</v>
      </c>
      <c r="AC269" s="106" t="s">
        <v>94</v>
      </c>
      <c r="AD269" s="79" t="s">
        <v>850</v>
      </c>
    </row>
    <row r="270" spans="1:30">
      <c r="A270" s="10" t="s">
        <v>1283</v>
      </c>
      <c r="B270" s="77" t="s">
        <v>96</v>
      </c>
      <c r="C270" s="77">
        <f>C269+(BudgetsTable[[#This Row],[lead]]&lt;&gt;K269)</f>
        <v>58</v>
      </c>
      <c r="D270" s="77">
        <f>D269*(BudgetsTable[[#This Row],[lead]]=K269)+(BudgetsTable[[#This Row],[prop_id]]&lt;&gt;A269)</f>
        <v>1</v>
      </c>
      <c r="E270" s="78">
        <v>42956.581944444442</v>
      </c>
      <c r="F270" s="79" t="s">
        <v>848</v>
      </c>
      <c r="G270" s="79" t="s">
        <v>780</v>
      </c>
      <c r="H270" s="79" t="s">
        <v>565</v>
      </c>
      <c r="I270" s="77" t="s">
        <v>944</v>
      </c>
      <c r="J270" s="77" t="s">
        <v>13</v>
      </c>
      <c r="K270" s="79" t="s">
        <v>1283</v>
      </c>
      <c r="L270" s="7" t="str">
        <f>IF(BudgetsTable[[#This Row],[pi_last_name]]=" ","",HYPERLINK("https://www.ejacket.nsf.gov/ej/showProposal.do?Continue=Y&amp;ID="&amp;BudgetsTable[[#This Row],[prop_id]],BudgetsTable[[#This Row],[prop_id]]))</f>
        <v/>
      </c>
      <c r="M270" s="15" t="str">
        <f>IF(BudgetsTable[[#This Row],[pi_last_name]]=" ","",HYPERLINK("https://www.ejacket.nsf.gov/ej/processReviewAnalysis.do?dispatch=add&amp;uniqId="&amp;BudgetsTable[[#This Row],[prop_id]]&amp;PO_id,"&gt;ra"))</f>
        <v/>
      </c>
      <c r="N270" s="79" t="s">
        <v>13</v>
      </c>
      <c r="O270" s="7" t="str">
        <f>IF(BudgetsTable[[#This Row],[pi_last_name]]=" ","",HYPERLINK("mailto:"&amp;BudgetsTable[[#This Row],[pi_email]]&amp;"&amp;subject=Your NSF Proposal:  "&amp;BudgetsTable[[#This Row],[prop_id]],BudgetsTable[[#This Row],[pi_email]]))</f>
        <v/>
      </c>
      <c r="P270" s="79" t="s">
        <v>13</v>
      </c>
      <c r="Q270" s="79">
        <v>0</v>
      </c>
      <c r="R270" s="79">
        <v>0</v>
      </c>
      <c r="S270" s="80">
        <v>0</v>
      </c>
      <c r="T270" s="80">
        <v>4000</v>
      </c>
      <c r="U270" s="80">
        <v>0</v>
      </c>
      <c r="V270" s="81">
        <v>101049</v>
      </c>
      <c r="W270" s="79">
        <v>0</v>
      </c>
      <c r="X270" s="79">
        <v>2</v>
      </c>
      <c r="Y270" s="11" t="str">
        <f ca="1">IF(ISBLANK(BudgetsTable[[#This Row],[budg_seq_yr]]),"FY"&amp;fiscalyear,"FY"&amp;fiscalyear-1+BudgetsTable[[#This Row],[budg_seq_yr]])</f>
        <v>FY19</v>
      </c>
      <c r="Z270" s="80">
        <v>101049</v>
      </c>
      <c r="AA270" s="79" t="s">
        <v>780</v>
      </c>
      <c r="AB270" s="79" t="s">
        <v>565</v>
      </c>
      <c r="AC270" s="106" t="s">
        <v>94</v>
      </c>
      <c r="AD270" s="79" t="s">
        <v>850</v>
      </c>
    </row>
    <row r="271" spans="1:30">
      <c r="A271" s="10" t="s">
        <v>1291</v>
      </c>
      <c r="B271" s="77" t="s">
        <v>96</v>
      </c>
      <c r="C271" s="77">
        <f>C270+(BudgetsTable[[#This Row],[lead]]&lt;&gt;K270)</f>
        <v>59</v>
      </c>
      <c r="D271" s="77">
        <f>D270*(BudgetsTable[[#This Row],[lead]]=K270)+(BudgetsTable[[#This Row],[prop_id]]&lt;&gt;A270)</f>
        <v>1</v>
      </c>
      <c r="E271" s="78">
        <v>42956.588888888888</v>
      </c>
      <c r="F271" s="79" t="s">
        <v>848</v>
      </c>
      <c r="G271" s="79" t="s">
        <v>1371</v>
      </c>
      <c r="H271" s="79" t="s">
        <v>531</v>
      </c>
      <c r="I271" s="77" t="s">
        <v>929</v>
      </c>
      <c r="J271" s="77" t="s">
        <v>1507</v>
      </c>
      <c r="K271" s="79" t="s">
        <v>1291</v>
      </c>
      <c r="L271" s="7" t="str">
        <f>IF(BudgetsTable[[#This Row],[pi_last_name]]=" ","",HYPERLINK("https://www.ejacket.nsf.gov/ej/showProposal.do?Continue=Y&amp;ID="&amp;BudgetsTable[[#This Row],[prop_id]],BudgetsTable[[#This Row],[prop_id]]))</f>
        <v>1755801</v>
      </c>
      <c r="M271" s="15" t="str">
        <f>IF(BudgetsTable[[#This Row],[pi_last_name]]=" ","",HYPERLINK("https://www.ejacket.nsf.gov/ej/processReviewAnalysis.do?dispatch=add&amp;uniqId="&amp;BudgetsTable[[#This Row],[prop_id]]&amp;PO_id,"&gt;ra"))</f>
        <v>&gt;ra</v>
      </c>
      <c r="N271" s="79" t="s">
        <v>1292</v>
      </c>
      <c r="O271" s="7" t="str">
        <f>IF(BudgetsTable[[#This Row],[pi_last_name]]=" ","",HYPERLINK("mailto:"&amp;BudgetsTable[[#This Row],[pi_email]]&amp;"&amp;subject=Your NSF Proposal:  "&amp;BudgetsTable[[#This Row],[prop_id]],BudgetsTable[[#This Row],[pi_email]]))</f>
        <v>tzhao80@gatech.edu</v>
      </c>
      <c r="P271" s="79" t="s">
        <v>451</v>
      </c>
      <c r="Q271" s="79"/>
      <c r="R271" s="79"/>
      <c r="S271" s="80"/>
      <c r="T271" s="80"/>
      <c r="U271" s="80"/>
      <c r="V271" s="81"/>
      <c r="W271" s="79">
        <v>0</v>
      </c>
      <c r="X271" s="79"/>
      <c r="Y271" s="11" t="str">
        <f ca="1">IF(ISBLANK(BudgetsTable[[#This Row],[budg_seq_yr]]),"FY"&amp;fiscalyear,"FY"&amp;fiscalyear-1+BudgetsTable[[#This Row],[budg_seq_yr]])</f>
        <v>FY18</v>
      </c>
      <c r="Z271" s="80">
        <v>175000</v>
      </c>
      <c r="AA271" s="79" t="s">
        <v>1371</v>
      </c>
      <c r="AB271" s="79" t="s">
        <v>531</v>
      </c>
      <c r="AC271" s="106" t="s">
        <v>94</v>
      </c>
      <c r="AD271" s="79" t="s">
        <v>1481</v>
      </c>
    </row>
    <row r="272" spans="1:30">
      <c r="A272" s="10" t="s">
        <v>1291</v>
      </c>
      <c r="B272" s="77" t="s">
        <v>96</v>
      </c>
      <c r="C272" s="77">
        <f>C271+(BudgetsTable[[#This Row],[lead]]&lt;&gt;K271)</f>
        <v>59</v>
      </c>
      <c r="D272" s="77">
        <f>D271*(BudgetsTable[[#This Row],[lead]]=K271)+(BudgetsTable[[#This Row],[prop_id]]&lt;&gt;A271)</f>
        <v>1</v>
      </c>
      <c r="E272" s="78">
        <v>42956.588888888888</v>
      </c>
      <c r="F272" s="79" t="s">
        <v>848</v>
      </c>
      <c r="G272" s="79" t="s">
        <v>1371</v>
      </c>
      <c r="H272" s="79" t="s">
        <v>531</v>
      </c>
      <c r="I272" s="77" t="s">
        <v>929</v>
      </c>
      <c r="J272" s="77" t="s">
        <v>13</v>
      </c>
      <c r="K272" s="79" t="s">
        <v>1291</v>
      </c>
      <c r="L272" s="7" t="str">
        <f>IF(BudgetsTable[[#This Row],[pi_last_name]]=" ","",HYPERLINK("https://www.ejacket.nsf.gov/ej/showProposal.do?Continue=Y&amp;ID="&amp;BudgetsTable[[#This Row],[prop_id]],BudgetsTable[[#This Row],[prop_id]]))</f>
        <v/>
      </c>
      <c r="M272" s="15" t="str">
        <f>IF(BudgetsTable[[#This Row],[pi_last_name]]=" ","",HYPERLINK("https://www.ejacket.nsf.gov/ej/processReviewAnalysis.do?dispatch=add&amp;uniqId="&amp;BudgetsTable[[#This Row],[prop_id]]&amp;PO_id,"&gt;ra"))</f>
        <v/>
      </c>
      <c r="N272" s="79" t="s">
        <v>13</v>
      </c>
      <c r="O272" s="7" t="str">
        <f>IF(BudgetsTable[[#This Row],[pi_last_name]]=" ","",HYPERLINK("mailto:"&amp;BudgetsTable[[#This Row],[pi_email]]&amp;"&amp;subject=Your NSF Proposal:  "&amp;BudgetsTable[[#This Row],[prop_id]],BudgetsTable[[#This Row],[pi_email]]))</f>
        <v/>
      </c>
      <c r="P272" s="79" t="s">
        <v>13</v>
      </c>
      <c r="Q272" s="79">
        <v>0</v>
      </c>
      <c r="R272" s="79">
        <v>0</v>
      </c>
      <c r="S272" s="80">
        <v>0</v>
      </c>
      <c r="T272" s="80">
        <v>0</v>
      </c>
      <c r="U272" s="80">
        <v>0</v>
      </c>
      <c r="V272" s="81">
        <v>85511</v>
      </c>
      <c r="W272" s="79">
        <v>0</v>
      </c>
      <c r="X272" s="79">
        <v>1</v>
      </c>
      <c r="Y272" s="11" t="str">
        <f ca="1">IF(ISBLANK(BudgetsTable[[#This Row],[budg_seq_yr]]),"FY"&amp;fiscalyear,"FY"&amp;fiscalyear-1+BudgetsTable[[#This Row],[budg_seq_yr]])</f>
        <v>FY18</v>
      </c>
      <c r="Z272" s="80">
        <v>85511</v>
      </c>
      <c r="AA272" s="79" t="s">
        <v>1371</v>
      </c>
      <c r="AB272" s="79" t="s">
        <v>531</v>
      </c>
      <c r="AC272" s="106" t="s">
        <v>94</v>
      </c>
      <c r="AD272" s="79" t="s">
        <v>1481</v>
      </c>
    </row>
    <row r="273" spans="1:30">
      <c r="A273" s="10" t="s">
        <v>1291</v>
      </c>
      <c r="B273" s="77" t="s">
        <v>96</v>
      </c>
      <c r="C273" s="77">
        <f>C272+(BudgetsTable[[#This Row],[lead]]&lt;&gt;K272)</f>
        <v>59</v>
      </c>
      <c r="D273" s="77">
        <f>D272*(BudgetsTable[[#This Row],[lead]]=K272)+(BudgetsTable[[#This Row],[prop_id]]&lt;&gt;A272)</f>
        <v>1</v>
      </c>
      <c r="E273" s="78">
        <v>42956.588888888888</v>
      </c>
      <c r="F273" s="79" t="s">
        <v>848</v>
      </c>
      <c r="G273" s="79" t="s">
        <v>1371</v>
      </c>
      <c r="H273" s="79" t="s">
        <v>531</v>
      </c>
      <c r="I273" s="77" t="s">
        <v>929</v>
      </c>
      <c r="J273" s="77" t="s">
        <v>13</v>
      </c>
      <c r="K273" s="79" t="s">
        <v>1291</v>
      </c>
      <c r="L273" s="7" t="str">
        <f>IF(BudgetsTable[[#This Row],[pi_last_name]]=" ","",HYPERLINK("https://www.ejacket.nsf.gov/ej/showProposal.do?Continue=Y&amp;ID="&amp;BudgetsTable[[#This Row],[prop_id]],BudgetsTable[[#This Row],[prop_id]]))</f>
        <v/>
      </c>
      <c r="M273" s="15" t="str">
        <f>IF(BudgetsTable[[#This Row],[pi_last_name]]=" ","",HYPERLINK("https://www.ejacket.nsf.gov/ej/processReviewAnalysis.do?dispatch=add&amp;uniqId="&amp;BudgetsTable[[#This Row],[prop_id]]&amp;PO_id,"&gt;ra"))</f>
        <v/>
      </c>
      <c r="N273" s="79" t="s">
        <v>13</v>
      </c>
      <c r="O273" s="7" t="str">
        <f>IF(BudgetsTable[[#This Row],[pi_last_name]]=" ","",HYPERLINK("mailto:"&amp;BudgetsTable[[#This Row],[pi_email]]&amp;"&amp;subject=Your NSF Proposal:  "&amp;BudgetsTable[[#This Row],[prop_id]],BudgetsTable[[#This Row],[pi_email]]))</f>
        <v/>
      </c>
      <c r="P273" s="79" t="s">
        <v>13</v>
      </c>
      <c r="Q273" s="79">
        <v>0</v>
      </c>
      <c r="R273" s="79">
        <v>0</v>
      </c>
      <c r="S273" s="80">
        <v>0</v>
      </c>
      <c r="T273" s="80">
        <v>0</v>
      </c>
      <c r="U273" s="80">
        <v>0</v>
      </c>
      <c r="V273" s="81">
        <v>89489</v>
      </c>
      <c r="W273" s="79">
        <v>0</v>
      </c>
      <c r="X273" s="79">
        <v>2</v>
      </c>
      <c r="Y273" s="11" t="str">
        <f ca="1">IF(ISBLANK(BudgetsTable[[#This Row],[budg_seq_yr]]),"FY"&amp;fiscalyear,"FY"&amp;fiscalyear-1+BudgetsTable[[#This Row],[budg_seq_yr]])</f>
        <v>FY19</v>
      </c>
      <c r="Z273" s="80">
        <v>89489</v>
      </c>
      <c r="AA273" s="79" t="s">
        <v>1371</v>
      </c>
      <c r="AB273" s="79" t="s">
        <v>531</v>
      </c>
      <c r="AC273" s="106" t="s">
        <v>94</v>
      </c>
      <c r="AD273" s="79" t="s">
        <v>1481</v>
      </c>
    </row>
    <row r="274" spans="1:30">
      <c r="A274" s="10" t="s">
        <v>749</v>
      </c>
      <c r="B274" s="77" t="s">
        <v>96</v>
      </c>
      <c r="C274" s="77">
        <f>C273+(BudgetsTable[[#This Row],[lead]]&lt;&gt;K273)</f>
        <v>60</v>
      </c>
      <c r="D274" s="77">
        <f>D273*(BudgetsTable[[#This Row],[lead]]=K273)+(BudgetsTable[[#This Row],[prop_id]]&lt;&gt;A273)</f>
        <v>1</v>
      </c>
      <c r="E274" s="78">
        <v>42956.621527777781</v>
      </c>
      <c r="F274" s="79" t="s">
        <v>848</v>
      </c>
      <c r="G274" s="79" t="s">
        <v>780</v>
      </c>
      <c r="H274" s="79" t="s">
        <v>565</v>
      </c>
      <c r="I274" s="77" t="s">
        <v>582</v>
      </c>
      <c r="J274" s="77" t="s">
        <v>860</v>
      </c>
      <c r="K274" s="79" t="s">
        <v>749</v>
      </c>
      <c r="L274" s="7" t="str">
        <f>IF(BudgetsTable[[#This Row],[pi_last_name]]=" ","",HYPERLINK("https://www.ejacket.nsf.gov/ej/showProposal.do?Continue=Y&amp;ID="&amp;BudgetsTable[[#This Row],[prop_id]],BudgetsTable[[#This Row],[prop_id]]))</f>
        <v>1755847</v>
      </c>
      <c r="M274" s="15" t="str">
        <f>IF(BudgetsTable[[#This Row],[pi_last_name]]=" ","",HYPERLINK("https://www.ejacket.nsf.gov/ej/processReviewAnalysis.do?dispatch=add&amp;uniqId="&amp;BudgetsTable[[#This Row],[prop_id]]&amp;PO_id,"&gt;ra"))</f>
        <v>&gt;ra</v>
      </c>
      <c r="N274" s="79" t="s">
        <v>364</v>
      </c>
      <c r="O274" s="7" t="str">
        <f>IF(BudgetsTable[[#This Row],[pi_last_name]]=" ","",HYPERLINK("mailto:"&amp;BudgetsTable[[#This Row],[pi_email]]&amp;"&amp;subject=Your NSF Proposal:  "&amp;BudgetsTable[[#This Row],[prop_id]],BudgetsTable[[#This Row],[pi_email]]))</f>
        <v>ruoyus@illinois.edu</v>
      </c>
      <c r="P274" s="79" t="s">
        <v>346</v>
      </c>
      <c r="Q274" s="79"/>
      <c r="R274" s="79"/>
      <c r="S274" s="80"/>
      <c r="T274" s="80"/>
      <c r="U274" s="80"/>
      <c r="V274" s="81"/>
      <c r="W274" s="79">
        <v>0</v>
      </c>
      <c r="X274" s="79"/>
      <c r="Y274" s="11" t="str">
        <f ca="1">IF(ISBLANK(BudgetsTable[[#This Row],[budg_seq_yr]]),"FY"&amp;fiscalyear,"FY"&amp;fiscalyear-1+BudgetsTable[[#This Row],[budg_seq_yr]])</f>
        <v>FY18</v>
      </c>
      <c r="Z274" s="80">
        <v>175000</v>
      </c>
      <c r="AA274" s="79" t="s">
        <v>780</v>
      </c>
      <c r="AB274" s="79" t="s">
        <v>565</v>
      </c>
      <c r="AC274" s="106" t="s">
        <v>94</v>
      </c>
      <c r="AD274" s="79" t="s">
        <v>856</v>
      </c>
    </row>
    <row r="275" spans="1:30">
      <c r="A275" s="10" t="s">
        <v>749</v>
      </c>
      <c r="B275" s="77" t="s">
        <v>96</v>
      </c>
      <c r="C275" s="77">
        <f>C274+(BudgetsTable[[#This Row],[lead]]&lt;&gt;K274)</f>
        <v>60</v>
      </c>
      <c r="D275" s="77">
        <f>D274*(BudgetsTable[[#This Row],[lead]]=K274)+(BudgetsTable[[#This Row],[prop_id]]&lt;&gt;A274)</f>
        <v>1</v>
      </c>
      <c r="E275" s="78">
        <v>42956.621527777781</v>
      </c>
      <c r="F275" s="79" t="s">
        <v>848</v>
      </c>
      <c r="G275" s="79" t="s">
        <v>780</v>
      </c>
      <c r="H275" s="79" t="s">
        <v>565</v>
      </c>
      <c r="I275" s="77" t="s">
        <v>582</v>
      </c>
      <c r="J275" s="77" t="s">
        <v>13</v>
      </c>
      <c r="K275" s="79" t="s">
        <v>749</v>
      </c>
      <c r="L275" s="7" t="str">
        <f>IF(BudgetsTable[[#This Row],[pi_last_name]]=" ","",HYPERLINK("https://www.ejacket.nsf.gov/ej/showProposal.do?Continue=Y&amp;ID="&amp;BudgetsTable[[#This Row],[prop_id]],BudgetsTable[[#This Row],[prop_id]]))</f>
        <v/>
      </c>
      <c r="M275" s="15" t="str">
        <f>IF(BudgetsTable[[#This Row],[pi_last_name]]=" ","",HYPERLINK("https://www.ejacket.nsf.gov/ej/processReviewAnalysis.do?dispatch=add&amp;uniqId="&amp;BudgetsTable[[#This Row],[prop_id]]&amp;PO_id,"&gt;ra"))</f>
        <v/>
      </c>
      <c r="N275" s="79" t="s">
        <v>13</v>
      </c>
      <c r="O275" s="7" t="str">
        <f>IF(BudgetsTable[[#This Row],[pi_last_name]]=" ","",HYPERLINK("mailto:"&amp;BudgetsTable[[#This Row],[pi_email]]&amp;"&amp;subject=Your NSF Proposal:  "&amp;BudgetsTable[[#This Row],[prop_id]],BudgetsTable[[#This Row],[pi_email]]))</f>
        <v/>
      </c>
      <c r="P275" s="79" t="s">
        <v>13</v>
      </c>
      <c r="Q275" s="79">
        <v>0</v>
      </c>
      <c r="R275" s="79">
        <v>0</v>
      </c>
      <c r="S275" s="80">
        <v>0</v>
      </c>
      <c r="T275" s="80">
        <v>2000</v>
      </c>
      <c r="U275" s="80">
        <v>0</v>
      </c>
      <c r="V275" s="81">
        <v>86350</v>
      </c>
      <c r="W275" s="79">
        <v>0</v>
      </c>
      <c r="X275" s="79">
        <v>1</v>
      </c>
      <c r="Y275" s="11" t="str">
        <f ca="1">IF(ISBLANK(BudgetsTable[[#This Row],[budg_seq_yr]]),"FY"&amp;fiscalyear,"FY"&amp;fiscalyear-1+BudgetsTable[[#This Row],[budg_seq_yr]])</f>
        <v>FY18</v>
      </c>
      <c r="Z275" s="80">
        <v>86350</v>
      </c>
      <c r="AA275" s="79" t="s">
        <v>780</v>
      </c>
      <c r="AB275" s="79" t="s">
        <v>565</v>
      </c>
      <c r="AC275" s="106" t="s">
        <v>94</v>
      </c>
      <c r="AD275" s="79" t="s">
        <v>856</v>
      </c>
    </row>
    <row r="276" spans="1:30">
      <c r="A276" s="10" t="s">
        <v>749</v>
      </c>
      <c r="B276" s="77" t="s">
        <v>96</v>
      </c>
      <c r="C276" s="77">
        <f>C275+(BudgetsTable[[#This Row],[lead]]&lt;&gt;K275)</f>
        <v>60</v>
      </c>
      <c r="D276" s="77">
        <f>D275*(BudgetsTable[[#This Row],[lead]]=K275)+(BudgetsTable[[#This Row],[prop_id]]&lt;&gt;A275)</f>
        <v>1</v>
      </c>
      <c r="E276" s="78">
        <v>42956.621527777781</v>
      </c>
      <c r="F276" s="79" t="s">
        <v>848</v>
      </c>
      <c r="G276" s="79" t="s">
        <v>780</v>
      </c>
      <c r="H276" s="79" t="s">
        <v>565</v>
      </c>
      <c r="I276" s="77" t="s">
        <v>582</v>
      </c>
      <c r="J276" s="77" t="s">
        <v>13</v>
      </c>
      <c r="K276" s="79" t="s">
        <v>749</v>
      </c>
      <c r="L276" s="7" t="str">
        <f>IF(BudgetsTable[[#This Row],[pi_last_name]]=" ","",HYPERLINK("https://www.ejacket.nsf.gov/ej/showProposal.do?Continue=Y&amp;ID="&amp;BudgetsTable[[#This Row],[prop_id]],BudgetsTable[[#This Row],[prop_id]]))</f>
        <v/>
      </c>
      <c r="M276" s="15" t="str">
        <f>IF(BudgetsTable[[#This Row],[pi_last_name]]=" ","",HYPERLINK("https://www.ejacket.nsf.gov/ej/processReviewAnalysis.do?dispatch=add&amp;uniqId="&amp;BudgetsTable[[#This Row],[prop_id]]&amp;PO_id,"&gt;ra"))</f>
        <v/>
      </c>
      <c r="N276" s="79" t="s">
        <v>13</v>
      </c>
      <c r="O276" s="7" t="str">
        <f>IF(BudgetsTable[[#This Row],[pi_last_name]]=" ","",HYPERLINK("mailto:"&amp;BudgetsTable[[#This Row],[pi_email]]&amp;"&amp;subject=Your NSF Proposal:  "&amp;BudgetsTable[[#This Row],[prop_id]],BudgetsTable[[#This Row],[pi_email]]))</f>
        <v/>
      </c>
      <c r="P276" s="79" t="s">
        <v>13</v>
      </c>
      <c r="Q276" s="79">
        <v>0</v>
      </c>
      <c r="R276" s="79">
        <v>0</v>
      </c>
      <c r="S276" s="80">
        <v>0</v>
      </c>
      <c r="T276" s="80">
        <v>2000</v>
      </c>
      <c r="U276" s="80">
        <v>0</v>
      </c>
      <c r="V276" s="81">
        <v>88650</v>
      </c>
      <c r="W276" s="79">
        <v>0</v>
      </c>
      <c r="X276" s="79">
        <v>2</v>
      </c>
      <c r="Y276" s="11" t="str">
        <f ca="1">IF(ISBLANK(BudgetsTable[[#This Row],[budg_seq_yr]]),"FY"&amp;fiscalyear,"FY"&amp;fiscalyear-1+BudgetsTable[[#This Row],[budg_seq_yr]])</f>
        <v>FY19</v>
      </c>
      <c r="Z276" s="80">
        <v>88650</v>
      </c>
      <c r="AA276" s="79" t="s">
        <v>780</v>
      </c>
      <c r="AB276" s="79" t="s">
        <v>565</v>
      </c>
      <c r="AC276" s="106" t="s">
        <v>94</v>
      </c>
      <c r="AD276" s="79" t="s">
        <v>856</v>
      </c>
    </row>
    <row r="277" spans="1:30">
      <c r="A277" s="10" t="s">
        <v>755</v>
      </c>
      <c r="B277" s="77" t="s">
        <v>96</v>
      </c>
      <c r="C277" s="77">
        <f>C276+(BudgetsTable[[#This Row],[lead]]&lt;&gt;K276)</f>
        <v>61</v>
      </c>
      <c r="D277" s="77">
        <f>D276*(BudgetsTable[[#This Row],[lead]]=K276)+(BudgetsTable[[#This Row],[prop_id]]&lt;&gt;A276)</f>
        <v>1</v>
      </c>
      <c r="E277" s="78">
        <v>42956.647916666669</v>
      </c>
      <c r="F277" s="79" t="s">
        <v>848</v>
      </c>
      <c r="G277" s="79" t="s">
        <v>780</v>
      </c>
      <c r="H277" s="79" t="s">
        <v>565</v>
      </c>
      <c r="I277" s="77" t="s">
        <v>579</v>
      </c>
      <c r="J277" s="77" t="s">
        <v>866</v>
      </c>
      <c r="K277" s="79" t="s">
        <v>755</v>
      </c>
      <c r="L277" s="7" t="str">
        <f>IF(BudgetsTable[[#This Row],[pi_last_name]]=" ","",HYPERLINK("https://www.ejacket.nsf.gov/ej/showProposal.do?Continue=Y&amp;ID="&amp;BudgetsTable[[#This Row],[prop_id]],BudgetsTable[[#This Row],[prop_id]]))</f>
        <v>1755881</v>
      </c>
      <c r="M277" s="15" t="str">
        <f>IF(BudgetsTable[[#This Row],[pi_last_name]]=" ","",HYPERLINK("https://www.ejacket.nsf.gov/ej/processReviewAnalysis.do?dispatch=add&amp;uniqId="&amp;BudgetsTable[[#This Row],[prop_id]]&amp;PO_id,"&gt;ra"))</f>
        <v>&gt;ra</v>
      </c>
      <c r="N277" s="79" t="s">
        <v>756</v>
      </c>
      <c r="O277" s="7" t="str">
        <f>IF(BudgetsTable[[#This Row],[pi_last_name]]=" ","",HYPERLINK("mailto:"&amp;BudgetsTable[[#This Row],[pi_email]]&amp;"&amp;subject=Your NSF Proposal:  "&amp;BudgetsTable[[#This Row],[prop_id]],BudgetsTable[[#This Row],[pi_email]]))</f>
        <v>osan@okstate.edu</v>
      </c>
      <c r="P277" s="79" t="s">
        <v>863</v>
      </c>
      <c r="Q277" s="79"/>
      <c r="R277" s="79"/>
      <c r="S277" s="80"/>
      <c r="T277" s="80"/>
      <c r="U277" s="80"/>
      <c r="V277" s="81"/>
      <c r="W277" s="79">
        <v>0</v>
      </c>
      <c r="X277" s="79"/>
      <c r="Y277" s="11" t="str">
        <f ca="1">IF(ISBLANK(BudgetsTable[[#This Row],[budg_seq_yr]]),"FY"&amp;fiscalyear,"FY"&amp;fiscalyear-1+BudgetsTable[[#This Row],[budg_seq_yr]])</f>
        <v>FY18</v>
      </c>
      <c r="Z277" s="80">
        <v>170144</v>
      </c>
      <c r="AA277" s="79" t="s">
        <v>780</v>
      </c>
      <c r="AB277" s="79" t="s">
        <v>565</v>
      </c>
      <c r="AC277" s="106" t="s">
        <v>94</v>
      </c>
      <c r="AD277" s="79" t="s">
        <v>861</v>
      </c>
    </row>
    <row r="278" spans="1:30">
      <c r="A278" s="10" t="s">
        <v>755</v>
      </c>
      <c r="B278" s="77" t="s">
        <v>96</v>
      </c>
      <c r="C278" s="77">
        <f>C277+(BudgetsTable[[#This Row],[lead]]&lt;&gt;K277)</f>
        <v>61</v>
      </c>
      <c r="D278" s="77">
        <f>D277*(BudgetsTable[[#This Row],[lead]]=K277)+(BudgetsTable[[#This Row],[prop_id]]&lt;&gt;A277)</f>
        <v>1</v>
      </c>
      <c r="E278" s="78">
        <v>42956.647916666669</v>
      </c>
      <c r="F278" s="79" t="s">
        <v>848</v>
      </c>
      <c r="G278" s="79" t="s">
        <v>780</v>
      </c>
      <c r="H278" s="79" t="s">
        <v>565</v>
      </c>
      <c r="I278" s="77" t="s">
        <v>579</v>
      </c>
      <c r="J278" s="77" t="s">
        <v>13</v>
      </c>
      <c r="K278" s="79" t="s">
        <v>755</v>
      </c>
      <c r="L278" s="7" t="str">
        <f>IF(BudgetsTable[[#This Row],[pi_last_name]]=" ","",HYPERLINK("https://www.ejacket.nsf.gov/ej/showProposal.do?Continue=Y&amp;ID="&amp;BudgetsTable[[#This Row],[prop_id]],BudgetsTable[[#This Row],[prop_id]]))</f>
        <v/>
      </c>
      <c r="M278" s="15" t="str">
        <f>IF(BudgetsTable[[#This Row],[pi_last_name]]=" ","",HYPERLINK("https://www.ejacket.nsf.gov/ej/processReviewAnalysis.do?dispatch=add&amp;uniqId="&amp;BudgetsTable[[#This Row],[prop_id]]&amp;PO_id,"&gt;ra"))</f>
        <v/>
      </c>
      <c r="N278" s="79" t="s">
        <v>13</v>
      </c>
      <c r="O278" s="7" t="str">
        <f>IF(BudgetsTable[[#This Row],[pi_last_name]]=" ","",HYPERLINK("mailto:"&amp;BudgetsTable[[#This Row],[pi_email]]&amp;"&amp;subject=Your NSF Proposal:  "&amp;BudgetsTable[[#This Row],[prop_id]],BudgetsTable[[#This Row],[pi_email]]))</f>
        <v/>
      </c>
      <c r="P278" s="79" t="s">
        <v>13</v>
      </c>
      <c r="Q278" s="79">
        <v>0</v>
      </c>
      <c r="R278" s="79">
        <v>0</v>
      </c>
      <c r="S278" s="80">
        <v>0</v>
      </c>
      <c r="T278" s="80">
        <v>0</v>
      </c>
      <c r="U278" s="80">
        <v>0</v>
      </c>
      <c r="V278" s="81">
        <v>83724</v>
      </c>
      <c r="W278" s="79">
        <v>0</v>
      </c>
      <c r="X278" s="79">
        <v>1</v>
      </c>
      <c r="Y278" s="11" t="str">
        <f ca="1">IF(ISBLANK(BudgetsTable[[#This Row],[budg_seq_yr]]),"FY"&amp;fiscalyear,"FY"&amp;fiscalyear-1+BudgetsTable[[#This Row],[budg_seq_yr]])</f>
        <v>FY18</v>
      </c>
      <c r="Z278" s="80">
        <v>83724</v>
      </c>
      <c r="AA278" s="79" t="s">
        <v>780</v>
      </c>
      <c r="AB278" s="79" t="s">
        <v>565</v>
      </c>
      <c r="AC278" s="106" t="s">
        <v>94</v>
      </c>
      <c r="AD278" s="79" t="s">
        <v>861</v>
      </c>
    </row>
    <row r="279" spans="1:30">
      <c r="A279" s="10" t="s">
        <v>755</v>
      </c>
      <c r="B279" s="77" t="s">
        <v>96</v>
      </c>
      <c r="C279" s="77">
        <f>C278+(BudgetsTable[[#This Row],[lead]]&lt;&gt;K278)</f>
        <v>61</v>
      </c>
      <c r="D279" s="77">
        <f>D278*(BudgetsTable[[#This Row],[lead]]=K278)+(BudgetsTable[[#This Row],[prop_id]]&lt;&gt;A278)</f>
        <v>1</v>
      </c>
      <c r="E279" s="78">
        <v>42956.647916666669</v>
      </c>
      <c r="F279" s="79" t="s">
        <v>848</v>
      </c>
      <c r="G279" s="79" t="s">
        <v>780</v>
      </c>
      <c r="H279" s="79" t="s">
        <v>565</v>
      </c>
      <c r="I279" s="77" t="s">
        <v>579</v>
      </c>
      <c r="J279" s="77" t="s">
        <v>13</v>
      </c>
      <c r="K279" s="79" t="s">
        <v>755</v>
      </c>
      <c r="L279" s="7" t="str">
        <f>IF(BudgetsTable[[#This Row],[pi_last_name]]=" ","",HYPERLINK("https://www.ejacket.nsf.gov/ej/showProposal.do?Continue=Y&amp;ID="&amp;BudgetsTable[[#This Row],[prop_id]],BudgetsTable[[#This Row],[prop_id]]))</f>
        <v/>
      </c>
      <c r="M279" s="15" t="str">
        <f>IF(BudgetsTable[[#This Row],[pi_last_name]]=" ","",HYPERLINK("https://www.ejacket.nsf.gov/ej/processReviewAnalysis.do?dispatch=add&amp;uniqId="&amp;BudgetsTable[[#This Row],[prop_id]]&amp;PO_id,"&gt;ra"))</f>
        <v/>
      </c>
      <c r="N279" s="79" t="s">
        <v>13</v>
      </c>
      <c r="O279" s="7" t="str">
        <f>IF(BudgetsTable[[#This Row],[pi_last_name]]=" ","",HYPERLINK("mailto:"&amp;BudgetsTable[[#This Row],[pi_email]]&amp;"&amp;subject=Your NSF Proposal:  "&amp;BudgetsTable[[#This Row],[prop_id]],BudgetsTable[[#This Row],[pi_email]]))</f>
        <v/>
      </c>
      <c r="P279" s="79" t="s">
        <v>13</v>
      </c>
      <c r="Q279" s="79">
        <v>0</v>
      </c>
      <c r="R279" s="79">
        <v>0</v>
      </c>
      <c r="S279" s="80">
        <v>0</v>
      </c>
      <c r="T279" s="80">
        <v>0</v>
      </c>
      <c r="U279" s="80">
        <v>0</v>
      </c>
      <c r="V279" s="81">
        <v>86420</v>
      </c>
      <c r="W279" s="79">
        <v>0</v>
      </c>
      <c r="X279" s="79">
        <v>2</v>
      </c>
      <c r="Y279" s="11" t="str">
        <f ca="1">IF(ISBLANK(BudgetsTable[[#This Row],[budg_seq_yr]]),"FY"&amp;fiscalyear,"FY"&amp;fiscalyear-1+BudgetsTable[[#This Row],[budg_seq_yr]])</f>
        <v>FY19</v>
      </c>
      <c r="Z279" s="80">
        <v>86420</v>
      </c>
      <c r="AA279" s="79" t="s">
        <v>780</v>
      </c>
      <c r="AB279" s="79" t="s">
        <v>565</v>
      </c>
      <c r="AC279" s="106" t="s">
        <v>94</v>
      </c>
      <c r="AD279" s="79" t="s">
        <v>861</v>
      </c>
    </row>
    <row r="280" spans="1:30">
      <c r="A280" s="10" t="s">
        <v>1319</v>
      </c>
      <c r="B280" s="77" t="s">
        <v>96</v>
      </c>
      <c r="C280" s="77">
        <f>C279+(BudgetsTable[[#This Row],[lead]]&lt;&gt;K279)</f>
        <v>62</v>
      </c>
      <c r="D280" s="77">
        <f>D279*(BudgetsTable[[#This Row],[lead]]=K279)+(BudgetsTable[[#This Row],[prop_id]]&lt;&gt;A279)</f>
        <v>1</v>
      </c>
      <c r="E280" s="78">
        <v>42956.648611111108</v>
      </c>
      <c r="F280" s="79" t="s">
        <v>848</v>
      </c>
      <c r="G280" s="79" t="s">
        <v>780</v>
      </c>
      <c r="H280" s="79" t="s">
        <v>565</v>
      </c>
      <c r="I280" s="77" t="s">
        <v>582</v>
      </c>
      <c r="J280" s="77" t="s">
        <v>1510</v>
      </c>
      <c r="K280" s="79" t="s">
        <v>1319</v>
      </c>
      <c r="L280" s="7" t="str">
        <f>IF(BudgetsTable[[#This Row],[pi_last_name]]=" ","",HYPERLINK("https://www.ejacket.nsf.gov/ej/showProposal.do?Continue=Y&amp;ID="&amp;BudgetsTable[[#This Row],[prop_id]],BudgetsTable[[#This Row],[prop_id]]))</f>
        <v>1755885</v>
      </c>
      <c r="M280" s="15" t="str">
        <f>IF(BudgetsTable[[#This Row],[pi_last_name]]=" ","",HYPERLINK("https://www.ejacket.nsf.gov/ej/processReviewAnalysis.do?dispatch=add&amp;uniqId="&amp;BudgetsTable[[#This Row],[prop_id]]&amp;PO_id,"&gt;ra"))</f>
        <v>&gt;ra</v>
      </c>
      <c r="N280" s="79" t="s">
        <v>1320</v>
      </c>
      <c r="O280" s="7" t="str">
        <f>IF(BudgetsTable[[#This Row],[pi_last_name]]=" ","",HYPERLINK("mailto:"&amp;BudgetsTable[[#This Row],[pi_email]]&amp;"&amp;subject=Your NSF Proposal:  "&amp;BudgetsTable[[#This Row],[prop_id]],BudgetsTable[[#This Row],[pi_email]]))</f>
        <v>hhvcs@rit.edu</v>
      </c>
      <c r="P280" s="79" t="s">
        <v>1508</v>
      </c>
      <c r="Q280" s="79"/>
      <c r="R280" s="79"/>
      <c r="S280" s="80"/>
      <c r="T280" s="80"/>
      <c r="U280" s="80"/>
      <c r="V280" s="81"/>
      <c r="W280" s="79">
        <v>0</v>
      </c>
      <c r="X280" s="79"/>
      <c r="Y280" s="11" t="str">
        <f ca="1">IF(ISBLANK(BudgetsTable[[#This Row],[budg_seq_yr]]),"FY"&amp;fiscalyear,"FY"&amp;fiscalyear-1+BudgetsTable[[#This Row],[budg_seq_yr]])</f>
        <v>FY18</v>
      </c>
      <c r="Z280" s="80">
        <v>173878</v>
      </c>
      <c r="AA280" s="79" t="s">
        <v>780</v>
      </c>
      <c r="AB280" s="79" t="s">
        <v>565</v>
      </c>
      <c r="AC280" s="106" t="s">
        <v>94</v>
      </c>
      <c r="AD280" s="79" t="s">
        <v>1495</v>
      </c>
    </row>
    <row r="281" spans="1:30">
      <c r="A281" s="10" t="s">
        <v>1319</v>
      </c>
      <c r="B281" s="77" t="s">
        <v>96</v>
      </c>
      <c r="C281" s="77">
        <f>C280+(BudgetsTable[[#This Row],[lead]]&lt;&gt;K280)</f>
        <v>62</v>
      </c>
      <c r="D281" s="77">
        <f>D280*(BudgetsTable[[#This Row],[lead]]=K280)+(BudgetsTable[[#This Row],[prop_id]]&lt;&gt;A280)</f>
        <v>1</v>
      </c>
      <c r="E281" s="78">
        <v>42956.648611111108</v>
      </c>
      <c r="F281" s="79" t="s">
        <v>848</v>
      </c>
      <c r="G281" s="79" t="s">
        <v>780</v>
      </c>
      <c r="H281" s="79" t="s">
        <v>565</v>
      </c>
      <c r="I281" s="77" t="s">
        <v>582</v>
      </c>
      <c r="J281" s="77" t="s">
        <v>13</v>
      </c>
      <c r="K281" s="79" t="s">
        <v>1319</v>
      </c>
      <c r="L281" s="7" t="str">
        <f>IF(BudgetsTable[[#This Row],[pi_last_name]]=" ","",HYPERLINK("https://www.ejacket.nsf.gov/ej/showProposal.do?Continue=Y&amp;ID="&amp;BudgetsTable[[#This Row],[prop_id]],BudgetsTable[[#This Row],[prop_id]]))</f>
        <v/>
      </c>
      <c r="M281" s="15" t="str">
        <f>IF(BudgetsTable[[#This Row],[pi_last_name]]=" ","",HYPERLINK("https://www.ejacket.nsf.gov/ej/processReviewAnalysis.do?dispatch=add&amp;uniqId="&amp;BudgetsTable[[#This Row],[prop_id]]&amp;PO_id,"&gt;ra"))</f>
        <v/>
      </c>
      <c r="N281" s="79" t="s">
        <v>13</v>
      </c>
      <c r="O281" s="7" t="str">
        <f>IF(BudgetsTable[[#This Row],[pi_last_name]]=" ","",HYPERLINK("mailto:"&amp;BudgetsTable[[#This Row],[pi_email]]&amp;"&amp;subject=Your NSF Proposal:  "&amp;BudgetsTable[[#This Row],[prop_id]],BudgetsTable[[#This Row],[pi_email]]))</f>
        <v/>
      </c>
      <c r="P281" s="79" t="s">
        <v>13</v>
      </c>
      <c r="Q281" s="79">
        <v>0</v>
      </c>
      <c r="R281" s="79">
        <v>0</v>
      </c>
      <c r="S281" s="80">
        <v>0</v>
      </c>
      <c r="T281" s="80">
        <v>0</v>
      </c>
      <c r="U281" s="80">
        <v>0</v>
      </c>
      <c r="V281" s="81">
        <v>93775</v>
      </c>
      <c r="W281" s="79">
        <v>0</v>
      </c>
      <c r="X281" s="79">
        <v>1</v>
      </c>
      <c r="Y281" s="11" t="str">
        <f ca="1">IF(ISBLANK(BudgetsTable[[#This Row],[budg_seq_yr]]),"FY"&amp;fiscalyear,"FY"&amp;fiscalyear-1+BudgetsTable[[#This Row],[budg_seq_yr]])</f>
        <v>FY18</v>
      </c>
      <c r="Z281" s="80">
        <v>93775</v>
      </c>
      <c r="AA281" s="79" t="s">
        <v>780</v>
      </c>
      <c r="AB281" s="79" t="s">
        <v>565</v>
      </c>
      <c r="AC281" s="106" t="s">
        <v>94</v>
      </c>
      <c r="AD281" s="79" t="s">
        <v>1495</v>
      </c>
    </row>
    <row r="282" spans="1:30">
      <c r="A282" s="10" t="s">
        <v>1319</v>
      </c>
      <c r="B282" s="77" t="s">
        <v>96</v>
      </c>
      <c r="C282" s="77">
        <f>C281+(BudgetsTable[[#This Row],[lead]]&lt;&gt;K281)</f>
        <v>62</v>
      </c>
      <c r="D282" s="77">
        <f>D281*(BudgetsTable[[#This Row],[lead]]=K281)+(BudgetsTable[[#This Row],[prop_id]]&lt;&gt;A281)</f>
        <v>1</v>
      </c>
      <c r="E282" s="78">
        <v>42956.648611111108</v>
      </c>
      <c r="F282" s="79" t="s">
        <v>848</v>
      </c>
      <c r="G282" s="79" t="s">
        <v>780</v>
      </c>
      <c r="H282" s="79" t="s">
        <v>565</v>
      </c>
      <c r="I282" s="77" t="s">
        <v>582</v>
      </c>
      <c r="J282" s="77" t="s">
        <v>13</v>
      </c>
      <c r="K282" s="79" t="s">
        <v>1319</v>
      </c>
      <c r="L282" s="7" t="str">
        <f>IF(BudgetsTable[[#This Row],[pi_last_name]]=" ","",HYPERLINK("https://www.ejacket.nsf.gov/ej/showProposal.do?Continue=Y&amp;ID="&amp;BudgetsTable[[#This Row],[prop_id]],BudgetsTable[[#This Row],[prop_id]]))</f>
        <v/>
      </c>
      <c r="M282" s="15" t="str">
        <f>IF(BudgetsTable[[#This Row],[pi_last_name]]=" ","",HYPERLINK("https://www.ejacket.nsf.gov/ej/processReviewAnalysis.do?dispatch=add&amp;uniqId="&amp;BudgetsTable[[#This Row],[prop_id]]&amp;PO_id,"&gt;ra"))</f>
        <v/>
      </c>
      <c r="N282" s="79" t="s">
        <v>13</v>
      </c>
      <c r="O282" s="7" t="str">
        <f>IF(BudgetsTable[[#This Row],[pi_last_name]]=" ","",HYPERLINK("mailto:"&amp;BudgetsTable[[#This Row],[pi_email]]&amp;"&amp;subject=Your NSF Proposal:  "&amp;BudgetsTable[[#This Row],[prop_id]],BudgetsTable[[#This Row],[pi_email]]))</f>
        <v/>
      </c>
      <c r="P282" s="79" t="s">
        <v>13</v>
      </c>
      <c r="Q282" s="79">
        <v>0</v>
      </c>
      <c r="R282" s="79">
        <v>0</v>
      </c>
      <c r="S282" s="80">
        <v>0</v>
      </c>
      <c r="T282" s="80">
        <v>3000</v>
      </c>
      <c r="U282" s="80">
        <v>0</v>
      </c>
      <c r="V282" s="81">
        <v>80103</v>
      </c>
      <c r="W282" s="79">
        <v>0</v>
      </c>
      <c r="X282" s="79">
        <v>2</v>
      </c>
      <c r="Y282" s="11" t="str">
        <f ca="1">IF(ISBLANK(BudgetsTable[[#This Row],[budg_seq_yr]]),"FY"&amp;fiscalyear,"FY"&amp;fiscalyear-1+BudgetsTable[[#This Row],[budg_seq_yr]])</f>
        <v>FY19</v>
      </c>
      <c r="Z282" s="80">
        <v>80103</v>
      </c>
      <c r="AA282" s="79" t="s">
        <v>780</v>
      </c>
      <c r="AB282" s="79" t="s">
        <v>565</v>
      </c>
      <c r="AC282" s="106" t="s">
        <v>94</v>
      </c>
      <c r="AD282" s="79" t="s">
        <v>1495</v>
      </c>
    </row>
    <row r="283" spans="1:30">
      <c r="A283" s="10" t="s">
        <v>1326</v>
      </c>
      <c r="B283" s="77" t="s">
        <v>96</v>
      </c>
      <c r="C283" s="77">
        <f>C282+(BudgetsTable[[#This Row],[lead]]&lt;&gt;K282)</f>
        <v>63</v>
      </c>
      <c r="D283" s="77">
        <f>D282*(BudgetsTable[[#This Row],[lead]]=K282)+(BudgetsTable[[#This Row],[prop_id]]&lt;&gt;A282)</f>
        <v>1</v>
      </c>
      <c r="E283" s="78">
        <v>42956.678472222222</v>
      </c>
      <c r="F283" s="79" t="s">
        <v>848</v>
      </c>
      <c r="G283" s="79" t="s">
        <v>780</v>
      </c>
      <c r="H283" s="79" t="s">
        <v>565</v>
      </c>
      <c r="I283" s="77" t="s">
        <v>582</v>
      </c>
      <c r="J283" s="77" t="s">
        <v>1513</v>
      </c>
      <c r="K283" s="79" t="s">
        <v>1326</v>
      </c>
      <c r="L283" s="7" t="str">
        <f>IF(BudgetsTable[[#This Row],[pi_last_name]]=" ","",HYPERLINK("https://www.ejacket.nsf.gov/ej/showProposal.do?Continue=Y&amp;ID="&amp;BudgetsTable[[#This Row],[prop_id]],BudgetsTable[[#This Row],[prop_id]]))</f>
        <v>1755921</v>
      </c>
      <c r="M283" s="15" t="str">
        <f>IF(BudgetsTable[[#This Row],[pi_last_name]]=" ","",HYPERLINK("https://www.ejacket.nsf.gov/ej/processReviewAnalysis.do?dispatch=add&amp;uniqId="&amp;BudgetsTable[[#This Row],[prop_id]]&amp;PO_id,"&gt;ra"))</f>
        <v>&gt;ra</v>
      </c>
      <c r="N283" s="79" t="s">
        <v>1327</v>
      </c>
      <c r="O283" s="7" t="str">
        <f>IF(BudgetsTable[[#This Row],[pi_last_name]]=" ","",HYPERLINK("mailto:"&amp;BudgetsTable[[#This Row],[pi_email]]&amp;"&amp;subject=Your NSF Proposal:  "&amp;BudgetsTable[[#This Row],[prop_id]],BudgetsTable[[#This Row],[pi_email]]))</f>
        <v>miforbes@illinois.edu</v>
      </c>
      <c r="P283" s="79" t="s">
        <v>346</v>
      </c>
      <c r="Q283" s="79"/>
      <c r="R283" s="79"/>
      <c r="S283" s="80"/>
      <c r="T283" s="80"/>
      <c r="U283" s="80"/>
      <c r="V283" s="81"/>
      <c r="W283" s="79">
        <v>0</v>
      </c>
      <c r="X283" s="79"/>
      <c r="Y283" s="11" t="str">
        <f ca="1">IF(ISBLANK(BudgetsTable[[#This Row],[budg_seq_yr]]),"FY"&amp;fiscalyear,"FY"&amp;fiscalyear-1+BudgetsTable[[#This Row],[budg_seq_yr]])</f>
        <v>FY18</v>
      </c>
      <c r="Z283" s="80">
        <v>175000</v>
      </c>
      <c r="AA283" s="79" t="s">
        <v>780</v>
      </c>
      <c r="AB283" s="79" t="s">
        <v>565</v>
      </c>
      <c r="AC283" s="106" t="s">
        <v>94</v>
      </c>
      <c r="AD283" s="79" t="s">
        <v>1511</v>
      </c>
    </row>
    <row r="284" spans="1:30">
      <c r="A284" s="10" t="s">
        <v>1326</v>
      </c>
      <c r="B284" s="77" t="s">
        <v>96</v>
      </c>
      <c r="C284" s="77">
        <f>C283+(BudgetsTable[[#This Row],[lead]]&lt;&gt;K283)</f>
        <v>63</v>
      </c>
      <c r="D284" s="77">
        <f>D283*(BudgetsTable[[#This Row],[lead]]=K283)+(BudgetsTable[[#This Row],[prop_id]]&lt;&gt;A283)</f>
        <v>1</v>
      </c>
      <c r="E284" s="78">
        <v>42956.678472222222</v>
      </c>
      <c r="F284" s="79" t="s">
        <v>848</v>
      </c>
      <c r="G284" s="79" t="s">
        <v>780</v>
      </c>
      <c r="H284" s="79" t="s">
        <v>565</v>
      </c>
      <c r="I284" s="77" t="s">
        <v>582</v>
      </c>
      <c r="J284" s="77" t="s">
        <v>13</v>
      </c>
      <c r="K284" s="79" t="s">
        <v>1326</v>
      </c>
      <c r="L284" s="7" t="str">
        <f>IF(BudgetsTable[[#This Row],[pi_last_name]]=" ","",HYPERLINK("https://www.ejacket.nsf.gov/ej/showProposal.do?Continue=Y&amp;ID="&amp;BudgetsTable[[#This Row],[prop_id]],BudgetsTable[[#This Row],[prop_id]]))</f>
        <v/>
      </c>
      <c r="M284" s="15" t="str">
        <f>IF(BudgetsTable[[#This Row],[pi_last_name]]=" ","",HYPERLINK("https://www.ejacket.nsf.gov/ej/processReviewAnalysis.do?dispatch=add&amp;uniqId="&amp;BudgetsTable[[#This Row],[prop_id]]&amp;PO_id,"&gt;ra"))</f>
        <v/>
      </c>
      <c r="N284" s="79" t="s">
        <v>13</v>
      </c>
      <c r="O284" s="7" t="str">
        <f>IF(BudgetsTable[[#This Row],[pi_last_name]]=" ","",HYPERLINK("mailto:"&amp;BudgetsTable[[#This Row],[pi_email]]&amp;"&amp;subject=Your NSF Proposal:  "&amp;BudgetsTable[[#This Row],[prop_id]],BudgetsTable[[#This Row],[pi_email]]))</f>
        <v/>
      </c>
      <c r="P284" s="79" t="s">
        <v>13</v>
      </c>
      <c r="Q284" s="79">
        <v>0</v>
      </c>
      <c r="R284" s="79">
        <v>0</v>
      </c>
      <c r="S284" s="80">
        <v>0</v>
      </c>
      <c r="T284" s="80">
        <v>4500</v>
      </c>
      <c r="U284" s="80">
        <v>0</v>
      </c>
      <c r="V284" s="81">
        <v>86408</v>
      </c>
      <c r="W284" s="79">
        <v>0</v>
      </c>
      <c r="X284" s="79">
        <v>1</v>
      </c>
      <c r="Y284" s="11" t="str">
        <f ca="1">IF(ISBLANK(BudgetsTable[[#This Row],[budg_seq_yr]]),"FY"&amp;fiscalyear,"FY"&amp;fiscalyear-1+BudgetsTable[[#This Row],[budg_seq_yr]])</f>
        <v>FY18</v>
      </c>
      <c r="Z284" s="80">
        <v>86408</v>
      </c>
      <c r="AA284" s="79" t="s">
        <v>780</v>
      </c>
      <c r="AB284" s="79" t="s">
        <v>565</v>
      </c>
      <c r="AC284" s="106" t="s">
        <v>94</v>
      </c>
      <c r="AD284" s="79" t="s">
        <v>1511</v>
      </c>
    </row>
    <row r="285" spans="1:30">
      <c r="A285" s="10" t="s">
        <v>1326</v>
      </c>
      <c r="B285" s="77" t="s">
        <v>96</v>
      </c>
      <c r="C285" s="77">
        <f>C284+(BudgetsTable[[#This Row],[lead]]&lt;&gt;K284)</f>
        <v>63</v>
      </c>
      <c r="D285" s="77">
        <f>D284*(BudgetsTable[[#This Row],[lead]]=K284)+(BudgetsTable[[#This Row],[prop_id]]&lt;&gt;A284)</f>
        <v>1</v>
      </c>
      <c r="E285" s="78">
        <v>42956.678472222222</v>
      </c>
      <c r="F285" s="79" t="s">
        <v>848</v>
      </c>
      <c r="G285" s="79" t="s">
        <v>780</v>
      </c>
      <c r="H285" s="79" t="s">
        <v>565</v>
      </c>
      <c r="I285" s="77" t="s">
        <v>582</v>
      </c>
      <c r="J285" s="77" t="s">
        <v>13</v>
      </c>
      <c r="K285" s="79" t="s">
        <v>1326</v>
      </c>
      <c r="L285" s="7" t="str">
        <f>IF(BudgetsTable[[#This Row],[pi_last_name]]=" ","",HYPERLINK("https://www.ejacket.nsf.gov/ej/showProposal.do?Continue=Y&amp;ID="&amp;BudgetsTable[[#This Row],[prop_id]],BudgetsTable[[#This Row],[prop_id]]))</f>
        <v/>
      </c>
      <c r="M285" s="15" t="str">
        <f>IF(BudgetsTable[[#This Row],[pi_last_name]]=" ","",HYPERLINK("https://www.ejacket.nsf.gov/ej/processReviewAnalysis.do?dispatch=add&amp;uniqId="&amp;BudgetsTable[[#This Row],[prop_id]]&amp;PO_id,"&gt;ra"))</f>
        <v/>
      </c>
      <c r="N285" s="79" t="s">
        <v>13</v>
      </c>
      <c r="O285" s="7" t="str">
        <f>IF(BudgetsTable[[#This Row],[pi_last_name]]=" ","",HYPERLINK("mailto:"&amp;BudgetsTable[[#This Row],[pi_email]]&amp;"&amp;subject=Your NSF Proposal:  "&amp;BudgetsTable[[#This Row],[prop_id]],BudgetsTable[[#This Row],[pi_email]]))</f>
        <v/>
      </c>
      <c r="P285" s="79" t="s">
        <v>13</v>
      </c>
      <c r="Q285" s="79">
        <v>0</v>
      </c>
      <c r="R285" s="79">
        <v>0</v>
      </c>
      <c r="S285" s="80">
        <v>0</v>
      </c>
      <c r="T285" s="80">
        <v>4237</v>
      </c>
      <c r="U285" s="80">
        <v>0</v>
      </c>
      <c r="V285" s="81">
        <v>88592</v>
      </c>
      <c r="W285" s="79">
        <v>0</v>
      </c>
      <c r="X285" s="79">
        <v>2</v>
      </c>
      <c r="Y285" s="11" t="str">
        <f ca="1">IF(ISBLANK(BudgetsTable[[#This Row],[budg_seq_yr]]),"FY"&amp;fiscalyear,"FY"&amp;fiscalyear-1+BudgetsTable[[#This Row],[budg_seq_yr]])</f>
        <v>FY19</v>
      </c>
      <c r="Z285" s="80">
        <v>88592</v>
      </c>
      <c r="AA285" s="79" t="s">
        <v>780</v>
      </c>
      <c r="AB285" s="79" t="s">
        <v>565</v>
      </c>
      <c r="AC285" s="106" t="s">
        <v>94</v>
      </c>
      <c r="AD285" s="79" t="s">
        <v>1511</v>
      </c>
    </row>
    <row r="286" spans="1:30">
      <c r="A286" s="10" t="s">
        <v>1333</v>
      </c>
      <c r="B286" s="77" t="s">
        <v>96</v>
      </c>
      <c r="C286" s="77">
        <f>C285+(BudgetsTable[[#This Row],[lead]]&lt;&gt;K285)</f>
        <v>64</v>
      </c>
      <c r="D286" s="77">
        <f>D285*(BudgetsTable[[#This Row],[lead]]=K285)+(BudgetsTable[[#This Row],[prop_id]]&lt;&gt;A285)</f>
        <v>1</v>
      </c>
      <c r="E286" s="78">
        <v>42956.695833333331</v>
      </c>
      <c r="F286" s="79" t="s">
        <v>848</v>
      </c>
      <c r="G286" s="79" t="s">
        <v>780</v>
      </c>
      <c r="H286" s="79" t="s">
        <v>565</v>
      </c>
      <c r="I286" s="77" t="s">
        <v>582</v>
      </c>
      <c r="J286" s="77" t="s">
        <v>1518</v>
      </c>
      <c r="K286" s="79" t="s">
        <v>1333</v>
      </c>
      <c r="L286" s="7" t="str">
        <f>IF(BudgetsTable[[#This Row],[pi_last_name]]=" ","",HYPERLINK("https://www.ejacket.nsf.gov/ej/showProposal.do?Continue=Y&amp;ID="&amp;BudgetsTable[[#This Row],[prop_id]],BudgetsTable[[#This Row],[prop_id]]))</f>
        <v>1755950</v>
      </c>
      <c r="M286" s="15" t="str">
        <f>IF(BudgetsTable[[#This Row],[pi_last_name]]=" ","",HYPERLINK("https://www.ejacket.nsf.gov/ej/processReviewAnalysis.do?dispatch=add&amp;uniqId="&amp;BudgetsTable[[#This Row],[prop_id]]&amp;PO_id,"&gt;ra"))</f>
        <v>&gt;ra</v>
      </c>
      <c r="N286" s="79" t="s">
        <v>1334</v>
      </c>
      <c r="O286" s="7" t="str">
        <f>IF(BudgetsTable[[#This Row],[pi_last_name]]=" ","",HYPERLINK("mailto:"&amp;BudgetsTable[[#This Row],[pi_email]]&amp;"&amp;subject=Your NSF Proposal:  "&amp;BudgetsTable[[#This Row],[prop_id]],BudgetsTable[[#This Row],[pi_email]]))</f>
        <v>adres@asu.edu</v>
      </c>
      <c r="P286" s="79" t="s">
        <v>1515</v>
      </c>
      <c r="Q286" s="79"/>
      <c r="R286" s="79"/>
      <c r="S286" s="80"/>
      <c r="T286" s="80"/>
      <c r="U286" s="80"/>
      <c r="V286" s="81"/>
      <c r="W286" s="79">
        <v>0</v>
      </c>
      <c r="X286" s="79"/>
      <c r="Y286" s="11" t="str">
        <f ca="1">IF(ISBLANK(BudgetsTable[[#This Row],[budg_seq_yr]]),"FY"&amp;fiscalyear,"FY"&amp;fiscalyear-1+BudgetsTable[[#This Row],[budg_seq_yr]])</f>
        <v>FY18</v>
      </c>
      <c r="Z286" s="80">
        <v>175000</v>
      </c>
      <c r="AA286" s="79" t="s">
        <v>780</v>
      </c>
      <c r="AB286" s="79" t="s">
        <v>565</v>
      </c>
      <c r="AC286" s="106" t="s">
        <v>94</v>
      </c>
      <c r="AD286" s="79" t="s">
        <v>1495</v>
      </c>
    </row>
    <row r="287" spans="1:30">
      <c r="A287" s="10" t="s">
        <v>1333</v>
      </c>
      <c r="B287" s="77" t="s">
        <v>96</v>
      </c>
      <c r="C287" s="77">
        <f>C286+(BudgetsTable[[#This Row],[lead]]&lt;&gt;K286)</f>
        <v>64</v>
      </c>
      <c r="D287" s="77">
        <f>D286*(BudgetsTable[[#This Row],[lead]]=K286)+(BudgetsTable[[#This Row],[prop_id]]&lt;&gt;A286)</f>
        <v>1</v>
      </c>
      <c r="E287" s="78">
        <v>42956.695833333331</v>
      </c>
      <c r="F287" s="79" t="s">
        <v>848</v>
      </c>
      <c r="G287" s="79" t="s">
        <v>780</v>
      </c>
      <c r="H287" s="79" t="s">
        <v>565</v>
      </c>
      <c r="I287" s="77" t="s">
        <v>582</v>
      </c>
      <c r="J287" s="77" t="s">
        <v>13</v>
      </c>
      <c r="K287" s="79" t="s">
        <v>1333</v>
      </c>
      <c r="L287" s="7" t="str">
        <f>IF(BudgetsTable[[#This Row],[pi_last_name]]=" ","",HYPERLINK("https://www.ejacket.nsf.gov/ej/showProposal.do?Continue=Y&amp;ID="&amp;BudgetsTable[[#This Row],[prop_id]],BudgetsTable[[#This Row],[prop_id]]))</f>
        <v/>
      </c>
      <c r="M287" s="15" t="str">
        <f>IF(BudgetsTable[[#This Row],[pi_last_name]]=" ","",HYPERLINK("https://www.ejacket.nsf.gov/ej/processReviewAnalysis.do?dispatch=add&amp;uniqId="&amp;BudgetsTable[[#This Row],[prop_id]]&amp;PO_id,"&gt;ra"))</f>
        <v/>
      </c>
      <c r="N287" s="79" t="s">
        <v>13</v>
      </c>
      <c r="O287" s="7" t="str">
        <f>IF(BudgetsTable[[#This Row],[pi_last_name]]=" ","",HYPERLINK("mailto:"&amp;BudgetsTable[[#This Row],[pi_email]]&amp;"&amp;subject=Your NSF Proposal:  "&amp;BudgetsTable[[#This Row],[prop_id]],BudgetsTable[[#This Row],[pi_email]]))</f>
        <v/>
      </c>
      <c r="P287" s="79" t="s">
        <v>13</v>
      </c>
      <c r="Q287" s="79">
        <v>0</v>
      </c>
      <c r="R287" s="79">
        <v>0</v>
      </c>
      <c r="S287" s="80">
        <v>0</v>
      </c>
      <c r="T287" s="80">
        <v>3300</v>
      </c>
      <c r="U287" s="80">
        <v>0</v>
      </c>
      <c r="V287" s="81">
        <v>67667</v>
      </c>
      <c r="W287" s="79">
        <v>0</v>
      </c>
      <c r="X287" s="79">
        <v>1</v>
      </c>
      <c r="Y287" s="11" t="str">
        <f ca="1">IF(ISBLANK(BudgetsTable[[#This Row],[budg_seq_yr]]),"FY"&amp;fiscalyear,"FY"&amp;fiscalyear-1+BudgetsTable[[#This Row],[budg_seq_yr]])</f>
        <v>FY18</v>
      </c>
      <c r="Z287" s="80">
        <v>67667</v>
      </c>
      <c r="AA287" s="79" t="s">
        <v>780</v>
      </c>
      <c r="AB287" s="79" t="s">
        <v>565</v>
      </c>
      <c r="AC287" s="106" t="s">
        <v>94</v>
      </c>
      <c r="AD287" s="79" t="s">
        <v>1495</v>
      </c>
    </row>
    <row r="288" spans="1:30">
      <c r="A288" s="10" t="s">
        <v>1333</v>
      </c>
      <c r="B288" s="77" t="s">
        <v>96</v>
      </c>
      <c r="C288" s="77">
        <f>C287+(BudgetsTable[[#This Row],[lead]]&lt;&gt;K287)</f>
        <v>64</v>
      </c>
      <c r="D288" s="77">
        <f>D287*(BudgetsTable[[#This Row],[lead]]=K287)+(BudgetsTable[[#This Row],[prop_id]]&lt;&gt;A287)</f>
        <v>1</v>
      </c>
      <c r="E288" s="78">
        <v>42956.695833333331</v>
      </c>
      <c r="F288" s="79" t="s">
        <v>848</v>
      </c>
      <c r="G288" s="79" t="s">
        <v>780</v>
      </c>
      <c r="H288" s="79" t="s">
        <v>565</v>
      </c>
      <c r="I288" s="77" t="s">
        <v>582</v>
      </c>
      <c r="J288" s="77" t="s">
        <v>13</v>
      </c>
      <c r="K288" s="79" t="s">
        <v>1333</v>
      </c>
      <c r="L288" s="7" t="str">
        <f>IF(BudgetsTable[[#This Row],[pi_last_name]]=" ","",HYPERLINK("https://www.ejacket.nsf.gov/ej/showProposal.do?Continue=Y&amp;ID="&amp;BudgetsTable[[#This Row],[prop_id]],BudgetsTable[[#This Row],[prop_id]]))</f>
        <v/>
      </c>
      <c r="M288" s="15" t="str">
        <f>IF(BudgetsTable[[#This Row],[pi_last_name]]=" ","",HYPERLINK("https://www.ejacket.nsf.gov/ej/processReviewAnalysis.do?dispatch=add&amp;uniqId="&amp;BudgetsTable[[#This Row],[prop_id]]&amp;PO_id,"&gt;ra"))</f>
        <v/>
      </c>
      <c r="N288" s="79" t="s">
        <v>13</v>
      </c>
      <c r="O288" s="7" t="str">
        <f>IF(BudgetsTable[[#This Row],[pi_last_name]]=" ","",HYPERLINK("mailto:"&amp;BudgetsTable[[#This Row],[pi_email]]&amp;"&amp;subject=Your NSF Proposal:  "&amp;BudgetsTable[[#This Row],[prop_id]],BudgetsTable[[#This Row],[pi_email]]))</f>
        <v/>
      </c>
      <c r="P288" s="79" t="s">
        <v>13</v>
      </c>
      <c r="Q288" s="79">
        <v>0</v>
      </c>
      <c r="R288" s="79">
        <v>0</v>
      </c>
      <c r="S288" s="80">
        <v>0</v>
      </c>
      <c r="T288" s="80">
        <v>3281</v>
      </c>
      <c r="U288" s="80">
        <v>0</v>
      </c>
      <c r="V288" s="81">
        <v>107333</v>
      </c>
      <c r="W288" s="79">
        <v>0</v>
      </c>
      <c r="X288" s="79">
        <v>2</v>
      </c>
      <c r="Y288" s="11" t="str">
        <f ca="1">IF(ISBLANK(BudgetsTable[[#This Row],[budg_seq_yr]]),"FY"&amp;fiscalyear,"FY"&amp;fiscalyear-1+BudgetsTable[[#This Row],[budg_seq_yr]])</f>
        <v>FY19</v>
      </c>
      <c r="Z288" s="80">
        <v>107333</v>
      </c>
      <c r="AA288" s="79" t="s">
        <v>780</v>
      </c>
      <c r="AB288" s="79" t="s">
        <v>565</v>
      </c>
      <c r="AC288" s="106" t="s">
        <v>94</v>
      </c>
      <c r="AD288" s="79" t="s">
        <v>1495</v>
      </c>
    </row>
    <row r="289" spans="1:30">
      <c r="A289" s="10" t="s">
        <v>762</v>
      </c>
      <c r="B289" s="77" t="s">
        <v>96</v>
      </c>
      <c r="C289" s="77">
        <f>C288+(BudgetsTable[[#This Row],[lead]]&lt;&gt;K288)</f>
        <v>65</v>
      </c>
      <c r="D289" s="77">
        <f>D288*(BudgetsTable[[#This Row],[lead]]=K288)+(BudgetsTable[[#This Row],[prop_id]]&lt;&gt;A288)</f>
        <v>1</v>
      </c>
      <c r="E289" s="78">
        <v>42956.697222222225</v>
      </c>
      <c r="F289" s="79" t="s">
        <v>848</v>
      </c>
      <c r="G289" s="79" t="s">
        <v>780</v>
      </c>
      <c r="H289" s="79" t="s">
        <v>565</v>
      </c>
      <c r="I289" s="77" t="s">
        <v>579</v>
      </c>
      <c r="J289" s="77" t="s">
        <v>871</v>
      </c>
      <c r="K289" s="79" t="s">
        <v>762</v>
      </c>
      <c r="L289" s="7" t="str">
        <f>IF(BudgetsTable[[#This Row],[pi_last_name]]=" ","",HYPERLINK("https://www.ejacket.nsf.gov/ej/showProposal.do?Continue=Y&amp;ID="&amp;BudgetsTable[[#This Row],[prop_id]],BudgetsTable[[#This Row],[prop_id]]))</f>
        <v>1755954</v>
      </c>
      <c r="M289" s="15" t="str">
        <f>IF(BudgetsTable[[#This Row],[pi_last_name]]=" ","",HYPERLINK("https://www.ejacket.nsf.gov/ej/processReviewAnalysis.do?dispatch=add&amp;uniqId="&amp;BudgetsTable[[#This Row],[prop_id]]&amp;PO_id,"&gt;ra"))</f>
        <v>&gt;ra</v>
      </c>
      <c r="N289" s="79" t="s">
        <v>763</v>
      </c>
      <c r="O289" s="7" t="str">
        <f>IF(BudgetsTable[[#This Row],[pi_last_name]]=" ","",HYPERLINK("mailto:"&amp;BudgetsTable[[#This Row],[pi_email]]&amp;"&amp;subject=Your NSF Proposal:  "&amp;BudgetsTable[[#This Row],[prop_id]],BudgetsTable[[#This Row],[pi_email]]))</f>
        <v>shima.hm@tamu.edu</v>
      </c>
      <c r="P289" s="79" t="s">
        <v>868</v>
      </c>
      <c r="Q289" s="79"/>
      <c r="R289" s="79"/>
      <c r="S289" s="80"/>
      <c r="T289" s="80"/>
      <c r="U289" s="80"/>
      <c r="V289" s="81"/>
      <c r="W289" s="79">
        <v>0</v>
      </c>
      <c r="X289" s="79"/>
      <c r="Y289" s="11" t="str">
        <f ca="1">IF(ISBLANK(BudgetsTable[[#This Row],[budg_seq_yr]]),"FY"&amp;fiscalyear,"FY"&amp;fiscalyear-1+BudgetsTable[[#This Row],[budg_seq_yr]])</f>
        <v>FY18</v>
      </c>
      <c r="Z289" s="80">
        <v>175000</v>
      </c>
      <c r="AA289" s="79" t="s">
        <v>780</v>
      </c>
      <c r="AB289" s="79" t="s">
        <v>565</v>
      </c>
      <c r="AC289" s="106" t="s">
        <v>94</v>
      </c>
      <c r="AD289" s="79" t="s">
        <v>856</v>
      </c>
    </row>
    <row r="290" spans="1:30">
      <c r="A290" s="10" t="s">
        <v>762</v>
      </c>
      <c r="B290" s="77" t="s">
        <v>96</v>
      </c>
      <c r="C290" s="77">
        <f>C289+(BudgetsTable[[#This Row],[lead]]&lt;&gt;K289)</f>
        <v>65</v>
      </c>
      <c r="D290" s="77">
        <f>D289*(BudgetsTable[[#This Row],[lead]]=K289)+(BudgetsTable[[#This Row],[prop_id]]&lt;&gt;A289)</f>
        <v>1</v>
      </c>
      <c r="E290" s="78">
        <v>42956.697222222225</v>
      </c>
      <c r="F290" s="79" t="s">
        <v>848</v>
      </c>
      <c r="G290" s="79" t="s">
        <v>780</v>
      </c>
      <c r="H290" s="79" t="s">
        <v>565</v>
      </c>
      <c r="I290" s="77" t="s">
        <v>579</v>
      </c>
      <c r="J290" s="77" t="s">
        <v>13</v>
      </c>
      <c r="K290" s="79" t="s">
        <v>762</v>
      </c>
      <c r="L290" s="7" t="str">
        <f>IF(BudgetsTable[[#This Row],[pi_last_name]]=" ","",HYPERLINK("https://www.ejacket.nsf.gov/ej/showProposal.do?Continue=Y&amp;ID="&amp;BudgetsTable[[#This Row],[prop_id]],BudgetsTable[[#This Row],[prop_id]]))</f>
        <v/>
      </c>
      <c r="M290" s="15" t="str">
        <f>IF(BudgetsTable[[#This Row],[pi_last_name]]=" ","",HYPERLINK("https://www.ejacket.nsf.gov/ej/processReviewAnalysis.do?dispatch=add&amp;uniqId="&amp;BudgetsTable[[#This Row],[prop_id]]&amp;PO_id,"&gt;ra"))</f>
        <v/>
      </c>
      <c r="N290" s="79" t="s">
        <v>13</v>
      </c>
      <c r="O290" s="7" t="str">
        <f>IF(BudgetsTable[[#This Row],[pi_last_name]]=" ","",HYPERLINK("mailto:"&amp;BudgetsTable[[#This Row],[pi_email]]&amp;"&amp;subject=Your NSF Proposal:  "&amp;BudgetsTable[[#This Row],[prop_id]],BudgetsTable[[#This Row],[pi_email]]))</f>
        <v/>
      </c>
      <c r="P290" s="79" t="s">
        <v>13</v>
      </c>
      <c r="Q290" s="79">
        <v>0</v>
      </c>
      <c r="R290" s="79">
        <v>0</v>
      </c>
      <c r="S290" s="80">
        <v>0</v>
      </c>
      <c r="T290" s="80">
        <v>0</v>
      </c>
      <c r="U290" s="80">
        <v>0</v>
      </c>
      <c r="V290" s="81">
        <v>86245</v>
      </c>
      <c r="W290" s="79">
        <v>0</v>
      </c>
      <c r="X290" s="79">
        <v>1</v>
      </c>
      <c r="Y290" s="11" t="str">
        <f ca="1">IF(ISBLANK(BudgetsTable[[#This Row],[budg_seq_yr]]),"FY"&amp;fiscalyear,"FY"&amp;fiscalyear-1+BudgetsTable[[#This Row],[budg_seq_yr]])</f>
        <v>FY18</v>
      </c>
      <c r="Z290" s="80">
        <v>86245</v>
      </c>
      <c r="AA290" s="79" t="s">
        <v>780</v>
      </c>
      <c r="AB290" s="79" t="s">
        <v>565</v>
      </c>
      <c r="AC290" s="106" t="s">
        <v>94</v>
      </c>
      <c r="AD290" s="79" t="s">
        <v>856</v>
      </c>
    </row>
    <row r="291" spans="1:30">
      <c r="A291" s="10" t="s">
        <v>762</v>
      </c>
      <c r="B291" s="77" t="s">
        <v>96</v>
      </c>
      <c r="C291" s="77">
        <f>C290+(BudgetsTable[[#This Row],[lead]]&lt;&gt;K290)</f>
        <v>65</v>
      </c>
      <c r="D291" s="77">
        <f>D290*(BudgetsTable[[#This Row],[lead]]=K290)+(BudgetsTable[[#This Row],[prop_id]]&lt;&gt;A290)</f>
        <v>1</v>
      </c>
      <c r="E291" s="78">
        <v>42956.697222222225</v>
      </c>
      <c r="F291" s="79" t="s">
        <v>848</v>
      </c>
      <c r="G291" s="79" t="s">
        <v>780</v>
      </c>
      <c r="H291" s="79" t="s">
        <v>565</v>
      </c>
      <c r="I291" s="77" t="s">
        <v>579</v>
      </c>
      <c r="J291" s="77" t="s">
        <v>13</v>
      </c>
      <c r="K291" s="79" t="s">
        <v>762</v>
      </c>
      <c r="L291" s="7" t="str">
        <f>IF(BudgetsTable[[#This Row],[pi_last_name]]=" ","",HYPERLINK("https://www.ejacket.nsf.gov/ej/showProposal.do?Continue=Y&amp;ID="&amp;BudgetsTable[[#This Row],[prop_id]],BudgetsTable[[#This Row],[prop_id]]))</f>
        <v/>
      </c>
      <c r="M291" s="15" t="str">
        <f>IF(BudgetsTable[[#This Row],[pi_last_name]]=" ","",HYPERLINK("https://www.ejacket.nsf.gov/ej/processReviewAnalysis.do?dispatch=add&amp;uniqId="&amp;BudgetsTable[[#This Row],[prop_id]]&amp;PO_id,"&gt;ra"))</f>
        <v/>
      </c>
      <c r="N291" s="79" t="s">
        <v>13</v>
      </c>
      <c r="O291" s="7" t="str">
        <f>IF(BudgetsTable[[#This Row],[pi_last_name]]=" ","",HYPERLINK("mailto:"&amp;BudgetsTable[[#This Row],[pi_email]]&amp;"&amp;subject=Your NSF Proposal:  "&amp;BudgetsTable[[#This Row],[prop_id]],BudgetsTable[[#This Row],[pi_email]]))</f>
        <v/>
      </c>
      <c r="P291" s="79" t="s">
        <v>13</v>
      </c>
      <c r="Q291" s="79">
        <v>0</v>
      </c>
      <c r="R291" s="79">
        <v>0</v>
      </c>
      <c r="S291" s="80">
        <v>0</v>
      </c>
      <c r="T291" s="80">
        <v>0</v>
      </c>
      <c r="U291" s="80">
        <v>0</v>
      </c>
      <c r="V291" s="81">
        <v>88755</v>
      </c>
      <c r="W291" s="79">
        <v>0</v>
      </c>
      <c r="X291" s="79">
        <v>2</v>
      </c>
      <c r="Y291" s="11" t="str">
        <f ca="1">IF(ISBLANK(BudgetsTable[[#This Row],[budg_seq_yr]]),"FY"&amp;fiscalyear,"FY"&amp;fiscalyear-1+BudgetsTable[[#This Row],[budg_seq_yr]])</f>
        <v>FY19</v>
      </c>
      <c r="Z291" s="80">
        <v>88755</v>
      </c>
      <c r="AA291" s="79" t="s">
        <v>780</v>
      </c>
      <c r="AB291" s="79" t="s">
        <v>565</v>
      </c>
      <c r="AC291" s="106" t="s">
        <v>94</v>
      </c>
      <c r="AD291" s="79" t="s">
        <v>856</v>
      </c>
    </row>
    <row r="292" spans="1:30">
      <c r="A292" s="10" t="s">
        <v>1340</v>
      </c>
      <c r="B292" s="77" t="s">
        <v>96</v>
      </c>
      <c r="C292" s="77">
        <f>C291+(BudgetsTable[[#This Row],[lead]]&lt;&gt;K291)</f>
        <v>66</v>
      </c>
      <c r="D292" s="77">
        <f>D291*(BudgetsTable[[#This Row],[lead]]=K291)+(BudgetsTable[[#This Row],[prop_id]]&lt;&gt;A291)</f>
        <v>1</v>
      </c>
      <c r="E292" s="78">
        <v>42956.697916666664</v>
      </c>
      <c r="F292" s="79" t="s">
        <v>848</v>
      </c>
      <c r="G292" s="79" t="s">
        <v>780</v>
      </c>
      <c r="H292" s="79" t="s">
        <v>565</v>
      </c>
      <c r="I292" s="77" t="s">
        <v>582</v>
      </c>
      <c r="J292" s="77" t="s">
        <v>1463</v>
      </c>
      <c r="K292" s="79" t="s">
        <v>1340</v>
      </c>
      <c r="L292" s="7" t="str">
        <f>IF(BudgetsTable[[#This Row],[pi_last_name]]=" ","",HYPERLINK("https://www.ejacket.nsf.gov/ej/showProposal.do?Continue=Y&amp;ID="&amp;BudgetsTable[[#This Row],[prop_id]],BudgetsTable[[#This Row],[prop_id]]))</f>
        <v>1755955</v>
      </c>
      <c r="M292" s="15" t="str">
        <f>IF(BudgetsTable[[#This Row],[pi_last_name]]=" ","",HYPERLINK("https://www.ejacket.nsf.gov/ej/processReviewAnalysis.do?dispatch=add&amp;uniqId="&amp;BudgetsTable[[#This Row],[prop_id]]&amp;PO_id,"&gt;ra"))</f>
        <v>&gt;ra</v>
      </c>
      <c r="N292" s="79" t="s">
        <v>1191</v>
      </c>
      <c r="O292" s="7" t="str">
        <f>IF(BudgetsTable[[#This Row],[pi_last_name]]=" ","",HYPERLINK("mailto:"&amp;BudgetsTable[[#This Row],[pi_email]]&amp;"&amp;subject=Your NSF Proposal:  "&amp;BudgetsTable[[#This Row],[prop_id]],BudgetsTable[[#This Row],[pi_email]]))</f>
        <v>gkatz@drexel.edu</v>
      </c>
      <c r="P292" s="79" t="s">
        <v>1461</v>
      </c>
      <c r="Q292" s="79"/>
      <c r="R292" s="79"/>
      <c r="S292" s="80"/>
      <c r="T292" s="80"/>
      <c r="U292" s="80"/>
      <c r="V292" s="81"/>
      <c r="W292" s="79">
        <v>0</v>
      </c>
      <c r="X292" s="79"/>
      <c r="Y292" s="11" t="str">
        <f ca="1">IF(ISBLANK(BudgetsTable[[#This Row],[budg_seq_yr]]),"FY"&amp;fiscalyear,"FY"&amp;fiscalyear-1+BudgetsTable[[#This Row],[budg_seq_yr]])</f>
        <v>FY18</v>
      </c>
      <c r="Z292" s="80">
        <v>174930</v>
      </c>
      <c r="AA292" s="79" t="s">
        <v>780</v>
      </c>
      <c r="AB292" s="79" t="s">
        <v>565</v>
      </c>
      <c r="AC292" s="106" t="s">
        <v>94</v>
      </c>
      <c r="AD292" s="79" t="s">
        <v>1495</v>
      </c>
    </row>
    <row r="293" spans="1:30">
      <c r="A293" s="10" t="s">
        <v>1340</v>
      </c>
      <c r="B293" s="77" t="s">
        <v>96</v>
      </c>
      <c r="C293" s="77">
        <f>C292+(BudgetsTable[[#This Row],[lead]]&lt;&gt;K292)</f>
        <v>66</v>
      </c>
      <c r="D293" s="77">
        <f>D292*(BudgetsTable[[#This Row],[lead]]=K292)+(BudgetsTable[[#This Row],[prop_id]]&lt;&gt;A292)</f>
        <v>1</v>
      </c>
      <c r="E293" s="78">
        <v>42956.697916666664</v>
      </c>
      <c r="F293" s="79" t="s">
        <v>848</v>
      </c>
      <c r="G293" s="79" t="s">
        <v>780</v>
      </c>
      <c r="H293" s="79" t="s">
        <v>565</v>
      </c>
      <c r="I293" s="77" t="s">
        <v>582</v>
      </c>
      <c r="J293" s="77" t="s">
        <v>13</v>
      </c>
      <c r="K293" s="79" t="s">
        <v>1340</v>
      </c>
      <c r="L293" s="7" t="str">
        <f>IF(BudgetsTable[[#This Row],[pi_last_name]]=" ","",HYPERLINK("https://www.ejacket.nsf.gov/ej/showProposal.do?Continue=Y&amp;ID="&amp;BudgetsTable[[#This Row],[prop_id]],BudgetsTable[[#This Row],[prop_id]]))</f>
        <v/>
      </c>
      <c r="M293" s="15" t="str">
        <f>IF(BudgetsTable[[#This Row],[pi_last_name]]=" ","",HYPERLINK("https://www.ejacket.nsf.gov/ej/processReviewAnalysis.do?dispatch=add&amp;uniqId="&amp;BudgetsTable[[#This Row],[prop_id]]&amp;PO_id,"&gt;ra"))</f>
        <v/>
      </c>
      <c r="N293" s="79" t="s">
        <v>13</v>
      </c>
      <c r="O293" s="7" t="str">
        <f>IF(BudgetsTable[[#This Row],[pi_last_name]]=" ","",HYPERLINK("mailto:"&amp;BudgetsTable[[#This Row],[pi_email]]&amp;"&amp;subject=Your NSF Proposal:  "&amp;BudgetsTable[[#This Row],[prop_id]],BudgetsTable[[#This Row],[pi_email]]))</f>
        <v/>
      </c>
      <c r="P293" s="79" t="s">
        <v>13</v>
      </c>
      <c r="Q293" s="79">
        <v>0</v>
      </c>
      <c r="R293" s="79">
        <v>0</v>
      </c>
      <c r="S293" s="80">
        <v>0</v>
      </c>
      <c r="T293" s="80">
        <v>4500</v>
      </c>
      <c r="U293" s="80">
        <v>0</v>
      </c>
      <c r="V293" s="81">
        <v>90272</v>
      </c>
      <c r="W293" s="79">
        <v>0</v>
      </c>
      <c r="X293" s="79">
        <v>1</v>
      </c>
      <c r="Y293" s="11" t="str">
        <f ca="1">IF(ISBLANK(BudgetsTable[[#This Row],[budg_seq_yr]]),"FY"&amp;fiscalyear,"FY"&amp;fiscalyear-1+BudgetsTable[[#This Row],[budg_seq_yr]])</f>
        <v>FY18</v>
      </c>
      <c r="Z293" s="80">
        <v>90272</v>
      </c>
      <c r="AA293" s="79" t="s">
        <v>780</v>
      </c>
      <c r="AB293" s="79" t="s">
        <v>565</v>
      </c>
      <c r="AC293" s="106" t="s">
        <v>94</v>
      </c>
      <c r="AD293" s="79" t="s">
        <v>1495</v>
      </c>
    </row>
    <row r="294" spans="1:30">
      <c r="A294" s="10" t="s">
        <v>1340</v>
      </c>
      <c r="B294" s="77" t="s">
        <v>96</v>
      </c>
      <c r="C294" s="77">
        <f>C293+(BudgetsTable[[#This Row],[lead]]&lt;&gt;K293)</f>
        <v>66</v>
      </c>
      <c r="D294" s="77">
        <f>D293*(BudgetsTable[[#This Row],[lead]]=K293)+(BudgetsTable[[#This Row],[prop_id]]&lt;&gt;A293)</f>
        <v>1</v>
      </c>
      <c r="E294" s="78">
        <v>42956.697916666664</v>
      </c>
      <c r="F294" s="79" t="s">
        <v>848</v>
      </c>
      <c r="G294" s="79" t="s">
        <v>780</v>
      </c>
      <c r="H294" s="79" t="s">
        <v>565</v>
      </c>
      <c r="I294" s="77" t="s">
        <v>582</v>
      </c>
      <c r="J294" s="77" t="s">
        <v>13</v>
      </c>
      <c r="K294" s="79" t="s">
        <v>1340</v>
      </c>
      <c r="L294" s="7" t="str">
        <f>IF(BudgetsTable[[#This Row],[pi_last_name]]=" ","",HYPERLINK("https://www.ejacket.nsf.gov/ej/showProposal.do?Continue=Y&amp;ID="&amp;BudgetsTable[[#This Row],[prop_id]],BudgetsTable[[#This Row],[prop_id]]))</f>
        <v/>
      </c>
      <c r="M294" s="15" t="str">
        <f>IF(BudgetsTable[[#This Row],[pi_last_name]]=" ","",HYPERLINK("https://www.ejacket.nsf.gov/ej/processReviewAnalysis.do?dispatch=add&amp;uniqId="&amp;BudgetsTable[[#This Row],[prop_id]]&amp;PO_id,"&gt;ra"))</f>
        <v/>
      </c>
      <c r="N294" s="79" t="s">
        <v>13</v>
      </c>
      <c r="O294" s="7" t="str">
        <f>IF(BudgetsTable[[#This Row],[pi_last_name]]=" ","",HYPERLINK("mailto:"&amp;BudgetsTable[[#This Row],[pi_email]]&amp;"&amp;subject=Your NSF Proposal:  "&amp;BudgetsTable[[#This Row],[prop_id]],BudgetsTable[[#This Row],[pi_email]]))</f>
        <v/>
      </c>
      <c r="P294" s="79" t="s">
        <v>13</v>
      </c>
      <c r="Q294" s="79">
        <v>0</v>
      </c>
      <c r="R294" s="79">
        <v>0</v>
      </c>
      <c r="S294" s="80">
        <v>0</v>
      </c>
      <c r="T294" s="80">
        <v>4500</v>
      </c>
      <c r="U294" s="80">
        <v>0</v>
      </c>
      <c r="V294" s="81">
        <v>84658</v>
      </c>
      <c r="W294" s="79">
        <v>0</v>
      </c>
      <c r="X294" s="79">
        <v>2</v>
      </c>
      <c r="Y294" s="11" t="str">
        <f ca="1">IF(ISBLANK(BudgetsTable[[#This Row],[budg_seq_yr]]),"FY"&amp;fiscalyear,"FY"&amp;fiscalyear-1+BudgetsTable[[#This Row],[budg_seq_yr]])</f>
        <v>FY19</v>
      </c>
      <c r="Z294" s="80">
        <v>84658</v>
      </c>
      <c r="AA294" s="79" t="s">
        <v>780</v>
      </c>
      <c r="AB294" s="79" t="s">
        <v>565</v>
      </c>
      <c r="AC294" s="106" t="s">
        <v>94</v>
      </c>
      <c r="AD294" s="79" t="s">
        <v>1495</v>
      </c>
    </row>
    <row r="295" spans="1:30">
      <c r="A295" s="10" t="s">
        <v>773</v>
      </c>
      <c r="B295" s="77" t="s">
        <v>96</v>
      </c>
      <c r="C295" s="77">
        <f>C294+(BudgetsTable[[#This Row],[lead]]&lt;&gt;K294)</f>
        <v>67</v>
      </c>
      <c r="D295" s="77">
        <f>D294*(BudgetsTable[[#This Row],[lead]]=K294)+(BudgetsTable[[#This Row],[prop_id]]&lt;&gt;A294)</f>
        <v>1</v>
      </c>
      <c r="E295" s="78">
        <v>42956.717361111114</v>
      </c>
      <c r="F295" s="79" t="s">
        <v>848</v>
      </c>
      <c r="G295" s="79" t="s">
        <v>780</v>
      </c>
      <c r="H295" s="79" t="s">
        <v>565</v>
      </c>
      <c r="I295" s="77" t="s">
        <v>579</v>
      </c>
      <c r="J295" s="77" t="s">
        <v>876</v>
      </c>
      <c r="K295" s="79" t="s">
        <v>773</v>
      </c>
      <c r="L295" s="7" t="str">
        <f>IF(BudgetsTable[[#This Row],[pi_last_name]]=" ","",HYPERLINK("https://www.ejacket.nsf.gov/ej/showProposal.do?Continue=Y&amp;ID="&amp;BudgetsTable[[#This Row],[prop_id]],BudgetsTable[[#This Row],[prop_id]]))</f>
        <v>1755978</v>
      </c>
      <c r="M295" s="15" t="str">
        <f>IF(BudgetsTable[[#This Row],[pi_last_name]]=" ","",HYPERLINK("https://www.ejacket.nsf.gov/ej/processReviewAnalysis.do?dispatch=add&amp;uniqId="&amp;BudgetsTable[[#This Row],[prop_id]]&amp;PO_id,"&gt;ra"))</f>
        <v>&gt;ra</v>
      </c>
      <c r="N295" s="79" t="s">
        <v>774</v>
      </c>
      <c r="O295" s="7" t="str">
        <f>IF(BudgetsTable[[#This Row],[pi_last_name]]=" ","",HYPERLINK("mailto:"&amp;BudgetsTable[[#This Row],[pi_email]]&amp;"&amp;subject=Your NSF Proposal:  "&amp;BudgetsTable[[#This Row],[prop_id]],BudgetsTable[[#This Row],[pi_email]]))</f>
        <v>harsha@smu.edu</v>
      </c>
      <c r="P295" s="79" t="s">
        <v>873</v>
      </c>
      <c r="Q295" s="79"/>
      <c r="R295" s="79"/>
      <c r="S295" s="80"/>
      <c r="T295" s="80"/>
      <c r="U295" s="80"/>
      <c r="V295" s="81"/>
      <c r="W295" s="79">
        <v>0</v>
      </c>
      <c r="X295" s="79"/>
      <c r="Y295" s="11" t="str">
        <f ca="1">IF(ISBLANK(BudgetsTable[[#This Row],[budg_seq_yr]]),"FY"&amp;fiscalyear,"FY"&amp;fiscalyear-1+BudgetsTable[[#This Row],[budg_seq_yr]])</f>
        <v>FY18</v>
      </c>
      <c r="Z295" s="80">
        <v>175000</v>
      </c>
      <c r="AA295" s="79" t="s">
        <v>780</v>
      </c>
      <c r="AB295" s="79" t="s">
        <v>565</v>
      </c>
      <c r="AC295" s="106" t="s">
        <v>94</v>
      </c>
      <c r="AD295" s="79" t="s">
        <v>577</v>
      </c>
    </row>
    <row r="296" spans="1:30">
      <c r="A296" s="10" t="s">
        <v>773</v>
      </c>
      <c r="B296" s="77" t="s">
        <v>96</v>
      </c>
      <c r="C296" s="77">
        <f>C295+(BudgetsTable[[#This Row],[lead]]&lt;&gt;K295)</f>
        <v>67</v>
      </c>
      <c r="D296" s="77">
        <f>D295*(BudgetsTable[[#This Row],[lead]]=K295)+(BudgetsTable[[#This Row],[prop_id]]&lt;&gt;A295)</f>
        <v>1</v>
      </c>
      <c r="E296" s="78">
        <v>42956.717361111114</v>
      </c>
      <c r="F296" s="79" t="s">
        <v>848</v>
      </c>
      <c r="G296" s="79" t="s">
        <v>780</v>
      </c>
      <c r="H296" s="79" t="s">
        <v>565</v>
      </c>
      <c r="I296" s="77" t="s">
        <v>579</v>
      </c>
      <c r="J296" s="77" t="s">
        <v>13</v>
      </c>
      <c r="K296" s="79" t="s">
        <v>773</v>
      </c>
      <c r="L296" s="7" t="str">
        <f>IF(BudgetsTable[[#This Row],[pi_last_name]]=" ","",HYPERLINK("https://www.ejacket.nsf.gov/ej/showProposal.do?Continue=Y&amp;ID="&amp;BudgetsTable[[#This Row],[prop_id]],BudgetsTable[[#This Row],[prop_id]]))</f>
        <v/>
      </c>
      <c r="M296" s="15" t="str">
        <f>IF(BudgetsTable[[#This Row],[pi_last_name]]=" ","",HYPERLINK("https://www.ejacket.nsf.gov/ej/processReviewAnalysis.do?dispatch=add&amp;uniqId="&amp;BudgetsTable[[#This Row],[prop_id]]&amp;PO_id,"&gt;ra"))</f>
        <v/>
      </c>
      <c r="N296" s="79" t="s">
        <v>13</v>
      </c>
      <c r="O296" s="7" t="str">
        <f>IF(BudgetsTable[[#This Row],[pi_last_name]]=" ","",HYPERLINK("mailto:"&amp;BudgetsTable[[#This Row],[pi_email]]&amp;"&amp;subject=Your NSF Proposal:  "&amp;BudgetsTable[[#This Row],[prop_id]],BudgetsTable[[#This Row],[pi_email]]))</f>
        <v/>
      </c>
      <c r="P296" s="79" t="s">
        <v>13</v>
      </c>
      <c r="Q296" s="79">
        <v>0</v>
      </c>
      <c r="R296" s="79">
        <v>0</v>
      </c>
      <c r="S296" s="80">
        <v>0</v>
      </c>
      <c r="T296" s="80">
        <v>0</v>
      </c>
      <c r="U296" s="80">
        <v>0</v>
      </c>
      <c r="V296" s="81">
        <v>85200</v>
      </c>
      <c r="W296" s="79">
        <v>0</v>
      </c>
      <c r="X296" s="79">
        <v>1</v>
      </c>
      <c r="Y296" s="11" t="str">
        <f ca="1">IF(ISBLANK(BudgetsTable[[#This Row],[budg_seq_yr]]),"FY"&amp;fiscalyear,"FY"&amp;fiscalyear-1+BudgetsTable[[#This Row],[budg_seq_yr]])</f>
        <v>FY18</v>
      </c>
      <c r="Z296" s="80">
        <v>85200</v>
      </c>
      <c r="AA296" s="79" t="s">
        <v>780</v>
      </c>
      <c r="AB296" s="79" t="s">
        <v>565</v>
      </c>
      <c r="AC296" s="106" t="s">
        <v>94</v>
      </c>
      <c r="AD296" s="79" t="s">
        <v>577</v>
      </c>
    </row>
    <row r="297" spans="1:30">
      <c r="A297" s="10" t="s">
        <v>773</v>
      </c>
      <c r="B297" s="77" t="s">
        <v>96</v>
      </c>
      <c r="C297" s="77">
        <f>C296+(BudgetsTable[[#This Row],[lead]]&lt;&gt;K296)</f>
        <v>67</v>
      </c>
      <c r="D297" s="77">
        <f>D296*(BudgetsTable[[#This Row],[lead]]=K296)+(BudgetsTable[[#This Row],[prop_id]]&lt;&gt;A296)</f>
        <v>1</v>
      </c>
      <c r="E297" s="78">
        <v>42956.717361111114</v>
      </c>
      <c r="F297" s="79" t="s">
        <v>848</v>
      </c>
      <c r="G297" s="79" t="s">
        <v>780</v>
      </c>
      <c r="H297" s="79" t="s">
        <v>565</v>
      </c>
      <c r="I297" s="77" t="s">
        <v>579</v>
      </c>
      <c r="J297" s="77" t="s">
        <v>13</v>
      </c>
      <c r="K297" s="79" t="s">
        <v>773</v>
      </c>
      <c r="L297" s="7" t="str">
        <f>IF(BudgetsTable[[#This Row],[pi_last_name]]=" ","",HYPERLINK("https://www.ejacket.nsf.gov/ej/showProposal.do?Continue=Y&amp;ID="&amp;BudgetsTable[[#This Row],[prop_id]],BudgetsTable[[#This Row],[prop_id]]))</f>
        <v/>
      </c>
      <c r="M297" s="15" t="str">
        <f>IF(BudgetsTable[[#This Row],[pi_last_name]]=" ","",HYPERLINK("https://www.ejacket.nsf.gov/ej/processReviewAnalysis.do?dispatch=add&amp;uniqId="&amp;BudgetsTable[[#This Row],[prop_id]]&amp;PO_id,"&gt;ra"))</f>
        <v/>
      </c>
      <c r="N297" s="79" t="s">
        <v>13</v>
      </c>
      <c r="O297" s="7" t="str">
        <f>IF(BudgetsTable[[#This Row],[pi_last_name]]=" ","",HYPERLINK("mailto:"&amp;BudgetsTable[[#This Row],[pi_email]]&amp;"&amp;subject=Your NSF Proposal:  "&amp;BudgetsTable[[#This Row],[prop_id]],BudgetsTable[[#This Row],[pi_email]]))</f>
        <v/>
      </c>
      <c r="P297" s="79" t="s">
        <v>13</v>
      </c>
      <c r="Q297" s="79">
        <v>0</v>
      </c>
      <c r="R297" s="79">
        <v>0</v>
      </c>
      <c r="S297" s="80">
        <v>0</v>
      </c>
      <c r="T297" s="80">
        <v>0</v>
      </c>
      <c r="U297" s="80">
        <v>0</v>
      </c>
      <c r="V297" s="81">
        <v>89800</v>
      </c>
      <c r="W297" s="79">
        <v>0</v>
      </c>
      <c r="X297" s="79">
        <v>2</v>
      </c>
      <c r="Y297" s="11" t="str">
        <f ca="1">IF(ISBLANK(BudgetsTable[[#This Row],[budg_seq_yr]]),"FY"&amp;fiscalyear,"FY"&amp;fiscalyear-1+BudgetsTable[[#This Row],[budg_seq_yr]])</f>
        <v>FY19</v>
      </c>
      <c r="Z297" s="80">
        <v>89800</v>
      </c>
      <c r="AA297" s="79" t="s">
        <v>780</v>
      </c>
      <c r="AB297" s="79" t="s">
        <v>565</v>
      </c>
      <c r="AC297" s="106" t="s">
        <v>94</v>
      </c>
      <c r="AD297" s="79" t="s">
        <v>577</v>
      </c>
    </row>
    <row r="298" spans="1:30">
      <c r="A298" s="10" t="s">
        <v>1346</v>
      </c>
      <c r="B298" s="77" t="s">
        <v>96</v>
      </c>
      <c r="C298" s="77">
        <f>C297+(BudgetsTable[[#This Row],[lead]]&lt;&gt;K297)</f>
        <v>68</v>
      </c>
      <c r="D298" s="77">
        <f>D297*(BudgetsTable[[#This Row],[lead]]=K297)+(BudgetsTable[[#This Row],[prop_id]]&lt;&gt;A297)</f>
        <v>1</v>
      </c>
      <c r="E298" s="78">
        <v>42956.746527777781</v>
      </c>
      <c r="F298" s="79" t="s">
        <v>848</v>
      </c>
      <c r="G298" s="79" t="s">
        <v>780</v>
      </c>
      <c r="H298" s="79" t="s">
        <v>565</v>
      </c>
      <c r="I298" s="77" t="s">
        <v>944</v>
      </c>
      <c r="J298" s="77" t="s">
        <v>1522</v>
      </c>
      <c r="K298" s="79" t="s">
        <v>1346</v>
      </c>
      <c r="L298" s="7" t="str">
        <f>IF(BudgetsTable[[#This Row],[pi_last_name]]=" ","",HYPERLINK("https://www.ejacket.nsf.gov/ej/showProposal.do?Continue=Y&amp;ID="&amp;BudgetsTable[[#This Row],[prop_id]],BudgetsTable[[#This Row],[prop_id]]))</f>
        <v>1756014</v>
      </c>
      <c r="M298" s="15" t="str">
        <f>IF(BudgetsTable[[#This Row],[pi_last_name]]=" ","",HYPERLINK("https://www.ejacket.nsf.gov/ej/processReviewAnalysis.do?dispatch=add&amp;uniqId="&amp;BudgetsTable[[#This Row],[prop_id]]&amp;PO_id,"&gt;ra"))</f>
        <v>&gt;ra</v>
      </c>
      <c r="N298" s="79" t="s">
        <v>666</v>
      </c>
      <c r="O298" s="7" t="str">
        <f>IF(BudgetsTable[[#This Row],[pi_last_name]]=" ","",HYPERLINK("mailto:"&amp;BudgetsTable[[#This Row],[pi_email]]&amp;"&amp;subject=Your NSF Proposal:  "&amp;BudgetsTable[[#This Row],[prop_id]],BudgetsTable[[#This Row],[pi_email]]))</f>
        <v>lchen49@central.uh.edu</v>
      </c>
      <c r="P298" s="79" t="s">
        <v>1520</v>
      </c>
      <c r="Q298" s="79"/>
      <c r="R298" s="79"/>
      <c r="S298" s="80"/>
      <c r="T298" s="80"/>
      <c r="U298" s="80"/>
      <c r="V298" s="81"/>
      <c r="W298" s="79">
        <v>0</v>
      </c>
      <c r="X298" s="79"/>
      <c r="Y298" s="11" t="str">
        <f ca="1">IF(ISBLANK(BudgetsTable[[#This Row],[budg_seq_yr]]),"FY"&amp;fiscalyear,"FY"&amp;fiscalyear-1+BudgetsTable[[#This Row],[budg_seq_yr]])</f>
        <v>FY18</v>
      </c>
      <c r="Z298" s="80">
        <v>148477</v>
      </c>
      <c r="AA298" s="79" t="s">
        <v>780</v>
      </c>
      <c r="AB298" s="79" t="s">
        <v>565</v>
      </c>
      <c r="AC298" s="106" t="s">
        <v>94</v>
      </c>
      <c r="AD298" s="79" t="s">
        <v>850</v>
      </c>
    </row>
    <row r="299" spans="1:30">
      <c r="A299" s="10" t="s">
        <v>1346</v>
      </c>
      <c r="B299" s="77" t="s">
        <v>96</v>
      </c>
      <c r="C299" s="77">
        <f>C298+(BudgetsTable[[#This Row],[lead]]&lt;&gt;K298)</f>
        <v>68</v>
      </c>
      <c r="D299" s="77">
        <f>D298*(BudgetsTable[[#This Row],[lead]]=K298)+(BudgetsTable[[#This Row],[prop_id]]&lt;&gt;A298)</f>
        <v>1</v>
      </c>
      <c r="E299" s="78">
        <v>42956.746527777781</v>
      </c>
      <c r="F299" s="79" t="s">
        <v>848</v>
      </c>
      <c r="G299" s="79" t="s">
        <v>780</v>
      </c>
      <c r="H299" s="79" t="s">
        <v>565</v>
      </c>
      <c r="I299" s="77" t="s">
        <v>944</v>
      </c>
      <c r="J299" s="77" t="s">
        <v>13</v>
      </c>
      <c r="K299" s="79" t="s">
        <v>1346</v>
      </c>
      <c r="L299" s="7" t="str">
        <f>IF(BudgetsTable[[#This Row],[pi_last_name]]=" ","",HYPERLINK("https://www.ejacket.nsf.gov/ej/showProposal.do?Continue=Y&amp;ID="&amp;BudgetsTable[[#This Row],[prop_id]],BudgetsTable[[#This Row],[prop_id]]))</f>
        <v/>
      </c>
      <c r="M299" s="15" t="str">
        <f>IF(BudgetsTable[[#This Row],[pi_last_name]]=" ","",HYPERLINK("https://www.ejacket.nsf.gov/ej/processReviewAnalysis.do?dispatch=add&amp;uniqId="&amp;BudgetsTable[[#This Row],[prop_id]]&amp;PO_id,"&gt;ra"))</f>
        <v/>
      </c>
      <c r="N299" s="79" t="s">
        <v>13</v>
      </c>
      <c r="O299" s="7" t="str">
        <f>IF(BudgetsTable[[#This Row],[pi_last_name]]=" ","",HYPERLINK("mailto:"&amp;BudgetsTable[[#This Row],[pi_email]]&amp;"&amp;subject=Your NSF Proposal:  "&amp;BudgetsTable[[#This Row],[prop_id]],BudgetsTable[[#This Row],[pi_email]]))</f>
        <v/>
      </c>
      <c r="P299" s="79" t="s">
        <v>13</v>
      </c>
      <c r="Q299" s="79">
        <v>0</v>
      </c>
      <c r="R299" s="79">
        <v>0</v>
      </c>
      <c r="S299" s="80">
        <v>0</v>
      </c>
      <c r="T299" s="80">
        <v>3500</v>
      </c>
      <c r="U299" s="80">
        <v>0</v>
      </c>
      <c r="V299" s="81">
        <v>53317</v>
      </c>
      <c r="W299" s="79">
        <v>0</v>
      </c>
      <c r="X299" s="79">
        <v>1</v>
      </c>
      <c r="Y299" s="11" t="str">
        <f ca="1">IF(ISBLANK(BudgetsTable[[#This Row],[budg_seq_yr]]),"FY"&amp;fiscalyear,"FY"&amp;fiscalyear-1+BudgetsTable[[#This Row],[budg_seq_yr]])</f>
        <v>FY18</v>
      </c>
      <c r="Z299" s="80">
        <v>53317</v>
      </c>
      <c r="AA299" s="79" t="s">
        <v>780</v>
      </c>
      <c r="AB299" s="79" t="s">
        <v>565</v>
      </c>
      <c r="AC299" s="106" t="s">
        <v>94</v>
      </c>
      <c r="AD299" s="79" t="s">
        <v>850</v>
      </c>
    </row>
    <row r="300" spans="1:30">
      <c r="A300" s="10" t="s">
        <v>1346</v>
      </c>
      <c r="B300" s="77" t="s">
        <v>96</v>
      </c>
      <c r="C300" s="77">
        <f>C299+(BudgetsTable[[#This Row],[lead]]&lt;&gt;K299)</f>
        <v>68</v>
      </c>
      <c r="D300" s="77">
        <f>D299*(BudgetsTable[[#This Row],[lead]]=K299)+(BudgetsTable[[#This Row],[prop_id]]&lt;&gt;A299)</f>
        <v>1</v>
      </c>
      <c r="E300" s="78">
        <v>42956.746527777781</v>
      </c>
      <c r="F300" s="79" t="s">
        <v>848</v>
      </c>
      <c r="G300" s="79" t="s">
        <v>780</v>
      </c>
      <c r="H300" s="79" t="s">
        <v>565</v>
      </c>
      <c r="I300" s="77" t="s">
        <v>944</v>
      </c>
      <c r="J300" s="77" t="s">
        <v>13</v>
      </c>
      <c r="K300" s="79" t="s">
        <v>1346</v>
      </c>
      <c r="L300" s="7" t="str">
        <f>IF(BudgetsTable[[#This Row],[pi_last_name]]=" ","",HYPERLINK("https://www.ejacket.nsf.gov/ej/showProposal.do?Continue=Y&amp;ID="&amp;BudgetsTable[[#This Row],[prop_id]],BudgetsTable[[#This Row],[prop_id]]))</f>
        <v/>
      </c>
      <c r="M300" s="15" t="str">
        <f>IF(BudgetsTable[[#This Row],[pi_last_name]]=" ","",HYPERLINK("https://www.ejacket.nsf.gov/ej/processReviewAnalysis.do?dispatch=add&amp;uniqId="&amp;BudgetsTable[[#This Row],[prop_id]]&amp;PO_id,"&gt;ra"))</f>
        <v/>
      </c>
      <c r="N300" s="79" t="s">
        <v>13</v>
      </c>
      <c r="O300" s="7" t="str">
        <f>IF(BudgetsTable[[#This Row],[pi_last_name]]=" ","",HYPERLINK("mailto:"&amp;BudgetsTable[[#This Row],[pi_email]]&amp;"&amp;subject=Your NSF Proposal:  "&amp;BudgetsTable[[#This Row],[prop_id]],BudgetsTable[[#This Row],[pi_email]]))</f>
        <v/>
      </c>
      <c r="P300" s="79" t="s">
        <v>13</v>
      </c>
      <c r="Q300" s="79">
        <v>0</v>
      </c>
      <c r="R300" s="79">
        <v>0</v>
      </c>
      <c r="S300" s="80">
        <v>0</v>
      </c>
      <c r="T300" s="80">
        <v>3500</v>
      </c>
      <c r="U300" s="80">
        <v>0</v>
      </c>
      <c r="V300" s="81">
        <v>95160</v>
      </c>
      <c r="W300" s="79">
        <v>0</v>
      </c>
      <c r="X300" s="79">
        <v>2</v>
      </c>
      <c r="Y300" s="11" t="str">
        <f ca="1">IF(ISBLANK(BudgetsTable[[#This Row],[budg_seq_yr]]),"FY"&amp;fiscalyear,"FY"&amp;fiscalyear-1+BudgetsTable[[#This Row],[budg_seq_yr]])</f>
        <v>FY19</v>
      </c>
      <c r="Z300" s="80">
        <v>95160</v>
      </c>
      <c r="AA300" s="79" t="s">
        <v>780</v>
      </c>
      <c r="AB300" s="79" t="s">
        <v>565</v>
      </c>
      <c r="AC300" s="106" t="s">
        <v>94</v>
      </c>
      <c r="AD300" s="79" t="s">
        <v>850</v>
      </c>
    </row>
  </sheetData>
  <conditionalFormatting sqref="A4:AD300">
    <cfRule type="expression" dxfId="9" priority="1684">
      <formula>MOD($C4,2)</formula>
    </cfRule>
  </conditionalFormatting>
  <conditionalFormatting sqref="L4:AD300">
    <cfRule type="expression" dxfId="8" priority="1579">
      <formula>MOD($D4+1,2)</formula>
    </cfRule>
    <cfRule type="expression" dxfId="7"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4" sqref="E4"/>
    </sheetView>
  </sheetViews>
  <sheetFormatPr defaultRowHeight="14.6"/>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c r="A1" s="63" t="s">
        <v>316</v>
      </c>
      <c r="D1" s="63" t="s">
        <v>545</v>
      </c>
      <c r="V1" s="40" t="s">
        <v>241</v>
      </c>
      <c r="AH1" s="40" t="s">
        <v>235</v>
      </c>
      <c r="AI1" s="40"/>
      <c r="AJ1" s="40"/>
      <c r="AK1" s="40"/>
      <c r="AL1" s="40"/>
      <c r="AM1" s="40"/>
      <c r="AN1" s="41" t="s">
        <v>236</v>
      </c>
      <c r="AO1" s="40"/>
      <c r="AP1" s="40"/>
      <c r="AQ1" s="40"/>
      <c r="AR1" s="42" t="s">
        <v>234</v>
      </c>
      <c r="AS1" s="40"/>
      <c r="AT1" s="40"/>
      <c r="AU1" s="40"/>
      <c r="AV1" s="40"/>
      <c r="AW1" s="40"/>
      <c r="AX1" s="40" t="s">
        <v>237</v>
      </c>
    </row>
    <row r="2" spans="1:50">
      <c r="A2" s="25" t="s">
        <v>318</v>
      </c>
      <c r="B2" t="s">
        <v>319</v>
      </c>
      <c r="D2" s="6" t="s">
        <v>429</v>
      </c>
      <c r="E2" s="6" t="s">
        <v>546</v>
      </c>
      <c r="H2"/>
      <c r="I2"/>
      <c r="J2"/>
      <c r="K2"/>
      <c r="L2"/>
      <c r="S2"/>
      <c r="T2"/>
      <c r="U2"/>
      <c r="Y2"/>
      <c r="AA2"/>
      <c r="AB2"/>
      <c r="AN2"/>
      <c r="AR2"/>
    </row>
    <row r="3" spans="1:50">
      <c r="A3" s="105" t="s">
        <v>252</v>
      </c>
      <c r="B3" t="s">
        <v>320</v>
      </c>
      <c r="D3" s="105" t="s">
        <v>565</v>
      </c>
      <c r="E3" t="s">
        <v>566</v>
      </c>
      <c r="H3"/>
      <c r="I3"/>
      <c r="J3"/>
      <c r="K3"/>
      <c r="L3"/>
      <c r="S3"/>
      <c r="T3"/>
      <c r="U3"/>
      <c r="Y3"/>
      <c r="AA3"/>
      <c r="AB3"/>
      <c r="AN3"/>
      <c r="AR3"/>
    </row>
    <row r="4" spans="1:50">
      <c r="A4" s="105" t="s">
        <v>531</v>
      </c>
      <c r="B4" t="s">
        <v>532</v>
      </c>
      <c r="D4" s="105" t="s">
        <v>531</v>
      </c>
      <c r="E4" t="s">
        <v>532</v>
      </c>
      <c r="H4"/>
      <c r="I4"/>
      <c r="J4"/>
      <c r="K4"/>
      <c r="L4"/>
      <c r="S4"/>
      <c r="T4"/>
      <c r="U4"/>
      <c r="Y4"/>
      <c r="AA4"/>
      <c r="AB4"/>
      <c r="AN4"/>
      <c r="AR4"/>
    </row>
    <row r="5" spans="1:50">
      <c r="A5" s="105" t="s">
        <v>569</v>
      </c>
      <c r="B5" t="s">
        <v>570</v>
      </c>
      <c r="D5" s="121" t="s">
        <v>567</v>
      </c>
      <c r="E5" s="6" t="s">
        <v>568</v>
      </c>
      <c r="H5"/>
      <c r="I5"/>
      <c r="J5"/>
      <c r="K5"/>
      <c r="L5"/>
      <c r="S5"/>
      <c r="T5"/>
      <c r="U5"/>
      <c r="Y5"/>
      <c r="AA5"/>
      <c r="AB5"/>
      <c r="AN5"/>
      <c r="AR5"/>
    </row>
    <row r="6" spans="1:50">
      <c r="A6" s="105" t="s">
        <v>920</v>
      </c>
      <c r="B6" t="s">
        <v>921</v>
      </c>
      <c r="H6"/>
      <c r="I6"/>
      <c r="J6"/>
      <c r="K6"/>
      <c r="L6"/>
      <c r="S6"/>
      <c r="T6"/>
      <c r="U6"/>
      <c r="Y6"/>
      <c r="AA6"/>
      <c r="AB6"/>
      <c r="AN6"/>
      <c r="AR6"/>
    </row>
    <row r="7" spans="1:50">
      <c r="A7" s="105" t="s">
        <v>571</v>
      </c>
      <c r="B7" t="s">
        <v>572</v>
      </c>
      <c r="H7"/>
      <c r="I7"/>
      <c r="J7"/>
      <c r="K7"/>
      <c r="L7"/>
      <c r="S7"/>
      <c r="T7"/>
      <c r="U7"/>
      <c r="Y7"/>
      <c r="AA7"/>
      <c r="AB7"/>
      <c r="AN7"/>
      <c r="AR7"/>
    </row>
    <row r="8" spans="1:50">
      <c r="A8" s="105" t="s">
        <v>922</v>
      </c>
      <c r="B8" t="s">
        <v>923</v>
      </c>
      <c r="H8"/>
      <c r="I8"/>
      <c r="J8"/>
      <c r="K8"/>
      <c r="L8"/>
      <c r="S8"/>
      <c r="T8"/>
      <c r="U8"/>
      <c r="Y8"/>
      <c r="AA8"/>
      <c r="AB8"/>
      <c r="AN8"/>
      <c r="AR8"/>
    </row>
    <row r="9" spans="1:50">
      <c r="A9" s="105" t="s">
        <v>573</v>
      </c>
      <c r="B9" t="s">
        <v>574</v>
      </c>
      <c r="H9"/>
      <c r="I9"/>
      <c r="J9"/>
      <c r="K9"/>
      <c r="L9"/>
      <c r="S9"/>
      <c r="T9"/>
      <c r="U9"/>
      <c r="Y9"/>
      <c r="AA9"/>
      <c r="AB9"/>
      <c r="AN9"/>
      <c r="AR9"/>
    </row>
    <row r="10" spans="1:50">
      <c r="A10" s="105" t="s">
        <v>575</v>
      </c>
      <c r="B10" t="s">
        <v>576</v>
      </c>
      <c r="K10"/>
      <c r="L10"/>
      <c r="S10"/>
      <c r="T10"/>
      <c r="U10"/>
      <c r="Y10"/>
      <c r="AA10"/>
      <c r="AB10"/>
      <c r="AN10"/>
      <c r="AR10"/>
    </row>
    <row r="11" spans="1:50">
      <c r="A11" s="105" t="s">
        <v>577</v>
      </c>
      <c r="B11" t="s">
        <v>578</v>
      </c>
      <c r="K11"/>
      <c r="L11"/>
      <c r="S11"/>
      <c r="T11"/>
      <c r="U11"/>
      <c r="Y11"/>
      <c r="AA11"/>
      <c r="AB11"/>
      <c r="AN11"/>
      <c r="AR11"/>
    </row>
    <row r="12" spans="1:50">
      <c r="A12" s="105" t="s">
        <v>321</v>
      </c>
      <c r="B12" t="s">
        <v>322</v>
      </c>
      <c r="K12"/>
      <c r="L12"/>
      <c r="S12"/>
      <c r="T12"/>
      <c r="U12"/>
      <c r="Y12"/>
      <c r="AA12"/>
      <c r="AB12"/>
      <c r="AN12"/>
      <c r="AR12"/>
    </row>
    <row r="13" spans="1:50">
      <c r="K13"/>
      <c r="L13"/>
      <c r="S13"/>
      <c r="T13"/>
      <c r="U13"/>
      <c r="Y13"/>
      <c r="AA13"/>
      <c r="AB13"/>
      <c r="AN13"/>
      <c r="AR13"/>
    </row>
    <row r="14" spans="1:50">
      <c r="K14"/>
      <c r="L14"/>
      <c r="S14"/>
      <c r="T14"/>
      <c r="U14"/>
      <c r="Y14"/>
      <c r="AA14"/>
      <c r="AB14"/>
      <c r="AN14"/>
      <c r="AR14"/>
    </row>
    <row r="15" spans="1:50">
      <c r="K15"/>
      <c r="L15"/>
      <c r="S15"/>
      <c r="T15"/>
      <c r="U15"/>
      <c r="Y15"/>
      <c r="AA15"/>
      <c r="AB15"/>
      <c r="AN15"/>
      <c r="AR15"/>
    </row>
    <row r="16" spans="1:50">
      <c r="K16"/>
      <c r="L16"/>
      <c r="S16"/>
      <c r="T16"/>
      <c r="U16"/>
      <c r="Y16"/>
      <c r="AA16"/>
      <c r="AB16"/>
      <c r="AN16"/>
      <c r="AR16"/>
    </row>
    <row r="17" spans="11:44">
      <c r="K17"/>
      <c r="L17"/>
      <c r="S17"/>
      <c r="T17"/>
      <c r="U17"/>
      <c r="Y17"/>
      <c r="AA17"/>
      <c r="AB17"/>
      <c r="AN17"/>
      <c r="AR17"/>
    </row>
    <row r="18" spans="11:4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60"/>
  <sheetViews>
    <sheetView workbookViewId="0">
      <selection activeCell="J1" sqref="J1"/>
    </sheetView>
  </sheetViews>
  <sheetFormatPr defaultRowHeight="14.6"/>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5.15234375"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c r="A1" s="5" t="s">
        <v>87</v>
      </c>
      <c r="B1" s="22" t="s">
        <v>7</v>
      </c>
      <c r="C1" s="22" t="s">
        <v>8</v>
      </c>
      <c r="D1" s="30" t="s">
        <v>5</v>
      </c>
      <c r="E1" t="s">
        <v>4</v>
      </c>
      <c r="F1" t="s">
        <v>164</v>
      </c>
      <c r="G1" s="2" t="s">
        <v>166</v>
      </c>
      <c r="H1" t="s">
        <v>92</v>
      </c>
      <c r="I1" t="s">
        <v>17</v>
      </c>
      <c r="J1" t="s">
        <v>91</v>
      </c>
      <c r="K1" s="22" t="s">
        <v>16</v>
      </c>
      <c r="L1" t="s">
        <v>152</v>
      </c>
      <c r="M1" s="46" t="s">
        <v>179</v>
      </c>
      <c r="N1" t="s">
        <v>365</v>
      </c>
      <c r="O1" s="6" t="s">
        <v>366</v>
      </c>
      <c r="P1" s="6" t="s">
        <v>367</v>
      </c>
      <c r="Q1" s="92" t="s">
        <v>484</v>
      </c>
      <c r="R1" s="92" t="s">
        <v>485</v>
      </c>
      <c r="S1" s="92" t="s">
        <v>143</v>
      </c>
      <c r="T1" s="92" t="s">
        <v>540</v>
      </c>
      <c r="U1" s="92" t="s">
        <v>142</v>
      </c>
      <c r="V1" s="92" t="s">
        <v>486</v>
      </c>
      <c r="W1" s="93" t="s">
        <v>488</v>
      </c>
      <c r="X1" s="94" t="s">
        <v>212</v>
      </c>
      <c r="Y1" s="94" t="s">
        <v>490</v>
      </c>
      <c r="Z1" s="6" t="s">
        <v>144</v>
      </c>
      <c r="AA1" s="6" t="s">
        <v>9</v>
      </c>
      <c r="AB1" t="s">
        <v>138</v>
      </c>
      <c r="AC1" s="14" t="s">
        <v>147</v>
      </c>
      <c r="AD1" s="14" t="s">
        <v>328</v>
      </c>
      <c r="AE1" s="14" t="s">
        <v>541</v>
      </c>
      <c r="AF1" s="21" t="s">
        <v>368</v>
      </c>
      <c r="AG1" s="91" t="s">
        <v>23</v>
      </c>
      <c r="AH1" s="14" t="s">
        <v>369</v>
      </c>
      <c r="AI1" s="14" t="s">
        <v>327</v>
      </c>
      <c r="AJ1" s="95" t="s">
        <v>148</v>
      </c>
      <c r="AK1" s="96" t="s">
        <v>21</v>
      </c>
      <c r="AL1" s="13" t="s">
        <v>22</v>
      </c>
      <c r="AM1" t="s">
        <v>160</v>
      </c>
      <c r="AN1" s="95" t="s">
        <v>19</v>
      </c>
      <c r="AO1" s="21" t="s">
        <v>20</v>
      </c>
      <c r="AP1" s="21" t="s">
        <v>36</v>
      </c>
      <c r="AQ1" s="21" t="s">
        <v>149</v>
      </c>
      <c r="AR1" s="21" t="s">
        <v>150</v>
      </c>
      <c r="AS1" s="30" t="s">
        <v>151</v>
      </c>
      <c r="AT1" s="21" t="s">
        <v>24</v>
      </c>
      <c r="AU1" s="21" t="s">
        <v>27</v>
      </c>
      <c r="AV1" s="21" t="s">
        <v>25</v>
      </c>
      <c r="AW1" s="21" t="s">
        <v>26</v>
      </c>
      <c r="AX1" s="30" t="s">
        <v>154</v>
      </c>
      <c r="AY1" s="21" t="s">
        <v>155</v>
      </c>
      <c r="AZ1" s="21" t="s">
        <v>370</v>
      </c>
      <c r="BA1" s="97" t="s">
        <v>371</v>
      </c>
      <c r="BB1" s="21" t="s">
        <v>372</v>
      </c>
      <c r="BC1" s="21" t="s">
        <v>28</v>
      </c>
      <c r="BD1" s="21" t="s">
        <v>31</v>
      </c>
      <c r="BE1" s="21" t="s">
        <v>29</v>
      </c>
      <c r="BF1" s="21" t="s">
        <v>30</v>
      </c>
      <c r="BG1" s="27" t="s">
        <v>156</v>
      </c>
      <c r="BH1" s="21" t="s">
        <v>157</v>
      </c>
      <c r="BI1" s="21" t="s">
        <v>373</v>
      </c>
      <c r="BJ1" s="21" t="s">
        <v>374</v>
      </c>
      <c r="BK1" s="21" t="s">
        <v>375</v>
      </c>
      <c r="BL1" s="21" t="s">
        <v>32</v>
      </c>
      <c r="BM1" s="21" t="s">
        <v>35</v>
      </c>
      <c r="BN1" s="21" t="s">
        <v>33</v>
      </c>
      <c r="BO1" s="21" t="s">
        <v>34</v>
      </c>
      <c r="BP1" s="30" t="s">
        <v>158</v>
      </c>
      <c r="BQ1" s="21" t="s">
        <v>159</v>
      </c>
      <c r="BR1" s="21" t="s">
        <v>376</v>
      </c>
      <c r="BS1" s="21" t="s">
        <v>377</v>
      </c>
      <c r="BT1" s="21" t="s">
        <v>378</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379</v>
      </c>
      <c r="DT1" t="s">
        <v>163</v>
      </c>
      <c r="DU1" t="s">
        <v>178</v>
      </c>
      <c r="DV1" t="s">
        <v>167</v>
      </c>
      <c r="DW1" t="s">
        <v>380</v>
      </c>
      <c r="DX1" t="s">
        <v>165</v>
      </c>
      <c r="DY1" t="s">
        <v>161</v>
      </c>
      <c r="DZ1" t="s">
        <v>162</v>
      </c>
      <c r="EA1" s="22" t="s">
        <v>145</v>
      </c>
      <c r="EB1" t="s">
        <v>146</v>
      </c>
      <c r="EC1" t="s">
        <v>86</v>
      </c>
    </row>
    <row r="2" spans="1:133">
      <c r="A2" s="30">
        <v>36526</v>
      </c>
      <c r="B2" s="22">
        <v>36526</v>
      </c>
      <c r="C2" s="22" t="s">
        <v>463</v>
      </c>
      <c r="D2" s="30" t="s">
        <v>523</v>
      </c>
      <c r="E2" s="30" t="s">
        <v>464</v>
      </c>
      <c r="F2" s="30" t="s">
        <v>524</v>
      </c>
      <c r="G2" s="30" t="s">
        <v>465</v>
      </c>
      <c r="H2" t="s">
        <v>466</v>
      </c>
      <c r="I2" t="s">
        <v>525</v>
      </c>
      <c r="J2" t="s">
        <v>526</v>
      </c>
      <c r="K2" s="22">
        <v>36526</v>
      </c>
      <c r="L2">
        <v>0</v>
      </c>
      <c r="M2" s="26">
        <v>-0.99999998999999995</v>
      </c>
      <c r="N2" t="s">
        <v>389</v>
      </c>
      <c r="O2" t="s">
        <v>389</v>
      </c>
      <c r="P2" t="s">
        <v>389</v>
      </c>
      <c r="Q2" s="29" t="s">
        <v>527</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467</v>
      </c>
      <c r="AA2" t="s">
        <v>390</v>
      </c>
      <c r="AB2">
        <v>0</v>
      </c>
      <c r="AC2">
        <v>0</v>
      </c>
      <c r="AD2">
        <v>0</v>
      </c>
      <c r="AE2" t="str">
        <f>IF(RADataTable[[#This Row],[maxScore]]-RADataTable[[#This Row],[minScore]]&gt;4,"Y","")</f>
        <v>Y</v>
      </c>
      <c r="AF2" s="21">
        <v>1</v>
      </c>
      <c r="AG2" s="26">
        <v>4.5</v>
      </c>
      <c r="AH2">
        <v>9</v>
      </c>
      <c r="AI2" t="s">
        <v>391</v>
      </c>
      <c r="AJ2" s="30">
        <v>36526</v>
      </c>
      <c r="AK2" s="13">
        <v>99999999</v>
      </c>
      <c r="AL2" s="13">
        <v>99999999</v>
      </c>
      <c r="AM2">
        <v>0</v>
      </c>
      <c r="AN2" s="30">
        <v>36526</v>
      </c>
      <c r="AO2" s="21">
        <v>36</v>
      </c>
      <c r="AP2" s="21" t="s">
        <v>392</v>
      </c>
      <c r="AQ2">
        <v>0</v>
      </c>
      <c r="AR2" t="s">
        <v>211</v>
      </c>
      <c r="AS2" s="30">
        <v>36526</v>
      </c>
      <c r="AT2" t="s">
        <v>528</v>
      </c>
      <c r="AU2" s="21" t="s">
        <v>393</v>
      </c>
      <c r="AV2" s="21">
        <v>99</v>
      </c>
      <c r="AW2" s="21" t="s">
        <v>394</v>
      </c>
      <c r="AX2" s="30">
        <v>36526</v>
      </c>
      <c r="AY2" s="21" t="s">
        <v>391</v>
      </c>
      <c r="AZ2" s="21" t="s">
        <v>395</v>
      </c>
      <c r="BA2" s="21">
        <v>0</v>
      </c>
      <c r="BB2" s="21">
        <v>0</v>
      </c>
      <c r="BC2" s="21" t="s">
        <v>528</v>
      </c>
      <c r="BD2" s="21" t="s">
        <v>393</v>
      </c>
      <c r="BE2" s="21">
        <v>99</v>
      </c>
      <c r="BF2" s="21" t="s">
        <v>394</v>
      </c>
      <c r="BG2" s="30">
        <v>36526</v>
      </c>
      <c r="BH2" s="21" t="s">
        <v>391</v>
      </c>
      <c r="BI2" s="21" t="s">
        <v>395</v>
      </c>
      <c r="BJ2" s="21">
        <v>0</v>
      </c>
      <c r="BK2" s="21">
        <v>0</v>
      </c>
      <c r="BL2" s="21" t="s">
        <v>528</v>
      </c>
      <c r="BM2" s="21" t="s">
        <v>393</v>
      </c>
      <c r="BN2" s="21">
        <v>99</v>
      </c>
      <c r="BO2" s="21" t="s">
        <v>394</v>
      </c>
      <c r="BP2" s="30">
        <v>36526</v>
      </c>
      <c r="BQ2" s="21" t="s">
        <v>391</v>
      </c>
      <c r="BR2" s="21" t="s">
        <v>395</v>
      </c>
      <c r="BS2" s="21">
        <v>0</v>
      </c>
      <c r="BT2" s="21">
        <v>0</v>
      </c>
      <c r="BU2" t="s">
        <v>390</v>
      </c>
      <c r="BV2" s="21" t="s">
        <v>396</v>
      </c>
      <c r="BW2" s="21" t="s">
        <v>397</v>
      </c>
      <c r="BX2" s="21" t="s">
        <v>398</v>
      </c>
      <c r="BY2" s="31">
        <v>99999999</v>
      </c>
      <c r="BZ2" s="31">
        <v>99999999</v>
      </c>
      <c r="CA2" t="s">
        <v>399</v>
      </c>
      <c r="CB2" s="21" t="s">
        <v>390</v>
      </c>
      <c r="CC2" s="21" t="s">
        <v>396</v>
      </c>
      <c r="CD2" s="21" t="s">
        <v>397</v>
      </c>
      <c r="CE2" s="21" t="s">
        <v>398</v>
      </c>
      <c r="CF2" s="31">
        <v>99999999</v>
      </c>
      <c r="CG2" s="31">
        <v>99999999</v>
      </c>
      <c r="CH2" t="s">
        <v>399</v>
      </c>
      <c r="CI2" s="21" t="s">
        <v>390</v>
      </c>
      <c r="CJ2" s="21" t="s">
        <v>396</v>
      </c>
      <c r="CK2" s="21" t="s">
        <v>397</v>
      </c>
      <c r="CL2" s="21" t="s">
        <v>398</v>
      </c>
      <c r="CM2" s="31">
        <v>99999999</v>
      </c>
      <c r="CN2" s="31">
        <v>99999999</v>
      </c>
      <c r="CO2" t="s">
        <v>399</v>
      </c>
      <c r="CP2" s="21" t="s">
        <v>390</v>
      </c>
      <c r="CQ2" s="21" t="s">
        <v>396</v>
      </c>
      <c r="CR2" s="21" t="s">
        <v>397</v>
      </c>
      <c r="CS2" s="21" t="s">
        <v>398</v>
      </c>
      <c r="CT2" s="31">
        <v>99999999</v>
      </c>
      <c r="CU2" s="31">
        <v>99999999</v>
      </c>
      <c r="CV2" t="s">
        <v>399</v>
      </c>
      <c r="CW2" s="21" t="s">
        <v>390</v>
      </c>
      <c r="CX2" s="21" t="s">
        <v>396</v>
      </c>
      <c r="CY2" s="21" t="s">
        <v>397</v>
      </c>
      <c r="CZ2" s="21" t="s">
        <v>398</v>
      </c>
      <c r="DA2" s="31">
        <v>99999999</v>
      </c>
      <c r="DB2" s="31">
        <v>99999999</v>
      </c>
      <c r="DC2" t="s">
        <v>399</v>
      </c>
      <c r="DD2" s="21" t="s">
        <v>390</v>
      </c>
      <c r="DE2" s="21" t="s">
        <v>396</v>
      </c>
      <c r="DF2" s="21" t="s">
        <v>397</v>
      </c>
      <c r="DG2" s="21" t="s">
        <v>398</v>
      </c>
      <c r="DH2" s="31">
        <v>99999999</v>
      </c>
      <c r="DI2" s="31">
        <v>99999999</v>
      </c>
      <c r="DJ2" t="s">
        <v>399</v>
      </c>
      <c r="DK2" s="21" t="s">
        <v>390</v>
      </c>
      <c r="DL2" s="21" t="s">
        <v>396</v>
      </c>
      <c r="DM2" s="21" t="s">
        <v>397</v>
      </c>
      <c r="DN2" s="21" t="s">
        <v>398</v>
      </c>
      <c r="DO2" s="31">
        <v>99999999</v>
      </c>
      <c r="DP2" s="31">
        <v>99999999</v>
      </c>
      <c r="DQ2" t="s">
        <v>399</v>
      </c>
      <c r="DR2" t="s">
        <v>400</v>
      </c>
      <c r="DS2" t="s">
        <v>401</v>
      </c>
      <c r="DT2" t="s">
        <v>402</v>
      </c>
      <c r="DU2" s="29" t="s">
        <v>468</v>
      </c>
      <c r="DV2" t="s">
        <v>403</v>
      </c>
      <c r="DW2" t="s">
        <v>404</v>
      </c>
      <c r="DX2" t="s">
        <v>405</v>
      </c>
      <c r="DY2" t="s">
        <v>406</v>
      </c>
      <c r="DZ2" t="s">
        <v>407</v>
      </c>
      <c r="EA2" s="22">
        <v>36526</v>
      </c>
      <c r="EB2" t="s">
        <v>408</v>
      </c>
      <c r="EC2" t="s">
        <v>409</v>
      </c>
    </row>
    <row r="3" spans="1:133">
      <c r="A3" s="30"/>
      <c r="B3" s="22">
        <v>42933.820138888892</v>
      </c>
      <c r="C3" s="22" t="s">
        <v>244</v>
      </c>
      <c r="D3" s="30" t="s">
        <v>780</v>
      </c>
      <c r="E3" s="30" t="s">
        <v>567</v>
      </c>
      <c r="F3" s="30" t="s">
        <v>170</v>
      </c>
      <c r="G3" s="30" t="s">
        <v>172</v>
      </c>
      <c r="H3" t="s">
        <v>94</v>
      </c>
      <c r="I3" t="s">
        <v>782</v>
      </c>
      <c r="J3" t="s">
        <v>579</v>
      </c>
      <c r="L3">
        <v>1</v>
      </c>
      <c r="M3" s="26">
        <v>1.01</v>
      </c>
      <c r="N3" t="s">
        <v>245</v>
      </c>
      <c r="Q3" s="29" t="s">
        <v>13</v>
      </c>
      <c r="R3" s="29" t="str">
        <f>IFERROR(MID(RADataTable[[#This Row],[RAtemplate]],1,LEN(RADataTable[[#This Row],[RAtemplate]])-8),"RA") &amp; " " &amp; RADataTable[[#This Row],[prop_id0]] &amp; " " &amp; RADataTable[[#This Row],[last0]]</f>
        <v>RA 1749609 Lee</v>
      </c>
      <c r="U3" s="21" t="str">
        <f>IF(signer1="PD",IF(ISBLANK(RADataTable[[#This Row],[sign_blck_name]]),"",RADataTable[[#This Row],[sign_blck_name]]),IF(ISBLANK(signer1),"",signer1))</f>
        <v>Jack Snoeyink</v>
      </c>
      <c r="V3" s="29" t="str">
        <f>signer2</f>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yintat@uw.edu</v>
      </c>
      <c r="Y3" s="15" t="str">
        <f>HYPERLINK("mailto:"&amp;RADataTable[[#This Row],[allPIemail]]&amp;"&amp;subject=NSF Proposal:  "&amp;RADataTable[[#This Row],[Div]]&amp;" "&amp;RADataTable[[#This Row],[prop_id0]], "PIs@")</f>
        <v>PIs@</v>
      </c>
      <c r="Z3" t="s">
        <v>781</v>
      </c>
      <c r="AA3" t="s">
        <v>635</v>
      </c>
      <c r="AB3">
        <v>4</v>
      </c>
      <c r="AC3">
        <v>4</v>
      </c>
      <c r="AD3"/>
      <c r="AE3" t="str">
        <f>IF(RADataTable[[#This Row],[maxScore]]-RADataTable[[#This Row],[minScore]]&gt;4,"Y","")</f>
        <v/>
      </c>
      <c r="AF3" s="21">
        <v>6</v>
      </c>
      <c r="AG3" s="26">
        <v>8</v>
      </c>
      <c r="AH3">
        <v>9</v>
      </c>
      <c r="AI3" t="s">
        <v>802</v>
      </c>
      <c r="AJ3" s="30">
        <v>43031.375694444447</v>
      </c>
      <c r="AK3" s="13">
        <v>549841</v>
      </c>
      <c r="AL3" s="13">
        <v>549841</v>
      </c>
      <c r="AM3">
        <v>0</v>
      </c>
      <c r="AN3" s="30">
        <v>43175</v>
      </c>
      <c r="AO3" s="21">
        <v>60</v>
      </c>
      <c r="AP3" s="21" t="s">
        <v>803</v>
      </c>
      <c r="AS3" s="30"/>
      <c r="AT3" t="s">
        <v>583</v>
      </c>
      <c r="AU3" s="21" t="s">
        <v>247</v>
      </c>
      <c r="AV3" s="21">
        <v>1</v>
      </c>
      <c r="AW3" s="21" t="s">
        <v>879</v>
      </c>
      <c r="AX3" s="30">
        <v>43032</v>
      </c>
      <c r="AY3" s="21" t="s">
        <v>887</v>
      </c>
      <c r="AZ3" s="21" t="s">
        <v>881</v>
      </c>
      <c r="BA3" s="21">
        <v>14</v>
      </c>
      <c r="BB3" s="21">
        <v>3</v>
      </c>
      <c r="BG3" s="30"/>
      <c r="BP3" s="30"/>
      <c r="BU3" t="s">
        <v>635</v>
      </c>
      <c r="BV3" s="21" t="s">
        <v>344</v>
      </c>
      <c r="BW3" s="21" t="s">
        <v>801</v>
      </c>
      <c r="BX3" s="21" t="s">
        <v>246</v>
      </c>
      <c r="BY3" s="31">
        <v>549841</v>
      </c>
      <c r="BZ3" s="31">
        <v>549841</v>
      </c>
      <c r="CA3" t="s">
        <v>783</v>
      </c>
      <c r="CF3" s="31"/>
      <c r="CG3" s="31"/>
      <c r="CM3" s="31"/>
      <c r="CN3" s="31"/>
      <c r="CT3" s="31"/>
      <c r="CU3" s="31"/>
      <c r="CV3" s="31"/>
      <c r="DA3" s="31"/>
      <c r="DB3" s="31"/>
      <c r="DC3" s="31"/>
      <c r="DH3" s="31"/>
      <c r="DI3" s="31"/>
      <c r="DO3" s="31"/>
      <c r="DP3" s="31"/>
      <c r="DR3" t="s">
        <v>248</v>
      </c>
      <c r="DS3" t="s">
        <v>877</v>
      </c>
      <c r="DT3" t="s">
        <v>568</v>
      </c>
      <c r="DU3" s="29" t="s">
        <v>878</v>
      </c>
      <c r="DV3" t="s">
        <v>173</v>
      </c>
      <c r="DW3" t="s">
        <v>382</v>
      </c>
      <c r="DX3" t="s">
        <v>171</v>
      </c>
      <c r="DY3" t="s">
        <v>168</v>
      </c>
      <c r="DZ3" t="s">
        <v>169</v>
      </c>
      <c r="EA3" s="22">
        <v>43076.559560185182</v>
      </c>
      <c r="EB3" t="s">
        <v>804</v>
      </c>
      <c r="EC3" t="s">
        <v>888</v>
      </c>
    </row>
    <row r="4" spans="1:133">
      <c r="A4" s="30"/>
      <c r="B4" s="22">
        <v>42935.488888888889</v>
      </c>
      <c r="C4" s="22" t="s">
        <v>244</v>
      </c>
      <c r="D4" s="30" t="s">
        <v>780</v>
      </c>
      <c r="E4" s="30" t="s">
        <v>567</v>
      </c>
      <c r="F4" s="30" t="s">
        <v>170</v>
      </c>
      <c r="G4" s="30" t="s">
        <v>172</v>
      </c>
      <c r="H4" t="s">
        <v>94</v>
      </c>
      <c r="I4" t="s">
        <v>782</v>
      </c>
      <c r="J4" t="s">
        <v>944</v>
      </c>
      <c r="L4">
        <v>1</v>
      </c>
      <c r="M4" s="26">
        <v>1.01</v>
      </c>
      <c r="N4" t="s">
        <v>245</v>
      </c>
      <c r="Q4" s="29" t="s">
        <v>13</v>
      </c>
      <c r="R4" s="29" t="str">
        <f>IFERROR(MID(RADataTable[[#This Row],[RAtemplate]],1,LEN(RADataTable[[#This Row],[RAtemplate]])-8),"RA") &amp; " " &amp; RADataTable[[#This Row],[prop_id0]] &amp; " " &amp; RADataTable[[#This Row],[last0]]</f>
        <v>RA 1750333 Ene</v>
      </c>
      <c r="U4" s="21" t="str">
        <f>IF(signer1="PD",IF(ISBLANK(RADataTable[[#This Row],[sign_blck_name]]),"",RADataTable[[#This Row],[sign_blck_name]]),IF(ISBLANK(signer1),"",signer1))</f>
        <v>Rahul Shah</v>
      </c>
      <c r="V4" s="29" t="str">
        <f>signer2</f>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aene@bu.edu</v>
      </c>
      <c r="Y4" s="15" t="str">
        <f>HYPERLINK("mailto:"&amp;RADataTable[[#This Row],[allPIemail]]&amp;"&amp;subject=NSF Proposal:  "&amp;RADataTable[[#This Row],[Div]]&amp;" "&amp;RADataTable[[#This Row],[prop_id0]], "PIs@")</f>
        <v>PIs@</v>
      </c>
      <c r="Z4" t="s">
        <v>781</v>
      </c>
      <c r="AA4" t="s">
        <v>1052</v>
      </c>
      <c r="AB4">
        <v>4</v>
      </c>
      <c r="AC4">
        <v>4</v>
      </c>
      <c r="AD4"/>
      <c r="AE4" t="str">
        <f>IF(RADataTable[[#This Row],[maxScore]]-RADataTable[[#This Row],[minScore]]&gt;4,"Y","")</f>
        <v/>
      </c>
      <c r="AF4" s="21">
        <v>5</v>
      </c>
      <c r="AG4" s="26">
        <v>7.5</v>
      </c>
      <c r="AH4">
        <v>9</v>
      </c>
      <c r="AI4" t="s">
        <v>1407</v>
      </c>
      <c r="AJ4" s="30">
        <v>43032.52847222222</v>
      </c>
      <c r="AK4" s="13">
        <v>507423</v>
      </c>
      <c r="AL4" s="13">
        <v>507423</v>
      </c>
      <c r="AM4">
        <v>0</v>
      </c>
      <c r="AN4" s="30">
        <v>43101</v>
      </c>
      <c r="AO4" s="21">
        <v>60</v>
      </c>
      <c r="AP4" s="21" t="s">
        <v>1408</v>
      </c>
      <c r="AS4" s="30"/>
      <c r="AT4" t="s">
        <v>583</v>
      </c>
      <c r="AU4" s="21" t="s">
        <v>247</v>
      </c>
      <c r="AV4" s="21">
        <v>1</v>
      </c>
      <c r="AW4" s="21" t="s">
        <v>879</v>
      </c>
      <c r="AX4" s="30">
        <v>43032</v>
      </c>
      <c r="AY4" s="21" t="s">
        <v>1550</v>
      </c>
      <c r="AZ4" s="21" t="s">
        <v>881</v>
      </c>
      <c r="BA4" s="21">
        <v>14</v>
      </c>
      <c r="BB4" s="21">
        <v>1</v>
      </c>
      <c r="BG4" s="30"/>
      <c r="BP4" s="30"/>
      <c r="BU4" t="s">
        <v>1052</v>
      </c>
      <c r="BV4" s="21" t="s">
        <v>1053</v>
      </c>
      <c r="BW4" s="21" t="s">
        <v>1406</v>
      </c>
      <c r="BX4" s="21" t="s">
        <v>1369</v>
      </c>
      <c r="BY4" s="31">
        <v>507423</v>
      </c>
      <c r="BZ4" s="31">
        <v>507423</v>
      </c>
      <c r="CA4" t="s">
        <v>783</v>
      </c>
      <c r="CF4" s="31"/>
      <c r="CG4" s="31"/>
      <c r="CM4" s="31"/>
      <c r="CN4" s="31"/>
      <c r="CT4" s="31"/>
      <c r="CU4" s="31"/>
      <c r="CV4" s="31"/>
      <c r="DA4" s="31"/>
      <c r="DB4" s="31"/>
      <c r="DC4" s="31"/>
      <c r="DH4" s="31"/>
      <c r="DI4" s="31"/>
      <c r="DO4" s="31"/>
      <c r="DP4" s="31"/>
      <c r="DR4" t="s">
        <v>248</v>
      </c>
      <c r="DS4" t="s">
        <v>877</v>
      </c>
      <c r="DT4" t="s">
        <v>568</v>
      </c>
      <c r="DU4" s="29" t="s">
        <v>1532</v>
      </c>
      <c r="DV4" t="s">
        <v>173</v>
      </c>
      <c r="DW4" t="s">
        <v>382</v>
      </c>
      <c r="DX4" t="s">
        <v>171</v>
      </c>
      <c r="DY4" t="s">
        <v>168</v>
      </c>
      <c r="DZ4" t="s">
        <v>169</v>
      </c>
      <c r="EA4" s="22">
        <v>43076.559560185182</v>
      </c>
      <c r="EB4" t="s">
        <v>1409</v>
      </c>
      <c r="EC4" t="s">
        <v>1551</v>
      </c>
    </row>
    <row r="5" spans="1:133">
      <c r="A5" s="30"/>
      <c r="B5" s="22">
        <v>42935.576388888891</v>
      </c>
      <c r="C5" s="22" t="s">
        <v>244</v>
      </c>
      <c r="D5" s="30" t="s">
        <v>780</v>
      </c>
      <c r="E5" s="30" t="s">
        <v>567</v>
      </c>
      <c r="F5" s="30" t="s">
        <v>170</v>
      </c>
      <c r="G5" s="30" t="s">
        <v>172</v>
      </c>
      <c r="H5" t="s">
        <v>94</v>
      </c>
      <c r="I5" t="s">
        <v>782</v>
      </c>
      <c r="J5" t="s">
        <v>582</v>
      </c>
      <c r="L5">
        <v>1</v>
      </c>
      <c r="M5" s="26">
        <v>1.01</v>
      </c>
      <c r="N5" t="s">
        <v>245</v>
      </c>
      <c r="Q5" s="29" t="s">
        <v>13</v>
      </c>
      <c r="R5" s="29" t="str">
        <f>IFERROR(MID(RADataTable[[#This Row],[RAtemplate]],1,LEN(RADataTable[[#This Row],[RAtemplate]])-8),"RA") &amp; " " &amp; RADataTable[[#This Row],[prop_id0]] &amp; " " &amp; RADataTable[[#This Row],[last0]]</f>
        <v>RA 1750555 Hardt</v>
      </c>
      <c r="U5" s="21" t="str">
        <f>IF(signer1="PD",IF(ISBLANK(RADataTable[[#This Row],[sign_blck_name]]),"",RADataTable[[#This Row],[sign_blck_name]]),IF(ISBLANK(signer1),"",signer1))</f>
        <v>Tracy J. Kimbrel</v>
      </c>
      <c r="V5" s="29" t="str">
        <f>signer2</f>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 xml:space="preserve"> hardt@eecs.berkeley.edu</v>
      </c>
      <c r="Y5" s="15" t="str">
        <f>HYPERLINK("mailto:"&amp;RADataTable[[#This Row],[allPIemail]]&amp;"&amp;subject=NSF Proposal:  "&amp;RADataTable[[#This Row],[Div]]&amp;" "&amp;RADataTable[[#This Row],[prop_id0]], "PIs@")</f>
        <v>PIs@</v>
      </c>
      <c r="Z5" t="s">
        <v>781</v>
      </c>
      <c r="AA5" t="s">
        <v>1116</v>
      </c>
      <c r="AB5">
        <v>4</v>
      </c>
      <c r="AC5">
        <v>4</v>
      </c>
      <c r="AD5"/>
      <c r="AE5" t="str">
        <f>IF(RADataTable[[#This Row],[maxScore]]-RADataTable[[#This Row],[minScore]]&gt;4,"Y","")</f>
        <v/>
      </c>
      <c r="AF5" s="21">
        <v>8</v>
      </c>
      <c r="AG5" s="26">
        <v>8.75</v>
      </c>
      <c r="AH5">
        <v>9</v>
      </c>
      <c r="AI5" t="s">
        <v>1428</v>
      </c>
      <c r="AJ5" s="30">
        <v>43059.785416666666</v>
      </c>
      <c r="AK5" s="13">
        <v>499434</v>
      </c>
      <c r="AL5" s="13">
        <v>499434</v>
      </c>
      <c r="AM5">
        <v>0</v>
      </c>
      <c r="AN5" s="30">
        <v>43132</v>
      </c>
      <c r="AO5" s="21">
        <v>60</v>
      </c>
      <c r="AP5" s="21" t="s">
        <v>1429</v>
      </c>
      <c r="AS5" s="30"/>
      <c r="AT5" t="s">
        <v>658</v>
      </c>
      <c r="AU5" s="21" t="s">
        <v>247</v>
      </c>
      <c r="AV5" s="21">
        <v>1</v>
      </c>
      <c r="AW5" s="21" t="s">
        <v>892</v>
      </c>
      <c r="AX5" s="30">
        <v>43060</v>
      </c>
      <c r="AY5" s="21" t="s">
        <v>1562</v>
      </c>
      <c r="AZ5" s="21" t="s">
        <v>894</v>
      </c>
      <c r="BA5" s="21">
        <v>12</v>
      </c>
      <c r="BB5" s="21">
        <v>0</v>
      </c>
      <c r="BG5" s="30"/>
      <c r="BP5" s="30"/>
      <c r="BU5" t="s">
        <v>1116</v>
      </c>
      <c r="BV5" s="21" t="s">
        <v>1117</v>
      </c>
      <c r="BW5" s="21" t="s">
        <v>1427</v>
      </c>
      <c r="BX5" s="21" t="s">
        <v>530</v>
      </c>
      <c r="BY5" s="31">
        <v>499434</v>
      </c>
      <c r="BZ5" s="31">
        <v>499434</v>
      </c>
      <c r="CA5" t="s">
        <v>783</v>
      </c>
      <c r="CF5" s="31"/>
      <c r="CG5" s="31"/>
      <c r="CM5" s="31"/>
      <c r="CN5" s="31"/>
      <c r="CT5" s="31"/>
      <c r="CU5" s="31"/>
      <c r="CV5" s="31"/>
      <c r="DA5" s="31"/>
      <c r="DB5" s="31"/>
      <c r="DC5" s="31"/>
      <c r="DH5" s="31"/>
      <c r="DI5" s="31"/>
      <c r="DO5" s="31"/>
      <c r="DP5" s="31"/>
      <c r="DR5" t="s">
        <v>248</v>
      </c>
      <c r="DS5" t="s">
        <v>877</v>
      </c>
      <c r="DT5" t="s">
        <v>568</v>
      </c>
      <c r="DU5" s="29" t="s">
        <v>890</v>
      </c>
      <c r="DV5" t="s">
        <v>173</v>
      </c>
      <c r="DW5" t="s">
        <v>382</v>
      </c>
      <c r="DX5" t="s">
        <v>171</v>
      </c>
      <c r="DY5" t="s">
        <v>168</v>
      </c>
      <c r="DZ5" t="s">
        <v>169</v>
      </c>
      <c r="EA5" s="22">
        <v>43076.559560185182</v>
      </c>
      <c r="EB5" t="s">
        <v>1430</v>
      </c>
      <c r="EC5" t="s">
        <v>1563</v>
      </c>
    </row>
    <row r="6" spans="1:133">
      <c r="A6" s="30"/>
      <c r="B6" s="22">
        <v>42935.638888888891</v>
      </c>
      <c r="C6" s="22" t="s">
        <v>244</v>
      </c>
      <c r="D6" s="30" t="s">
        <v>780</v>
      </c>
      <c r="E6" s="30" t="s">
        <v>567</v>
      </c>
      <c r="F6" s="30" t="s">
        <v>170</v>
      </c>
      <c r="G6" s="30" t="s">
        <v>172</v>
      </c>
      <c r="H6" t="s">
        <v>94</v>
      </c>
      <c r="I6" t="s">
        <v>782</v>
      </c>
      <c r="J6" t="s">
        <v>944</v>
      </c>
      <c r="L6">
        <v>2</v>
      </c>
      <c r="M6" s="26">
        <v>1.01</v>
      </c>
      <c r="N6" t="s">
        <v>245</v>
      </c>
      <c r="O6" t="s">
        <v>250</v>
      </c>
      <c r="Q6" s="29" t="s">
        <v>13</v>
      </c>
      <c r="R6" s="29" t="str">
        <f>IFERROR(MID(RADataTable[[#This Row],[RAtemplate]],1,LEN(RADataTable[[#This Row],[RAtemplate]])-8),"RA") &amp; " " &amp; RADataTable[[#This Row],[prop_id0]] &amp; " " &amp; RADataTable[[#This Row],[last0]]</f>
        <v>RA 1750808 Haeupler</v>
      </c>
      <c r="U6" s="21" t="str">
        <f>IF(signer1="PD",IF(ISBLANK(RADataTable[[#This Row],[sign_blck_name]]),"",RADataTable[[#This Row],[sign_blck_name]]),IF(ISBLANK(signer1),"",signer1))</f>
        <v>Rahul Shah</v>
      </c>
      <c r="V6" s="29" t="str">
        <f>signer2</f>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haeupler@cs.cmu.edu</v>
      </c>
      <c r="Y6" s="15" t="str">
        <f>HYPERLINK("mailto:"&amp;RADataTable[[#This Row],[allPIemail]]&amp;"&amp;subject=NSF Proposal:  "&amp;RADataTable[[#This Row],[Div]]&amp;" "&amp;RADataTable[[#This Row],[prop_id0]], "PIs@")</f>
        <v>PIs@</v>
      </c>
      <c r="Z6" t="s">
        <v>781</v>
      </c>
      <c r="AA6" t="s">
        <v>1151</v>
      </c>
      <c r="AB6">
        <v>8</v>
      </c>
      <c r="AC6">
        <v>4</v>
      </c>
      <c r="AD6"/>
      <c r="AE6" t="str">
        <f>IF(RADataTable[[#This Row],[maxScore]]-RADataTable[[#This Row],[minScore]]&gt;4,"Y","")</f>
        <v/>
      </c>
      <c r="AF6" s="21">
        <v>5</v>
      </c>
      <c r="AG6" s="26">
        <v>7.75</v>
      </c>
      <c r="AH6">
        <v>9</v>
      </c>
      <c r="AI6" t="s">
        <v>1444</v>
      </c>
      <c r="AJ6" s="30">
        <v>43059.921527777777</v>
      </c>
      <c r="AK6" s="13">
        <v>613868</v>
      </c>
      <c r="AL6" s="13">
        <v>613868</v>
      </c>
      <c r="AM6">
        <v>0</v>
      </c>
      <c r="AN6" s="30">
        <v>43101</v>
      </c>
      <c r="AO6" s="21">
        <v>60</v>
      </c>
      <c r="AP6" s="21" t="s">
        <v>1445</v>
      </c>
      <c r="AS6" s="30"/>
      <c r="AT6" t="s">
        <v>1081</v>
      </c>
      <c r="AU6" s="21" t="s">
        <v>247</v>
      </c>
      <c r="AV6" s="21">
        <v>1</v>
      </c>
      <c r="AW6" s="21" t="s">
        <v>1556</v>
      </c>
      <c r="AX6" s="30">
        <v>43046</v>
      </c>
      <c r="AY6" s="21" t="s">
        <v>1569</v>
      </c>
      <c r="AZ6" s="21" t="s">
        <v>1558</v>
      </c>
      <c r="BA6" s="21">
        <v>9</v>
      </c>
      <c r="BB6" s="21">
        <v>0</v>
      </c>
      <c r="BC6" s="21" t="s">
        <v>658</v>
      </c>
      <c r="BD6" s="21" t="s">
        <v>251</v>
      </c>
      <c r="BE6" s="21">
        <v>11</v>
      </c>
      <c r="BF6" s="21" t="s">
        <v>892</v>
      </c>
      <c r="BG6" s="30">
        <v>43060</v>
      </c>
      <c r="BH6" s="21" t="s">
        <v>1570</v>
      </c>
      <c r="BI6" s="21" t="s">
        <v>894</v>
      </c>
      <c r="BJ6" s="21">
        <v>12</v>
      </c>
      <c r="BK6" s="21">
        <v>1</v>
      </c>
      <c r="BP6" s="30"/>
      <c r="BU6" t="s">
        <v>1151</v>
      </c>
      <c r="BV6" s="21" t="s">
        <v>1152</v>
      </c>
      <c r="BW6" s="21" t="s">
        <v>1443</v>
      </c>
      <c r="BX6" s="21" t="s">
        <v>343</v>
      </c>
      <c r="BY6" s="31">
        <v>613868</v>
      </c>
      <c r="BZ6" s="31">
        <v>613868</v>
      </c>
      <c r="CA6" t="s">
        <v>819</v>
      </c>
      <c r="CF6" s="31"/>
      <c r="CG6" s="31"/>
      <c r="CM6" s="31"/>
      <c r="CN6" s="31"/>
      <c r="CT6" s="31"/>
      <c r="CU6" s="31"/>
      <c r="CV6" s="31"/>
      <c r="DA6" s="31"/>
      <c r="DB6" s="31"/>
      <c r="DC6" s="31"/>
      <c r="DH6" s="31"/>
      <c r="DI6" s="31"/>
      <c r="DO6" s="31"/>
      <c r="DP6" s="31"/>
      <c r="DR6" t="s">
        <v>248</v>
      </c>
      <c r="DS6" t="s">
        <v>877</v>
      </c>
      <c r="DT6" t="s">
        <v>568</v>
      </c>
      <c r="DU6" s="29" t="s">
        <v>1532</v>
      </c>
      <c r="DV6" t="s">
        <v>173</v>
      </c>
      <c r="DW6" t="s">
        <v>382</v>
      </c>
      <c r="DX6" t="s">
        <v>171</v>
      </c>
      <c r="DY6" t="s">
        <v>168</v>
      </c>
      <c r="DZ6" t="s">
        <v>169</v>
      </c>
      <c r="EA6" s="22">
        <v>43076.559560185182</v>
      </c>
      <c r="EB6" t="s">
        <v>1446</v>
      </c>
      <c r="EC6" t="s">
        <v>1571</v>
      </c>
    </row>
    <row r="7" spans="1:133">
      <c r="A7" s="30"/>
      <c r="B7" s="22">
        <v>42950.663888888892</v>
      </c>
      <c r="C7" s="22" t="s">
        <v>848</v>
      </c>
      <c r="D7" s="30" t="s">
        <v>1371</v>
      </c>
      <c r="E7" s="30" t="s">
        <v>531</v>
      </c>
      <c r="F7" s="30" t="s">
        <v>170</v>
      </c>
      <c r="G7" s="30" t="s">
        <v>172</v>
      </c>
      <c r="H7" t="s">
        <v>94</v>
      </c>
      <c r="I7" t="s">
        <v>1480</v>
      </c>
      <c r="J7" t="s">
        <v>1233</v>
      </c>
      <c r="L7">
        <v>2</v>
      </c>
      <c r="M7" s="26">
        <v>1.01</v>
      </c>
      <c r="N7" t="s">
        <v>354</v>
      </c>
      <c r="O7" t="s">
        <v>245</v>
      </c>
      <c r="Q7" s="29" t="s">
        <v>13</v>
      </c>
      <c r="R7" s="29" t="str">
        <f>IFERROR(MID(RADataTable[[#This Row],[RAtemplate]],1,LEN(RADataTable[[#This Row],[RAtemplate]])-8),"RA") &amp; " " &amp; RADataTable[[#This Row],[prop_id0]] &amp; " " &amp; RADataTable[[#This Row],[last0]]</f>
        <v>RA 1755038 Majumdar</v>
      </c>
      <c r="U7" s="21" t="str">
        <f>IF(signer1="PD",IF(ISBLANK(RADataTable[[#This Row],[sign_blck_name]]),"",RADataTable[[#This Row],[sign_blck_name]]),IF(ISBLANK(signer1),"",signer1))</f>
        <v>Reid Simmons</v>
      </c>
      <c r="V7" s="29" t="str">
        <f>signer2</f>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ani.majumdar@princeton.edu</v>
      </c>
      <c r="Y7" s="15" t="str">
        <f>HYPERLINK("mailto:"&amp;RADataTable[[#This Row],[allPIemail]]&amp;"&amp;subject=NSF Proposal:  "&amp;RADataTable[[#This Row],[Div]]&amp;" "&amp;RADataTable[[#This Row],[prop_id0]], "PIs@")</f>
        <v>PIs@</v>
      </c>
      <c r="Z7" t="s">
        <v>1372</v>
      </c>
      <c r="AA7" t="s">
        <v>1230</v>
      </c>
      <c r="AB7">
        <v>7</v>
      </c>
      <c r="AC7">
        <v>7</v>
      </c>
      <c r="AD7"/>
      <c r="AE7" t="str">
        <f>IF(RADataTable[[#This Row],[maxScore]]-RADataTable[[#This Row],[minScore]]&gt;4,"Y","")</f>
        <v>Y</v>
      </c>
      <c r="AF7" s="21">
        <v>3</v>
      </c>
      <c r="AG7" s="26">
        <v>5.8571428571428568</v>
      </c>
      <c r="AH7">
        <v>8</v>
      </c>
      <c r="AI7" t="s">
        <v>1483</v>
      </c>
      <c r="AJ7" s="30">
        <v>43073.747916666667</v>
      </c>
      <c r="AK7" s="13">
        <v>175000</v>
      </c>
      <c r="AL7" s="13">
        <v>175000</v>
      </c>
      <c r="AM7">
        <v>0</v>
      </c>
      <c r="AN7" s="30">
        <v>42979</v>
      </c>
      <c r="AO7" s="21">
        <v>24</v>
      </c>
      <c r="AP7" s="21" t="s">
        <v>1484</v>
      </c>
      <c r="AS7" s="30"/>
      <c r="AT7" t="s">
        <v>658</v>
      </c>
      <c r="AU7" s="21" t="s">
        <v>381</v>
      </c>
      <c r="AV7" s="21">
        <v>9</v>
      </c>
      <c r="AW7" s="21" t="s">
        <v>892</v>
      </c>
      <c r="AX7" s="30">
        <v>43060</v>
      </c>
      <c r="AY7" s="21" t="s">
        <v>1526</v>
      </c>
      <c r="AZ7" s="21" t="s">
        <v>894</v>
      </c>
      <c r="BA7" s="21">
        <v>12</v>
      </c>
      <c r="BB7" s="21">
        <v>0</v>
      </c>
      <c r="BC7" s="21" t="s">
        <v>1234</v>
      </c>
      <c r="BD7" s="21" t="s">
        <v>247</v>
      </c>
      <c r="BE7" s="21">
        <v>1</v>
      </c>
      <c r="BF7" s="21" t="s">
        <v>1583</v>
      </c>
      <c r="BG7" s="30">
        <v>43074</v>
      </c>
      <c r="BH7" s="21" t="s">
        <v>1584</v>
      </c>
      <c r="BI7" s="21" t="s">
        <v>1585</v>
      </c>
      <c r="BJ7" s="21">
        <v>8</v>
      </c>
      <c r="BK7" s="21">
        <v>0</v>
      </c>
      <c r="BP7" s="30"/>
      <c r="BU7" t="s">
        <v>1230</v>
      </c>
      <c r="BV7" s="21" t="s">
        <v>1231</v>
      </c>
      <c r="BW7" s="21" t="s">
        <v>1482</v>
      </c>
      <c r="BX7" s="21" t="s">
        <v>1364</v>
      </c>
      <c r="BY7" s="31">
        <v>175000</v>
      </c>
      <c r="BZ7" s="31">
        <v>175000</v>
      </c>
      <c r="CA7" t="s">
        <v>1481</v>
      </c>
      <c r="CF7" s="31"/>
      <c r="CG7" s="31"/>
      <c r="CM7" s="31"/>
      <c r="CN7" s="31"/>
      <c r="CT7" s="31"/>
      <c r="CU7" s="31"/>
      <c r="CV7" s="31"/>
      <c r="DA7" s="31"/>
      <c r="DB7" s="31"/>
      <c r="DC7" s="31"/>
      <c r="DH7" s="31"/>
      <c r="DI7" s="31"/>
      <c r="DO7" s="31"/>
      <c r="DP7" s="31"/>
      <c r="DR7" t="s">
        <v>909</v>
      </c>
      <c r="DS7" t="s">
        <v>1529</v>
      </c>
      <c r="DT7" t="s">
        <v>532</v>
      </c>
      <c r="DU7" s="29" t="s">
        <v>1586</v>
      </c>
      <c r="DV7" t="s">
        <v>173</v>
      </c>
      <c r="DW7" t="s">
        <v>382</v>
      </c>
      <c r="DX7" t="s">
        <v>171</v>
      </c>
      <c r="DY7" t="s">
        <v>168</v>
      </c>
      <c r="DZ7" t="s">
        <v>169</v>
      </c>
      <c r="EA7" s="22">
        <v>43076.559560185182</v>
      </c>
      <c r="EB7" t="s">
        <v>1485</v>
      </c>
      <c r="EC7" t="s">
        <v>1587</v>
      </c>
    </row>
    <row r="8" spans="1:133">
      <c r="A8" s="30"/>
      <c r="B8" s="22">
        <v>42956.581944444442</v>
      </c>
      <c r="C8" s="22" t="s">
        <v>848</v>
      </c>
      <c r="D8" s="30" t="s">
        <v>780</v>
      </c>
      <c r="E8" s="30" t="s">
        <v>565</v>
      </c>
      <c r="F8" s="30" t="s">
        <v>170</v>
      </c>
      <c r="G8" s="30" t="s">
        <v>172</v>
      </c>
      <c r="H8" t="s">
        <v>94</v>
      </c>
      <c r="I8" t="s">
        <v>849</v>
      </c>
      <c r="J8" t="s">
        <v>944</v>
      </c>
      <c r="L8">
        <v>1</v>
      </c>
      <c r="M8" s="26">
        <v>1.01</v>
      </c>
      <c r="N8" t="s">
        <v>245</v>
      </c>
      <c r="Q8" s="29" t="s">
        <v>13</v>
      </c>
      <c r="R8" s="29" t="str">
        <f>IFERROR(MID(RADataTable[[#This Row],[RAtemplate]],1,LEN(RADataTable[[#This Row],[RAtemplate]])-8),"RA") &amp; " " &amp; RADataTable[[#This Row],[prop_id0]] &amp; " " &amp; RADataTable[[#This Row],[last0]]</f>
        <v>RA 1755791 Goswami</v>
      </c>
      <c r="U8" s="21" t="str">
        <f>IF(signer1="PD",IF(ISBLANK(RADataTable[[#This Row],[sign_blck_name]]),"",RADataTable[[#This Row],[sign_blck_name]]),IF(ISBLANK(signer1),"",signer1))</f>
        <v>Rahul Shah</v>
      </c>
      <c r="V8" s="29" t="str">
        <f>signer2</f>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Mayank.Goswami@qc.cuny.edu</v>
      </c>
      <c r="Y8" s="15" t="str">
        <f>HYPERLINK("mailto:"&amp;RADataTable[[#This Row],[allPIemail]]&amp;"&amp;subject=NSF Proposal:  "&amp;RADataTable[[#This Row],[Div]]&amp;" "&amp;RADataTable[[#This Row],[prop_id0]], "PIs@")</f>
        <v>PIs@</v>
      </c>
      <c r="Z8" t="s">
        <v>781</v>
      </c>
      <c r="AA8" t="s">
        <v>1283</v>
      </c>
      <c r="AB8">
        <v>3</v>
      </c>
      <c r="AC8">
        <v>3</v>
      </c>
      <c r="AD8"/>
      <c r="AE8" t="str">
        <f>IF(RADataTable[[#This Row],[maxScore]]-RADataTable[[#This Row],[minScore]]&gt;4,"Y","")</f>
        <v/>
      </c>
      <c r="AF8" s="21">
        <v>7</v>
      </c>
      <c r="AG8" s="26">
        <v>7</v>
      </c>
      <c r="AH8">
        <v>7</v>
      </c>
      <c r="AI8" t="s">
        <v>1501</v>
      </c>
      <c r="AJ8" s="30">
        <v>43031.369444444441</v>
      </c>
      <c r="AK8" s="13">
        <v>175000</v>
      </c>
      <c r="AL8" s="13">
        <v>175000</v>
      </c>
      <c r="AM8">
        <v>0</v>
      </c>
      <c r="AN8" s="30">
        <v>43344</v>
      </c>
      <c r="AO8" s="21">
        <v>24</v>
      </c>
      <c r="AP8" s="21" t="s">
        <v>1502</v>
      </c>
      <c r="AS8" s="30"/>
      <c r="AT8" t="s">
        <v>583</v>
      </c>
      <c r="AU8" s="21" t="s">
        <v>247</v>
      </c>
      <c r="AV8" s="21">
        <v>1</v>
      </c>
      <c r="AW8" s="21" t="s">
        <v>879</v>
      </c>
      <c r="AX8" s="30">
        <v>43032</v>
      </c>
      <c r="AY8" s="21" t="s">
        <v>1592</v>
      </c>
      <c r="AZ8" s="21" t="s">
        <v>881</v>
      </c>
      <c r="BA8" s="21">
        <v>14</v>
      </c>
      <c r="BB8" s="21">
        <v>1</v>
      </c>
      <c r="BG8" s="30"/>
      <c r="BP8" s="30"/>
      <c r="BU8" t="s">
        <v>1283</v>
      </c>
      <c r="BV8" s="21" t="s">
        <v>1284</v>
      </c>
      <c r="BW8" s="21" t="s">
        <v>1499</v>
      </c>
      <c r="BX8" s="21" t="s">
        <v>1500</v>
      </c>
      <c r="BY8" s="31">
        <v>175000</v>
      </c>
      <c r="BZ8" s="31">
        <v>175000</v>
      </c>
      <c r="CA8" t="s">
        <v>850</v>
      </c>
      <c r="CF8" s="31"/>
      <c r="CG8" s="31"/>
      <c r="CM8" s="31"/>
      <c r="CN8" s="31"/>
      <c r="CT8" s="31"/>
      <c r="CU8" s="31"/>
      <c r="CV8" s="31"/>
      <c r="DA8" s="31"/>
      <c r="DB8" s="31"/>
      <c r="DC8" s="31"/>
      <c r="DH8" s="31"/>
      <c r="DI8" s="31"/>
      <c r="DO8" s="31"/>
      <c r="DP8" s="31"/>
      <c r="DR8" t="s">
        <v>909</v>
      </c>
      <c r="DS8" t="s">
        <v>877</v>
      </c>
      <c r="DT8" t="s">
        <v>566</v>
      </c>
      <c r="DU8" s="29" t="s">
        <v>1532</v>
      </c>
      <c r="DV8" t="s">
        <v>173</v>
      </c>
      <c r="DW8" t="s">
        <v>382</v>
      </c>
      <c r="DX8" t="s">
        <v>171</v>
      </c>
      <c r="DY8" t="s">
        <v>168</v>
      </c>
      <c r="DZ8" t="s">
        <v>169</v>
      </c>
      <c r="EA8" s="22">
        <v>43076.559560185182</v>
      </c>
      <c r="EB8" t="s">
        <v>1503</v>
      </c>
      <c r="EC8" t="s">
        <v>1593</v>
      </c>
    </row>
    <row r="9" spans="1:133">
      <c r="A9" s="30"/>
      <c r="B9" s="22">
        <v>42956.678472222222</v>
      </c>
      <c r="C9" s="22" t="s">
        <v>848</v>
      </c>
      <c r="D9" s="30" t="s">
        <v>780</v>
      </c>
      <c r="E9" s="30" t="s">
        <v>565</v>
      </c>
      <c r="F9" s="30" t="s">
        <v>170</v>
      </c>
      <c r="G9" s="30" t="s">
        <v>172</v>
      </c>
      <c r="H9" t="s">
        <v>94</v>
      </c>
      <c r="I9" t="s">
        <v>849</v>
      </c>
      <c r="J9" t="s">
        <v>582</v>
      </c>
      <c r="L9">
        <v>1</v>
      </c>
      <c r="M9" s="26">
        <v>1.01</v>
      </c>
      <c r="N9" t="s">
        <v>245</v>
      </c>
      <c r="Q9" s="29" t="s">
        <v>13</v>
      </c>
      <c r="R9" s="29" t="str">
        <f>IFERROR(MID(RADataTable[[#This Row],[RAtemplate]],1,LEN(RADataTable[[#This Row],[RAtemplate]])-8),"RA") &amp; " " &amp; RADataTable[[#This Row],[prop_id0]] &amp; " " &amp; RADataTable[[#This Row],[last0]]</f>
        <v>RA 1755921 Forbes</v>
      </c>
      <c r="U9" s="21" t="str">
        <f>IF(signer1="PD",IF(ISBLANK(RADataTable[[#This Row],[sign_blck_name]]),"",RADataTable[[#This Row],[sign_blck_name]]),IF(ISBLANK(signer1),"",signer1))</f>
        <v>Tracy J. Kimbrel</v>
      </c>
      <c r="V9" s="29" t="str">
        <f>signer2</f>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miforbes@illinois.edu</v>
      </c>
      <c r="Y9" s="15" t="str">
        <f>HYPERLINK("mailto:"&amp;RADataTable[[#This Row],[allPIemail]]&amp;"&amp;subject=NSF Proposal:  "&amp;RADataTable[[#This Row],[Div]]&amp;" "&amp;RADataTable[[#This Row],[prop_id0]], "PIs@")</f>
        <v>PIs@</v>
      </c>
      <c r="Z9" t="s">
        <v>781</v>
      </c>
      <c r="AA9" t="s">
        <v>1326</v>
      </c>
      <c r="AB9">
        <v>3</v>
      </c>
      <c r="AC9">
        <v>3</v>
      </c>
      <c r="AD9"/>
      <c r="AE9" t="str">
        <f>IF(RADataTable[[#This Row],[maxScore]]-RADataTable[[#This Row],[minScore]]&gt;4,"Y","")</f>
        <v/>
      </c>
      <c r="AF9" s="21">
        <v>8</v>
      </c>
      <c r="AG9" s="26">
        <v>8.6666666666666661</v>
      </c>
      <c r="AH9">
        <v>9</v>
      </c>
      <c r="AI9" t="s">
        <v>1367</v>
      </c>
      <c r="AJ9" s="30">
        <v>43060.395833333336</v>
      </c>
      <c r="AK9" s="13">
        <v>175000</v>
      </c>
      <c r="AL9" s="13">
        <v>175000</v>
      </c>
      <c r="AM9">
        <v>0</v>
      </c>
      <c r="AN9" s="30">
        <v>43101</v>
      </c>
      <c r="AO9" s="21">
        <v>24</v>
      </c>
      <c r="AP9" s="21" t="s">
        <v>1512</v>
      </c>
      <c r="AS9" s="30"/>
      <c r="AT9" t="s">
        <v>658</v>
      </c>
      <c r="AU9" s="21" t="s">
        <v>247</v>
      </c>
      <c r="AV9" s="21">
        <v>1</v>
      </c>
      <c r="AW9" s="21" t="s">
        <v>892</v>
      </c>
      <c r="AX9" s="30">
        <v>43060</v>
      </c>
      <c r="AY9" s="21" t="s">
        <v>1528</v>
      </c>
      <c r="AZ9" s="21" t="s">
        <v>894</v>
      </c>
      <c r="BA9" s="21">
        <v>12</v>
      </c>
      <c r="BB9" s="21">
        <v>0</v>
      </c>
      <c r="BG9" s="30"/>
      <c r="BP9" s="30"/>
      <c r="BU9" t="s">
        <v>1326</v>
      </c>
      <c r="BV9" s="21" t="s">
        <v>1327</v>
      </c>
      <c r="BW9" s="21" t="s">
        <v>1351</v>
      </c>
      <c r="BX9" s="21" t="s">
        <v>346</v>
      </c>
      <c r="BY9" s="31">
        <v>175000</v>
      </c>
      <c r="BZ9" s="31">
        <v>175000</v>
      </c>
      <c r="CA9" t="s">
        <v>1511</v>
      </c>
      <c r="CF9" s="31"/>
      <c r="CG9" s="31"/>
      <c r="CM9" s="31"/>
      <c r="CN9" s="31"/>
      <c r="CT9" s="31"/>
      <c r="CU9" s="31"/>
      <c r="CV9" s="31"/>
      <c r="DA9" s="31"/>
      <c r="DB9" s="31"/>
      <c r="DC9" s="31"/>
      <c r="DH9" s="31"/>
      <c r="DI9" s="31"/>
      <c r="DO9" s="31"/>
      <c r="DP9" s="31"/>
      <c r="DR9" t="s">
        <v>909</v>
      </c>
      <c r="DS9" t="s">
        <v>877</v>
      </c>
      <c r="DT9" t="s">
        <v>566</v>
      </c>
      <c r="DU9" s="29" t="s">
        <v>890</v>
      </c>
      <c r="DV9" t="s">
        <v>173</v>
      </c>
      <c r="DW9" t="s">
        <v>382</v>
      </c>
      <c r="DX9" t="s">
        <v>171</v>
      </c>
      <c r="DY9" t="s">
        <v>168</v>
      </c>
      <c r="DZ9" t="s">
        <v>169</v>
      </c>
      <c r="EA9" s="22">
        <v>43076.559560185182</v>
      </c>
      <c r="EB9" t="s">
        <v>1513</v>
      </c>
      <c r="EC9" t="s">
        <v>1600</v>
      </c>
    </row>
    <row r="10" spans="1:133">
      <c r="A10" s="30"/>
      <c r="B10" s="22">
        <v>42935.599305555559</v>
      </c>
      <c r="C10" s="22" t="s">
        <v>244</v>
      </c>
      <c r="D10" s="30" t="s">
        <v>780</v>
      </c>
      <c r="E10" s="30" t="s">
        <v>567</v>
      </c>
      <c r="F10" s="30" t="s">
        <v>170</v>
      </c>
      <c r="G10" s="30" t="s">
        <v>172</v>
      </c>
      <c r="H10" t="s">
        <v>94</v>
      </c>
      <c r="I10" t="s">
        <v>782</v>
      </c>
      <c r="J10" t="s">
        <v>582</v>
      </c>
      <c r="L10">
        <v>1</v>
      </c>
      <c r="M10" s="26">
        <v>1.02</v>
      </c>
      <c r="N10" t="s">
        <v>245</v>
      </c>
      <c r="Q10" s="29" t="s">
        <v>13</v>
      </c>
      <c r="R10" s="29" t="str">
        <f>IFERROR(MID(RADataTable[[#This Row],[RAtemplate]],1,LEN(RADataTable[[#This Row],[RAtemplate]])-8),"RA") &amp; " " &amp; RADataTable[[#This Row],[prop_id0]] &amp; " " &amp; RADataTable[[#This Row],[last0]]</f>
        <v>RA 1750640 Ullman</v>
      </c>
      <c r="U10" s="21" t="str">
        <f>IF(signer1="PD",IF(ISBLANK(RADataTable[[#This Row],[sign_blck_name]]),"",RADataTable[[#This Row],[sign_blck_name]]),IF(ISBLANK(signer1),"",signer1))</f>
        <v>Tracy J. Kimbrel</v>
      </c>
      <c r="V10" s="29" t="str">
        <f>signer2</f>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jullman@ccs.neu.edu</v>
      </c>
      <c r="Y10" s="15" t="str">
        <f>HYPERLINK("mailto:"&amp;RADataTable[[#This Row],[allPIemail]]&amp;"&amp;subject=NSF Proposal:  "&amp;RADataTable[[#This Row],[Div]]&amp;" "&amp;RADataTable[[#This Row],[prop_id0]], "PIs@")</f>
        <v>PIs@</v>
      </c>
      <c r="Z10" t="s">
        <v>781</v>
      </c>
      <c r="AA10" t="s">
        <v>1124</v>
      </c>
      <c r="AB10">
        <v>4</v>
      </c>
      <c r="AC10">
        <v>4</v>
      </c>
      <c r="AD10"/>
      <c r="AE10" t="str">
        <f>IF(RADataTable[[#This Row],[maxScore]]-RADataTable[[#This Row],[minScore]]&gt;4,"Y","")</f>
        <v/>
      </c>
      <c r="AF10" s="21">
        <v>8</v>
      </c>
      <c r="AG10" s="26">
        <v>8.5</v>
      </c>
      <c r="AH10">
        <v>9</v>
      </c>
      <c r="AI10" t="s">
        <v>1433</v>
      </c>
      <c r="AJ10" s="30">
        <v>43059.227083333331</v>
      </c>
      <c r="AK10" s="13">
        <v>545883</v>
      </c>
      <c r="AL10" s="13">
        <v>545883</v>
      </c>
      <c r="AM10">
        <v>0</v>
      </c>
      <c r="AN10" s="30">
        <v>43282</v>
      </c>
      <c r="AO10" s="21">
        <v>60</v>
      </c>
      <c r="AP10" s="21" t="s">
        <v>1434</v>
      </c>
      <c r="AS10" s="30"/>
      <c r="AT10" t="s">
        <v>658</v>
      </c>
      <c r="AU10" s="21" t="s">
        <v>247</v>
      </c>
      <c r="AV10" s="21">
        <v>2</v>
      </c>
      <c r="AW10" s="21" t="s">
        <v>892</v>
      </c>
      <c r="AX10" s="30">
        <v>43060</v>
      </c>
      <c r="AY10" s="21" t="s">
        <v>1564</v>
      </c>
      <c r="AZ10" s="21" t="s">
        <v>894</v>
      </c>
      <c r="BA10" s="21">
        <v>12</v>
      </c>
      <c r="BB10" s="21">
        <v>0</v>
      </c>
      <c r="BG10" s="30"/>
      <c r="BP10" s="30"/>
      <c r="BU10" t="s">
        <v>1124</v>
      </c>
      <c r="BV10" s="21" t="s">
        <v>1125</v>
      </c>
      <c r="BW10" s="21" t="s">
        <v>1431</v>
      </c>
      <c r="BX10" s="21" t="s">
        <v>1432</v>
      </c>
      <c r="BY10" s="31">
        <v>545883</v>
      </c>
      <c r="BZ10" s="31">
        <v>545883</v>
      </c>
      <c r="CA10" t="s">
        <v>783</v>
      </c>
      <c r="CF10" s="31"/>
      <c r="CG10" s="31"/>
      <c r="CM10" s="31"/>
      <c r="CN10" s="31"/>
      <c r="CT10" s="31"/>
      <c r="CU10" s="31"/>
      <c r="CV10" s="31"/>
      <c r="DA10" s="31"/>
      <c r="DB10" s="31"/>
      <c r="DC10" s="31"/>
      <c r="DH10" s="31"/>
      <c r="DI10" s="31"/>
      <c r="DO10" s="31"/>
      <c r="DP10" s="31"/>
      <c r="DR10" t="s">
        <v>248</v>
      </c>
      <c r="DS10" t="s">
        <v>877</v>
      </c>
      <c r="DT10" t="s">
        <v>568</v>
      </c>
      <c r="DU10" s="29" t="s">
        <v>890</v>
      </c>
      <c r="DV10" t="s">
        <v>173</v>
      </c>
      <c r="DW10" t="s">
        <v>382</v>
      </c>
      <c r="DX10" t="s">
        <v>171</v>
      </c>
      <c r="DY10" t="s">
        <v>168</v>
      </c>
      <c r="DZ10" t="s">
        <v>169</v>
      </c>
      <c r="EA10" s="22">
        <v>43076.559560185182</v>
      </c>
      <c r="EB10" t="s">
        <v>1435</v>
      </c>
      <c r="EC10" t="s">
        <v>1565</v>
      </c>
    </row>
    <row r="11" spans="1:133">
      <c r="A11" s="30"/>
      <c r="B11" s="22">
        <v>42935.620138888888</v>
      </c>
      <c r="C11" s="22" t="s">
        <v>244</v>
      </c>
      <c r="D11" s="30" t="s">
        <v>780</v>
      </c>
      <c r="E11" s="30" t="s">
        <v>567</v>
      </c>
      <c r="F11" s="30" t="s">
        <v>170</v>
      </c>
      <c r="G11" s="30" t="s">
        <v>172</v>
      </c>
      <c r="H11" t="s">
        <v>94</v>
      </c>
      <c r="I11" t="s">
        <v>782</v>
      </c>
      <c r="J11" t="s">
        <v>944</v>
      </c>
      <c r="L11">
        <v>1</v>
      </c>
      <c r="M11" s="26">
        <v>1.02</v>
      </c>
      <c r="N11" t="s">
        <v>245</v>
      </c>
      <c r="Q11" s="29" t="s">
        <v>13</v>
      </c>
      <c r="R11" s="29" t="str">
        <f>IFERROR(MID(RADataTable[[#This Row],[RAtemplate]],1,LEN(RADataTable[[#This Row],[RAtemplate]])-8),"RA") &amp; " " &amp; RADataTable[[#This Row],[prop_id0]] &amp; " " &amp; RADataTable[[#This Row],[last0]]</f>
        <v>RA 1750716 Nguyen</v>
      </c>
      <c r="U11" s="21" t="str">
        <f>IF(signer1="PD",IF(ISBLANK(RADataTable[[#This Row],[sign_blck_name]]),"",RADataTable[[#This Row],[sign_blck_name]]),IF(ISBLANK(signer1),"",signer1))</f>
        <v>Rahul Shah</v>
      </c>
      <c r="V11" s="29" t="str">
        <f>signer2</f>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hu.nguyen@neu.edu</v>
      </c>
      <c r="Y11" s="15" t="str">
        <f>HYPERLINK("mailto:"&amp;RADataTable[[#This Row],[allPIemail]]&amp;"&amp;subject=NSF Proposal:  "&amp;RADataTable[[#This Row],[Div]]&amp;" "&amp;RADataTable[[#This Row],[prop_id0]], "PIs@")</f>
        <v>PIs@</v>
      </c>
      <c r="Z11" t="s">
        <v>781</v>
      </c>
      <c r="AA11" t="s">
        <v>1140</v>
      </c>
      <c r="AB11">
        <v>4</v>
      </c>
      <c r="AC11">
        <v>4</v>
      </c>
      <c r="AD11"/>
      <c r="AE11" t="str">
        <f>IF(RADataTable[[#This Row],[maxScore]]-RADataTable[[#This Row],[minScore]]&gt;4,"Y","")</f>
        <v/>
      </c>
      <c r="AF11" s="21">
        <v>6</v>
      </c>
      <c r="AG11" s="26">
        <v>7.5</v>
      </c>
      <c r="AH11">
        <v>9</v>
      </c>
      <c r="AI11" t="s">
        <v>1440</v>
      </c>
      <c r="AJ11" s="30">
        <v>43059.929166666669</v>
      </c>
      <c r="AK11" s="13">
        <v>551453</v>
      </c>
      <c r="AL11" s="13">
        <v>551453</v>
      </c>
      <c r="AM11">
        <v>0</v>
      </c>
      <c r="AN11" s="30">
        <v>43252</v>
      </c>
      <c r="AO11" s="21">
        <v>60</v>
      </c>
      <c r="AP11" s="21" t="s">
        <v>1441</v>
      </c>
      <c r="AS11" s="30"/>
      <c r="AT11" t="s">
        <v>658</v>
      </c>
      <c r="AU11" s="21" t="s">
        <v>247</v>
      </c>
      <c r="AV11" s="21">
        <v>2</v>
      </c>
      <c r="AW11" s="21" t="s">
        <v>892</v>
      </c>
      <c r="AX11" s="30">
        <v>43060</v>
      </c>
      <c r="AY11" s="21" t="s">
        <v>1567</v>
      </c>
      <c r="AZ11" s="21" t="s">
        <v>894</v>
      </c>
      <c r="BA11" s="21">
        <v>12</v>
      </c>
      <c r="BB11" s="21">
        <v>0</v>
      </c>
      <c r="BG11" s="30"/>
      <c r="BP11" s="30"/>
      <c r="BU11" t="s">
        <v>1140</v>
      </c>
      <c r="BV11" s="21" t="s">
        <v>1141</v>
      </c>
      <c r="BW11" s="21" t="s">
        <v>1439</v>
      </c>
      <c r="BX11" s="21" t="s">
        <v>1432</v>
      </c>
      <c r="BY11" s="31">
        <v>551453</v>
      </c>
      <c r="BZ11" s="31">
        <v>551453</v>
      </c>
      <c r="CA11" t="s">
        <v>783</v>
      </c>
      <c r="CF11" s="31"/>
      <c r="CG11" s="31"/>
      <c r="CM11" s="31"/>
      <c r="CN11" s="31"/>
      <c r="CT11" s="31"/>
      <c r="CU11" s="31"/>
      <c r="CV11" s="31"/>
      <c r="DA11" s="31"/>
      <c r="DB11" s="31"/>
      <c r="DC11" s="31"/>
      <c r="DH11" s="31"/>
      <c r="DI11" s="31"/>
      <c r="DO11" s="31"/>
      <c r="DP11" s="31"/>
      <c r="DR11" t="s">
        <v>248</v>
      </c>
      <c r="DS11" t="s">
        <v>877</v>
      </c>
      <c r="DT11" t="s">
        <v>568</v>
      </c>
      <c r="DU11" s="29" t="s">
        <v>1532</v>
      </c>
      <c r="DV11" t="s">
        <v>173</v>
      </c>
      <c r="DW11" t="s">
        <v>382</v>
      </c>
      <c r="DX11" t="s">
        <v>171</v>
      </c>
      <c r="DY11" t="s">
        <v>168</v>
      </c>
      <c r="DZ11" t="s">
        <v>169</v>
      </c>
      <c r="EA11" s="22">
        <v>43076.559560185182</v>
      </c>
      <c r="EB11" t="s">
        <v>1442</v>
      </c>
      <c r="EC11" t="s">
        <v>1568</v>
      </c>
    </row>
    <row r="12" spans="1:133">
      <c r="A12" s="30"/>
      <c r="B12" s="22">
        <v>42955.700694444444</v>
      </c>
      <c r="C12" s="22" t="s">
        <v>848</v>
      </c>
      <c r="D12" s="30" t="s">
        <v>780</v>
      </c>
      <c r="E12" s="30" t="s">
        <v>565</v>
      </c>
      <c r="F12" s="30" t="s">
        <v>170</v>
      </c>
      <c r="G12" s="30" t="s">
        <v>172</v>
      </c>
      <c r="H12" t="s">
        <v>94</v>
      </c>
      <c r="I12" t="s">
        <v>849</v>
      </c>
      <c r="J12" t="s">
        <v>582</v>
      </c>
      <c r="L12">
        <v>1</v>
      </c>
      <c r="M12" s="26">
        <v>1.02</v>
      </c>
      <c r="N12" t="s">
        <v>245</v>
      </c>
      <c r="Q12" s="29" t="s">
        <v>13</v>
      </c>
      <c r="R12" s="29" t="str">
        <f>IFERROR(MID(RADataTable[[#This Row],[RAtemplate]],1,LEN(RADataTable[[#This Row],[RAtemplate]])-8),"RA") &amp; " " &amp; RADataTable[[#This Row],[prop_id0]] &amp; " " &amp; RADataTable[[#This Row],[last0]]</f>
        <v>RA 1755619 Garg</v>
      </c>
      <c r="U12" s="21" t="str">
        <f>IF(signer1="PD",IF(ISBLANK(RADataTable[[#This Row],[sign_blck_name]]),"",RADataTable[[#This Row],[sign_blck_name]]),IF(ISBLANK(signer1),"",signer1))</f>
        <v>Tracy J. Kimbrel</v>
      </c>
      <c r="V12" s="29" t="str">
        <f>signer2</f>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jugal@illinois.edu</v>
      </c>
      <c r="Y12" s="15" t="str">
        <f>HYPERLINK("mailto:"&amp;RADataTable[[#This Row],[allPIemail]]&amp;"&amp;subject=NSF Proposal:  "&amp;RADataTable[[#This Row],[Div]]&amp;" "&amp;RADataTable[[#This Row],[prop_id0]], "PIs@")</f>
        <v>PIs@</v>
      </c>
      <c r="Z12" t="s">
        <v>781</v>
      </c>
      <c r="AA12" t="s">
        <v>1277</v>
      </c>
      <c r="AB12">
        <v>3</v>
      </c>
      <c r="AC12">
        <v>3</v>
      </c>
      <c r="AD12"/>
      <c r="AE12" t="str">
        <f>IF(RADataTable[[#This Row],[maxScore]]-RADataTable[[#This Row],[minScore]]&gt;4,"Y","")</f>
        <v/>
      </c>
      <c r="AF12" s="21">
        <v>7</v>
      </c>
      <c r="AG12" s="26">
        <v>7.333333333333333</v>
      </c>
      <c r="AH12">
        <v>8</v>
      </c>
      <c r="AI12" t="s">
        <v>1352</v>
      </c>
      <c r="AJ12" s="30">
        <v>43059.534722222219</v>
      </c>
      <c r="AK12" s="13">
        <v>175000</v>
      </c>
      <c r="AL12" s="13">
        <v>175000</v>
      </c>
      <c r="AM12">
        <v>0</v>
      </c>
      <c r="AN12" s="30">
        <v>43146</v>
      </c>
      <c r="AO12" s="21">
        <v>24</v>
      </c>
      <c r="AP12" s="21" t="s">
        <v>1497</v>
      </c>
      <c r="AS12" s="30"/>
      <c r="AT12" t="s">
        <v>658</v>
      </c>
      <c r="AU12" s="21" t="s">
        <v>247</v>
      </c>
      <c r="AV12" s="21">
        <v>2</v>
      </c>
      <c r="AW12" s="21" t="s">
        <v>892</v>
      </c>
      <c r="AX12" s="30">
        <v>43060</v>
      </c>
      <c r="AY12" s="21" t="s">
        <v>1523</v>
      </c>
      <c r="AZ12" s="21" t="s">
        <v>894</v>
      </c>
      <c r="BA12" s="21">
        <v>12</v>
      </c>
      <c r="BB12" s="21">
        <v>0</v>
      </c>
      <c r="BG12" s="30"/>
      <c r="BP12" s="30"/>
      <c r="BU12" t="s">
        <v>1277</v>
      </c>
      <c r="BV12" s="21" t="s">
        <v>1145</v>
      </c>
      <c r="BW12" s="21" t="s">
        <v>1496</v>
      </c>
      <c r="BX12" s="21" t="s">
        <v>346</v>
      </c>
      <c r="BY12" s="31">
        <v>175000</v>
      </c>
      <c r="BZ12" s="31">
        <v>175000</v>
      </c>
      <c r="CA12" t="s">
        <v>1495</v>
      </c>
      <c r="CF12" s="31"/>
      <c r="CG12" s="31"/>
      <c r="CM12" s="31"/>
      <c r="CN12" s="31"/>
      <c r="CT12" s="31"/>
      <c r="CU12" s="31"/>
      <c r="CV12" s="31"/>
      <c r="DA12" s="31"/>
      <c r="DB12" s="31"/>
      <c r="DC12" s="31"/>
      <c r="DH12" s="31"/>
      <c r="DI12" s="31"/>
      <c r="DO12" s="31"/>
      <c r="DP12" s="31"/>
      <c r="DR12" t="s">
        <v>909</v>
      </c>
      <c r="DS12" t="s">
        <v>877</v>
      </c>
      <c r="DT12" t="s">
        <v>566</v>
      </c>
      <c r="DU12" s="29" t="s">
        <v>890</v>
      </c>
      <c r="DV12" t="s">
        <v>173</v>
      </c>
      <c r="DW12" t="s">
        <v>382</v>
      </c>
      <c r="DX12" t="s">
        <v>171</v>
      </c>
      <c r="DY12" t="s">
        <v>168</v>
      </c>
      <c r="DZ12" t="s">
        <v>169</v>
      </c>
      <c r="EA12" s="22">
        <v>43076.559560185182</v>
      </c>
      <c r="EB12" t="s">
        <v>1498</v>
      </c>
      <c r="EC12" t="s">
        <v>1591</v>
      </c>
    </row>
    <row r="13" spans="1:133">
      <c r="A13" s="30"/>
      <c r="B13" s="22">
        <v>42956.588888888888</v>
      </c>
      <c r="C13" s="22" t="s">
        <v>848</v>
      </c>
      <c r="D13" s="30" t="s">
        <v>1371</v>
      </c>
      <c r="E13" s="30" t="s">
        <v>531</v>
      </c>
      <c r="F13" s="30" t="s">
        <v>170</v>
      </c>
      <c r="G13" s="30" t="s">
        <v>172</v>
      </c>
      <c r="H13" t="s">
        <v>94</v>
      </c>
      <c r="I13" t="s">
        <v>1480</v>
      </c>
      <c r="J13" t="s">
        <v>929</v>
      </c>
      <c r="L13">
        <v>2</v>
      </c>
      <c r="M13" s="26">
        <v>2.02</v>
      </c>
      <c r="N13" t="s">
        <v>208</v>
      </c>
      <c r="O13" t="s">
        <v>250</v>
      </c>
      <c r="Q13" s="29" t="s">
        <v>13</v>
      </c>
      <c r="R13" s="29" t="str">
        <f>IFERROR(MID(RADataTable[[#This Row],[RAtemplate]],1,LEN(RADataTable[[#This Row],[RAtemplate]])-8),"RA") &amp; " " &amp; RADataTable[[#This Row],[prop_id0]] &amp; " " &amp; RADataTable[[#This Row],[last0]]</f>
        <v>RA 1755801 Zhao</v>
      </c>
      <c r="U13" s="21" t="str">
        <f>IF(signer1="PD",IF(ISBLANK(RADataTable[[#This Row],[sign_blck_name]]),"",RADataTable[[#This Row],[sign_blck_name]]),IF(ISBLANK(signer1),"",signer1))</f>
        <v>Weng-keen Wong</v>
      </c>
      <c r="V13" s="29" t="str">
        <f>signer2</f>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tzhao80@gatech.edu</v>
      </c>
      <c r="Y13" s="15" t="str">
        <f>HYPERLINK("mailto:"&amp;RADataTable[[#This Row],[allPIemail]]&amp;"&amp;subject=NSF Proposal:  "&amp;RADataTable[[#This Row],[Div]]&amp;" "&amp;RADataTable[[#This Row],[prop_id0]], "PIs@")</f>
        <v>PIs@</v>
      </c>
      <c r="Z13" t="s">
        <v>1372</v>
      </c>
      <c r="AA13" t="s">
        <v>1291</v>
      </c>
      <c r="AB13">
        <v>7</v>
      </c>
      <c r="AC13">
        <v>7</v>
      </c>
      <c r="AD13"/>
      <c r="AE13" t="str">
        <f>IF(RADataTable[[#This Row],[maxScore]]-RADataTable[[#This Row],[minScore]]&gt;4,"Y","")</f>
        <v/>
      </c>
      <c r="AF13" s="21">
        <v>3</v>
      </c>
      <c r="AG13" s="26">
        <v>5</v>
      </c>
      <c r="AH13">
        <v>7</v>
      </c>
      <c r="AI13" t="s">
        <v>1505</v>
      </c>
      <c r="AJ13" s="30">
        <v>43058.96597222222</v>
      </c>
      <c r="AK13" s="13">
        <v>175000</v>
      </c>
      <c r="AL13" s="13">
        <v>175000</v>
      </c>
      <c r="AM13">
        <v>0</v>
      </c>
      <c r="AN13" s="30">
        <v>43235</v>
      </c>
      <c r="AO13" s="21">
        <v>24</v>
      </c>
      <c r="AP13" s="21" t="s">
        <v>1506</v>
      </c>
      <c r="AQ13">
        <v>1</v>
      </c>
      <c r="AR13" t="s">
        <v>1539</v>
      </c>
      <c r="AS13" s="30">
        <v>43054.411805555559</v>
      </c>
      <c r="AT13" t="s">
        <v>1294</v>
      </c>
      <c r="AU13" s="21" t="s">
        <v>207</v>
      </c>
      <c r="AV13" s="21">
        <v>2</v>
      </c>
      <c r="AW13" s="21" t="s">
        <v>1594</v>
      </c>
      <c r="AX13" s="30">
        <v>43056</v>
      </c>
      <c r="AY13" s="21" t="s">
        <v>1595</v>
      </c>
      <c r="AZ13" s="21" t="s">
        <v>1596</v>
      </c>
      <c r="BA13" s="21">
        <v>11</v>
      </c>
      <c r="BB13" s="21">
        <v>1</v>
      </c>
      <c r="BC13" s="21" t="s">
        <v>658</v>
      </c>
      <c r="BD13" s="21" t="s">
        <v>251</v>
      </c>
      <c r="BE13" s="21">
        <v>5</v>
      </c>
      <c r="BF13" s="21" t="s">
        <v>892</v>
      </c>
      <c r="BG13" s="30">
        <v>43060</v>
      </c>
      <c r="BH13" s="21" t="s">
        <v>1597</v>
      </c>
      <c r="BI13" s="21" t="s">
        <v>894</v>
      </c>
      <c r="BJ13" s="21">
        <v>12</v>
      </c>
      <c r="BK13" s="21">
        <v>1</v>
      </c>
      <c r="BP13" s="30"/>
      <c r="BU13" t="s">
        <v>1291</v>
      </c>
      <c r="BV13" s="21" t="s">
        <v>1292</v>
      </c>
      <c r="BW13" s="21" t="s">
        <v>1504</v>
      </c>
      <c r="BX13" s="21" t="s">
        <v>451</v>
      </c>
      <c r="BY13" s="31">
        <v>175000</v>
      </c>
      <c r="BZ13" s="31">
        <v>175000</v>
      </c>
      <c r="CA13" t="s">
        <v>1481</v>
      </c>
      <c r="CF13" s="31"/>
      <c r="CG13" s="31"/>
      <c r="CM13" s="31"/>
      <c r="CN13" s="31"/>
      <c r="CT13" s="31"/>
      <c r="CU13" s="31"/>
      <c r="CV13" s="31"/>
      <c r="DA13" s="31"/>
      <c r="DB13" s="31"/>
      <c r="DC13" s="31"/>
      <c r="DH13" s="31"/>
      <c r="DI13" s="31"/>
      <c r="DO13" s="31"/>
      <c r="DP13" s="31"/>
      <c r="DR13" t="s">
        <v>909</v>
      </c>
      <c r="DS13" t="s">
        <v>1529</v>
      </c>
      <c r="DT13" t="s">
        <v>532</v>
      </c>
      <c r="DU13" s="29" t="s">
        <v>1530</v>
      </c>
      <c r="DV13" t="s">
        <v>173</v>
      </c>
      <c r="DW13" t="s">
        <v>382</v>
      </c>
      <c r="DX13" t="s">
        <v>171</v>
      </c>
      <c r="DY13" t="s">
        <v>168</v>
      </c>
      <c r="DZ13" t="s">
        <v>169</v>
      </c>
      <c r="EA13" s="22">
        <v>43076.559560185182</v>
      </c>
      <c r="EB13" t="s">
        <v>1507</v>
      </c>
      <c r="EC13" t="s">
        <v>1598</v>
      </c>
    </row>
    <row r="14" spans="1:133">
      <c r="A14" s="30"/>
      <c r="B14" s="22">
        <v>42956.621527777781</v>
      </c>
      <c r="C14" s="22" t="s">
        <v>848</v>
      </c>
      <c r="D14" s="30" t="s">
        <v>780</v>
      </c>
      <c r="E14" s="30" t="s">
        <v>565</v>
      </c>
      <c r="F14" s="30" t="s">
        <v>170</v>
      </c>
      <c r="G14" s="30" t="s">
        <v>172</v>
      </c>
      <c r="H14" t="s">
        <v>94</v>
      </c>
      <c r="I14" t="s">
        <v>849</v>
      </c>
      <c r="J14" t="s">
        <v>582</v>
      </c>
      <c r="L14">
        <v>1</v>
      </c>
      <c r="M14" s="26">
        <v>2.02</v>
      </c>
      <c r="N14" t="s">
        <v>208</v>
      </c>
      <c r="Q14" s="29" t="s">
        <v>13</v>
      </c>
      <c r="R14" s="29" t="str">
        <f>IFERROR(MID(RADataTable[[#This Row],[RAtemplate]],1,LEN(RADataTable[[#This Row],[RAtemplate]])-8),"RA") &amp; " " &amp; RADataTable[[#This Row],[prop_id0]] &amp; " " &amp; RADataTable[[#This Row],[last0]]</f>
        <v>RA 1755847 Sun</v>
      </c>
      <c r="U14" s="21" t="str">
        <f>IF(signer1="PD",IF(ISBLANK(RADataTable[[#This Row],[sign_blck_name]]),"",RADataTable[[#This Row],[sign_blck_name]]),IF(ISBLANK(signer1),"",signer1))</f>
        <v>Tracy J. Kimbrel</v>
      </c>
      <c r="V14" s="29" t="str">
        <f>signer2</f>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ruoyus@illinois.edu</v>
      </c>
      <c r="Y14" s="15" t="str">
        <f>HYPERLINK("mailto:"&amp;RADataTable[[#This Row],[allPIemail]]&amp;"&amp;subject=NSF Proposal:  "&amp;RADataTable[[#This Row],[Div]]&amp;" "&amp;RADataTable[[#This Row],[prop_id0]], "PIs@")</f>
        <v>PIs@</v>
      </c>
      <c r="Z14" t="s">
        <v>781</v>
      </c>
      <c r="AA14" t="s">
        <v>749</v>
      </c>
      <c r="AB14">
        <v>3</v>
      </c>
      <c r="AC14">
        <v>3</v>
      </c>
      <c r="AD14"/>
      <c r="AE14" t="str">
        <f>IF(RADataTable[[#This Row],[maxScore]]-RADataTable[[#This Row],[minScore]]&gt;4,"Y","")</f>
        <v/>
      </c>
      <c r="AF14" s="21">
        <v>6</v>
      </c>
      <c r="AG14" s="26">
        <v>6.333333333333333</v>
      </c>
      <c r="AH14">
        <v>7</v>
      </c>
      <c r="AI14" t="s">
        <v>858</v>
      </c>
      <c r="AJ14" s="30">
        <v>43031.767361111109</v>
      </c>
      <c r="AK14" s="13">
        <v>175000</v>
      </c>
      <c r="AL14" s="13">
        <v>175000</v>
      </c>
      <c r="AM14">
        <v>0</v>
      </c>
      <c r="AN14" s="30">
        <v>43282</v>
      </c>
      <c r="AO14" s="21">
        <v>24</v>
      </c>
      <c r="AP14" s="21" t="s">
        <v>859</v>
      </c>
      <c r="AS14" s="30"/>
      <c r="AT14" t="s">
        <v>583</v>
      </c>
      <c r="AU14" s="21" t="s">
        <v>207</v>
      </c>
      <c r="AV14" s="21">
        <v>2</v>
      </c>
      <c r="AW14" s="21" t="s">
        <v>879</v>
      </c>
      <c r="AX14" s="30">
        <v>43032</v>
      </c>
      <c r="AY14" s="21" t="s">
        <v>911</v>
      </c>
      <c r="AZ14" s="21" t="s">
        <v>881</v>
      </c>
      <c r="BA14" s="21">
        <v>14</v>
      </c>
      <c r="BB14" s="21">
        <v>2</v>
      </c>
      <c r="BG14" s="30"/>
      <c r="BP14" s="30"/>
      <c r="BU14" t="s">
        <v>749</v>
      </c>
      <c r="BV14" s="21" t="s">
        <v>364</v>
      </c>
      <c r="BW14" s="21" t="s">
        <v>857</v>
      </c>
      <c r="BX14" s="21" t="s">
        <v>346</v>
      </c>
      <c r="BY14" s="31">
        <v>175000</v>
      </c>
      <c r="BZ14" s="31">
        <v>175000</v>
      </c>
      <c r="CA14" t="s">
        <v>856</v>
      </c>
      <c r="CF14" s="31"/>
      <c r="CG14" s="31"/>
      <c r="CM14" s="31"/>
      <c r="CN14" s="31"/>
      <c r="CT14" s="31"/>
      <c r="CU14" s="31"/>
      <c r="CV14" s="31"/>
      <c r="DA14" s="31"/>
      <c r="DB14" s="31"/>
      <c r="DC14" s="31"/>
      <c r="DH14" s="31"/>
      <c r="DI14" s="31"/>
      <c r="DO14" s="31"/>
      <c r="DP14" s="31"/>
      <c r="DR14" t="s">
        <v>909</v>
      </c>
      <c r="DS14" t="s">
        <v>877</v>
      </c>
      <c r="DT14" t="s">
        <v>566</v>
      </c>
      <c r="DU14" s="29" t="s">
        <v>890</v>
      </c>
      <c r="DV14" t="s">
        <v>173</v>
      </c>
      <c r="DW14" t="s">
        <v>382</v>
      </c>
      <c r="DX14" t="s">
        <v>171</v>
      </c>
      <c r="DY14" t="s">
        <v>168</v>
      </c>
      <c r="DZ14" t="s">
        <v>169</v>
      </c>
      <c r="EA14" s="22">
        <v>43076.559560185182</v>
      </c>
      <c r="EB14" t="s">
        <v>860</v>
      </c>
      <c r="EC14" t="s">
        <v>912</v>
      </c>
    </row>
    <row r="15" spans="1:133">
      <c r="A15" s="30"/>
      <c r="B15" s="22">
        <v>42933.713888888888</v>
      </c>
      <c r="C15" s="22" t="s">
        <v>244</v>
      </c>
      <c r="D15" s="30" t="s">
        <v>780</v>
      </c>
      <c r="E15" s="30" t="s">
        <v>567</v>
      </c>
      <c r="F15" s="30" t="s">
        <v>170</v>
      </c>
      <c r="G15" s="30" t="s">
        <v>172</v>
      </c>
      <c r="H15" t="s">
        <v>94</v>
      </c>
      <c r="I15" t="s">
        <v>782</v>
      </c>
      <c r="J15" t="s">
        <v>579</v>
      </c>
      <c r="L15">
        <v>1</v>
      </c>
      <c r="M15" s="26">
        <v>2.0299999999999998</v>
      </c>
      <c r="N15" t="s">
        <v>208</v>
      </c>
      <c r="Q15" s="29" t="s">
        <v>13</v>
      </c>
      <c r="R15" s="29" t="str">
        <f>IFERROR(MID(RADataTable[[#This Row],[RAtemplate]],1,LEN(RADataTable[[#This Row],[RAtemplate]])-8),"RA") &amp; " " &amp; RADataTable[[#This Row],[prop_id0]] &amp; " " &amp; RADataTable[[#This Row],[last0]]</f>
        <v>RA 1749563 Del Pia</v>
      </c>
      <c r="U15" s="21" t="str">
        <f>IF(signer1="PD",IF(ISBLANK(RADataTable[[#This Row],[sign_blck_name]]),"",RADataTable[[#This Row],[sign_blck_name]]),IF(ISBLANK(signer1),"",signer1))</f>
        <v>Jack Snoeyink</v>
      </c>
      <c r="V15" s="29" t="str">
        <f>signer2</f>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delpia@wisc.edu</v>
      </c>
      <c r="Y15" s="15" t="str">
        <f>HYPERLINK("mailto:"&amp;RADataTable[[#This Row],[allPIemail]]&amp;"&amp;subject=NSF Proposal:  "&amp;RADataTable[[#This Row],[Div]]&amp;" "&amp;RADataTable[[#This Row],[prop_id0]], "PIs@")</f>
        <v>PIs@</v>
      </c>
      <c r="Z15" t="s">
        <v>781</v>
      </c>
      <c r="AA15" t="s">
        <v>624</v>
      </c>
      <c r="AB15">
        <v>4</v>
      </c>
      <c r="AC15">
        <v>4</v>
      </c>
      <c r="AD15"/>
      <c r="AE15" t="str">
        <f>IF(RADataTable[[#This Row],[maxScore]]-RADataTable[[#This Row],[minScore]]&gt;4,"Y","")</f>
        <v/>
      </c>
      <c r="AF15" s="21">
        <v>6</v>
      </c>
      <c r="AG15" s="26">
        <v>7</v>
      </c>
      <c r="AH15">
        <v>8</v>
      </c>
      <c r="AI15" t="s">
        <v>798</v>
      </c>
      <c r="AJ15" s="30">
        <v>43031.584027777775</v>
      </c>
      <c r="AK15" s="13">
        <v>500000</v>
      </c>
      <c r="AL15" s="13">
        <v>500000</v>
      </c>
      <c r="AM15">
        <v>0</v>
      </c>
      <c r="AN15" s="30">
        <v>43344</v>
      </c>
      <c r="AO15" s="21">
        <v>60</v>
      </c>
      <c r="AP15" s="21" t="s">
        <v>799</v>
      </c>
      <c r="AS15" s="30"/>
      <c r="AT15" t="s">
        <v>583</v>
      </c>
      <c r="AU15" s="21" t="s">
        <v>207</v>
      </c>
      <c r="AV15" s="21">
        <v>3</v>
      </c>
      <c r="AW15" s="21" t="s">
        <v>879</v>
      </c>
      <c r="AX15" s="30">
        <v>43032</v>
      </c>
      <c r="AY15" s="21" t="s">
        <v>885</v>
      </c>
      <c r="AZ15" s="21" t="s">
        <v>881</v>
      </c>
      <c r="BA15" s="21">
        <v>14</v>
      </c>
      <c r="BB15" s="21">
        <v>0</v>
      </c>
      <c r="BG15" s="30"/>
      <c r="BP15" s="30"/>
      <c r="BU15" t="s">
        <v>624</v>
      </c>
      <c r="BV15" s="21" t="s">
        <v>625</v>
      </c>
      <c r="BW15" s="21" t="s">
        <v>797</v>
      </c>
      <c r="BX15" s="21" t="s">
        <v>249</v>
      </c>
      <c r="BY15" s="31">
        <v>500000</v>
      </c>
      <c r="BZ15" s="31">
        <v>500000</v>
      </c>
      <c r="CA15" t="s">
        <v>783</v>
      </c>
      <c r="CF15" s="31"/>
      <c r="CG15" s="31"/>
      <c r="CM15" s="31"/>
      <c r="CN15" s="31"/>
      <c r="CT15" s="31"/>
      <c r="CU15" s="31"/>
      <c r="CV15" s="31"/>
      <c r="DA15" s="31"/>
      <c r="DB15" s="31"/>
      <c r="DC15" s="31"/>
      <c r="DH15" s="31"/>
      <c r="DI15" s="31"/>
      <c r="DO15" s="31"/>
      <c r="DP15" s="31"/>
      <c r="DR15" t="s">
        <v>248</v>
      </c>
      <c r="DS15" t="s">
        <v>877</v>
      </c>
      <c r="DT15" t="s">
        <v>568</v>
      </c>
      <c r="DU15" s="29" t="s">
        <v>878</v>
      </c>
      <c r="DV15" t="s">
        <v>173</v>
      </c>
      <c r="DW15" t="s">
        <v>382</v>
      </c>
      <c r="DX15" t="s">
        <v>171</v>
      </c>
      <c r="DY15" t="s">
        <v>168</v>
      </c>
      <c r="DZ15" t="s">
        <v>169</v>
      </c>
      <c r="EA15" s="22">
        <v>43076.559560185182</v>
      </c>
      <c r="EB15" t="s">
        <v>800</v>
      </c>
      <c r="EC15" t="s">
        <v>886</v>
      </c>
    </row>
    <row r="16" spans="1:133">
      <c r="A16" s="30"/>
      <c r="B16" s="22">
        <v>42935.387499999997</v>
      </c>
      <c r="C16" s="22" t="s">
        <v>244</v>
      </c>
      <c r="D16" s="30" t="s">
        <v>780</v>
      </c>
      <c r="E16" s="30" t="s">
        <v>567</v>
      </c>
      <c r="F16" s="30" t="s">
        <v>170</v>
      </c>
      <c r="G16" s="30" t="s">
        <v>172</v>
      </c>
      <c r="H16" t="s">
        <v>94</v>
      </c>
      <c r="I16" t="s">
        <v>782</v>
      </c>
      <c r="J16" t="s">
        <v>944</v>
      </c>
      <c r="L16">
        <v>1</v>
      </c>
      <c r="M16" s="26">
        <v>2.0299999999999998</v>
      </c>
      <c r="N16" t="s">
        <v>208</v>
      </c>
      <c r="Q16" s="29" t="s">
        <v>13</v>
      </c>
      <c r="R16" s="29" t="str">
        <f>IFERROR(MID(RADataTable[[#This Row],[RAtemplate]],1,LEN(RADataTable[[#This Row],[RAtemplate]])-8),"RA") &amp; " " &amp; RADataTable[[#This Row],[prop_id0]] &amp; " " &amp; RADataTable[[#This Row],[last0]]</f>
        <v>RA 1750140 Panigrahi</v>
      </c>
      <c r="U16" s="21" t="str">
        <f>IF(signer1="PD",IF(ISBLANK(RADataTable[[#This Row],[sign_blck_name]]),"",RADataTable[[#This Row],[sign_blck_name]]),IF(ISBLANK(signer1),"",signer1))</f>
        <v>Rahul Shah</v>
      </c>
      <c r="V16" s="29" t="str">
        <f>signer2</f>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debmalya.panigrahi@gmail.com</v>
      </c>
      <c r="Y16" s="15" t="str">
        <f>HYPERLINK("mailto:"&amp;RADataTable[[#This Row],[allPIemail]]&amp;"&amp;subject=NSF Proposal:  "&amp;RADataTable[[#This Row],[Div]]&amp;" "&amp;RADataTable[[#This Row],[prop_id0]], "PIs@")</f>
        <v>PIs@</v>
      </c>
      <c r="Z16" t="s">
        <v>781</v>
      </c>
      <c r="AA16" t="s">
        <v>1036</v>
      </c>
      <c r="AB16">
        <v>4</v>
      </c>
      <c r="AC16">
        <v>4</v>
      </c>
      <c r="AD16"/>
      <c r="AE16" t="str">
        <f>IF(RADataTable[[#This Row],[maxScore]]-RADataTable[[#This Row],[minScore]]&gt;4,"Y","")</f>
        <v/>
      </c>
      <c r="AF16" s="21">
        <v>7</v>
      </c>
      <c r="AG16" s="26">
        <v>7.75</v>
      </c>
      <c r="AH16">
        <v>9</v>
      </c>
      <c r="AI16" t="s">
        <v>1401</v>
      </c>
      <c r="AJ16" s="30">
        <v>43032.520138888889</v>
      </c>
      <c r="AK16" s="13">
        <v>602288</v>
      </c>
      <c r="AL16" s="13">
        <v>602288</v>
      </c>
      <c r="AM16">
        <v>0</v>
      </c>
      <c r="AN16" s="30">
        <v>43160</v>
      </c>
      <c r="AO16" s="21">
        <v>60</v>
      </c>
      <c r="AP16" s="21" t="s">
        <v>1402</v>
      </c>
      <c r="AS16" s="30"/>
      <c r="AT16" t="s">
        <v>583</v>
      </c>
      <c r="AU16" s="21" t="s">
        <v>207</v>
      </c>
      <c r="AV16" s="21">
        <v>3</v>
      </c>
      <c r="AW16" s="21" t="s">
        <v>879</v>
      </c>
      <c r="AX16" s="30">
        <v>43032</v>
      </c>
      <c r="AY16" s="21" t="s">
        <v>1547</v>
      </c>
      <c r="AZ16" s="21" t="s">
        <v>881</v>
      </c>
      <c r="BA16" s="21">
        <v>14</v>
      </c>
      <c r="BB16" s="21">
        <v>2</v>
      </c>
      <c r="BG16" s="30"/>
      <c r="BP16" s="30"/>
      <c r="BU16" t="s">
        <v>1036</v>
      </c>
      <c r="BV16" s="21" t="s">
        <v>1037</v>
      </c>
      <c r="BW16" s="21" t="s">
        <v>1400</v>
      </c>
      <c r="BX16" s="21" t="s">
        <v>353</v>
      </c>
      <c r="BY16" s="31">
        <v>602288</v>
      </c>
      <c r="BZ16" s="31">
        <v>602288</v>
      </c>
      <c r="CA16" t="s">
        <v>783</v>
      </c>
      <c r="CF16" s="31"/>
      <c r="CG16" s="31"/>
      <c r="CM16" s="31"/>
      <c r="CN16" s="31"/>
      <c r="CT16" s="31"/>
      <c r="CU16" s="31"/>
      <c r="CV16" s="31"/>
      <c r="DA16" s="31"/>
      <c r="DB16" s="31"/>
      <c r="DC16" s="31"/>
      <c r="DH16" s="31"/>
      <c r="DI16" s="31"/>
      <c r="DO16" s="31"/>
      <c r="DP16" s="31"/>
      <c r="DR16" t="s">
        <v>248</v>
      </c>
      <c r="DS16" t="s">
        <v>877</v>
      </c>
      <c r="DT16" t="s">
        <v>568</v>
      </c>
      <c r="DU16" s="29" t="s">
        <v>1532</v>
      </c>
      <c r="DV16" t="s">
        <v>173</v>
      </c>
      <c r="DW16" t="s">
        <v>382</v>
      </c>
      <c r="DX16" t="s">
        <v>171</v>
      </c>
      <c r="DY16" t="s">
        <v>168</v>
      </c>
      <c r="DZ16" t="s">
        <v>169</v>
      </c>
      <c r="EA16" s="22">
        <v>43076.559560185182</v>
      </c>
      <c r="EB16" t="s">
        <v>1403</v>
      </c>
      <c r="EC16" t="s">
        <v>1548</v>
      </c>
    </row>
    <row r="17" spans="1:133">
      <c r="A17" s="30"/>
      <c r="B17" s="22">
        <v>42956.697916666664</v>
      </c>
      <c r="C17" s="22" t="s">
        <v>848</v>
      </c>
      <c r="D17" s="30" t="s">
        <v>780</v>
      </c>
      <c r="E17" s="30" t="s">
        <v>565</v>
      </c>
      <c r="F17" s="30" t="s">
        <v>170</v>
      </c>
      <c r="G17" s="30" t="s">
        <v>172</v>
      </c>
      <c r="H17" t="s">
        <v>94</v>
      </c>
      <c r="I17" t="s">
        <v>849</v>
      </c>
      <c r="J17" t="s">
        <v>582</v>
      </c>
      <c r="L17">
        <v>1</v>
      </c>
      <c r="M17" s="26">
        <v>2.0299999999999998</v>
      </c>
      <c r="N17" t="s">
        <v>208</v>
      </c>
      <c r="Q17" s="29" t="s">
        <v>13</v>
      </c>
      <c r="R17" s="29" t="str">
        <f>IFERROR(MID(RADataTable[[#This Row],[RAtemplate]],1,LEN(RADataTable[[#This Row],[RAtemplate]])-8),"RA") &amp; " " &amp; RADataTable[[#This Row],[prop_id0]] &amp; " " &amp; RADataTable[[#This Row],[last0]]</f>
        <v>RA 1755955 Gkatzelis</v>
      </c>
      <c r="U17" s="21" t="str">
        <f>IF(signer1="PD",IF(ISBLANK(RADataTable[[#This Row],[sign_blck_name]]),"",RADataTable[[#This Row],[sign_blck_name]]),IF(ISBLANK(signer1),"",signer1))</f>
        <v>Tracy J. Kimbrel</v>
      </c>
      <c r="V17" s="29" t="str">
        <f>signer2</f>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gkatz@drexel.edu</v>
      </c>
      <c r="Y17" s="15" t="str">
        <f>HYPERLINK("mailto:"&amp;RADataTable[[#This Row],[allPIemail]]&amp;"&amp;subject=NSF Proposal:  "&amp;RADataTable[[#This Row],[Div]]&amp;" "&amp;RADataTable[[#This Row],[prop_id0]], "PIs@")</f>
        <v>PIs@</v>
      </c>
      <c r="Z17" t="s">
        <v>781</v>
      </c>
      <c r="AA17" t="s">
        <v>1340</v>
      </c>
      <c r="AB17">
        <v>3</v>
      </c>
      <c r="AC17">
        <v>3</v>
      </c>
      <c r="AD17"/>
      <c r="AE17" t="str">
        <f>IF(RADataTable[[#This Row],[maxScore]]-RADataTable[[#This Row],[minScore]]&gt;4,"Y","")</f>
        <v/>
      </c>
      <c r="AF17" s="21">
        <v>7</v>
      </c>
      <c r="AG17" s="26">
        <v>7</v>
      </c>
      <c r="AH17">
        <v>7</v>
      </c>
      <c r="AI17" t="s">
        <v>1501</v>
      </c>
      <c r="AJ17" s="30">
        <v>43060.397916666669</v>
      </c>
      <c r="AK17" s="13">
        <v>174930</v>
      </c>
      <c r="AL17" s="13">
        <v>174930</v>
      </c>
      <c r="AM17">
        <v>0</v>
      </c>
      <c r="AN17" s="30">
        <v>43132</v>
      </c>
      <c r="AO17" s="21">
        <v>24</v>
      </c>
      <c r="AP17" s="21" t="s">
        <v>1519</v>
      </c>
      <c r="AS17" s="30"/>
      <c r="AT17" t="s">
        <v>658</v>
      </c>
      <c r="AU17" s="21" t="s">
        <v>207</v>
      </c>
      <c r="AV17" s="21">
        <v>3</v>
      </c>
      <c r="AW17" s="21" t="s">
        <v>892</v>
      </c>
      <c r="AX17" s="30">
        <v>43060</v>
      </c>
      <c r="AY17" s="21" t="s">
        <v>1592</v>
      </c>
      <c r="AZ17" s="21" t="s">
        <v>894</v>
      </c>
      <c r="BA17" s="21">
        <v>12</v>
      </c>
      <c r="BB17" s="21">
        <v>0</v>
      </c>
      <c r="BG17" s="30"/>
      <c r="BP17" s="30"/>
      <c r="BU17" t="s">
        <v>1340</v>
      </c>
      <c r="BV17" s="21" t="s">
        <v>1191</v>
      </c>
      <c r="BW17" s="21" t="s">
        <v>1460</v>
      </c>
      <c r="BX17" s="21" t="s">
        <v>1461</v>
      </c>
      <c r="BY17" s="31">
        <v>174930</v>
      </c>
      <c r="BZ17" s="31">
        <v>174930</v>
      </c>
      <c r="CA17" t="s">
        <v>1495</v>
      </c>
      <c r="CF17" s="31"/>
      <c r="CG17" s="31"/>
      <c r="CM17" s="31"/>
      <c r="CN17" s="31"/>
      <c r="CT17" s="31"/>
      <c r="CU17" s="31"/>
      <c r="CV17" s="31"/>
      <c r="DA17" s="31"/>
      <c r="DB17" s="31"/>
      <c r="DC17" s="31"/>
      <c r="DH17" s="31"/>
      <c r="DI17" s="31"/>
      <c r="DO17" s="31"/>
      <c r="DP17" s="31"/>
      <c r="DR17" t="s">
        <v>909</v>
      </c>
      <c r="DS17" t="s">
        <v>877</v>
      </c>
      <c r="DT17" t="s">
        <v>566</v>
      </c>
      <c r="DU17" s="29" t="s">
        <v>890</v>
      </c>
      <c r="DV17" t="s">
        <v>173</v>
      </c>
      <c r="DW17" t="s">
        <v>382</v>
      </c>
      <c r="DX17" t="s">
        <v>171</v>
      </c>
      <c r="DY17" t="s">
        <v>168</v>
      </c>
      <c r="DZ17" t="s">
        <v>169</v>
      </c>
      <c r="EA17" s="22">
        <v>43076.559560185182</v>
      </c>
      <c r="EB17" t="s">
        <v>1463</v>
      </c>
      <c r="EC17" t="s">
        <v>1577</v>
      </c>
    </row>
    <row r="18" spans="1:133">
      <c r="A18" s="30"/>
      <c r="B18" s="22">
        <v>42956.746527777781</v>
      </c>
      <c r="C18" s="22" t="s">
        <v>848</v>
      </c>
      <c r="D18" s="30" t="s">
        <v>780</v>
      </c>
      <c r="E18" s="30" t="s">
        <v>565</v>
      </c>
      <c r="F18" s="30" t="s">
        <v>170</v>
      </c>
      <c r="G18" s="30" t="s">
        <v>172</v>
      </c>
      <c r="H18" t="s">
        <v>94</v>
      </c>
      <c r="I18" t="s">
        <v>849</v>
      </c>
      <c r="J18" t="s">
        <v>944</v>
      </c>
      <c r="L18">
        <v>1</v>
      </c>
      <c r="M18" s="26">
        <v>2.0299999999999998</v>
      </c>
      <c r="N18" t="s">
        <v>208</v>
      </c>
      <c r="Q18" s="29" t="s">
        <v>13</v>
      </c>
      <c r="R18" s="29" t="str">
        <f>IFERROR(MID(RADataTable[[#This Row],[RAtemplate]],1,LEN(RADataTable[[#This Row],[RAtemplate]])-8),"RA") &amp; " " &amp; RADataTable[[#This Row],[prop_id0]] &amp; " " &amp; RADataTable[[#This Row],[last0]]</f>
        <v>RA 1756014 Chen</v>
      </c>
      <c r="U18" s="21" t="str">
        <f>IF(signer1="PD",IF(ISBLANK(RADataTable[[#This Row],[sign_blck_name]]),"",RADataTable[[#This Row],[sign_blck_name]]),IF(ISBLANK(signer1),"",signer1))</f>
        <v>Rahul Shah</v>
      </c>
      <c r="V18" s="29" t="str">
        <f>signer2</f>
        <v>Cognizant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lchen49@central.uh.edu</v>
      </c>
      <c r="Y18" s="15" t="str">
        <f>HYPERLINK("mailto:"&amp;RADataTable[[#This Row],[allPIemail]]&amp;"&amp;subject=NSF Proposal:  "&amp;RADataTable[[#This Row],[Div]]&amp;" "&amp;RADataTable[[#This Row],[prop_id0]], "PIs@")</f>
        <v>PIs@</v>
      </c>
      <c r="Z18" t="s">
        <v>781</v>
      </c>
      <c r="AA18" t="s">
        <v>1346</v>
      </c>
      <c r="AB18">
        <v>3</v>
      </c>
      <c r="AC18">
        <v>3</v>
      </c>
      <c r="AD18"/>
      <c r="AE18" t="str">
        <f>IF(RADataTable[[#This Row],[maxScore]]-RADataTable[[#This Row],[minScore]]&gt;4,"Y","")</f>
        <v/>
      </c>
      <c r="AF18" s="21">
        <v>5</v>
      </c>
      <c r="AG18" s="26">
        <v>6</v>
      </c>
      <c r="AH18">
        <v>7</v>
      </c>
      <c r="AI18" t="s">
        <v>1360</v>
      </c>
      <c r="AJ18" s="30">
        <v>43031.734027777777</v>
      </c>
      <c r="AK18" s="13">
        <v>148477</v>
      </c>
      <c r="AL18" s="13">
        <v>148477</v>
      </c>
      <c r="AM18">
        <v>0</v>
      </c>
      <c r="AN18" s="30">
        <v>43252</v>
      </c>
      <c r="AO18" s="21">
        <v>24</v>
      </c>
      <c r="AP18" s="21" t="s">
        <v>1521</v>
      </c>
      <c r="AS18" s="30"/>
      <c r="AT18" t="s">
        <v>583</v>
      </c>
      <c r="AU18" s="21" t="s">
        <v>207</v>
      </c>
      <c r="AV18" s="21">
        <v>3</v>
      </c>
      <c r="AW18" s="21" t="s">
        <v>879</v>
      </c>
      <c r="AX18" s="30">
        <v>43032</v>
      </c>
      <c r="AY18" s="21" t="s">
        <v>1525</v>
      </c>
      <c r="AZ18" s="21" t="s">
        <v>881</v>
      </c>
      <c r="BA18" s="21">
        <v>14</v>
      </c>
      <c r="BB18" s="21">
        <v>0</v>
      </c>
      <c r="BG18" s="30"/>
      <c r="BP18" s="30"/>
      <c r="BU18" t="s">
        <v>1346</v>
      </c>
      <c r="BV18" s="21" t="s">
        <v>666</v>
      </c>
      <c r="BW18" s="21" t="s">
        <v>925</v>
      </c>
      <c r="BX18" s="21" t="s">
        <v>1520</v>
      </c>
      <c r="BY18" s="31">
        <v>148477</v>
      </c>
      <c r="BZ18" s="31">
        <v>148477</v>
      </c>
      <c r="CA18" t="s">
        <v>850</v>
      </c>
      <c r="CF18" s="31"/>
      <c r="CG18" s="31"/>
      <c r="CM18" s="31"/>
      <c r="CN18" s="31"/>
      <c r="CT18" s="31"/>
      <c r="CU18" s="31"/>
      <c r="CV18" s="31"/>
      <c r="DA18" s="31"/>
      <c r="DB18" s="31"/>
      <c r="DC18" s="31"/>
      <c r="DH18" s="31"/>
      <c r="DI18" s="31"/>
      <c r="DO18" s="31"/>
      <c r="DP18" s="31"/>
      <c r="DR18" t="s">
        <v>909</v>
      </c>
      <c r="DS18" t="s">
        <v>877</v>
      </c>
      <c r="DT18" t="s">
        <v>566</v>
      </c>
      <c r="DU18" s="29" t="s">
        <v>1532</v>
      </c>
      <c r="DV18" t="s">
        <v>173</v>
      </c>
      <c r="DW18" t="s">
        <v>382</v>
      </c>
      <c r="DX18" t="s">
        <v>171</v>
      </c>
      <c r="DY18" t="s">
        <v>168</v>
      </c>
      <c r="DZ18" t="s">
        <v>169</v>
      </c>
      <c r="EA18" s="22">
        <v>43076.559560185182</v>
      </c>
      <c r="EB18" t="s">
        <v>1522</v>
      </c>
      <c r="EC18" t="s">
        <v>1603</v>
      </c>
    </row>
    <row r="19" spans="1:133">
      <c r="A19" s="30"/>
      <c r="B19" s="22">
        <v>42934.625694444447</v>
      </c>
      <c r="C19" s="22" t="s">
        <v>244</v>
      </c>
      <c r="D19" s="30" t="s">
        <v>780</v>
      </c>
      <c r="E19" s="30" t="s">
        <v>567</v>
      </c>
      <c r="F19" s="30" t="s">
        <v>170</v>
      </c>
      <c r="G19" s="30" t="s">
        <v>172</v>
      </c>
      <c r="H19" t="s">
        <v>94</v>
      </c>
      <c r="I19" t="s">
        <v>782</v>
      </c>
      <c r="J19" t="s">
        <v>579</v>
      </c>
      <c r="L19">
        <v>1</v>
      </c>
      <c r="M19" s="26">
        <v>2.04</v>
      </c>
      <c r="N19" t="s">
        <v>208</v>
      </c>
      <c r="Q19" s="29" t="s">
        <v>13</v>
      </c>
      <c r="R19" s="29" t="str">
        <f>IFERROR(MID(RADataTable[[#This Row],[RAtemplate]],1,LEN(RADataTable[[#This Row],[RAtemplate]])-8),"RA") &amp; " " &amp; RADataTable[[#This Row],[prop_id0]] &amp; " " &amp; RADataTable[[#This Row],[last0]]</f>
        <v>RA 1749855 Orabona</v>
      </c>
      <c r="U19" s="21" t="str">
        <f>IF(signer1="PD",IF(ISBLANK(RADataTable[[#This Row],[sign_blck_name]]),"",RADataTable[[#This Row],[sign_blck_name]]),IF(ISBLANK(signer1),"",signer1))</f>
        <v>Jack Snoeyink</v>
      </c>
      <c r="V19" s="29" t="str">
        <f>signer2</f>
        <v>Cognizant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francesco@cs.stonybrook.edu</v>
      </c>
      <c r="Y19" s="15" t="str">
        <f>HYPERLINK("mailto:"&amp;RADataTable[[#This Row],[allPIemail]]&amp;"&amp;subject=NSF Proposal:  "&amp;RADataTable[[#This Row],[Div]]&amp;" "&amp;RADataTable[[#This Row],[prop_id0]], "PIs@")</f>
        <v>PIs@</v>
      </c>
      <c r="Z19" t="s">
        <v>781</v>
      </c>
      <c r="AA19" t="s">
        <v>656</v>
      </c>
      <c r="AB19">
        <v>4</v>
      </c>
      <c r="AC19">
        <v>4</v>
      </c>
      <c r="AD19"/>
      <c r="AE19" t="str">
        <f>IF(RADataTable[[#This Row],[maxScore]]-RADataTable[[#This Row],[minScore]]&gt;4,"Y","")</f>
        <v/>
      </c>
      <c r="AF19" s="21">
        <v>7</v>
      </c>
      <c r="AG19" s="26">
        <v>8</v>
      </c>
      <c r="AH19">
        <v>9</v>
      </c>
      <c r="AI19" t="s">
        <v>811</v>
      </c>
      <c r="AJ19" s="30">
        <v>43059.663888888892</v>
      </c>
      <c r="AK19" s="13">
        <v>516750</v>
      </c>
      <c r="AL19" s="13">
        <v>516750</v>
      </c>
      <c r="AM19">
        <v>0</v>
      </c>
      <c r="AN19" s="30">
        <v>43101</v>
      </c>
      <c r="AO19" s="21">
        <v>60</v>
      </c>
      <c r="AP19" s="21" t="s">
        <v>812</v>
      </c>
      <c r="AS19" s="30"/>
      <c r="AT19" t="s">
        <v>658</v>
      </c>
      <c r="AU19" s="21" t="s">
        <v>207</v>
      </c>
      <c r="AV19" s="21">
        <v>4</v>
      </c>
      <c r="AW19" s="21" t="s">
        <v>892</v>
      </c>
      <c r="AX19" s="30">
        <v>43060</v>
      </c>
      <c r="AY19" s="21" t="s">
        <v>893</v>
      </c>
      <c r="AZ19" s="21" t="s">
        <v>894</v>
      </c>
      <c r="BA19" s="21">
        <v>12</v>
      </c>
      <c r="BB19" s="21">
        <v>0</v>
      </c>
      <c r="BG19" s="30"/>
      <c r="BP19" s="30"/>
      <c r="BU19" t="s">
        <v>656</v>
      </c>
      <c r="BV19" s="21" t="s">
        <v>657</v>
      </c>
      <c r="BW19" s="21" t="s">
        <v>809</v>
      </c>
      <c r="BX19" s="21" t="s">
        <v>810</v>
      </c>
      <c r="BY19" s="31">
        <v>516750</v>
      </c>
      <c r="BZ19" s="31">
        <v>516750</v>
      </c>
      <c r="CA19" t="s">
        <v>783</v>
      </c>
      <c r="CF19" s="31"/>
      <c r="CG19" s="31"/>
      <c r="CM19" s="31"/>
      <c r="CN19" s="31"/>
      <c r="CT19" s="31"/>
      <c r="CU19" s="31"/>
      <c r="CV19" s="31"/>
      <c r="DA19" s="31"/>
      <c r="DB19" s="31"/>
      <c r="DC19" s="31"/>
      <c r="DH19" s="31"/>
      <c r="DI19" s="31"/>
      <c r="DO19" s="31"/>
      <c r="DP19" s="31"/>
      <c r="DR19" t="s">
        <v>248</v>
      </c>
      <c r="DS19" t="s">
        <v>877</v>
      </c>
      <c r="DT19" t="s">
        <v>568</v>
      </c>
      <c r="DU19" s="29" t="s">
        <v>878</v>
      </c>
      <c r="DV19" t="s">
        <v>173</v>
      </c>
      <c r="DW19" t="s">
        <v>382</v>
      </c>
      <c r="DX19" t="s">
        <v>171</v>
      </c>
      <c r="DY19" t="s">
        <v>168</v>
      </c>
      <c r="DZ19" t="s">
        <v>169</v>
      </c>
      <c r="EA19" s="22">
        <v>43076.559560185182</v>
      </c>
      <c r="EB19" t="s">
        <v>813</v>
      </c>
      <c r="EC19" t="s">
        <v>895</v>
      </c>
    </row>
    <row r="20" spans="1:133">
      <c r="A20" s="30"/>
      <c r="B20" s="22">
        <v>42935.536805555559</v>
      </c>
      <c r="C20" s="22" t="s">
        <v>244</v>
      </c>
      <c r="D20" s="30" t="s">
        <v>780</v>
      </c>
      <c r="E20" s="30" t="s">
        <v>567</v>
      </c>
      <c r="F20" s="30" t="s">
        <v>170</v>
      </c>
      <c r="G20" s="30" t="s">
        <v>172</v>
      </c>
      <c r="H20" t="s">
        <v>94</v>
      </c>
      <c r="I20" t="s">
        <v>782</v>
      </c>
      <c r="J20" t="s">
        <v>582</v>
      </c>
      <c r="L20">
        <v>2</v>
      </c>
      <c r="M20" s="26">
        <v>2.04</v>
      </c>
      <c r="N20" t="s">
        <v>250</v>
      </c>
      <c r="O20" t="s">
        <v>208</v>
      </c>
      <c r="Q20" s="29" t="s">
        <v>13</v>
      </c>
      <c r="R20" s="29" t="str">
        <f>IFERROR(MID(RADataTable[[#This Row],[RAtemplate]],1,LEN(RADataTable[[#This Row],[RAtemplate]])-8),"RA") &amp; " " &amp; RADataTable[[#This Row],[prop_id0]] &amp; " " &amp; RADataTable[[#This Row],[last0]]</f>
        <v>RA 1750443 Kol</v>
      </c>
      <c r="U20" s="21" t="str">
        <f>IF(signer1="PD",IF(ISBLANK(RADataTable[[#This Row],[sign_blck_name]]),"",RADataTable[[#This Row],[sign_blck_name]]),IF(ISBLANK(signer1),"",signer1))</f>
        <v>Tracy J. Kimbrel</v>
      </c>
      <c r="V20" s="29" t="str">
        <f>signer2</f>
        <v>Cognizant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gillat.kol@gmail.com</v>
      </c>
      <c r="Y20" s="15" t="str">
        <f>HYPERLINK("mailto:"&amp;RADataTable[[#This Row],[allPIemail]]&amp;"&amp;subject=NSF Proposal:  "&amp;RADataTable[[#This Row],[Div]]&amp;" "&amp;RADataTable[[#This Row],[prop_id0]], "PIs@")</f>
        <v>PIs@</v>
      </c>
      <c r="Z20" t="s">
        <v>781</v>
      </c>
      <c r="AA20" t="s">
        <v>1077</v>
      </c>
      <c r="AB20">
        <v>9</v>
      </c>
      <c r="AC20">
        <v>9</v>
      </c>
      <c r="AD20"/>
      <c r="AE20" t="str">
        <f>IF(RADataTable[[#This Row],[maxScore]]-RADataTable[[#This Row],[minScore]]&gt;4,"Y","")</f>
        <v/>
      </c>
      <c r="AF20" s="21">
        <v>5</v>
      </c>
      <c r="AG20" s="26">
        <v>6.2222222222222223</v>
      </c>
      <c r="AH20">
        <v>9</v>
      </c>
      <c r="AI20" t="s">
        <v>1420</v>
      </c>
      <c r="AJ20" s="30">
        <v>43059.575694444444</v>
      </c>
      <c r="AK20" s="13">
        <v>550000</v>
      </c>
      <c r="AL20" s="13">
        <v>550000</v>
      </c>
      <c r="AM20">
        <v>0</v>
      </c>
      <c r="AN20" s="30">
        <v>43132</v>
      </c>
      <c r="AO20" s="21">
        <v>60</v>
      </c>
      <c r="AP20" s="21" t="s">
        <v>1421</v>
      </c>
      <c r="AS20" s="30"/>
      <c r="AT20" t="s">
        <v>1081</v>
      </c>
      <c r="AU20" s="21" t="s">
        <v>251</v>
      </c>
      <c r="AV20" s="21">
        <v>10</v>
      </c>
      <c r="AW20" s="21" t="s">
        <v>1556</v>
      </c>
      <c r="AX20" s="30">
        <v>43046</v>
      </c>
      <c r="AY20" s="21" t="s">
        <v>1557</v>
      </c>
      <c r="AZ20" s="21" t="s">
        <v>1558</v>
      </c>
      <c r="BA20" s="21">
        <v>9</v>
      </c>
      <c r="BB20" s="21">
        <v>0</v>
      </c>
      <c r="BC20" s="21" t="s">
        <v>658</v>
      </c>
      <c r="BD20" s="21" t="s">
        <v>207</v>
      </c>
      <c r="BE20" s="21">
        <v>4</v>
      </c>
      <c r="BF20" s="21" t="s">
        <v>892</v>
      </c>
      <c r="BG20" s="30">
        <v>43060</v>
      </c>
      <c r="BH20" s="21" t="s">
        <v>902</v>
      </c>
      <c r="BI20" s="21" t="s">
        <v>894</v>
      </c>
      <c r="BJ20" s="21">
        <v>12</v>
      </c>
      <c r="BK20" s="21">
        <v>0</v>
      </c>
      <c r="BP20" s="30"/>
      <c r="BU20" t="s">
        <v>1077</v>
      </c>
      <c r="BV20" s="21" t="s">
        <v>1078</v>
      </c>
      <c r="BW20" s="21" t="s">
        <v>1419</v>
      </c>
      <c r="BX20" s="21" t="s">
        <v>1364</v>
      </c>
      <c r="BY20" s="31">
        <v>550000</v>
      </c>
      <c r="BZ20" s="31">
        <v>550000</v>
      </c>
      <c r="CA20" t="s">
        <v>1383</v>
      </c>
      <c r="CF20" s="31"/>
      <c r="CG20" s="31"/>
      <c r="CM20" s="31"/>
      <c r="CN20" s="31"/>
      <c r="CT20" s="31"/>
      <c r="CU20" s="31"/>
      <c r="CV20" s="31"/>
      <c r="DA20" s="31"/>
      <c r="DB20" s="31"/>
      <c r="DC20" s="31"/>
      <c r="DH20" s="31"/>
      <c r="DI20" s="31"/>
      <c r="DO20" s="31"/>
      <c r="DP20" s="31"/>
      <c r="DR20" t="s">
        <v>248</v>
      </c>
      <c r="DS20" t="s">
        <v>877</v>
      </c>
      <c r="DT20" t="s">
        <v>568</v>
      </c>
      <c r="DU20" s="29" t="s">
        <v>890</v>
      </c>
      <c r="DV20" t="s">
        <v>173</v>
      </c>
      <c r="DW20" t="s">
        <v>382</v>
      </c>
      <c r="DX20" t="s">
        <v>171</v>
      </c>
      <c r="DY20" t="s">
        <v>168</v>
      </c>
      <c r="DZ20" t="s">
        <v>169</v>
      </c>
      <c r="EA20" s="22">
        <v>43076.559560185182</v>
      </c>
      <c r="EB20" t="s">
        <v>1422</v>
      </c>
      <c r="EC20" t="s">
        <v>1559</v>
      </c>
    </row>
    <row r="21" spans="1:133">
      <c r="A21" s="30"/>
      <c r="B21" s="22">
        <v>42955.429861111108</v>
      </c>
      <c r="C21" s="22" t="s">
        <v>848</v>
      </c>
      <c r="D21" s="30" t="s">
        <v>780</v>
      </c>
      <c r="E21" s="30" t="s">
        <v>565</v>
      </c>
      <c r="F21" s="30" t="s">
        <v>170</v>
      </c>
      <c r="G21" s="30" t="s">
        <v>172</v>
      </c>
      <c r="H21" t="s">
        <v>94</v>
      </c>
      <c r="I21" t="s">
        <v>849</v>
      </c>
      <c r="J21" t="s">
        <v>944</v>
      </c>
      <c r="L21">
        <v>1</v>
      </c>
      <c r="M21" s="26">
        <v>2.04</v>
      </c>
      <c r="N21" t="s">
        <v>208</v>
      </c>
      <c r="Q21" s="29" t="s">
        <v>13</v>
      </c>
      <c r="R21" s="29" t="str">
        <f>IFERROR(MID(RADataTable[[#This Row],[RAtemplate]],1,LEN(RADataTable[[#This Row],[RAtemplate]])-8),"RA") &amp; " " &amp; RADataTable[[#This Row],[prop_id0]] &amp; " " &amp; RADataTable[[#This Row],[last0]]</f>
        <v>RA 1755548 Zhou</v>
      </c>
      <c r="U21" s="21" t="str">
        <f>IF(signer1="PD",IF(ISBLANK(RADataTable[[#This Row],[sign_blck_name]]),"",RADataTable[[#This Row],[sign_blck_name]]),IF(ISBLANK(signer1),"",signer1))</f>
        <v>Rahul Shah</v>
      </c>
      <c r="V21" s="29" t="str">
        <f>signer2</f>
        <v>Cognizant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yzhoucs@indiana.edu</v>
      </c>
      <c r="Y21" s="15" t="str">
        <f>HYPERLINK("mailto:"&amp;RADataTable[[#This Row],[allPIemail]]&amp;"&amp;subject=NSF Proposal:  "&amp;RADataTable[[#This Row],[Div]]&amp;" "&amp;RADataTable[[#This Row],[prop_id0]], "PIs@")</f>
        <v>PIs@</v>
      </c>
      <c r="Z21" t="s">
        <v>781</v>
      </c>
      <c r="AA21" t="s">
        <v>1269</v>
      </c>
      <c r="AB21">
        <v>3</v>
      </c>
      <c r="AC21">
        <v>3</v>
      </c>
      <c r="AD21"/>
      <c r="AE21" t="str">
        <f>IF(RADataTable[[#This Row],[maxScore]]-RADataTable[[#This Row],[minScore]]&gt;4,"Y","")</f>
        <v/>
      </c>
      <c r="AF21" s="21">
        <v>5</v>
      </c>
      <c r="AG21" s="26">
        <v>6</v>
      </c>
      <c r="AH21">
        <v>7</v>
      </c>
      <c r="AI21" t="s">
        <v>1360</v>
      </c>
      <c r="AJ21" s="30">
        <v>43060.397916666669</v>
      </c>
      <c r="AK21" s="13">
        <v>174974</v>
      </c>
      <c r="AL21" s="13">
        <v>174974</v>
      </c>
      <c r="AM21">
        <v>0</v>
      </c>
      <c r="AN21" s="30">
        <v>43101</v>
      </c>
      <c r="AO21" s="21">
        <v>24</v>
      </c>
      <c r="AP21" s="21" t="s">
        <v>1493</v>
      </c>
      <c r="AS21" s="30"/>
      <c r="AT21" t="s">
        <v>658</v>
      </c>
      <c r="AU21" s="21" t="s">
        <v>207</v>
      </c>
      <c r="AV21" s="21">
        <v>4</v>
      </c>
      <c r="AW21" s="21" t="s">
        <v>892</v>
      </c>
      <c r="AX21" s="30">
        <v>43060</v>
      </c>
      <c r="AY21" s="21" t="s">
        <v>1525</v>
      </c>
      <c r="AZ21" s="21" t="s">
        <v>894</v>
      </c>
      <c r="BA21" s="21">
        <v>12</v>
      </c>
      <c r="BB21" s="21">
        <v>0</v>
      </c>
      <c r="BG21" s="30"/>
      <c r="BP21" s="30"/>
      <c r="BU21" t="s">
        <v>1269</v>
      </c>
      <c r="BV21" s="21" t="s">
        <v>1270</v>
      </c>
      <c r="BW21" s="21" t="s">
        <v>537</v>
      </c>
      <c r="BX21" s="21" t="s">
        <v>1358</v>
      </c>
      <c r="BY21" s="31">
        <v>174974</v>
      </c>
      <c r="BZ21" s="31">
        <v>174974</v>
      </c>
      <c r="CA21" t="s">
        <v>850</v>
      </c>
      <c r="CF21" s="31"/>
      <c r="CG21" s="31"/>
      <c r="CM21" s="31"/>
      <c r="CN21" s="31"/>
      <c r="CT21" s="31"/>
      <c r="CU21" s="31"/>
      <c r="CV21" s="31"/>
      <c r="DA21" s="31"/>
      <c r="DB21" s="31"/>
      <c r="DC21" s="31"/>
      <c r="DH21" s="31"/>
      <c r="DI21" s="31"/>
      <c r="DO21" s="31"/>
      <c r="DP21" s="31"/>
      <c r="DR21" t="s">
        <v>909</v>
      </c>
      <c r="DS21" t="s">
        <v>877</v>
      </c>
      <c r="DT21" t="s">
        <v>566</v>
      </c>
      <c r="DU21" s="29" t="s">
        <v>1532</v>
      </c>
      <c r="DV21" t="s">
        <v>173</v>
      </c>
      <c r="DW21" t="s">
        <v>382</v>
      </c>
      <c r="DX21" t="s">
        <v>171</v>
      </c>
      <c r="DY21" t="s">
        <v>168</v>
      </c>
      <c r="DZ21" t="s">
        <v>169</v>
      </c>
      <c r="EA21" s="22">
        <v>43076.559560185182</v>
      </c>
      <c r="EB21" t="s">
        <v>1494</v>
      </c>
      <c r="EC21" t="s">
        <v>1590</v>
      </c>
    </row>
    <row r="22" spans="1:133">
      <c r="A22" s="30"/>
      <c r="B22" s="22">
        <v>42935.374305555553</v>
      </c>
      <c r="C22" s="22" t="s">
        <v>244</v>
      </c>
      <c r="D22" s="30" t="s">
        <v>780</v>
      </c>
      <c r="E22" s="30" t="s">
        <v>567</v>
      </c>
      <c r="F22" s="30" t="s">
        <v>170</v>
      </c>
      <c r="G22" s="30" t="s">
        <v>172</v>
      </c>
      <c r="H22" t="s">
        <v>94</v>
      </c>
      <c r="I22" t="s">
        <v>782</v>
      </c>
      <c r="J22" t="s">
        <v>944</v>
      </c>
      <c r="L22">
        <v>1</v>
      </c>
      <c r="M22" s="26">
        <v>2.0499999999999998</v>
      </c>
      <c r="N22" t="s">
        <v>208</v>
      </c>
      <c r="Q22" s="29" t="s">
        <v>13</v>
      </c>
      <c r="R22" s="29" t="str">
        <f>IFERROR(MID(RADataTable[[#This Row],[RAtemplate]],1,LEN(RADataTable[[#This Row],[RAtemplate]])-8),"RA") &amp; " " &amp; RADataTable[[#This Row],[prop_id0]] &amp; " " &amp; RADataTable[[#This Row],[last0]]</f>
        <v>RA 1750127 Nagarajan</v>
      </c>
      <c r="U22" s="21" t="str">
        <f>IF(signer1="PD",IF(ISBLANK(RADataTable[[#This Row],[sign_blck_name]]),"",RADataTable[[#This Row],[sign_blck_name]]),IF(ISBLANK(signer1),"",signer1))</f>
        <v>Rahul Shah</v>
      </c>
      <c r="V22" s="29" t="str">
        <f>signer2</f>
        <v>Cognizant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viswa@umich.edu</v>
      </c>
      <c r="Y22" s="15" t="str">
        <f>HYPERLINK("mailto:"&amp;RADataTable[[#This Row],[allPIemail]]&amp;"&amp;subject=NSF Proposal:  "&amp;RADataTable[[#This Row],[Div]]&amp;" "&amp;RADataTable[[#This Row],[prop_id0]], "PIs@")</f>
        <v>PIs@</v>
      </c>
      <c r="Z22" t="s">
        <v>781</v>
      </c>
      <c r="AA22" t="s">
        <v>1028</v>
      </c>
      <c r="AB22">
        <v>4</v>
      </c>
      <c r="AC22">
        <v>4</v>
      </c>
      <c r="AD22"/>
      <c r="AE22" t="str">
        <f>IF(RADataTable[[#This Row],[maxScore]]-RADataTable[[#This Row],[minScore]]&gt;4,"Y","")</f>
        <v/>
      </c>
      <c r="AF22" s="21">
        <v>5</v>
      </c>
      <c r="AG22" s="26">
        <v>7</v>
      </c>
      <c r="AH22">
        <v>9</v>
      </c>
      <c r="AI22" t="s">
        <v>1385</v>
      </c>
      <c r="AJ22" s="30">
        <v>43032.519444444442</v>
      </c>
      <c r="AK22" s="13">
        <v>524840</v>
      </c>
      <c r="AL22" s="13">
        <v>524840</v>
      </c>
      <c r="AM22">
        <v>0</v>
      </c>
      <c r="AN22" s="30">
        <v>43221</v>
      </c>
      <c r="AO22" s="21">
        <v>60</v>
      </c>
      <c r="AP22" s="21" t="s">
        <v>1398</v>
      </c>
      <c r="AS22" s="30"/>
      <c r="AT22" t="s">
        <v>583</v>
      </c>
      <c r="AU22" s="21" t="s">
        <v>207</v>
      </c>
      <c r="AV22" s="21">
        <v>5</v>
      </c>
      <c r="AW22" s="21" t="s">
        <v>879</v>
      </c>
      <c r="AX22" s="30">
        <v>43032</v>
      </c>
      <c r="AY22" s="21" t="s">
        <v>1536</v>
      </c>
      <c r="AZ22" s="21" t="s">
        <v>881</v>
      </c>
      <c r="BA22" s="21">
        <v>14</v>
      </c>
      <c r="BB22" s="21">
        <v>0</v>
      </c>
      <c r="BG22" s="30"/>
      <c r="BP22" s="30"/>
      <c r="BU22" t="s">
        <v>1028</v>
      </c>
      <c r="BV22" s="21" t="s">
        <v>1029</v>
      </c>
      <c r="BW22" s="21" t="s">
        <v>1397</v>
      </c>
      <c r="BX22" s="21" t="s">
        <v>351</v>
      </c>
      <c r="BY22" s="31">
        <v>524840</v>
      </c>
      <c r="BZ22" s="31">
        <v>524840</v>
      </c>
      <c r="CA22" t="s">
        <v>252</v>
      </c>
      <c r="CF22" s="31"/>
      <c r="CG22" s="31"/>
      <c r="CM22" s="31"/>
      <c r="CN22" s="31"/>
      <c r="CT22" s="31"/>
      <c r="CU22" s="31"/>
      <c r="CV22" s="31"/>
      <c r="DA22" s="31"/>
      <c r="DB22" s="31"/>
      <c r="DC22" s="31"/>
      <c r="DH22" s="31"/>
      <c r="DI22" s="31"/>
      <c r="DO22" s="31"/>
      <c r="DP22" s="31"/>
      <c r="DR22" t="s">
        <v>248</v>
      </c>
      <c r="DS22" t="s">
        <v>877</v>
      </c>
      <c r="DT22" t="s">
        <v>568</v>
      </c>
      <c r="DU22" s="29" t="s">
        <v>1532</v>
      </c>
      <c r="DV22" t="s">
        <v>173</v>
      </c>
      <c r="DW22" t="s">
        <v>382</v>
      </c>
      <c r="DX22" t="s">
        <v>171</v>
      </c>
      <c r="DY22" t="s">
        <v>168</v>
      </c>
      <c r="DZ22" t="s">
        <v>169</v>
      </c>
      <c r="EA22" s="22">
        <v>43076.559560185182</v>
      </c>
      <c r="EB22" t="s">
        <v>1399</v>
      </c>
      <c r="EC22" t="s">
        <v>1546</v>
      </c>
    </row>
    <row r="23" spans="1:133">
      <c r="A23" s="30"/>
      <c r="B23" s="22">
        <v>42934.524305555555</v>
      </c>
      <c r="C23" s="22" t="s">
        <v>244</v>
      </c>
      <c r="D23" s="30" t="s">
        <v>780</v>
      </c>
      <c r="E23" s="30" t="s">
        <v>567</v>
      </c>
      <c r="F23" s="30" t="s">
        <v>170</v>
      </c>
      <c r="G23" s="30" t="s">
        <v>172</v>
      </c>
      <c r="H23" t="s">
        <v>94</v>
      </c>
      <c r="I23" t="s">
        <v>782</v>
      </c>
      <c r="J23" t="s">
        <v>582</v>
      </c>
      <c r="L23">
        <v>1</v>
      </c>
      <c r="M23" s="26">
        <v>2.06</v>
      </c>
      <c r="N23" t="s">
        <v>208</v>
      </c>
      <c r="Q23" s="29" t="s">
        <v>13</v>
      </c>
      <c r="R23" s="29" t="str">
        <f>IFERROR(MID(RADataTable[[#This Row],[RAtemplate]],1,LEN(RADataTable[[#This Row],[RAtemplate]])-8),"RA") &amp; " " &amp; RADataTable[[#This Row],[prop_id0]] &amp; " " &amp; RADataTable[[#This Row],[last0]]</f>
        <v>RA 1749748 Chandrasekaran</v>
      </c>
      <c r="U23" s="21" t="str">
        <f>IF(signer1="PD",IF(ISBLANK(RADataTable[[#This Row],[sign_blck_name]]),"",RADataTable[[#This Row],[sign_blck_name]]),IF(ISBLANK(signer1),"",signer1))</f>
        <v>Tracy J. Kimbrel</v>
      </c>
      <c r="V23" s="29" t="str">
        <f>signer2</f>
        <v>Cognizant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karthe@illinois.edu</v>
      </c>
      <c r="Y23" s="15" t="str">
        <f>HYPERLINK("mailto:"&amp;RADataTable[[#This Row],[allPIemail]]&amp;"&amp;subject=NSF Proposal:  "&amp;RADataTable[[#This Row],[Div]]&amp;" "&amp;RADataTable[[#This Row],[prop_id0]], "PIs@")</f>
        <v>PIs@</v>
      </c>
      <c r="Z23" t="s">
        <v>781</v>
      </c>
      <c r="AA23" t="s">
        <v>642</v>
      </c>
      <c r="AB23">
        <v>4</v>
      </c>
      <c r="AC23">
        <v>4</v>
      </c>
      <c r="AD23"/>
      <c r="AE23" t="str">
        <f>IF(RADataTable[[#This Row],[maxScore]]-RADataTable[[#This Row],[minScore]]&gt;4,"Y","")</f>
        <v/>
      </c>
      <c r="AF23" s="21">
        <v>5</v>
      </c>
      <c r="AG23" s="26">
        <v>6.75</v>
      </c>
      <c r="AH23">
        <v>8</v>
      </c>
      <c r="AI23" t="s">
        <v>806</v>
      </c>
      <c r="AJ23" s="30">
        <v>43030.722916666666</v>
      </c>
      <c r="AK23" s="13">
        <v>446040</v>
      </c>
      <c r="AL23" s="13">
        <v>446040</v>
      </c>
      <c r="AM23">
        <v>0</v>
      </c>
      <c r="AN23" s="30">
        <v>43115</v>
      </c>
      <c r="AO23" s="21">
        <v>60</v>
      </c>
      <c r="AP23" s="21" t="s">
        <v>807</v>
      </c>
      <c r="AS23" s="30"/>
      <c r="AT23" t="s">
        <v>583</v>
      </c>
      <c r="AU23" s="21" t="s">
        <v>207</v>
      </c>
      <c r="AV23" s="21">
        <v>6</v>
      </c>
      <c r="AW23" s="21" t="s">
        <v>879</v>
      </c>
      <c r="AX23" s="30">
        <v>43032</v>
      </c>
      <c r="AY23" s="21" t="s">
        <v>889</v>
      </c>
      <c r="AZ23" s="21" t="s">
        <v>881</v>
      </c>
      <c r="BA23" s="21">
        <v>14</v>
      </c>
      <c r="BB23" s="21">
        <v>2</v>
      </c>
      <c r="BG23" s="30"/>
      <c r="BP23" s="30"/>
      <c r="BU23" t="s">
        <v>642</v>
      </c>
      <c r="BV23" s="21" t="s">
        <v>643</v>
      </c>
      <c r="BW23" s="21" t="s">
        <v>805</v>
      </c>
      <c r="BX23" s="21" t="s">
        <v>346</v>
      </c>
      <c r="BY23" s="31">
        <v>446040</v>
      </c>
      <c r="BZ23" s="31">
        <v>446040</v>
      </c>
      <c r="CA23" t="s">
        <v>783</v>
      </c>
      <c r="CF23" s="31"/>
      <c r="CG23" s="31"/>
      <c r="CM23" s="31"/>
      <c r="CN23" s="31"/>
      <c r="CT23" s="31"/>
      <c r="CU23" s="31"/>
      <c r="CV23" s="31"/>
      <c r="DA23" s="31"/>
      <c r="DB23" s="31"/>
      <c r="DC23" s="31"/>
      <c r="DH23" s="31"/>
      <c r="DI23" s="31"/>
      <c r="DO23" s="31"/>
      <c r="DP23" s="31"/>
      <c r="DR23" t="s">
        <v>248</v>
      </c>
      <c r="DS23" t="s">
        <v>877</v>
      </c>
      <c r="DT23" t="s">
        <v>568</v>
      </c>
      <c r="DU23" s="29" t="s">
        <v>890</v>
      </c>
      <c r="DV23" t="s">
        <v>173</v>
      </c>
      <c r="DW23" t="s">
        <v>382</v>
      </c>
      <c r="DX23" t="s">
        <v>171</v>
      </c>
      <c r="DY23" t="s">
        <v>168</v>
      </c>
      <c r="DZ23" t="s">
        <v>169</v>
      </c>
      <c r="EA23" s="22">
        <v>43076.559560185182</v>
      </c>
      <c r="EB23" t="s">
        <v>808</v>
      </c>
      <c r="EC23" t="s">
        <v>891</v>
      </c>
    </row>
    <row r="24" spans="1:133">
      <c r="A24" s="30"/>
      <c r="B24" s="22">
        <v>42935.679166666669</v>
      </c>
      <c r="C24" s="22" t="s">
        <v>244</v>
      </c>
      <c r="D24" s="30" t="s">
        <v>780</v>
      </c>
      <c r="E24" s="30" t="s">
        <v>567</v>
      </c>
      <c r="F24" s="30" t="s">
        <v>170</v>
      </c>
      <c r="G24" s="30" t="s">
        <v>172</v>
      </c>
      <c r="H24" t="s">
        <v>94</v>
      </c>
      <c r="I24" t="s">
        <v>782</v>
      </c>
      <c r="J24" t="s">
        <v>582</v>
      </c>
      <c r="L24">
        <v>1</v>
      </c>
      <c r="M24" s="26">
        <v>2.06</v>
      </c>
      <c r="N24" t="s">
        <v>208</v>
      </c>
      <c r="Q24" s="29" t="s">
        <v>13</v>
      </c>
      <c r="R24" s="29" t="str">
        <f>IFERROR(MID(RADataTable[[#This Row],[RAtemplate]],1,LEN(RADataTable[[#This Row],[RAtemplate]])-8),"RA") &amp; " " &amp; RADataTable[[#This Row],[prop_id0]] &amp; " " &amp; RADataTable[[#This Row],[last0]]</f>
        <v>RA 1751040 Price</v>
      </c>
      <c r="U24" s="21" t="str">
        <f>IF(signer1="PD",IF(ISBLANK(RADataTable[[#This Row],[sign_blck_name]]),"",RADataTable[[#This Row],[sign_blck_name]]),IF(ISBLANK(signer1),"",signer1))</f>
        <v>Tracy J. Kimbrel</v>
      </c>
      <c r="V24" s="29" t="str">
        <f>signer2</f>
        <v>Cognizant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ecprice@cs.utexas.edu</v>
      </c>
      <c r="Y24" s="15" t="str">
        <f>HYPERLINK("mailto:"&amp;RADataTable[[#This Row],[allPIemail]]&amp;"&amp;subject=NSF Proposal:  "&amp;RADataTable[[#This Row],[Div]]&amp;" "&amp;RADataTable[[#This Row],[prop_id0]], "PIs@")</f>
        <v>PIs@</v>
      </c>
      <c r="Z24" t="s">
        <v>781</v>
      </c>
      <c r="AA24" t="s">
        <v>1174</v>
      </c>
      <c r="AB24">
        <v>4</v>
      </c>
      <c r="AC24">
        <v>4</v>
      </c>
      <c r="AD24"/>
      <c r="AE24" s="21" t="str">
        <f>IF(RADataTable[[#This Row],[maxScore]]-RADataTable[[#This Row],[minScore]]&gt;4,"Y","")</f>
        <v/>
      </c>
      <c r="AF24" s="21">
        <v>7</v>
      </c>
      <c r="AG24" s="26">
        <v>7.5</v>
      </c>
      <c r="AH24">
        <v>9</v>
      </c>
      <c r="AI24" t="s">
        <v>831</v>
      </c>
      <c r="AJ24" s="30">
        <v>43060.310416666667</v>
      </c>
      <c r="AK24" s="13">
        <v>499575</v>
      </c>
      <c r="AL24" s="13">
        <v>499575</v>
      </c>
      <c r="AM24">
        <v>0</v>
      </c>
      <c r="AN24" s="30">
        <v>43344</v>
      </c>
      <c r="AO24" s="21">
        <v>60</v>
      </c>
      <c r="AP24" s="21" t="s">
        <v>1453</v>
      </c>
      <c r="AS24" s="30"/>
      <c r="AT24" t="s">
        <v>658</v>
      </c>
      <c r="AU24" s="21" t="s">
        <v>207</v>
      </c>
      <c r="AV24" s="21">
        <v>6</v>
      </c>
      <c r="AW24" s="21" t="s">
        <v>892</v>
      </c>
      <c r="AX24" s="30">
        <v>43060</v>
      </c>
      <c r="AY24" s="21" t="s">
        <v>902</v>
      </c>
      <c r="AZ24" s="21" t="s">
        <v>894</v>
      </c>
      <c r="BA24" s="21">
        <v>12</v>
      </c>
      <c r="BB24" s="21">
        <v>2</v>
      </c>
      <c r="BG24" s="30"/>
      <c r="BP24" s="30"/>
      <c r="BU24" t="s">
        <v>1174</v>
      </c>
      <c r="BV24" s="21" t="s">
        <v>1175</v>
      </c>
      <c r="BW24" s="21" t="s">
        <v>1452</v>
      </c>
      <c r="BX24" s="21" t="s">
        <v>839</v>
      </c>
      <c r="BY24" s="31">
        <v>499575</v>
      </c>
      <c r="BZ24" s="31">
        <v>499575</v>
      </c>
      <c r="CA24" t="s">
        <v>783</v>
      </c>
      <c r="CF24" s="31"/>
      <c r="CG24" s="31"/>
      <c r="CM24" s="31"/>
      <c r="CN24" s="31"/>
      <c r="CT24" s="31"/>
      <c r="CU24" s="31"/>
      <c r="CV24" s="31"/>
      <c r="DA24" s="31"/>
      <c r="DB24" s="31"/>
      <c r="DC24" s="31"/>
      <c r="DH24" s="31"/>
      <c r="DI24" s="31"/>
      <c r="DO24" s="31"/>
      <c r="DP24" s="31"/>
      <c r="DR24" t="s">
        <v>248</v>
      </c>
      <c r="DS24" t="s">
        <v>877</v>
      </c>
      <c r="DT24" t="s">
        <v>568</v>
      </c>
      <c r="DU24" s="29" t="s">
        <v>890</v>
      </c>
      <c r="DV24" t="s">
        <v>173</v>
      </c>
      <c r="DW24" t="s">
        <v>382</v>
      </c>
      <c r="DX24" t="s">
        <v>171</v>
      </c>
      <c r="DY24" t="s">
        <v>168</v>
      </c>
      <c r="DZ24" t="s">
        <v>169</v>
      </c>
      <c r="EA24" s="22">
        <v>43076.559560185182</v>
      </c>
      <c r="EB24" t="s">
        <v>1454</v>
      </c>
      <c r="EC24" t="s">
        <v>1574</v>
      </c>
    </row>
    <row r="25" spans="1:133">
      <c r="A25" s="30"/>
      <c r="B25" s="22">
        <v>42934.507638888892</v>
      </c>
      <c r="C25" s="22" t="s">
        <v>244</v>
      </c>
      <c r="D25" s="30" t="s">
        <v>780</v>
      </c>
      <c r="E25" s="30" t="s">
        <v>567</v>
      </c>
      <c r="F25" s="30" t="s">
        <v>170</v>
      </c>
      <c r="G25" s="30" t="s">
        <v>172</v>
      </c>
      <c r="H25" t="s">
        <v>94</v>
      </c>
      <c r="I25" t="s">
        <v>782</v>
      </c>
      <c r="J25" t="s">
        <v>944</v>
      </c>
      <c r="L25">
        <v>1</v>
      </c>
      <c r="M25" s="26">
        <v>2.0699999999999998</v>
      </c>
      <c r="N25" t="s">
        <v>208</v>
      </c>
      <c r="Q25" s="29" t="s">
        <v>13</v>
      </c>
      <c r="R25" s="29" t="str">
        <f>IFERROR(MID(RADataTable[[#This Row],[RAtemplate]],1,LEN(RADataTable[[#This Row],[RAtemplate]])-8),"RA") &amp; " " &amp; RADataTable[[#This Row],[prop_id0]] &amp; " " &amp; RADataTable[[#This Row],[last0]]</f>
        <v>RA 1749734 Sidford</v>
      </c>
      <c r="U25" s="21" t="str">
        <f>IF(signer1="PD",IF(ISBLANK(RADataTable[[#This Row],[sign_blck_name]]),"",RADataTable[[#This Row],[sign_blck_name]]),IF(ISBLANK(signer1),"",signer1))</f>
        <v>Rahul Shah</v>
      </c>
      <c r="V25" s="29" t="str">
        <f>signer2</f>
        <v>Cognizant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sidford@stanford.edu</v>
      </c>
      <c r="Y25" s="15" t="str">
        <f>HYPERLINK("mailto:"&amp;RADataTable[[#This Row],[allPIemail]]&amp;"&amp;subject=NSF Proposal:  "&amp;RADataTable[[#This Row],[Div]]&amp;" "&amp;RADataTable[[#This Row],[prop_id0]], "PIs@")</f>
        <v>PIs@</v>
      </c>
      <c r="Z25" t="s">
        <v>781</v>
      </c>
      <c r="AA25" t="s">
        <v>954</v>
      </c>
      <c r="AB25">
        <v>4</v>
      </c>
      <c r="AC25">
        <v>4</v>
      </c>
      <c r="AD25"/>
      <c r="AE25" s="21" t="str">
        <f>IF(RADataTable[[#This Row],[maxScore]]-RADataTable[[#This Row],[minScore]]&gt;4,"Y","")</f>
        <v/>
      </c>
      <c r="AF25" s="21">
        <v>7</v>
      </c>
      <c r="AG25" s="26">
        <v>7.5</v>
      </c>
      <c r="AH25">
        <v>9</v>
      </c>
      <c r="AI25" t="s">
        <v>831</v>
      </c>
      <c r="AJ25" s="30">
        <v>43032.515277777777</v>
      </c>
      <c r="AK25" s="13">
        <v>500000</v>
      </c>
      <c r="AL25" s="13">
        <v>500000</v>
      </c>
      <c r="AM25">
        <v>0</v>
      </c>
      <c r="AN25" s="30">
        <v>43009</v>
      </c>
      <c r="AO25" s="21">
        <v>60</v>
      </c>
      <c r="AP25" s="21" t="s">
        <v>1381</v>
      </c>
      <c r="AS25" s="30"/>
      <c r="AT25" t="s">
        <v>583</v>
      </c>
      <c r="AU25" s="21" t="s">
        <v>207</v>
      </c>
      <c r="AV25" s="21">
        <v>7</v>
      </c>
      <c r="AW25" s="21" t="s">
        <v>879</v>
      </c>
      <c r="AX25" s="30">
        <v>43032</v>
      </c>
      <c r="AY25" s="21" t="s">
        <v>902</v>
      </c>
      <c r="AZ25" s="21" t="s">
        <v>881</v>
      </c>
      <c r="BA25" s="21">
        <v>14</v>
      </c>
      <c r="BB25" s="21">
        <v>1</v>
      </c>
      <c r="BG25" s="30"/>
      <c r="BP25" s="30"/>
      <c r="BU25" t="s">
        <v>954</v>
      </c>
      <c r="BV25" s="21" t="s">
        <v>955</v>
      </c>
      <c r="BW25" s="21" t="s">
        <v>1380</v>
      </c>
      <c r="BX25" s="21" t="s">
        <v>1357</v>
      </c>
      <c r="BY25" s="31">
        <v>500000</v>
      </c>
      <c r="BZ25" s="31">
        <v>500000</v>
      </c>
      <c r="CA25" t="s">
        <v>252</v>
      </c>
      <c r="CF25" s="31"/>
      <c r="CG25" s="31"/>
      <c r="CM25" s="31"/>
      <c r="CN25" s="31"/>
      <c r="CT25" s="31"/>
      <c r="CU25" s="31"/>
      <c r="CV25" s="31"/>
      <c r="DA25" s="31"/>
      <c r="DB25" s="31"/>
      <c r="DC25" s="31"/>
      <c r="DH25" s="31"/>
      <c r="DI25" s="31"/>
      <c r="DO25" s="31"/>
      <c r="DP25" s="31"/>
      <c r="DR25" t="s">
        <v>248</v>
      </c>
      <c r="DS25" t="s">
        <v>877</v>
      </c>
      <c r="DT25" t="s">
        <v>568</v>
      </c>
      <c r="DU25" s="29" t="s">
        <v>1532</v>
      </c>
      <c r="DV25" t="s">
        <v>173</v>
      </c>
      <c r="DW25" t="s">
        <v>382</v>
      </c>
      <c r="DX25" t="s">
        <v>171</v>
      </c>
      <c r="DY25" t="s">
        <v>168</v>
      </c>
      <c r="DZ25" t="s">
        <v>169</v>
      </c>
      <c r="EA25" s="22">
        <v>43076.559560185182</v>
      </c>
      <c r="EB25" t="s">
        <v>1382</v>
      </c>
      <c r="EC25" t="s">
        <v>1535</v>
      </c>
    </row>
    <row r="26" spans="1:133">
      <c r="A26" s="30"/>
      <c r="B26" s="22">
        <v>42934.524305555555</v>
      </c>
      <c r="C26" s="22" t="s">
        <v>244</v>
      </c>
      <c r="D26" s="30" t="s">
        <v>780</v>
      </c>
      <c r="E26" s="30" t="s">
        <v>567</v>
      </c>
      <c r="F26" s="30" t="s">
        <v>170</v>
      </c>
      <c r="G26" s="30" t="s">
        <v>172</v>
      </c>
      <c r="H26" t="s">
        <v>94</v>
      </c>
      <c r="I26" t="s">
        <v>782</v>
      </c>
      <c r="J26" t="s">
        <v>582</v>
      </c>
      <c r="L26">
        <v>1</v>
      </c>
      <c r="M26" s="26">
        <v>2.0699999999999998</v>
      </c>
      <c r="N26" t="s">
        <v>208</v>
      </c>
      <c r="Q26" s="29" t="s">
        <v>13</v>
      </c>
      <c r="R26" s="29" t="str">
        <f>IFERROR(MID(RADataTable[[#This Row],[RAtemplate]],1,LEN(RADataTable[[#This Row],[RAtemplate]])-8),"RA") &amp; " " &amp; RADataTable[[#This Row],[prop_id0]] &amp; " " &amp; RADataTable[[#This Row],[last0]]</f>
        <v>RA 1749747 Weinstein</v>
      </c>
      <c r="U26" s="21" t="str">
        <f>IF(signer1="PD",IF(ISBLANK(RADataTable[[#This Row],[sign_blck_name]]),"",RADataTable[[#This Row],[sign_blck_name]]),IF(ISBLANK(signer1),"",signer1))</f>
        <v>Tracy J. Kimbrel</v>
      </c>
      <c r="V26" s="29" t="str">
        <f>signer2</f>
        <v>Cognizant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omri@cs.columbia.edu</v>
      </c>
      <c r="Y26" s="15" t="str">
        <f>HYPERLINK("mailto:"&amp;RADataTable[[#This Row],[allPIemail]]&amp;"&amp;subject=NSF Proposal:  "&amp;RADataTable[[#This Row],[Div]]&amp;" "&amp;RADataTable[[#This Row],[prop_id0]], "PIs@")</f>
        <v>PIs@</v>
      </c>
      <c r="Z26" t="s">
        <v>781</v>
      </c>
      <c r="AA26" t="s">
        <v>961</v>
      </c>
      <c r="AB26">
        <v>4</v>
      </c>
      <c r="AC26">
        <v>4</v>
      </c>
      <c r="AD26"/>
      <c r="AE26" s="21" t="str">
        <f>IF(RADataTable[[#This Row],[maxScore]]-RADataTable[[#This Row],[minScore]]&gt;4,"Y","")</f>
        <v/>
      </c>
      <c r="AF26" s="21">
        <v>5</v>
      </c>
      <c r="AG26" s="26">
        <v>7</v>
      </c>
      <c r="AH26">
        <v>9</v>
      </c>
      <c r="AI26" t="s">
        <v>1385</v>
      </c>
      <c r="AJ26" s="30">
        <v>43059.920138888891</v>
      </c>
      <c r="AK26" s="13">
        <v>400000</v>
      </c>
      <c r="AL26" s="13">
        <v>400000</v>
      </c>
      <c r="AM26">
        <v>0</v>
      </c>
      <c r="AN26" s="30">
        <v>42979</v>
      </c>
      <c r="AO26" s="21">
        <v>60</v>
      </c>
      <c r="AP26" s="21" t="s">
        <v>1386</v>
      </c>
      <c r="AS26" s="30"/>
      <c r="AT26" t="s">
        <v>658</v>
      </c>
      <c r="AU26" s="21" t="s">
        <v>207</v>
      </c>
      <c r="AV26" s="21">
        <v>7</v>
      </c>
      <c r="AW26" s="21" t="s">
        <v>892</v>
      </c>
      <c r="AX26" s="30">
        <v>43060</v>
      </c>
      <c r="AY26" s="21" t="s">
        <v>1536</v>
      </c>
      <c r="AZ26" s="21" t="s">
        <v>894</v>
      </c>
      <c r="BA26" s="21">
        <v>12</v>
      </c>
      <c r="BB26" s="21">
        <v>0</v>
      </c>
      <c r="BG26" s="30"/>
      <c r="BP26" s="30"/>
      <c r="BU26" t="s">
        <v>961</v>
      </c>
      <c r="BV26" s="21" t="s">
        <v>962</v>
      </c>
      <c r="BW26" s="21" t="s">
        <v>1384</v>
      </c>
      <c r="BX26" s="21" t="s">
        <v>453</v>
      </c>
      <c r="BY26" s="31">
        <v>400000</v>
      </c>
      <c r="BZ26" s="31">
        <v>400000</v>
      </c>
      <c r="CA26" t="s">
        <v>1383</v>
      </c>
      <c r="CF26" s="31"/>
      <c r="CG26" s="31"/>
      <c r="CM26" s="31"/>
      <c r="CN26" s="31"/>
      <c r="CT26" s="31"/>
      <c r="CU26" s="31"/>
      <c r="CV26" s="31"/>
      <c r="DA26" s="31"/>
      <c r="DB26" s="31"/>
      <c r="DC26" s="31"/>
      <c r="DH26" s="31"/>
      <c r="DI26" s="31"/>
      <c r="DO26" s="31"/>
      <c r="DP26" s="31"/>
      <c r="DR26" t="s">
        <v>248</v>
      </c>
      <c r="DS26" t="s">
        <v>877</v>
      </c>
      <c r="DT26" t="s">
        <v>568</v>
      </c>
      <c r="DU26" s="29" t="s">
        <v>890</v>
      </c>
      <c r="DV26" t="s">
        <v>173</v>
      </c>
      <c r="DW26" t="s">
        <v>382</v>
      </c>
      <c r="DX26" t="s">
        <v>171</v>
      </c>
      <c r="DY26" t="s">
        <v>168</v>
      </c>
      <c r="DZ26" t="s">
        <v>169</v>
      </c>
      <c r="EA26" s="22">
        <v>43076.559560185182</v>
      </c>
      <c r="EB26" t="s">
        <v>1387</v>
      </c>
      <c r="EC26" t="s">
        <v>1537</v>
      </c>
    </row>
    <row r="27" spans="1:133">
      <c r="A27" s="30"/>
      <c r="B27" s="22">
        <v>42934.734722222223</v>
      </c>
      <c r="C27" s="22" t="s">
        <v>244</v>
      </c>
      <c r="D27" s="30" t="s">
        <v>780</v>
      </c>
      <c r="E27" s="30" t="s">
        <v>567</v>
      </c>
      <c r="F27" s="30" t="s">
        <v>170</v>
      </c>
      <c r="G27" s="30" t="s">
        <v>172</v>
      </c>
      <c r="H27" t="s">
        <v>94</v>
      </c>
      <c r="I27" t="s">
        <v>782</v>
      </c>
      <c r="J27" t="s">
        <v>582</v>
      </c>
      <c r="L27">
        <v>1</v>
      </c>
      <c r="M27" s="26">
        <v>2.0699999999999998</v>
      </c>
      <c r="N27" t="s">
        <v>208</v>
      </c>
      <c r="Q27" s="29" t="s">
        <v>13</v>
      </c>
      <c r="R27" s="29" t="str">
        <f>IFERROR(MID(RADataTable[[#This Row],[RAtemplate]],1,LEN(RADataTable[[#This Row],[RAtemplate]])-8),"RA") &amp; " " &amp; RADataTable[[#This Row],[prop_id0]] &amp; " " &amp; RADataTable[[#This Row],[last0]]</f>
        <v>RA 1750032 Thaler</v>
      </c>
      <c r="U27" s="21" t="str">
        <f>IF(signer1="PD",IF(ISBLANK(RADataTable[[#This Row],[sign_blck_name]]),"",RADataTable[[#This Row],[sign_blck_name]]),IF(ISBLANK(signer1),"",signer1))</f>
        <v>Tracy J. Kimbrel</v>
      </c>
      <c r="V27" s="29" t="str">
        <f>signer2</f>
        <v>Cognizant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jt1157@georgetown.edu</v>
      </c>
      <c r="Y27" s="15" t="str">
        <f>HYPERLINK("mailto:"&amp;RADataTable[[#This Row],[allPIemail]]&amp;"&amp;subject=NSF Proposal:  "&amp;RADataTable[[#This Row],[Div]]&amp;" "&amp;RADataTable[[#This Row],[prop_id0]], "PIs@")</f>
        <v>PIs@</v>
      </c>
      <c r="Z27" t="s">
        <v>781</v>
      </c>
      <c r="AA27" t="s">
        <v>974</v>
      </c>
      <c r="AB27">
        <v>4</v>
      </c>
      <c r="AC27">
        <v>4</v>
      </c>
      <c r="AD27"/>
      <c r="AE27" s="21" t="str">
        <f>IF(RADataTable[[#This Row],[maxScore]]-RADataTable[[#This Row],[minScore]]&gt;4,"Y","")</f>
        <v/>
      </c>
      <c r="AF27" s="21">
        <v>6</v>
      </c>
      <c r="AG27" s="26">
        <v>6.75</v>
      </c>
      <c r="AH27">
        <v>7</v>
      </c>
      <c r="AI27" t="s">
        <v>845</v>
      </c>
      <c r="AJ27" s="30">
        <v>43059.936805555553</v>
      </c>
      <c r="AK27" s="13">
        <v>525636</v>
      </c>
      <c r="AL27" s="13">
        <v>525636</v>
      </c>
      <c r="AM27">
        <v>0</v>
      </c>
      <c r="AN27" s="30">
        <v>43252</v>
      </c>
      <c r="AO27" s="21">
        <v>60</v>
      </c>
      <c r="AP27" s="21" t="s">
        <v>1388</v>
      </c>
      <c r="AS27" s="30"/>
      <c r="AT27" t="s">
        <v>658</v>
      </c>
      <c r="AU27" s="21" t="s">
        <v>207</v>
      </c>
      <c r="AV27" s="21">
        <v>7</v>
      </c>
      <c r="AW27" s="21" t="s">
        <v>892</v>
      </c>
      <c r="AX27" s="30">
        <v>43060</v>
      </c>
      <c r="AY27" s="21" t="s">
        <v>906</v>
      </c>
      <c r="AZ27" s="21" t="s">
        <v>894</v>
      </c>
      <c r="BA27" s="21">
        <v>12</v>
      </c>
      <c r="BB27" s="21">
        <v>0</v>
      </c>
      <c r="BG27" s="30"/>
      <c r="BP27" s="30"/>
      <c r="BU27" t="s">
        <v>974</v>
      </c>
      <c r="BV27" s="21" t="s">
        <v>975</v>
      </c>
      <c r="BW27" s="21" t="s">
        <v>814</v>
      </c>
      <c r="BX27" s="21" t="s">
        <v>1356</v>
      </c>
      <c r="BY27" s="31">
        <v>525636</v>
      </c>
      <c r="BZ27" s="31">
        <v>525636</v>
      </c>
      <c r="CA27" t="s">
        <v>1383</v>
      </c>
      <c r="CF27" s="31"/>
      <c r="CG27" s="31"/>
      <c r="CM27" s="31"/>
      <c r="CN27" s="31"/>
      <c r="CT27" s="31"/>
      <c r="CU27" s="31"/>
      <c r="CV27" s="31"/>
      <c r="DA27" s="31"/>
      <c r="DB27" s="31"/>
      <c r="DC27" s="31"/>
      <c r="DH27" s="31"/>
      <c r="DI27" s="31"/>
      <c r="DO27" s="31"/>
      <c r="DP27" s="31"/>
      <c r="DR27" t="s">
        <v>248</v>
      </c>
      <c r="DS27" t="s">
        <v>877</v>
      </c>
      <c r="DT27" t="s">
        <v>568</v>
      </c>
      <c r="DU27" s="29" t="s">
        <v>890</v>
      </c>
      <c r="DV27" t="s">
        <v>173</v>
      </c>
      <c r="DW27" t="s">
        <v>382</v>
      </c>
      <c r="DX27" t="s">
        <v>171</v>
      </c>
      <c r="DY27" t="s">
        <v>168</v>
      </c>
      <c r="DZ27" t="s">
        <v>169</v>
      </c>
      <c r="EA27" s="22">
        <v>43076.559560185182</v>
      </c>
      <c r="EB27" t="s">
        <v>1389</v>
      </c>
      <c r="EC27" t="s">
        <v>1538</v>
      </c>
    </row>
    <row r="28" spans="1:133">
      <c r="A28" s="30"/>
      <c r="B28" s="22">
        <v>42935.535416666666</v>
      </c>
      <c r="C28" s="22" t="s">
        <v>244</v>
      </c>
      <c r="D28" s="30" t="s">
        <v>780</v>
      </c>
      <c r="E28" s="30" t="s">
        <v>567</v>
      </c>
      <c r="F28" s="30" t="s">
        <v>170</v>
      </c>
      <c r="G28" s="30" t="s">
        <v>172</v>
      </c>
      <c r="H28" t="s">
        <v>94</v>
      </c>
      <c r="I28" t="s">
        <v>782</v>
      </c>
      <c r="J28" t="s">
        <v>582</v>
      </c>
      <c r="L28">
        <v>1</v>
      </c>
      <c r="M28" s="26">
        <v>2.0699999999999998</v>
      </c>
      <c r="N28" t="s">
        <v>208</v>
      </c>
      <c r="Q28" s="29" t="s">
        <v>13</v>
      </c>
      <c r="R28" s="29" t="str">
        <f>IFERROR(MID(RADataTable[[#This Row],[RAtemplate]],1,LEN(RADataTable[[#This Row],[RAtemplate]])-8),"RA") &amp; " " &amp; RADataTable[[#This Row],[prop_id0]] &amp; " " &amp; RADataTable[[#This Row],[last0]]</f>
        <v>RA 1750436 Mehta</v>
      </c>
      <c r="U28" s="21" t="str">
        <f>IF(signer1="PD",IF(ISBLANK(RADataTable[[#This Row],[sign_blck_name]]),"",RADataTable[[#This Row],[sign_blck_name]]),IF(ISBLANK(signer1),"",signer1))</f>
        <v>Tracy J. Kimbrel</v>
      </c>
      <c r="V28" s="29" t="str">
        <f>signer2</f>
        <v>Cognizant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rutameht@illinois.edu</v>
      </c>
      <c r="Y28" s="15" t="str">
        <f>HYPERLINK("mailto:"&amp;RADataTable[[#This Row],[allPIemail]]&amp;"&amp;subject=NSF Proposal:  "&amp;RADataTable[[#This Row],[Div]]&amp;" "&amp;RADataTable[[#This Row],[prop_id0]], "PIs@")</f>
        <v>PIs@</v>
      </c>
      <c r="Z28" t="s">
        <v>781</v>
      </c>
      <c r="AA28" t="s">
        <v>1066</v>
      </c>
      <c r="AB28">
        <v>4</v>
      </c>
      <c r="AC28">
        <v>4</v>
      </c>
      <c r="AD28"/>
      <c r="AE28" s="21" t="str">
        <f>IF(RADataTable[[#This Row],[maxScore]]-RADataTable[[#This Row],[minScore]]&gt;4,"Y","")</f>
        <v/>
      </c>
      <c r="AF28" s="21">
        <v>6</v>
      </c>
      <c r="AG28" s="26">
        <v>7.25</v>
      </c>
      <c r="AH28">
        <v>9</v>
      </c>
      <c r="AI28" t="s">
        <v>1416</v>
      </c>
      <c r="AJ28" s="30">
        <v>43060.566666666666</v>
      </c>
      <c r="AK28" s="13">
        <v>499906</v>
      </c>
      <c r="AL28" s="13">
        <v>499906</v>
      </c>
      <c r="AM28">
        <v>0</v>
      </c>
      <c r="AN28" s="30">
        <v>43132</v>
      </c>
      <c r="AO28" s="21">
        <v>60</v>
      </c>
      <c r="AP28" s="21" t="s">
        <v>1417</v>
      </c>
      <c r="AS28" s="30"/>
      <c r="AT28" t="s">
        <v>658</v>
      </c>
      <c r="AU28" s="21" t="s">
        <v>207</v>
      </c>
      <c r="AV28" s="21">
        <v>7</v>
      </c>
      <c r="AW28" s="21" t="s">
        <v>892</v>
      </c>
      <c r="AX28" s="30">
        <v>43060</v>
      </c>
      <c r="AY28" s="21" t="s">
        <v>1554</v>
      </c>
      <c r="AZ28" s="21" t="s">
        <v>894</v>
      </c>
      <c r="BA28" s="21">
        <v>12</v>
      </c>
      <c r="BB28" s="21">
        <v>1</v>
      </c>
      <c r="BG28" s="30"/>
      <c r="BP28" s="30"/>
      <c r="BU28" t="s">
        <v>1066</v>
      </c>
      <c r="BV28" s="21" t="s">
        <v>1067</v>
      </c>
      <c r="BW28" s="21" t="s">
        <v>1415</v>
      </c>
      <c r="BX28" s="21" t="s">
        <v>346</v>
      </c>
      <c r="BY28" s="31">
        <v>499906</v>
      </c>
      <c r="BZ28" s="31">
        <v>499906</v>
      </c>
      <c r="CA28" t="s">
        <v>1414</v>
      </c>
      <c r="CF28" s="31"/>
      <c r="CG28" s="31"/>
      <c r="CM28" s="31"/>
      <c r="CN28" s="31"/>
      <c r="CT28" s="31"/>
      <c r="CU28" s="31"/>
      <c r="CV28" s="31"/>
      <c r="DA28" s="31"/>
      <c r="DB28" s="31"/>
      <c r="DC28" s="31"/>
      <c r="DH28" s="31"/>
      <c r="DI28" s="31"/>
      <c r="DO28" s="31"/>
      <c r="DP28" s="31"/>
      <c r="DR28" t="s">
        <v>248</v>
      </c>
      <c r="DS28" t="s">
        <v>877</v>
      </c>
      <c r="DT28" t="s">
        <v>568</v>
      </c>
      <c r="DU28" s="29" t="s">
        <v>890</v>
      </c>
      <c r="DV28" t="s">
        <v>173</v>
      </c>
      <c r="DW28" t="s">
        <v>382</v>
      </c>
      <c r="DX28" t="s">
        <v>171</v>
      </c>
      <c r="DY28" t="s">
        <v>168</v>
      </c>
      <c r="DZ28" t="s">
        <v>169</v>
      </c>
      <c r="EA28" s="22">
        <v>43076.559560185182</v>
      </c>
      <c r="EB28" t="s">
        <v>1418</v>
      </c>
      <c r="EC28" t="s">
        <v>1555</v>
      </c>
    </row>
    <row r="29" spans="1:133">
      <c r="A29" s="30"/>
      <c r="B29" s="22">
        <v>42935.633333333331</v>
      </c>
      <c r="C29" s="22" t="s">
        <v>244</v>
      </c>
      <c r="D29" s="30" t="s">
        <v>780</v>
      </c>
      <c r="E29" s="30" t="s">
        <v>567</v>
      </c>
      <c r="F29" s="30" t="s">
        <v>170</v>
      </c>
      <c r="G29" s="30" t="s">
        <v>172</v>
      </c>
      <c r="H29" t="s">
        <v>94</v>
      </c>
      <c r="I29" t="s">
        <v>782</v>
      </c>
      <c r="J29" t="s">
        <v>579</v>
      </c>
      <c r="L29">
        <v>1</v>
      </c>
      <c r="M29" s="26">
        <v>2.0699999999999998</v>
      </c>
      <c r="N29" t="s">
        <v>208</v>
      </c>
      <c r="Q29" s="29" t="s">
        <v>13</v>
      </c>
      <c r="R29" s="29" t="str">
        <f>IFERROR(MID(RADataTable[[#This Row],[RAtemplate]],1,LEN(RADataTable[[#This Row],[RAtemplate]])-8),"RA") &amp; " " &amp; RADataTable[[#This Row],[prop_id0]] &amp; " " &amp; RADataTable[[#This Row],[last0]]</f>
        <v>RA 1750780 Raichel</v>
      </c>
      <c r="U29" s="21" t="str">
        <f>IF(signer1="PD",IF(ISBLANK(RADataTable[[#This Row],[sign_blck_name]]),"",RADataTable[[#This Row],[sign_blck_name]]),IF(ISBLANK(signer1),"",signer1))</f>
        <v>Jack Snoeyink</v>
      </c>
      <c r="V29" s="29" t="str">
        <f>signer2</f>
        <v>Cognizant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Benjamin.Raichel@utdallas.edu</v>
      </c>
      <c r="Y29" s="15" t="str">
        <f>HYPERLINK("mailto:"&amp;RADataTable[[#This Row],[allPIemail]]&amp;"&amp;subject=NSF Proposal:  "&amp;RADataTable[[#This Row],[Div]]&amp;" "&amp;RADataTable[[#This Row],[prop_id0]], "PIs@")</f>
        <v>PIs@</v>
      </c>
      <c r="Z29" t="s">
        <v>781</v>
      </c>
      <c r="AA29" t="s">
        <v>705</v>
      </c>
      <c r="AB29">
        <v>4</v>
      </c>
      <c r="AC29">
        <v>4</v>
      </c>
      <c r="AD29"/>
      <c r="AE29" s="21" t="str">
        <f>IF(RADataTable[[#This Row],[maxScore]]-RADataTable[[#This Row],[minScore]]&gt;4,"Y","")</f>
        <v/>
      </c>
      <c r="AF29" s="21">
        <v>7</v>
      </c>
      <c r="AG29" s="26">
        <v>7.5</v>
      </c>
      <c r="AH29">
        <v>9</v>
      </c>
      <c r="AI29" t="s">
        <v>831</v>
      </c>
      <c r="AJ29" s="30">
        <v>43030.181250000001</v>
      </c>
      <c r="AK29" s="13">
        <v>582785</v>
      </c>
      <c r="AL29" s="13">
        <v>582785</v>
      </c>
      <c r="AM29">
        <v>0</v>
      </c>
      <c r="AN29" s="30">
        <v>43344</v>
      </c>
      <c r="AO29" s="21">
        <v>60</v>
      </c>
      <c r="AP29" s="21" t="s">
        <v>832</v>
      </c>
      <c r="AS29" s="30"/>
      <c r="AT29" t="s">
        <v>583</v>
      </c>
      <c r="AU29" s="21" t="s">
        <v>207</v>
      </c>
      <c r="AV29" s="21">
        <v>7</v>
      </c>
      <c r="AW29" s="21" t="s">
        <v>879</v>
      </c>
      <c r="AX29" s="30">
        <v>43032</v>
      </c>
      <c r="AY29" s="21" t="s">
        <v>902</v>
      </c>
      <c r="AZ29" s="21" t="s">
        <v>881</v>
      </c>
      <c r="BA29" s="21">
        <v>14</v>
      </c>
      <c r="BB29" s="21">
        <v>1</v>
      </c>
      <c r="BG29" s="30"/>
      <c r="BP29" s="30"/>
      <c r="BU29" t="s">
        <v>705</v>
      </c>
      <c r="BV29" s="21" t="s">
        <v>706</v>
      </c>
      <c r="BW29" s="21" t="s">
        <v>829</v>
      </c>
      <c r="BX29" s="21" t="s">
        <v>830</v>
      </c>
      <c r="BY29" s="31">
        <v>582785</v>
      </c>
      <c r="BZ29" s="31">
        <v>582785</v>
      </c>
      <c r="CA29" t="s">
        <v>790</v>
      </c>
      <c r="CF29" s="31"/>
      <c r="CG29" s="31"/>
      <c r="CM29" s="31"/>
      <c r="CN29" s="31"/>
      <c r="CT29" s="31"/>
      <c r="CU29" s="31"/>
      <c r="CV29" s="31"/>
      <c r="DA29" s="31"/>
      <c r="DB29" s="31"/>
      <c r="DC29" s="31"/>
      <c r="DH29" s="31"/>
      <c r="DI29" s="31"/>
      <c r="DO29" s="31"/>
      <c r="DP29" s="31"/>
      <c r="DR29" t="s">
        <v>248</v>
      </c>
      <c r="DS29" t="s">
        <v>877</v>
      </c>
      <c r="DT29" t="s">
        <v>568</v>
      </c>
      <c r="DU29" s="29" t="s">
        <v>878</v>
      </c>
      <c r="DV29" t="s">
        <v>173</v>
      </c>
      <c r="DW29" t="s">
        <v>382</v>
      </c>
      <c r="DX29" t="s">
        <v>171</v>
      </c>
      <c r="DY29" t="s">
        <v>168</v>
      </c>
      <c r="DZ29" t="s">
        <v>169</v>
      </c>
      <c r="EA29" s="22">
        <v>43076.559560185182</v>
      </c>
      <c r="EB29" t="s">
        <v>833</v>
      </c>
      <c r="EC29" t="s">
        <v>903</v>
      </c>
    </row>
    <row r="30" spans="1:133">
      <c r="A30" s="30"/>
      <c r="B30" s="22">
        <v>42935.723611111112</v>
      </c>
      <c r="C30" s="22" t="s">
        <v>244</v>
      </c>
      <c r="D30" s="30" t="s">
        <v>780</v>
      </c>
      <c r="E30" s="30" t="s">
        <v>567</v>
      </c>
      <c r="F30" s="30" t="s">
        <v>170</v>
      </c>
      <c r="G30" s="30" t="s">
        <v>172</v>
      </c>
      <c r="H30" t="s">
        <v>94</v>
      </c>
      <c r="I30" t="s">
        <v>782</v>
      </c>
      <c r="J30" t="s">
        <v>582</v>
      </c>
      <c r="L30">
        <v>1</v>
      </c>
      <c r="M30" s="26">
        <v>2.09</v>
      </c>
      <c r="N30" t="s">
        <v>208</v>
      </c>
      <c r="Q30" s="29" t="s">
        <v>13</v>
      </c>
      <c r="R30" s="29" t="str">
        <f>IFERROR(MID(RADataTable[[#This Row],[RAtemplate]],1,LEN(RADataTable[[#This Row],[RAtemplate]])-8),"RA") &amp; " " &amp; RADataTable[[#This Row],[prop_id0]] &amp; " " &amp; RADataTable[[#This Row],[last0]]</f>
        <v>RA 1751254 Fasy</v>
      </c>
      <c r="U30" s="21" t="str">
        <f>IF(signer1="PD",IF(ISBLANK(RADataTable[[#This Row],[sign_blck_name]]),"",RADataTable[[#This Row],[sign_blck_name]]),IF(ISBLANK(signer1),"",signer1))</f>
        <v>Tracy J. Kimbrel</v>
      </c>
      <c r="V30" s="29" t="str">
        <f>signer2</f>
        <v>Cognizant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brittany@cs.montana.edu</v>
      </c>
      <c r="Y30" s="15" t="str">
        <f>HYPERLINK("mailto:"&amp;RADataTable[[#This Row],[allPIemail]]&amp;"&amp;subject=NSF Proposal:  "&amp;RADataTable[[#This Row],[Div]]&amp;" "&amp;RADataTable[[#This Row],[prop_id0]], "PIs@")</f>
        <v>PIs@</v>
      </c>
      <c r="Z30" t="s">
        <v>781</v>
      </c>
      <c r="AA30" t="s">
        <v>1214</v>
      </c>
      <c r="AB30">
        <v>4</v>
      </c>
      <c r="AC30">
        <v>4</v>
      </c>
      <c r="AD30"/>
      <c r="AE30" s="21" t="str">
        <f>IF(RADataTable[[#This Row],[maxScore]]-RADataTable[[#This Row],[minScore]]&gt;4,"Y","")</f>
        <v/>
      </c>
      <c r="AF30" s="21">
        <v>5</v>
      </c>
      <c r="AG30" s="26">
        <v>6.5</v>
      </c>
      <c r="AH30">
        <v>7</v>
      </c>
      <c r="AI30" t="s">
        <v>345</v>
      </c>
      <c r="AJ30" s="30">
        <v>43031.43472222222</v>
      </c>
      <c r="AK30" s="13">
        <v>552355</v>
      </c>
      <c r="AL30" s="13">
        <v>552355</v>
      </c>
      <c r="AM30">
        <v>0</v>
      </c>
      <c r="AN30" s="30">
        <v>43344</v>
      </c>
      <c r="AO30" s="21">
        <v>60</v>
      </c>
      <c r="AP30" s="21" t="s">
        <v>1475</v>
      </c>
      <c r="AS30" s="30"/>
      <c r="AT30" t="s">
        <v>583</v>
      </c>
      <c r="AU30" s="21" t="s">
        <v>207</v>
      </c>
      <c r="AV30" s="21">
        <v>9</v>
      </c>
      <c r="AW30" s="21" t="s">
        <v>879</v>
      </c>
      <c r="AX30" s="30">
        <v>43032</v>
      </c>
      <c r="AY30" s="21" t="s">
        <v>383</v>
      </c>
      <c r="AZ30" s="21" t="s">
        <v>881</v>
      </c>
      <c r="BA30" s="21">
        <v>14</v>
      </c>
      <c r="BB30" s="21">
        <v>0</v>
      </c>
      <c r="BG30" s="30"/>
      <c r="BP30" s="30"/>
      <c r="BU30" t="s">
        <v>1214</v>
      </c>
      <c r="BV30" s="21" t="s">
        <v>1215</v>
      </c>
      <c r="BW30" s="21" t="s">
        <v>1474</v>
      </c>
      <c r="BX30" s="21" t="s">
        <v>1362</v>
      </c>
      <c r="BY30" s="31">
        <v>552355</v>
      </c>
      <c r="BZ30" s="31">
        <v>552355</v>
      </c>
      <c r="CA30" t="s">
        <v>1473</v>
      </c>
      <c r="CF30" s="31"/>
      <c r="CG30" s="31"/>
      <c r="CM30" s="31"/>
      <c r="CN30" s="31"/>
      <c r="CT30" s="31"/>
      <c r="CU30" s="31"/>
      <c r="CV30" s="31"/>
      <c r="DA30" s="31"/>
      <c r="DB30" s="31"/>
      <c r="DC30" s="31"/>
      <c r="DH30" s="31"/>
      <c r="DI30" s="31"/>
      <c r="DO30" s="31"/>
      <c r="DP30" s="31"/>
      <c r="DR30" t="s">
        <v>248</v>
      </c>
      <c r="DS30" t="s">
        <v>877</v>
      </c>
      <c r="DT30" t="s">
        <v>568</v>
      </c>
      <c r="DU30" s="29" t="s">
        <v>890</v>
      </c>
      <c r="DV30" t="s">
        <v>173</v>
      </c>
      <c r="DW30" t="s">
        <v>382</v>
      </c>
      <c r="DX30" t="s">
        <v>171</v>
      </c>
      <c r="DY30" t="s">
        <v>168</v>
      </c>
      <c r="DZ30" t="s">
        <v>169</v>
      </c>
      <c r="EA30" s="22">
        <v>43076.559560185182</v>
      </c>
      <c r="EB30" t="s">
        <v>1476</v>
      </c>
      <c r="EC30" t="s">
        <v>1581</v>
      </c>
    </row>
    <row r="31" spans="1:133">
      <c r="A31" s="30"/>
      <c r="B31" s="22">
        <v>42934.453472222223</v>
      </c>
      <c r="C31" s="22" t="s">
        <v>244</v>
      </c>
      <c r="D31" s="30" t="s">
        <v>780</v>
      </c>
      <c r="E31" s="30" t="s">
        <v>567</v>
      </c>
      <c r="F31" s="30" t="s">
        <v>170</v>
      </c>
      <c r="G31" s="30" t="s">
        <v>172</v>
      </c>
      <c r="H31" t="s">
        <v>94</v>
      </c>
      <c r="I31" t="s">
        <v>782</v>
      </c>
      <c r="J31" t="s">
        <v>944</v>
      </c>
      <c r="L31">
        <v>1</v>
      </c>
      <c r="M31" s="26">
        <v>2.1</v>
      </c>
      <c r="N31" t="s">
        <v>208</v>
      </c>
      <c r="Q31" s="29" t="s">
        <v>13</v>
      </c>
      <c r="R31" s="29" t="str">
        <f>IFERROR(MID(RADataTable[[#This Row],[RAtemplate]],1,LEN(RADataTable[[#This Row],[RAtemplate]])-8),"RA") &amp; " " &amp; RADataTable[[#This Row],[prop_id0]] &amp; " " &amp; RADataTable[[#This Row],[last0]]</f>
        <v>RA 1749678 Im</v>
      </c>
      <c r="U31" s="21" t="str">
        <f>IF(signer1="PD",IF(ISBLANK(RADataTable[[#This Row],[sign_blck_name]]),"",RADataTable[[#This Row],[sign_blck_name]]),IF(ISBLANK(signer1),"",signer1))</f>
        <v>Rahul Shah</v>
      </c>
      <c r="V31" s="29" t="str">
        <f>signer2</f>
        <v>Cognizant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sim3@ucmerced.edu</v>
      </c>
      <c r="Y31" s="15" t="str">
        <f>HYPERLINK("mailto:"&amp;RADataTable[[#This Row],[allPIemail]]&amp;"&amp;subject=NSF Proposal:  "&amp;RADataTable[[#This Row],[Div]]&amp;" "&amp;RADataTable[[#This Row],[prop_id0]], "PIs@")</f>
        <v>PIs@</v>
      </c>
      <c r="Z31" t="s">
        <v>781</v>
      </c>
      <c r="AA31" t="s">
        <v>946</v>
      </c>
      <c r="AB31">
        <v>4</v>
      </c>
      <c r="AC31">
        <v>4</v>
      </c>
      <c r="AD31"/>
      <c r="AE31" s="21" t="str">
        <f>IF(RADataTable[[#This Row],[maxScore]]-RADataTable[[#This Row],[minScore]]&gt;4,"Y","")</f>
        <v/>
      </c>
      <c r="AF31" s="21">
        <v>5</v>
      </c>
      <c r="AG31" s="26">
        <v>6.5</v>
      </c>
      <c r="AH31">
        <v>7</v>
      </c>
      <c r="AI31" t="s">
        <v>345</v>
      </c>
      <c r="AJ31" s="30">
        <v>43032.518055555556</v>
      </c>
      <c r="AK31" s="13">
        <v>514477</v>
      </c>
      <c r="AL31" s="13">
        <v>514477</v>
      </c>
      <c r="AM31">
        <v>0</v>
      </c>
      <c r="AN31" s="30">
        <v>43282</v>
      </c>
      <c r="AO31" s="21">
        <v>60</v>
      </c>
      <c r="AP31" s="21" t="s">
        <v>1378</v>
      </c>
      <c r="AS31" s="30"/>
      <c r="AT31" t="s">
        <v>583</v>
      </c>
      <c r="AU31" s="21" t="s">
        <v>207</v>
      </c>
      <c r="AV31" s="21">
        <v>10</v>
      </c>
      <c r="AW31" s="21" t="s">
        <v>879</v>
      </c>
      <c r="AX31" s="30">
        <v>43032</v>
      </c>
      <c r="AY31" s="21" t="s">
        <v>383</v>
      </c>
      <c r="AZ31" s="21" t="s">
        <v>881</v>
      </c>
      <c r="BA31" s="21">
        <v>14</v>
      </c>
      <c r="BB31" s="21">
        <v>0</v>
      </c>
      <c r="BG31" s="30"/>
      <c r="BP31" s="30"/>
      <c r="BU31" t="s">
        <v>946</v>
      </c>
      <c r="BV31" s="21" t="s">
        <v>947</v>
      </c>
      <c r="BW31" s="21" t="s">
        <v>1376</v>
      </c>
      <c r="BX31" s="21" t="s">
        <v>1377</v>
      </c>
      <c r="BY31" s="31">
        <v>514477</v>
      </c>
      <c r="BZ31" s="31">
        <v>514477</v>
      </c>
      <c r="CA31" t="s">
        <v>783</v>
      </c>
      <c r="CF31" s="31"/>
      <c r="CG31" s="31"/>
      <c r="CM31" s="31"/>
      <c r="CN31" s="31"/>
      <c r="CT31" s="31"/>
      <c r="CU31" s="31"/>
      <c r="CV31" s="31"/>
      <c r="DA31" s="31"/>
      <c r="DB31" s="31"/>
      <c r="DC31" s="31"/>
      <c r="DH31" s="31"/>
      <c r="DI31" s="31"/>
      <c r="DO31" s="31"/>
      <c r="DP31" s="31"/>
      <c r="DR31" t="s">
        <v>248</v>
      </c>
      <c r="DS31" t="s">
        <v>877</v>
      </c>
      <c r="DT31" t="s">
        <v>568</v>
      </c>
      <c r="DU31" s="29" t="s">
        <v>1532</v>
      </c>
      <c r="DV31" t="s">
        <v>173</v>
      </c>
      <c r="DW31" t="s">
        <v>382</v>
      </c>
      <c r="DX31" t="s">
        <v>171</v>
      </c>
      <c r="DY31" t="s">
        <v>168</v>
      </c>
      <c r="DZ31" t="s">
        <v>169</v>
      </c>
      <c r="EA31" s="22">
        <v>43076.559560185182</v>
      </c>
      <c r="EB31" t="s">
        <v>1379</v>
      </c>
      <c r="EC31" t="s">
        <v>1534</v>
      </c>
    </row>
    <row r="32" spans="1:133">
      <c r="A32" s="30"/>
      <c r="B32" s="22">
        <v>42935.696527777778</v>
      </c>
      <c r="C32" s="22" t="s">
        <v>244</v>
      </c>
      <c r="D32" s="30" t="s">
        <v>780</v>
      </c>
      <c r="E32" s="30" t="s">
        <v>567</v>
      </c>
      <c r="F32" s="30" t="s">
        <v>170</v>
      </c>
      <c r="G32" s="30" t="s">
        <v>172</v>
      </c>
      <c r="H32" t="s">
        <v>94</v>
      </c>
      <c r="I32" t="s">
        <v>782</v>
      </c>
      <c r="J32" t="s">
        <v>579</v>
      </c>
      <c r="L32">
        <v>1</v>
      </c>
      <c r="M32" s="26">
        <v>2.1</v>
      </c>
      <c r="N32" t="s">
        <v>208</v>
      </c>
      <c r="Q32" s="29" t="s">
        <v>13</v>
      </c>
      <c r="R32" s="29" t="str">
        <f>IFERROR(MID(RADataTable[[#This Row],[RAtemplate]],1,LEN(RADataTable[[#This Row],[RAtemplate]])-8),"RA") &amp; " " &amp; RADataTable[[#This Row],[prop_id0]] &amp; " " &amp; RADataTable[[#This Row],[last0]]</f>
        <v>RA 1751135 Nayyeri</v>
      </c>
      <c r="U32" s="21" t="str">
        <f>IF(signer1="PD",IF(ISBLANK(RADataTable[[#This Row],[sign_blck_name]]),"",RADataTable[[#This Row],[sign_blck_name]]),IF(ISBLANK(signer1),"",signer1))</f>
        <v>Jack Snoeyink</v>
      </c>
      <c r="V32" s="29" t="str">
        <f>signer2</f>
        <v>Cognizant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nayyeria@eecs.oregonstate.edu</v>
      </c>
      <c r="Y32" s="15" t="str">
        <f>HYPERLINK("mailto:"&amp;RADataTable[[#This Row],[allPIemail]]&amp;"&amp;subject=NSF Proposal:  "&amp;RADataTable[[#This Row],[Div]]&amp;" "&amp;RADataTable[[#This Row],[prop_id0]], "PIs@")</f>
        <v>PIs@</v>
      </c>
      <c r="Z32" t="s">
        <v>781</v>
      </c>
      <c r="AA32" t="s">
        <v>734</v>
      </c>
      <c r="AB32">
        <v>4</v>
      </c>
      <c r="AC32">
        <v>4</v>
      </c>
      <c r="AD32"/>
      <c r="AE32" s="21" t="str">
        <f>IF(RADataTable[[#This Row],[maxScore]]-RADataTable[[#This Row],[minScore]]&gt;4,"Y","")</f>
        <v/>
      </c>
      <c r="AF32" s="21">
        <v>6</v>
      </c>
      <c r="AG32" s="26">
        <v>6.75</v>
      </c>
      <c r="AH32">
        <v>7</v>
      </c>
      <c r="AI32" t="s">
        <v>845</v>
      </c>
      <c r="AJ32" s="30">
        <v>43031.69027777778</v>
      </c>
      <c r="AK32" s="13">
        <v>607459</v>
      </c>
      <c r="AL32" s="13">
        <v>607459</v>
      </c>
      <c r="AM32">
        <v>0</v>
      </c>
      <c r="AN32" s="30">
        <v>43344</v>
      </c>
      <c r="AO32" s="21">
        <v>60</v>
      </c>
      <c r="AP32" s="21" t="s">
        <v>846</v>
      </c>
      <c r="AS32" s="30"/>
      <c r="AT32" t="s">
        <v>583</v>
      </c>
      <c r="AU32" s="21" t="s">
        <v>207</v>
      </c>
      <c r="AV32" s="21">
        <v>10</v>
      </c>
      <c r="AW32" s="21" t="s">
        <v>879</v>
      </c>
      <c r="AX32" s="30">
        <v>43032</v>
      </c>
      <c r="AY32" s="21" t="s">
        <v>906</v>
      </c>
      <c r="AZ32" s="21" t="s">
        <v>881</v>
      </c>
      <c r="BA32" s="21">
        <v>14</v>
      </c>
      <c r="BB32" s="21">
        <v>2</v>
      </c>
      <c r="BG32" s="30"/>
      <c r="BP32" s="30"/>
      <c r="BU32" t="s">
        <v>734</v>
      </c>
      <c r="BV32" s="21" t="s">
        <v>735</v>
      </c>
      <c r="BW32" s="21" t="s">
        <v>843</v>
      </c>
      <c r="BX32" s="21" t="s">
        <v>844</v>
      </c>
      <c r="BY32" s="31">
        <v>607459</v>
      </c>
      <c r="BZ32" s="31">
        <v>607459</v>
      </c>
      <c r="CA32" t="s">
        <v>790</v>
      </c>
      <c r="CF32" s="31"/>
      <c r="CG32" s="31"/>
      <c r="CM32" s="31"/>
      <c r="CN32" s="31"/>
      <c r="CT32" s="31"/>
      <c r="CU32" s="31"/>
      <c r="CV32" s="31"/>
      <c r="DA32" s="31"/>
      <c r="DB32" s="31"/>
      <c r="DC32" s="31"/>
      <c r="DH32" s="31"/>
      <c r="DI32" s="31"/>
      <c r="DO32" s="31"/>
      <c r="DP32" s="31"/>
      <c r="DR32" t="s">
        <v>248</v>
      </c>
      <c r="DS32" t="s">
        <v>877</v>
      </c>
      <c r="DT32" t="s">
        <v>568</v>
      </c>
      <c r="DU32" s="29" t="s">
        <v>878</v>
      </c>
      <c r="DV32" t="s">
        <v>173</v>
      </c>
      <c r="DW32" t="s">
        <v>382</v>
      </c>
      <c r="DX32" t="s">
        <v>171</v>
      </c>
      <c r="DY32" t="s">
        <v>168</v>
      </c>
      <c r="DZ32" t="s">
        <v>169</v>
      </c>
      <c r="EA32" s="22">
        <v>43076.559560185182</v>
      </c>
      <c r="EB32" t="s">
        <v>847</v>
      </c>
      <c r="EC32" t="s">
        <v>907</v>
      </c>
    </row>
    <row r="33" spans="1:133">
      <c r="A33" s="30"/>
      <c r="B33" s="22">
        <v>42935.70416666667</v>
      </c>
      <c r="C33" s="22" t="s">
        <v>244</v>
      </c>
      <c r="D33" s="30" t="s">
        <v>780</v>
      </c>
      <c r="E33" s="30" t="s">
        <v>567</v>
      </c>
      <c r="F33" s="30" t="s">
        <v>170</v>
      </c>
      <c r="G33" s="30" t="s">
        <v>172</v>
      </c>
      <c r="H33" t="s">
        <v>94</v>
      </c>
      <c r="I33" t="s">
        <v>782</v>
      </c>
      <c r="J33" t="s">
        <v>944</v>
      </c>
      <c r="L33">
        <v>1</v>
      </c>
      <c r="M33" s="26">
        <v>2.1</v>
      </c>
      <c r="N33" t="s">
        <v>208</v>
      </c>
      <c r="Q33" s="29" t="s">
        <v>13</v>
      </c>
      <c r="R33" s="29" t="str">
        <f>IFERROR(MID(RADataTable[[#This Row],[RAtemplate]],1,LEN(RADataTable[[#This Row],[RAtemplate]])-8),"RA") &amp; " " &amp; RADataTable[[#This Row],[prop_id0]] &amp; " " &amp; RADataTable[[#This Row],[last0]]</f>
        <v>RA 1751181 Young</v>
      </c>
      <c r="U33" s="21" t="str">
        <f>IF(signer1="PD",IF(ISBLANK(RADataTable[[#This Row],[sign_blck_name]]),"",RADataTable[[#This Row],[sign_blck_name]]),IF(ISBLANK(signer1),"",signer1))</f>
        <v>Rahul Shah</v>
      </c>
      <c r="V33" s="29" t="str">
        <f>signer2</f>
        <v>Cognizant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maxwelly@outlook.com</v>
      </c>
      <c r="Y33" s="15" t="str">
        <f>HYPERLINK("mailto:"&amp;RADataTable[[#This Row],[allPIemail]]&amp;"&amp;subject=NSF Proposal:  "&amp;RADataTable[[#This Row],[Div]]&amp;" "&amp;RADataTable[[#This Row],[prop_id0]], "PIs@")</f>
        <v>PIs@</v>
      </c>
      <c r="Z33" t="s">
        <v>781</v>
      </c>
      <c r="AA33" t="s">
        <v>1198</v>
      </c>
      <c r="AB33">
        <v>4</v>
      </c>
      <c r="AC33">
        <v>4</v>
      </c>
      <c r="AD33"/>
      <c r="AE33" s="21" t="str">
        <f>IF(RADataTable[[#This Row],[maxScore]]-RADataTable[[#This Row],[minScore]]&gt;4,"Y","")</f>
        <v>Y</v>
      </c>
      <c r="AF33" s="21">
        <v>4</v>
      </c>
      <c r="AG33" s="26">
        <v>5.75</v>
      </c>
      <c r="AH33">
        <v>9</v>
      </c>
      <c r="AI33" t="s">
        <v>1467</v>
      </c>
      <c r="AJ33" s="30">
        <v>43059.229861111111</v>
      </c>
      <c r="AK33" s="13">
        <v>400000</v>
      </c>
      <c r="AL33" s="13">
        <v>400000</v>
      </c>
      <c r="AM33">
        <v>0</v>
      </c>
      <c r="AN33" s="30">
        <v>43344</v>
      </c>
      <c r="AO33" s="21">
        <v>60</v>
      </c>
      <c r="AP33" s="21" t="s">
        <v>1468</v>
      </c>
      <c r="AS33" s="30"/>
      <c r="AT33" t="s">
        <v>658</v>
      </c>
      <c r="AU33" s="21" t="s">
        <v>207</v>
      </c>
      <c r="AV33" s="21">
        <v>10</v>
      </c>
      <c r="AW33" s="21" t="s">
        <v>892</v>
      </c>
      <c r="AX33" s="30">
        <v>43060</v>
      </c>
      <c r="AY33" s="21" t="s">
        <v>1578</v>
      </c>
      <c r="AZ33" s="21" t="s">
        <v>894</v>
      </c>
      <c r="BA33" s="21">
        <v>12</v>
      </c>
      <c r="BB33" s="21">
        <v>0</v>
      </c>
      <c r="BG33" s="30"/>
      <c r="BP33" s="30"/>
      <c r="BU33" t="s">
        <v>1198</v>
      </c>
      <c r="BV33" s="21" t="s">
        <v>1199</v>
      </c>
      <c r="BW33" s="21" t="s">
        <v>1465</v>
      </c>
      <c r="BX33" s="21" t="s">
        <v>1466</v>
      </c>
      <c r="BY33" s="31">
        <v>400000</v>
      </c>
      <c r="BZ33" s="31">
        <v>400000</v>
      </c>
      <c r="CA33" t="s">
        <v>1464</v>
      </c>
      <c r="CF33" s="31"/>
      <c r="CG33" s="31"/>
      <c r="CM33" s="31"/>
      <c r="CN33" s="31"/>
      <c r="CT33" s="31"/>
      <c r="CU33" s="31"/>
      <c r="CV33" s="31"/>
      <c r="DA33" s="31"/>
      <c r="DB33" s="31"/>
      <c r="DC33" s="31"/>
      <c r="DH33" s="31"/>
      <c r="DI33" s="31"/>
      <c r="DO33" s="31"/>
      <c r="DP33" s="31"/>
      <c r="DR33" t="s">
        <v>248</v>
      </c>
      <c r="DS33" t="s">
        <v>877</v>
      </c>
      <c r="DT33" t="s">
        <v>568</v>
      </c>
      <c r="DU33" s="29" t="s">
        <v>1532</v>
      </c>
      <c r="DV33" t="s">
        <v>173</v>
      </c>
      <c r="DW33" t="s">
        <v>382</v>
      </c>
      <c r="DX33" t="s">
        <v>171</v>
      </c>
      <c r="DY33" t="s">
        <v>168</v>
      </c>
      <c r="DZ33" t="s">
        <v>169</v>
      </c>
      <c r="EA33" s="22">
        <v>43076.559560185182</v>
      </c>
      <c r="EB33" t="s">
        <v>1469</v>
      </c>
      <c r="EC33" t="s">
        <v>1579</v>
      </c>
    </row>
    <row r="34" spans="1:133">
      <c r="A34" s="30"/>
      <c r="B34" s="22">
        <v>42935.69027777778</v>
      </c>
      <c r="C34" s="22" t="s">
        <v>244</v>
      </c>
      <c r="D34" s="30" t="s">
        <v>780</v>
      </c>
      <c r="E34" s="30" t="s">
        <v>567</v>
      </c>
      <c r="F34" s="30" t="s">
        <v>170</v>
      </c>
      <c r="G34" s="30" t="s">
        <v>172</v>
      </c>
      <c r="H34" t="s">
        <v>94</v>
      </c>
      <c r="I34" t="s">
        <v>782</v>
      </c>
      <c r="J34" t="s">
        <v>579</v>
      </c>
      <c r="L34">
        <v>1</v>
      </c>
      <c r="M34" s="26">
        <v>2.12</v>
      </c>
      <c r="N34" t="s">
        <v>208</v>
      </c>
      <c r="Q34" s="29" t="s">
        <v>13</v>
      </c>
      <c r="R34" s="29" t="str">
        <f>IFERROR(MID(RADataTable[[#This Row],[RAtemplate]],1,LEN(RADataTable[[#This Row],[RAtemplate]])-8),"RA") &amp; " " &amp; RADataTable[[#This Row],[prop_id0]] &amp; " " &amp; RADataTable[[#This Row],[last0]]</f>
        <v>RA 1751102 Vouga</v>
      </c>
      <c r="U34" s="21" t="str">
        <f>IF(signer1="PD",IF(ISBLANK(RADataTable[[#This Row],[sign_blck_name]]),"",RADataTable[[#This Row],[sign_blck_name]]),IF(ISBLANK(signer1),"",signer1))</f>
        <v>Jack Snoeyink</v>
      </c>
      <c r="V34" s="29" t="str">
        <f>signer2</f>
        <v>Cognizant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evouga@cs.utexas.edu</v>
      </c>
      <c r="Y34" s="15" t="str">
        <f>HYPERLINK("mailto:"&amp;RADataTable[[#This Row],[allPIemail]]&amp;"&amp;subject=NSF Proposal:  "&amp;RADataTable[[#This Row],[Div]]&amp;" "&amp;RADataTable[[#This Row],[prop_id0]], "PIs@")</f>
        <v>PIs@</v>
      </c>
      <c r="Z34" t="s">
        <v>781</v>
      </c>
      <c r="AA34" t="s">
        <v>725</v>
      </c>
      <c r="AB34">
        <v>4</v>
      </c>
      <c r="AC34">
        <v>4</v>
      </c>
      <c r="AD34"/>
      <c r="AE34" s="21" t="str">
        <f>IF(RADataTable[[#This Row],[maxScore]]-RADataTable[[#This Row],[minScore]]&gt;4,"Y","")</f>
        <v/>
      </c>
      <c r="AF34" s="21">
        <v>5</v>
      </c>
      <c r="AG34" s="26">
        <v>6.5</v>
      </c>
      <c r="AH34">
        <v>7</v>
      </c>
      <c r="AI34" t="s">
        <v>345</v>
      </c>
      <c r="AJ34" s="30">
        <v>43031.392361111109</v>
      </c>
      <c r="AK34" s="13">
        <v>523537</v>
      </c>
      <c r="AL34" s="13">
        <v>523537</v>
      </c>
      <c r="AM34">
        <v>0</v>
      </c>
      <c r="AN34" s="30">
        <v>43344</v>
      </c>
      <c r="AO34" s="21">
        <v>60</v>
      </c>
      <c r="AP34" s="21" t="s">
        <v>840</v>
      </c>
      <c r="AS34" s="30"/>
      <c r="AT34" t="s">
        <v>583</v>
      </c>
      <c r="AU34" s="21" t="s">
        <v>207</v>
      </c>
      <c r="AV34" s="21">
        <v>12</v>
      </c>
      <c r="AW34" s="21" t="s">
        <v>879</v>
      </c>
      <c r="AX34" s="30">
        <v>43032</v>
      </c>
      <c r="AY34" s="21" t="s">
        <v>383</v>
      </c>
      <c r="AZ34" s="21" t="s">
        <v>881</v>
      </c>
      <c r="BA34" s="21">
        <v>14</v>
      </c>
      <c r="BB34" s="21">
        <v>0</v>
      </c>
      <c r="BG34" s="30"/>
      <c r="BP34" s="30"/>
      <c r="BU34" t="s">
        <v>725</v>
      </c>
      <c r="BV34" s="21" t="s">
        <v>726</v>
      </c>
      <c r="BW34" s="21" t="s">
        <v>838</v>
      </c>
      <c r="BX34" s="21" t="s">
        <v>839</v>
      </c>
      <c r="BY34" s="31">
        <v>523537</v>
      </c>
      <c r="BZ34" s="31">
        <v>523537</v>
      </c>
      <c r="CA34" t="s">
        <v>790</v>
      </c>
      <c r="CF34" s="31"/>
      <c r="CG34" s="31"/>
      <c r="CM34" s="31"/>
      <c r="CN34" s="31"/>
      <c r="CT34" s="31"/>
      <c r="CU34" s="31"/>
      <c r="CV34" s="31"/>
      <c r="DA34" s="31"/>
      <c r="DB34" s="31"/>
      <c r="DC34" s="31"/>
      <c r="DH34" s="31"/>
      <c r="DI34" s="31"/>
      <c r="DO34" s="31"/>
      <c r="DP34" s="31"/>
      <c r="DR34" t="s">
        <v>248</v>
      </c>
      <c r="DS34" t="s">
        <v>877</v>
      </c>
      <c r="DT34" t="s">
        <v>568</v>
      </c>
      <c r="DU34" s="29" t="s">
        <v>878</v>
      </c>
      <c r="DV34" t="s">
        <v>173</v>
      </c>
      <c r="DW34" t="s">
        <v>382</v>
      </c>
      <c r="DX34" t="s">
        <v>171</v>
      </c>
      <c r="DY34" t="s">
        <v>168</v>
      </c>
      <c r="DZ34" t="s">
        <v>169</v>
      </c>
      <c r="EA34" s="22">
        <v>43076.559560185182</v>
      </c>
      <c r="EB34" t="s">
        <v>841</v>
      </c>
      <c r="EC34" t="s">
        <v>905</v>
      </c>
    </row>
    <row r="35" spans="1:133">
      <c r="A35" s="30"/>
      <c r="B35" s="22">
        <v>42956.472222222219</v>
      </c>
      <c r="C35" s="22" t="s">
        <v>848</v>
      </c>
      <c r="D35" s="30" t="s">
        <v>780</v>
      </c>
      <c r="E35" s="30" t="s">
        <v>565</v>
      </c>
      <c r="F35" s="30" t="s">
        <v>170</v>
      </c>
      <c r="G35" s="30" t="s">
        <v>172</v>
      </c>
      <c r="H35" t="s">
        <v>94</v>
      </c>
      <c r="I35" t="s">
        <v>849</v>
      </c>
      <c r="J35" t="s">
        <v>579</v>
      </c>
      <c r="L35">
        <v>1</v>
      </c>
      <c r="M35" s="26">
        <v>3.04</v>
      </c>
      <c r="N35" t="s">
        <v>250</v>
      </c>
      <c r="Q35" s="29" t="s">
        <v>13</v>
      </c>
      <c r="R35" s="29" t="str">
        <f>IFERROR(MID(RADataTable[[#This Row],[RAtemplate]],1,LEN(RADataTable[[#This Row],[RAtemplate]])-8),"RA") &amp; " " &amp; RADataTable[[#This Row],[prop_id0]] &amp; " " &amp; RADataTable[[#This Row],[last0]]</f>
        <v>RA 1755702 Charkhgard</v>
      </c>
      <c r="U35" s="21" t="str">
        <f>IF(signer1="PD",IF(ISBLANK(RADataTable[[#This Row],[sign_blck_name]]),"",RADataTable[[#This Row],[sign_blck_name]]),IF(ISBLANK(signer1),"",signer1))</f>
        <v>Jack Snoeyink</v>
      </c>
      <c r="V35" s="29" t="str">
        <f>signer2</f>
        <v>Cognizant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hcharkhgard@usf.edu</v>
      </c>
      <c r="Y35" s="15" t="str">
        <f>HYPERLINK("mailto:"&amp;RADataTable[[#This Row],[allPIemail]]&amp;"&amp;subject=NSF Proposal:  "&amp;RADataTable[[#This Row],[Div]]&amp;" "&amp;RADataTable[[#This Row],[prop_id0]], "PIs@")</f>
        <v>PIs@</v>
      </c>
      <c r="Z35" t="s">
        <v>781</v>
      </c>
      <c r="AA35" t="s">
        <v>742</v>
      </c>
      <c r="AB35">
        <v>3</v>
      </c>
      <c r="AC35">
        <v>3</v>
      </c>
      <c r="AD35"/>
      <c r="AE35" s="21" t="str">
        <f>IF(RADataTable[[#This Row],[maxScore]]-RADataTable[[#This Row],[minScore]]&gt;4,"Y","")</f>
        <v/>
      </c>
      <c r="AF35" s="21">
        <v>5</v>
      </c>
      <c r="AG35" s="26">
        <v>5</v>
      </c>
      <c r="AH35">
        <v>5</v>
      </c>
      <c r="AI35" t="s">
        <v>853</v>
      </c>
      <c r="AJ35" s="30">
        <v>43031.770833333336</v>
      </c>
      <c r="AK35" s="13">
        <v>172682</v>
      </c>
      <c r="AL35" s="13">
        <v>172682</v>
      </c>
      <c r="AM35">
        <v>0</v>
      </c>
      <c r="AN35" s="30">
        <v>43221</v>
      </c>
      <c r="AO35" s="21">
        <v>24</v>
      </c>
      <c r="AP35" s="21" t="s">
        <v>854</v>
      </c>
      <c r="AS35" s="30"/>
      <c r="AT35" t="s">
        <v>583</v>
      </c>
      <c r="AU35" s="21" t="s">
        <v>251</v>
      </c>
      <c r="AV35" s="21">
        <v>4</v>
      </c>
      <c r="AW35" s="21" t="s">
        <v>879</v>
      </c>
      <c r="AX35" s="30">
        <v>43032</v>
      </c>
      <c r="AY35" s="21" t="s">
        <v>908</v>
      </c>
      <c r="AZ35" s="21" t="s">
        <v>881</v>
      </c>
      <c r="BA35" s="21">
        <v>14</v>
      </c>
      <c r="BB35" s="21">
        <v>0</v>
      </c>
      <c r="BG35" s="30"/>
      <c r="BP35" s="30"/>
      <c r="BU35" t="s">
        <v>742</v>
      </c>
      <c r="BV35" s="21" t="s">
        <v>743</v>
      </c>
      <c r="BW35" s="21" t="s">
        <v>851</v>
      </c>
      <c r="BX35" s="21" t="s">
        <v>852</v>
      </c>
      <c r="BY35" s="31">
        <v>172682</v>
      </c>
      <c r="BZ35" s="31">
        <v>172682</v>
      </c>
      <c r="CA35" t="s">
        <v>850</v>
      </c>
      <c r="CF35" s="31"/>
      <c r="CG35" s="31"/>
      <c r="CM35" s="31"/>
      <c r="CN35" s="31"/>
      <c r="CT35" s="31"/>
      <c r="CU35" s="31"/>
      <c r="CV35" s="31"/>
      <c r="DA35" s="31"/>
      <c r="DB35" s="31"/>
      <c r="DC35" s="31"/>
      <c r="DH35" s="31"/>
      <c r="DI35" s="31"/>
      <c r="DO35" s="31"/>
      <c r="DP35" s="31"/>
      <c r="DR35" t="s">
        <v>909</v>
      </c>
      <c r="DS35" t="s">
        <v>877</v>
      </c>
      <c r="DT35" t="s">
        <v>566</v>
      </c>
      <c r="DU35" s="29" t="s">
        <v>878</v>
      </c>
      <c r="DV35" t="s">
        <v>173</v>
      </c>
      <c r="DW35" t="s">
        <v>382</v>
      </c>
      <c r="DX35" t="s">
        <v>171</v>
      </c>
      <c r="DY35" t="s">
        <v>168</v>
      </c>
      <c r="DZ35" t="s">
        <v>169</v>
      </c>
      <c r="EA35" s="22">
        <v>43076.559560185182</v>
      </c>
      <c r="EB35" t="s">
        <v>855</v>
      </c>
      <c r="EC35" t="s">
        <v>910</v>
      </c>
    </row>
    <row r="36" spans="1:133">
      <c r="A36" s="30"/>
      <c r="B36" s="22">
        <v>42954.456944444442</v>
      </c>
      <c r="C36" s="22" t="s">
        <v>848</v>
      </c>
      <c r="D36" s="30" t="s">
        <v>780</v>
      </c>
      <c r="E36" s="30" t="s">
        <v>565</v>
      </c>
      <c r="F36" s="30" t="s">
        <v>170</v>
      </c>
      <c r="G36" s="30" t="s">
        <v>172</v>
      </c>
      <c r="H36" t="s">
        <v>94</v>
      </c>
      <c r="I36" t="s">
        <v>849</v>
      </c>
      <c r="J36" t="s">
        <v>582</v>
      </c>
      <c r="L36">
        <v>1</v>
      </c>
      <c r="M36" s="26">
        <v>3.05</v>
      </c>
      <c r="N36" t="s">
        <v>250</v>
      </c>
      <c r="Q36" s="29" t="s">
        <v>13</v>
      </c>
      <c r="R36" s="29" t="str">
        <f>IFERROR(MID(RADataTable[[#This Row],[RAtemplate]],1,LEN(RADataTable[[#This Row],[RAtemplate]])-8),"RA") &amp; " " &amp; RADataTable[[#This Row],[prop_id0]] &amp; " " &amp; RADataTable[[#This Row],[last0]]</f>
        <v>RA 1755471 Tong</v>
      </c>
      <c r="U36" s="21" t="str">
        <f>IF(signer1="PD",IF(ISBLANK(RADataTable[[#This Row],[sign_blck_name]]),"",RADataTable[[#This Row],[sign_blck_name]]),IF(ISBLANK(signer1),"",signer1))</f>
        <v>Tracy J. Kimbrel</v>
      </c>
      <c r="V36" s="29" t="str">
        <f>signer2</f>
        <v>Cognizant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wtong@georgiasouthern.edu</v>
      </c>
      <c r="Y36" s="15" t="str">
        <f>HYPERLINK("mailto:"&amp;RADataTable[[#This Row],[allPIemail]]&amp;"&amp;subject=NSF Proposal:  "&amp;RADataTable[[#This Row],[Div]]&amp;" "&amp;RADataTable[[#This Row],[prop_id0]], "PIs@")</f>
        <v>PIs@</v>
      </c>
      <c r="Z36" t="s">
        <v>781</v>
      </c>
      <c r="AA36" t="s">
        <v>1256</v>
      </c>
      <c r="AB36">
        <v>3</v>
      </c>
      <c r="AC36">
        <v>3</v>
      </c>
      <c r="AD36"/>
      <c r="AE36" s="21" t="str">
        <f>IF(RADataTable[[#This Row],[maxScore]]-RADataTable[[#This Row],[minScore]]&gt;4,"Y","")</f>
        <v/>
      </c>
      <c r="AF36" s="21">
        <v>3</v>
      </c>
      <c r="AG36" s="26">
        <v>4</v>
      </c>
      <c r="AH36">
        <v>5</v>
      </c>
      <c r="AI36" t="s">
        <v>1365</v>
      </c>
      <c r="AJ36" s="30">
        <v>43060.386805555558</v>
      </c>
      <c r="AK36" s="13">
        <v>162689</v>
      </c>
      <c r="AL36" s="13">
        <v>162689</v>
      </c>
      <c r="AM36">
        <v>0</v>
      </c>
      <c r="AN36" s="30">
        <v>43235</v>
      </c>
      <c r="AO36" s="21">
        <v>24</v>
      </c>
      <c r="AP36" s="21" t="s">
        <v>1488</v>
      </c>
      <c r="AS36" s="30"/>
      <c r="AT36" t="s">
        <v>658</v>
      </c>
      <c r="AU36" s="21" t="s">
        <v>251</v>
      </c>
      <c r="AV36" s="21">
        <v>5</v>
      </c>
      <c r="AW36" s="21" t="s">
        <v>892</v>
      </c>
      <c r="AX36" s="30">
        <v>43060</v>
      </c>
      <c r="AY36" s="21" t="s">
        <v>1526</v>
      </c>
      <c r="AZ36" s="21" t="s">
        <v>894</v>
      </c>
      <c r="BA36" s="21">
        <v>12</v>
      </c>
      <c r="BB36" s="21">
        <v>0</v>
      </c>
      <c r="BG36" s="30"/>
      <c r="BP36" s="30"/>
      <c r="BU36" t="s">
        <v>1256</v>
      </c>
      <c r="BV36" s="21" t="s">
        <v>1257</v>
      </c>
      <c r="BW36" s="21" t="s">
        <v>1486</v>
      </c>
      <c r="BX36" s="21" t="s">
        <v>1487</v>
      </c>
      <c r="BY36" s="31">
        <v>162689</v>
      </c>
      <c r="BZ36" s="31">
        <v>162689</v>
      </c>
      <c r="CA36" t="s">
        <v>850</v>
      </c>
      <c r="CF36" s="31"/>
      <c r="CG36" s="31"/>
      <c r="CM36" s="31"/>
      <c r="CN36" s="31"/>
      <c r="CT36" s="31"/>
      <c r="CU36" s="31"/>
      <c r="CV36" s="31"/>
      <c r="DA36" s="31"/>
      <c r="DB36" s="31"/>
      <c r="DC36" s="31"/>
      <c r="DH36" s="31"/>
      <c r="DI36" s="31"/>
      <c r="DO36" s="31"/>
      <c r="DP36" s="31"/>
      <c r="DR36" t="s">
        <v>909</v>
      </c>
      <c r="DS36" t="s">
        <v>877</v>
      </c>
      <c r="DT36" t="s">
        <v>566</v>
      </c>
      <c r="DU36" s="29" t="s">
        <v>890</v>
      </c>
      <c r="DV36" t="s">
        <v>173</v>
      </c>
      <c r="DW36" t="s">
        <v>382</v>
      </c>
      <c r="DX36" t="s">
        <v>171</v>
      </c>
      <c r="DY36" t="s">
        <v>168</v>
      </c>
      <c r="DZ36" t="s">
        <v>169</v>
      </c>
      <c r="EA36" s="22">
        <v>43076.559560185182</v>
      </c>
      <c r="EB36" t="s">
        <v>1489</v>
      </c>
      <c r="EC36" t="s">
        <v>1588</v>
      </c>
    </row>
    <row r="37" spans="1:133">
      <c r="A37" s="30"/>
      <c r="B37" s="22">
        <v>42956.648611111108</v>
      </c>
      <c r="C37" s="22" t="s">
        <v>848</v>
      </c>
      <c r="D37" s="30" t="s">
        <v>780</v>
      </c>
      <c r="E37" s="30" t="s">
        <v>565</v>
      </c>
      <c r="F37" s="30" t="s">
        <v>170</v>
      </c>
      <c r="G37" s="30" t="s">
        <v>172</v>
      </c>
      <c r="H37" t="s">
        <v>94</v>
      </c>
      <c r="I37" t="s">
        <v>849</v>
      </c>
      <c r="J37" t="s">
        <v>582</v>
      </c>
      <c r="L37">
        <v>1</v>
      </c>
      <c r="M37" s="26">
        <v>3.05</v>
      </c>
      <c r="N37" t="s">
        <v>250</v>
      </c>
      <c r="Q37" s="29" t="s">
        <v>13</v>
      </c>
      <c r="R37" s="29" t="str">
        <f>IFERROR(MID(RADataTable[[#This Row],[RAtemplate]],1,LEN(RADataTable[[#This Row],[RAtemplate]])-8),"RA") &amp; " " &amp; RADataTable[[#This Row],[prop_id0]] &amp; " " &amp; RADataTable[[#This Row],[last0]]</f>
        <v>RA 1755885 Hosseini</v>
      </c>
      <c r="U37" s="21" t="str">
        <f>IF(signer1="PD",IF(ISBLANK(RADataTable[[#This Row],[sign_blck_name]]),"",RADataTable[[#This Row],[sign_blck_name]]),IF(ISBLANK(signer1),"",signer1))</f>
        <v>Tracy J. Kimbrel</v>
      </c>
      <c r="V37" s="29" t="str">
        <f>signer2</f>
        <v>Cognizant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hhvcs@rit.edu</v>
      </c>
      <c r="Y37" s="15" t="str">
        <f>HYPERLINK("mailto:"&amp;RADataTable[[#This Row],[allPIemail]]&amp;"&amp;subject=NSF Proposal:  "&amp;RADataTable[[#This Row],[Div]]&amp;" "&amp;RADataTable[[#This Row],[prop_id0]], "PIs@")</f>
        <v>PIs@</v>
      </c>
      <c r="Z37" t="s">
        <v>781</v>
      </c>
      <c r="AA37" t="s">
        <v>1319</v>
      </c>
      <c r="AB37">
        <v>3</v>
      </c>
      <c r="AC37">
        <v>3</v>
      </c>
      <c r="AD37"/>
      <c r="AE37" s="21" t="str">
        <f>IF(RADataTable[[#This Row],[maxScore]]-RADataTable[[#This Row],[minScore]]&gt;4,"Y","")</f>
        <v/>
      </c>
      <c r="AF37" s="21">
        <v>5</v>
      </c>
      <c r="AG37" s="26">
        <v>5.666666666666667</v>
      </c>
      <c r="AH37">
        <v>7</v>
      </c>
      <c r="AI37" t="s">
        <v>1366</v>
      </c>
      <c r="AJ37" s="30">
        <v>43059.231249999997</v>
      </c>
      <c r="AK37" s="13">
        <v>173878</v>
      </c>
      <c r="AL37" s="13">
        <v>173878</v>
      </c>
      <c r="AM37">
        <v>0</v>
      </c>
      <c r="AN37" s="30">
        <v>43344</v>
      </c>
      <c r="AO37" s="21">
        <v>24</v>
      </c>
      <c r="AP37" s="21" t="s">
        <v>1509</v>
      </c>
      <c r="AS37" s="30"/>
      <c r="AT37" t="s">
        <v>658</v>
      </c>
      <c r="AU37" s="21" t="s">
        <v>251</v>
      </c>
      <c r="AV37" s="21">
        <v>5</v>
      </c>
      <c r="AW37" s="21" t="s">
        <v>892</v>
      </c>
      <c r="AX37" s="30">
        <v>43060</v>
      </c>
      <c r="AY37" s="21" t="s">
        <v>1527</v>
      </c>
      <c r="AZ37" s="21" t="s">
        <v>894</v>
      </c>
      <c r="BA37" s="21">
        <v>12</v>
      </c>
      <c r="BB37" s="21">
        <v>0</v>
      </c>
      <c r="BG37" s="30"/>
      <c r="BP37" s="30"/>
      <c r="BU37" t="s">
        <v>1319</v>
      </c>
      <c r="BV37" s="21" t="s">
        <v>1320</v>
      </c>
      <c r="BW37" s="21" t="s">
        <v>851</v>
      </c>
      <c r="BX37" s="21" t="s">
        <v>1508</v>
      </c>
      <c r="BY37" s="31">
        <v>173878</v>
      </c>
      <c r="BZ37" s="31">
        <v>173878</v>
      </c>
      <c r="CA37" t="s">
        <v>1495</v>
      </c>
      <c r="CF37" s="31"/>
      <c r="CG37" s="31"/>
      <c r="CM37" s="31"/>
      <c r="CN37" s="31"/>
      <c r="CT37" s="31"/>
      <c r="CU37" s="31"/>
      <c r="CV37" s="31"/>
      <c r="DA37" s="31"/>
      <c r="DB37" s="31"/>
      <c r="DC37" s="31"/>
      <c r="DH37" s="31"/>
      <c r="DI37" s="31"/>
      <c r="DO37" s="31"/>
      <c r="DP37" s="31"/>
      <c r="DR37" t="s">
        <v>909</v>
      </c>
      <c r="DS37" t="s">
        <v>877</v>
      </c>
      <c r="DT37" t="s">
        <v>566</v>
      </c>
      <c r="DU37" s="29" t="s">
        <v>890</v>
      </c>
      <c r="DV37" t="s">
        <v>173</v>
      </c>
      <c r="DW37" t="s">
        <v>382</v>
      </c>
      <c r="DX37" t="s">
        <v>171</v>
      </c>
      <c r="DY37" t="s">
        <v>168</v>
      </c>
      <c r="DZ37" t="s">
        <v>169</v>
      </c>
      <c r="EA37" s="22">
        <v>43076.559560185182</v>
      </c>
      <c r="EB37" t="s">
        <v>1510</v>
      </c>
      <c r="EC37" t="s">
        <v>1599</v>
      </c>
    </row>
    <row r="38" spans="1:133">
      <c r="A38" s="30"/>
      <c r="B38" s="22">
        <v>42956.695833333331</v>
      </c>
      <c r="C38" s="22" t="s">
        <v>848</v>
      </c>
      <c r="D38" s="30" t="s">
        <v>780</v>
      </c>
      <c r="E38" s="30" t="s">
        <v>565</v>
      </c>
      <c r="F38" s="30" t="s">
        <v>170</v>
      </c>
      <c r="G38" s="30" t="s">
        <v>172</v>
      </c>
      <c r="H38" t="s">
        <v>94</v>
      </c>
      <c r="I38" t="s">
        <v>849</v>
      </c>
      <c r="J38" t="s">
        <v>582</v>
      </c>
      <c r="L38">
        <v>1</v>
      </c>
      <c r="M38" s="26">
        <v>3.05</v>
      </c>
      <c r="N38" t="s">
        <v>250</v>
      </c>
      <c r="Q38" s="29" t="s">
        <v>13</v>
      </c>
      <c r="R38" s="29" t="str">
        <f>IFERROR(MID(RADataTable[[#This Row],[RAtemplate]],1,LEN(RADataTable[[#This Row],[RAtemplate]])-8),"RA") &amp; " " &amp; RADataTable[[#This Row],[prop_id0]] &amp; " " &amp; RADataTable[[#This Row],[last0]]</f>
        <v>RA 1755950 Escobedo</v>
      </c>
      <c r="U38" s="21" t="str">
        <f>IF(signer1="PD",IF(ISBLANK(RADataTable[[#This Row],[sign_blck_name]]),"",RADataTable[[#This Row],[sign_blck_name]]),IF(ISBLANK(signer1),"",signer1))</f>
        <v>Tracy J. Kimbrel</v>
      </c>
      <c r="V38" s="29" t="str">
        <f>signer2</f>
        <v>Cognizant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adres@asu.edu</v>
      </c>
      <c r="Y38" s="15" t="str">
        <f>HYPERLINK("mailto:"&amp;RADataTable[[#This Row],[allPIemail]]&amp;"&amp;subject=NSF Proposal:  "&amp;RADataTable[[#This Row],[Div]]&amp;" "&amp;RADataTable[[#This Row],[prop_id0]], "PIs@")</f>
        <v>PIs@</v>
      </c>
      <c r="Z38" t="s">
        <v>781</v>
      </c>
      <c r="AA38" t="s">
        <v>1333</v>
      </c>
      <c r="AB38">
        <v>3</v>
      </c>
      <c r="AC38">
        <v>3</v>
      </c>
      <c r="AD38"/>
      <c r="AE38" s="21" t="str">
        <f>IF(RADataTable[[#This Row],[maxScore]]-RADataTable[[#This Row],[minScore]]&gt;4,"Y","")</f>
        <v/>
      </c>
      <c r="AF38" s="21">
        <v>4</v>
      </c>
      <c r="AG38" s="26">
        <v>5</v>
      </c>
      <c r="AH38">
        <v>6</v>
      </c>
      <c r="AI38" t="s">
        <v>1516</v>
      </c>
      <c r="AJ38" s="30">
        <v>43058.972916666666</v>
      </c>
      <c r="AK38" s="13">
        <v>175000</v>
      </c>
      <c r="AL38" s="13">
        <v>175000</v>
      </c>
      <c r="AM38">
        <v>0</v>
      </c>
      <c r="AN38" s="30">
        <v>43328</v>
      </c>
      <c r="AO38" s="21">
        <v>24</v>
      </c>
      <c r="AP38" s="21" t="s">
        <v>1517</v>
      </c>
      <c r="AS38" s="30"/>
      <c r="AT38" t="s">
        <v>658</v>
      </c>
      <c r="AU38" s="21" t="s">
        <v>251</v>
      </c>
      <c r="AV38" s="21">
        <v>5</v>
      </c>
      <c r="AW38" s="21" t="s">
        <v>892</v>
      </c>
      <c r="AX38" s="30">
        <v>43060</v>
      </c>
      <c r="AY38" s="21" t="s">
        <v>1601</v>
      </c>
      <c r="AZ38" s="21" t="s">
        <v>894</v>
      </c>
      <c r="BA38" s="21">
        <v>12</v>
      </c>
      <c r="BB38" s="21">
        <v>0</v>
      </c>
      <c r="BG38" s="30"/>
      <c r="BP38" s="30"/>
      <c r="BU38" t="s">
        <v>1333</v>
      </c>
      <c r="BV38" s="21" t="s">
        <v>1334</v>
      </c>
      <c r="BW38" s="21" t="s">
        <v>1514</v>
      </c>
      <c r="BX38" s="21" t="s">
        <v>1515</v>
      </c>
      <c r="BY38" s="31">
        <v>175000</v>
      </c>
      <c r="BZ38" s="31">
        <v>175000</v>
      </c>
      <c r="CA38" t="s">
        <v>1495</v>
      </c>
      <c r="CF38" s="31"/>
      <c r="CG38" s="31"/>
      <c r="CM38" s="31"/>
      <c r="CN38" s="31"/>
      <c r="CT38" s="31"/>
      <c r="CU38" s="31"/>
      <c r="CV38" s="31"/>
      <c r="DA38" s="31"/>
      <c r="DB38" s="31"/>
      <c r="DC38" s="31"/>
      <c r="DH38" s="31"/>
      <c r="DI38" s="31"/>
      <c r="DO38" s="31"/>
      <c r="DP38" s="31"/>
      <c r="DR38" t="s">
        <v>909</v>
      </c>
      <c r="DS38" t="s">
        <v>877</v>
      </c>
      <c r="DT38" t="s">
        <v>566</v>
      </c>
      <c r="DU38" s="29" t="s">
        <v>890</v>
      </c>
      <c r="DV38" t="s">
        <v>173</v>
      </c>
      <c r="DW38" t="s">
        <v>382</v>
      </c>
      <c r="DX38" t="s">
        <v>171</v>
      </c>
      <c r="DY38" t="s">
        <v>168</v>
      </c>
      <c r="DZ38" t="s">
        <v>169</v>
      </c>
      <c r="EA38" s="22">
        <v>43076.559560185182</v>
      </c>
      <c r="EB38" t="s">
        <v>1518</v>
      </c>
      <c r="EC38" t="s">
        <v>1602</v>
      </c>
    </row>
    <row r="39" spans="1:133">
      <c r="A39" s="30"/>
      <c r="B39" s="22">
        <v>42935.491666666669</v>
      </c>
      <c r="C39" s="22" t="s">
        <v>244</v>
      </c>
      <c r="D39" s="30" t="s">
        <v>780</v>
      </c>
      <c r="E39" s="30" t="s">
        <v>567</v>
      </c>
      <c r="F39" s="30" t="s">
        <v>170</v>
      </c>
      <c r="G39" s="30" t="s">
        <v>172</v>
      </c>
      <c r="H39" t="s">
        <v>94</v>
      </c>
      <c r="I39" t="s">
        <v>782</v>
      </c>
      <c r="J39" t="s">
        <v>944</v>
      </c>
      <c r="L39">
        <v>1</v>
      </c>
      <c r="M39" s="26">
        <v>3.11</v>
      </c>
      <c r="N39" t="s">
        <v>250</v>
      </c>
      <c r="Q39" s="29" t="s">
        <v>13</v>
      </c>
      <c r="R39" s="29" t="str">
        <f>IFERROR(MID(RADataTable[[#This Row],[RAtemplate]],1,LEN(RADataTable[[#This Row],[RAtemplate]])-8),"RA") &amp; " " &amp; RADataTable[[#This Row],[prop_id0]] &amp; " " &amp; RADataTable[[#This Row],[last0]]</f>
        <v>RA 1750344 Valiant</v>
      </c>
      <c r="U39" s="21" t="str">
        <f>IF(signer1="PD",IF(ISBLANK(RADataTable[[#This Row],[sign_blck_name]]),"",RADataTable[[#This Row],[sign_blck_name]]),IF(ISBLANK(signer1),"",signer1))</f>
        <v>Rahul Shah</v>
      </c>
      <c r="V39" s="29" t="str">
        <f>signer2</f>
        <v>Cognizant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pvaliant@gmail.com</v>
      </c>
      <c r="Y39" s="15" t="str">
        <f>HYPERLINK("mailto:"&amp;RADataTable[[#This Row],[allPIemail]]&amp;"&amp;subject=NSF Proposal:  "&amp;RADataTable[[#This Row],[Div]]&amp;" "&amp;RADataTable[[#This Row],[prop_id0]], "PIs@")</f>
        <v>PIs@</v>
      </c>
      <c r="Z39" t="s">
        <v>781</v>
      </c>
      <c r="AA39" t="s">
        <v>1059</v>
      </c>
      <c r="AB39">
        <v>4</v>
      </c>
      <c r="AD39"/>
      <c r="AE39" s="21" t="str">
        <f>IF(RADataTable[[#This Row],[maxScore]]-RADataTable[[#This Row],[minScore]]&gt;4,"Y","")</f>
        <v/>
      </c>
      <c r="AF39" s="21">
        <v>4</v>
      </c>
      <c r="AG39" s="26">
        <v>5</v>
      </c>
      <c r="AH39">
        <v>7</v>
      </c>
      <c r="AI39" t="s">
        <v>1411</v>
      </c>
      <c r="AJ39" s="30">
        <v>43059.950694444444</v>
      </c>
      <c r="AK39" s="13">
        <v>666111</v>
      </c>
      <c r="AL39" s="13">
        <v>666111</v>
      </c>
      <c r="AM39">
        <v>0</v>
      </c>
      <c r="AN39" s="30">
        <v>43252</v>
      </c>
      <c r="AO39" s="21">
        <v>60</v>
      </c>
      <c r="AP39" s="21" t="s">
        <v>1412</v>
      </c>
      <c r="AS39" s="30"/>
      <c r="AT39" t="s">
        <v>658</v>
      </c>
      <c r="AU39" s="21" t="s">
        <v>251</v>
      </c>
      <c r="AV39" s="21">
        <v>11</v>
      </c>
      <c r="AW39" s="21" t="s">
        <v>892</v>
      </c>
      <c r="AX39" s="30">
        <v>43060</v>
      </c>
      <c r="AY39" s="21" t="s">
        <v>1552</v>
      </c>
      <c r="AZ39" s="21" t="s">
        <v>894</v>
      </c>
      <c r="BA39" s="21">
        <v>12</v>
      </c>
      <c r="BB39" s="21">
        <v>0</v>
      </c>
      <c r="BG39" s="30"/>
      <c r="BP39" s="30"/>
      <c r="BU39" t="s">
        <v>1059</v>
      </c>
      <c r="BV39" s="21" t="s">
        <v>926</v>
      </c>
      <c r="BW39" s="21" t="s">
        <v>838</v>
      </c>
      <c r="BX39" s="21" t="s">
        <v>1359</v>
      </c>
      <c r="BY39" s="31">
        <v>666111</v>
      </c>
      <c r="BZ39" s="31">
        <v>666111</v>
      </c>
      <c r="CA39" t="s">
        <v>1410</v>
      </c>
      <c r="CF39" s="31"/>
      <c r="CG39" s="31"/>
      <c r="CM39" s="31"/>
      <c r="CN39" s="31"/>
      <c r="CT39" s="31"/>
      <c r="CU39" s="31"/>
      <c r="CV39" s="31"/>
      <c r="DA39" s="31"/>
      <c r="DB39" s="31"/>
      <c r="DC39" s="31"/>
      <c r="DH39" s="31"/>
      <c r="DI39" s="31"/>
      <c r="DO39" s="31"/>
      <c r="DP39" s="31"/>
      <c r="DR39" t="s">
        <v>248</v>
      </c>
      <c r="DS39" t="s">
        <v>877</v>
      </c>
      <c r="DT39" t="s">
        <v>568</v>
      </c>
      <c r="DU39" s="29" t="s">
        <v>1532</v>
      </c>
      <c r="DV39" t="s">
        <v>173</v>
      </c>
      <c r="DW39" t="s">
        <v>382</v>
      </c>
      <c r="DX39" t="s">
        <v>171</v>
      </c>
      <c r="DY39" t="s">
        <v>168</v>
      </c>
      <c r="DZ39" t="s">
        <v>169</v>
      </c>
      <c r="EA39" s="22">
        <v>43076.559560185182</v>
      </c>
      <c r="EB39" t="s">
        <v>1413</v>
      </c>
      <c r="EC39" t="s">
        <v>1553</v>
      </c>
    </row>
    <row r="40" spans="1:133">
      <c r="A40" s="30"/>
      <c r="B40" s="22">
        <v>42935.603472222225</v>
      </c>
      <c r="C40" s="22" t="s">
        <v>244</v>
      </c>
      <c r="D40" s="30" t="s">
        <v>780</v>
      </c>
      <c r="E40" s="30" t="s">
        <v>567</v>
      </c>
      <c r="F40" s="30" t="s">
        <v>170</v>
      </c>
      <c r="G40" s="30" t="s">
        <v>172</v>
      </c>
      <c r="H40" t="s">
        <v>94</v>
      </c>
      <c r="I40" t="s">
        <v>782</v>
      </c>
      <c r="J40" t="s">
        <v>582</v>
      </c>
      <c r="L40">
        <v>1</v>
      </c>
      <c r="M40" s="26">
        <v>3.11</v>
      </c>
      <c r="N40" t="s">
        <v>250</v>
      </c>
      <c r="Q40" s="29" t="s">
        <v>13</v>
      </c>
      <c r="R40" s="29" t="str">
        <f>IFERROR(MID(RADataTable[[#This Row],[RAtemplate]],1,LEN(RADataTable[[#This Row],[RAtemplate]])-8),"RA") &amp; " " &amp; RADataTable[[#This Row],[prop_id0]] &amp; " " &amp; RADataTable[[#This Row],[last0]]</f>
        <v>RA 1750651 Awasthi</v>
      </c>
      <c r="U40" s="21" t="str">
        <f>IF(signer1="PD",IF(ISBLANK(RADataTable[[#This Row],[sign_blck_name]]),"",RADataTable[[#This Row],[sign_blck_name]]),IF(ISBLANK(signer1),"",signer1))</f>
        <v>Tracy J. Kimbrel</v>
      </c>
      <c r="V40" s="29" t="str">
        <f>signer2</f>
        <v>Cognizant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pranjal.iitm@gmail.com</v>
      </c>
      <c r="Y40" s="15" t="str">
        <f>HYPERLINK("mailto:"&amp;RADataTable[[#This Row],[allPIemail]]&amp;"&amp;subject=NSF Proposal:  "&amp;RADataTable[[#This Row],[Div]]&amp;" "&amp;RADataTable[[#This Row],[prop_id0]], "PIs@")</f>
        <v>PIs@</v>
      </c>
      <c r="Z40" t="s">
        <v>781</v>
      </c>
      <c r="AA40" t="s">
        <v>1132</v>
      </c>
      <c r="AB40">
        <v>4</v>
      </c>
      <c r="AC40">
        <v>4</v>
      </c>
      <c r="AD40"/>
      <c r="AE40" s="21" t="str">
        <f>IF(RADataTable[[#This Row],[maxScore]]-RADataTable[[#This Row],[minScore]]&gt;4,"Y","")</f>
        <v/>
      </c>
      <c r="AF40" s="21">
        <v>5</v>
      </c>
      <c r="AG40" s="26">
        <v>5.5</v>
      </c>
      <c r="AH40">
        <v>7</v>
      </c>
      <c r="AI40" t="s">
        <v>536</v>
      </c>
      <c r="AJ40" s="30">
        <v>43060.010416666664</v>
      </c>
      <c r="AK40" s="13">
        <v>695874</v>
      </c>
      <c r="AL40" s="13">
        <v>695874</v>
      </c>
      <c r="AM40">
        <v>0</v>
      </c>
      <c r="AN40" s="30">
        <v>43101</v>
      </c>
      <c r="AO40" s="21">
        <v>60</v>
      </c>
      <c r="AP40" s="21" t="s">
        <v>1437</v>
      </c>
      <c r="AS40" s="30"/>
      <c r="AT40" t="s">
        <v>658</v>
      </c>
      <c r="AU40" s="21" t="s">
        <v>251</v>
      </c>
      <c r="AV40" s="21">
        <v>11</v>
      </c>
      <c r="AW40" s="21" t="s">
        <v>892</v>
      </c>
      <c r="AX40" s="30">
        <v>43060</v>
      </c>
      <c r="AY40" s="21" t="s">
        <v>538</v>
      </c>
      <c r="AZ40" s="21" t="s">
        <v>894</v>
      </c>
      <c r="BA40" s="21">
        <v>12</v>
      </c>
      <c r="BB40" s="21">
        <v>1</v>
      </c>
      <c r="BG40" s="30"/>
      <c r="BP40" s="30"/>
      <c r="BU40" t="s">
        <v>1132</v>
      </c>
      <c r="BV40" s="21" t="s">
        <v>1133</v>
      </c>
      <c r="BW40" s="21" t="s">
        <v>1436</v>
      </c>
      <c r="BX40" s="21" t="s">
        <v>1368</v>
      </c>
      <c r="BY40" s="31">
        <v>695874</v>
      </c>
      <c r="BZ40" s="31">
        <v>695874</v>
      </c>
      <c r="CA40" t="s">
        <v>783</v>
      </c>
      <c r="CF40" s="31"/>
      <c r="CG40" s="31"/>
      <c r="CM40" s="31"/>
      <c r="CN40" s="31"/>
      <c r="CT40" s="31"/>
      <c r="CU40" s="31"/>
      <c r="CV40" s="31"/>
      <c r="DA40" s="31"/>
      <c r="DB40" s="31"/>
      <c r="DC40" s="31"/>
      <c r="DH40" s="31"/>
      <c r="DI40" s="31"/>
      <c r="DO40" s="31"/>
      <c r="DP40" s="31"/>
      <c r="DR40" t="s">
        <v>248</v>
      </c>
      <c r="DS40" t="s">
        <v>877</v>
      </c>
      <c r="DT40" t="s">
        <v>568</v>
      </c>
      <c r="DU40" s="29" t="s">
        <v>890</v>
      </c>
      <c r="DV40" t="s">
        <v>173</v>
      </c>
      <c r="DW40" t="s">
        <v>382</v>
      </c>
      <c r="DX40" t="s">
        <v>171</v>
      </c>
      <c r="DY40" t="s">
        <v>168</v>
      </c>
      <c r="DZ40" t="s">
        <v>169</v>
      </c>
      <c r="EA40" s="22">
        <v>43076.559560185182</v>
      </c>
      <c r="EB40" t="s">
        <v>1438</v>
      </c>
      <c r="EC40" t="s">
        <v>1566</v>
      </c>
    </row>
    <row r="41" spans="1:133">
      <c r="A41" s="30"/>
      <c r="B41" s="22">
        <v>42935.680555555555</v>
      </c>
      <c r="C41" s="22" t="s">
        <v>244</v>
      </c>
      <c r="D41" s="30" t="s">
        <v>780</v>
      </c>
      <c r="E41" s="30" t="s">
        <v>567</v>
      </c>
      <c r="F41" s="30" t="s">
        <v>170</v>
      </c>
      <c r="G41" s="30" t="s">
        <v>172</v>
      </c>
      <c r="H41" t="s">
        <v>94</v>
      </c>
      <c r="I41" t="s">
        <v>782</v>
      </c>
      <c r="J41" t="s">
        <v>582</v>
      </c>
      <c r="L41">
        <v>1</v>
      </c>
      <c r="M41" s="26">
        <v>3.11</v>
      </c>
      <c r="N41" t="s">
        <v>250</v>
      </c>
      <c r="Q41" s="29" t="s">
        <v>13</v>
      </c>
      <c r="R41" s="29" t="str">
        <f>IFERROR(MID(RADataTable[[#This Row],[RAtemplate]],1,LEN(RADataTable[[#This Row],[RAtemplate]])-8),"RA") &amp; " " &amp; RADataTable[[#This Row],[prop_id0]] &amp; " " &amp; RADataTable[[#This Row],[last0]]</f>
        <v>RA 1751048 Papakonstantinou</v>
      </c>
      <c r="U41" s="21" t="str">
        <f>IF(signer1="PD",IF(ISBLANK(RADataTable[[#This Row],[sign_blck_name]]),"",RADataTable[[#This Row],[sign_blck_name]]),IF(ISBLANK(signer1),"",signer1))</f>
        <v>Tracy J. Kimbrel</v>
      </c>
      <c r="V41" s="29" t="str">
        <f>signer2</f>
        <v>Cognizant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periklis.research@gmail.com</v>
      </c>
      <c r="Y41" s="15" t="str">
        <f>HYPERLINK("mailto:"&amp;RADataTable[[#This Row],[allPIemail]]&amp;"&amp;subject=NSF Proposal:  "&amp;RADataTable[[#This Row],[Div]]&amp;" "&amp;RADataTable[[#This Row],[prop_id0]], "PIs@")</f>
        <v>PIs@</v>
      </c>
      <c r="Z41" t="s">
        <v>781</v>
      </c>
      <c r="AA41" t="s">
        <v>1182</v>
      </c>
      <c r="AB41">
        <v>4</v>
      </c>
      <c r="AC41">
        <v>4</v>
      </c>
      <c r="AD41"/>
      <c r="AE41" s="21" t="str">
        <f>IF(RADataTable[[#This Row],[maxScore]]-RADataTable[[#This Row],[minScore]]&gt;4,"Y","")</f>
        <v/>
      </c>
      <c r="AF41" s="21">
        <v>3</v>
      </c>
      <c r="AG41" s="26">
        <v>4.5</v>
      </c>
      <c r="AH41">
        <v>6</v>
      </c>
      <c r="AI41" t="s">
        <v>1457</v>
      </c>
      <c r="AJ41" s="30">
        <v>43059.227777777778</v>
      </c>
      <c r="AK41" s="13">
        <v>667571</v>
      </c>
      <c r="AL41" s="13">
        <v>667571</v>
      </c>
      <c r="AM41">
        <v>0</v>
      </c>
      <c r="AN41" s="30">
        <v>43252</v>
      </c>
      <c r="AO41" s="21">
        <v>60</v>
      </c>
      <c r="AP41" s="21" t="s">
        <v>1458</v>
      </c>
      <c r="AS41" s="30"/>
      <c r="AT41" t="s">
        <v>658</v>
      </c>
      <c r="AU41" s="21" t="s">
        <v>251</v>
      </c>
      <c r="AV41" s="21">
        <v>11</v>
      </c>
      <c r="AW41" s="21" t="s">
        <v>892</v>
      </c>
      <c r="AX41" s="30">
        <v>43060</v>
      </c>
      <c r="AY41" s="21" t="s">
        <v>1575</v>
      </c>
      <c r="AZ41" s="21" t="s">
        <v>894</v>
      </c>
      <c r="BA41" s="21">
        <v>12</v>
      </c>
      <c r="BB41" s="21">
        <v>0</v>
      </c>
      <c r="BG41" s="30"/>
      <c r="BP41" s="30"/>
      <c r="BU41" t="s">
        <v>1182</v>
      </c>
      <c r="BV41" s="21" t="s">
        <v>1183</v>
      </c>
      <c r="BW41" s="21" t="s">
        <v>1455</v>
      </c>
      <c r="BX41" s="21" t="s">
        <v>1456</v>
      </c>
      <c r="BY41" s="31">
        <v>667571</v>
      </c>
      <c r="BZ41" s="31">
        <v>667571</v>
      </c>
      <c r="CA41" t="s">
        <v>783</v>
      </c>
      <c r="CF41" s="31"/>
      <c r="CG41" s="31"/>
      <c r="CM41" s="31"/>
      <c r="CN41" s="31"/>
      <c r="CT41" s="31"/>
      <c r="CU41" s="31"/>
      <c r="CV41" s="31"/>
      <c r="DA41" s="31"/>
      <c r="DB41" s="31"/>
      <c r="DC41" s="31"/>
      <c r="DH41" s="31"/>
      <c r="DI41" s="31"/>
      <c r="DO41" s="31"/>
      <c r="DP41" s="31"/>
      <c r="DR41" t="s">
        <v>248</v>
      </c>
      <c r="DS41" t="s">
        <v>877</v>
      </c>
      <c r="DT41" t="s">
        <v>568</v>
      </c>
      <c r="DU41" s="29" t="s">
        <v>890</v>
      </c>
      <c r="DV41" t="s">
        <v>173</v>
      </c>
      <c r="DW41" t="s">
        <v>382</v>
      </c>
      <c r="DX41" t="s">
        <v>171</v>
      </c>
      <c r="DY41" t="s">
        <v>168</v>
      </c>
      <c r="DZ41" t="s">
        <v>169</v>
      </c>
      <c r="EA41" s="22">
        <v>43076.559560185182</v>
      </c>
      <c r="EB41" t="s">
        <v>1459</v>
      </c>
      <c r="EC41" t="s">
        <v>1576</v>
      </c>
    </row>
    <row r="42" spans="1:133">
      <c r="A42" s="30"/>
      <c r="B42" s="22">
        <v>42935.68472222222</v>
      </c>
      <c r="C42" s="22" t="s">
        <v>244</v>
      </c>
      <c r="D42" s="30" t="s">
        <v>780</v>
      </c>
      <c r="E42" s="30" t="s">
        <v>567</v>
      </c>
      <c r="F42" s="30" t="s">
        <v>170</v>
      </c>
      <c r="G42" s="30" t="s">
        <v>172</v>
      </c>
      <c r="H42" t="s">
        <v>94</v>
      </c>
      <c r="I42" t="s">
        <v>782</v>
      </c>
      <c r="J42" t="s">
        <v>582</v>
      </c>
      <c r="L42">
        <v>1</v>
      </c>
      <c r="M42" s="26">
        <v>3.11</v>
      </c>
      <c r="N42" t="s">
        <v>250</v>
      </c>
      <c r="Q42" s="29" t="s">
        <v>13</v>
      </c>
      <c r="R42" s="29" t="str">
        <f>IFERROR(MID(RADataTable[[#This Row],[RAtemplate]],1,LEN(RADataTable[[#This Row],[RAtemplate]])-8),"RA") &amp; " " &amp; RADataTable[[#This Row],[prop_id0]] &amp; " " &amp; RADataTable[[#This Row],[last0]]</f>
        <v>RA 1751076 Gkatzelis</v>
      </c>
      <c r="U42" s="21" t="str">
        <f>IF(signer1="PD",IF(ISBLANK(RADataTable[[#This Row],[sign_blck_name]]),"",RADataTable[[#This Row],[sign_blck_name]]),IF(ISBLANK(signer1),"",signer1))</f>
        <v>Tracy J. Kimbrel</v>
      </c>
      <c r="V42" s="29" t="str">
        <f>signer2</f>
        <v>Cognizant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gkatz@drexel.edu</v>
      </c>
      <c r="Y42" s="15" t="str">
        <f>HYPERLINK("mailto:"&amp;RADataTable[[#This Row],[allPIemail]]&amp;"&amp;subject=NSF Proposal:  "&amp;RADataTable[[#This Row],[Div]]&amp;" "&amp;RADataTable[[#This Row],[prop_id0]], "PIs@")</f>
        <v>PIs@</v>
      </c>
      <c r="Z42" t="s">
        <v>781</v>
      </c>
      <c r="AA42" t="s">
        <v>1190</v>
      </c>
      <c r="AB42">
        <v>4</v>
      </c>
      <c r="AC42">
        <v>4</v>
      </c>
      <c r="AD42"/>
      <c r="AE42" s="21" t="str">
        <f>IF(RADataTable[[#This Row],[maxScore]]-RADataTable[[#This Row],[minScore]]&gt;4,"Y","")</f>
        <v/>
      </c>
      <c r="AF42" s="21">
        <v>5</v>
      </c>
      <c r="AG42" s="26">
        <v>6.5</v>
      </c>
      <c r="AH42">
        <v>7</v>
      </c>
      <c r="AI42" t="s">
        <v>345</v>
      </c>
      <c r="AJ42" s="30">
        <v>43059.229166666664</v>
      </c>
      <c r="AK42" s="13">
        <v>559983</v>
      </c>
      <c r="AL42" s="13">
        <v>559983</v>
      </c>
      <c r="AM42">
        <v>0</v>
      </c>
      <c r="AN42" s="30">
        <v>43132</v>
      </c>
      <c r="AO42" s="21">
        <v>60</v>
      </c>
      <c r="AP42" s="21" t="s">
        <v>1462</v>
      </c>
      <c r="AS42" s="30"/>
      <c r="AT42" t="s">
        <v>658</v>
      </c>
      <c r="AU42" s="21" t="s">
        <v>251</v>
      </c>
      <c r="AV42" s="21">
        <v>11</v>
      </c>
      <c r="AW42" s="21" t="s">
        <v>892</v>
      </c>
      <c r="AX42" s="30">
        <v>43060</v>
      </c>
      <c r="AY42" s="21" t="s">
        <v>383</v>
      </c>
      <c r="AZ42" s="21" t="s">
        <v>894</v>
      </c>
      <c r="BA42" s="21">
        <v>12</v>
      </c>
      <c r="BB42" s="21">
        <v>0</v>
      </c>
      <c r="BG42" s="30"/>
      <c r="BP42" s="30"/>
      <c r="BU42" t="s">
        <v>1190</v>
      </c>
      <c r="BV42" s="21" t="s">
        <v>1191</v>
      </c>
      <c r="BW42" s="21" t="s">
        <v>1460</v>
      </c>
      <c r="BX42" s="21" t="s">
        <v>1461</v>
      </c>
      <c r="BY42" s="31">
        <v>559983</v>
      </c>
      <c r="BZ42" s="31">
        <v>559983</v>
      </c>
      <c r="CA42" t="s">
        <v>1414</v>
      </c>
      <c r="CF42" s="31"/>
      <c r="CG42" s="31"/>
      <c r="CM42" s="31"/>
      <c r="CN42" s="31"/>
      <c r="CT42" s="31"/>
      <c r="CU42" s="31"/>
      <c r="CV42" s="31"/>
      <c r="DA42" s="31"/>
      <c r="DB42" s="31"/>
      <c r="DC42" s="31"/>
      <c r="DH42" s="31"/>
      <c r="DI42" s="31"/>
      <c r="DO42" s="31"/>
      <c r="DP42" s="31"/>
      <c r="DR42" t="s">
        <v>248</v>
      </c>
      <c r="DS42" t="s">
        <v>877</v>
      </c>
      <c r="DT42" t="s">
        <v>568</v>
      </c>
      <c r="DU42" s="29" t="s">
        <v>890</v>
      </c>
      <c r="DV42" t="s">
        <v>173</v>
      </c>
      <c r="DW42" t="s">
        <v>382</v>
      </c>
      <c r="DX42" t="s">
        <v>171</v>
      </c>
      <c r="DY42" t="s">
        <v>168</v>
      </c>
      <c r="DZ42" t="s">
        <v>169</v>
      </c>
      <c r="EA42" s="22">
        <v>43076.559560185182</v>
      </c>
      <c r="EB42" t="s">
        <v>1463</v>
      </c>
      <c r="EC42" t="s">
        <v>1577</v>
      </c>
    </row>
    <row r="43" spans="1:133">
      <c r="A43" s="30"/>
      <c r="B43" s="22">
        <v>42935.717361111114</v>
      </c>
      <c r="C43" s="22" t="s">
        <v>244</v>
      </c>
      <c r="D43" s="30" t="s">
        <v>780</v>
      </c>
      <c r="E43" s="30" t="s">
        <v>567</v>
      </c>
      <c r="F43" s="30" t="s">
        <v>170</v>
      </c>
      <c r="G43" s="30" t="s">
        <v>172</v>
      </c>
      <c r="H43" t="s">
        <v>94</v>
      </c>
      <c r="I43" t="s">
        <v>782</v>
      </c>
      <c r="J43" t="s">
        <v>582</v>
      </c>
      <c r="L43">
        <v>1</v>
      </c>
      <c r="M43" s="26">
        <v>3.11</v>
      </c>
      <c r="N43" t="s">
        <v>250</v>
      </c>
      <c r="Q43" s="29" t="s">
        <v>13</v>
      </c>
      <c r="R43" s="29" t="str">
        <f>IFERROR(MID(RADataTable[[#This Row],[RAtemplate]],1,LEN(RADataTable[[#This Row],[RAtemplate]])-8),"RA") &amp; " " &amp; RADataTable[[#This Row],[prop_id0]] &amp; " " &amp; RADataTable[[#This Row],[last0]]</f>
        <v>RA 1751234 Bhaskara</v>
      </c>
      <c r="U43" s="21" t="str">
        <f>IF(signer1="PD",IF(ISBLANK(RADataTable[[#This Row],[sign_blck_name]]),"",RADataTable[[#This Row],[sign_blck_name]]),IF(ISBLANK(signer1),"",signer1))</f>
        <v>Tracy J. Kimbrel</v>
      </c>
      <c r="V43" s="29" t="str">
        <f>signer2</f>
        <v>Cognizant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bhaskara@cs.utah.edu</v>
      </c>
      <c r="Y43" s="15" t="str">
        <f>HYPERLINK("mailto:"&amp;RADataTable[[#This Row],[allPIemail]]&amp;"&amp;subject=NSF Proposal:  "&amp;RADataTable[[#This Row],[Div]]&amp;" "&amp;RADataTable[[#This Row],[prop_id0]], "PIs@")</f>
        <v>PIs@</v>
      </c>
      <c r="Z43" t="s">
        <v>781</v>
      </c>
      <c r="AA43" t="s">
        <v>1206</v>
      </c>
      <c r="AB43">
        <v>4</v>
      </c>
      <c r="AC43">
        <v>4</v>
      </c>
      <c r="AD43"/>
      <c r="AE43" s="21" t="str">
        <f>IF(RADataTable[[#This Row],[maxScore]]-RADataTable[[#This Row],[minScore]]&gt;4,"Y","")</f>
        <v/>
      </c>
      <c r="AF43" s="21">
        <v>5</v>
      </c>
      <c r="AG43" s="26">
        <v>6.5</v>
      </c>
      <c r="AH43">
        <v>7</v>
      </c>
      <c r="AI43" t="s">
        <v>345</v>
      </c>
      <c r="AJ43" s="30">
        <v>43058.995833333334</v>
      </c>
      <c r="AK43" s="13">
        <v>536841</v>
      </c>
      <c r="AL43" s="13">
        <v>536841</v>
      </c>
      <c r="AM43">
        <v>0</v>
      </c>
      <c r="AN43" s="30">
        <v>43313</v>
      </c>
      <c r="AO43" s="21">
        <v>60</v>
      </c>
      <c r="AP43" s="21" t="s">
        <v>1471</v>
      </c>
      <c r="AS43" s="30"/>
      <c r="AT43" t="s">
        <v>658</v>
      </c>
      <c r="AU43" s="21" t="s">
        <v>251</v>
      </c>
      <c r="AV43" s="21">
        <v>11</v>
      </c>
      <c r="AW43" s="21" t="s">
        <v>892</v>
      </c>
      <c r="AX43" s="30">
        <v>43060</v>
      </c>
      <c r="AY43" s="21" t="s">
        <v>383</v>
      </c>
      <c r="AZ43" s="21" t="s">
        <v>894</v>
      </c>
      <c r="BA43" s="21">
        <v>12</v>
      </c>
      <c r="BB43" s="21">
        <v>0</v>
      </c>
      <c r="BG43" s="30"/>
      <c r="BP43" s="30"/>
      <c r="BU43" t="s">
        <v>1206</v>
      </c>
      <c r="BV43" s="21" t="s">
        <v>1207</v>
      </c>
      <c r="BW43" s="21" t="s">
        <v>1470</v>
      </c>
      <c r="BX43" s="21" t="s">
        <v>1361</v>
      </c>
      <c r="BY43" s="31">
        <v>536841</v>
      </c>
      <c r="BZ43" s="31">
        <v>536841</v>
      </c>
      <c r="CA43" t="s">
        <v>1383</v>
      </c>
      <c r="CF43" s="31"/>
      <c r="CG43" s="31"/>
      <c r="CM43" s="31"/>
      <c r="CN43" s="31"/>
      <c r="CT43" s="31"/>
      <c r="CU43" s="31"/>
      <c r="CV43" s="31"/>
      <c r="DA43" s="31"/>
      <c r="DB43" s="31"/>
      <c r="DC43" s="31"/>
      <c r="DH43" s="31"/>
      <c r="DI43" s="31"/>
      <c r="DO43" s="31"/>
      <c r="DP43" s="31"/>
      <c r="DR43" t="s">
        <v>248</v>
      </c>
      <c r="DS43" t="s">
        <v>877</v>
      </c>
      <c r="DT43" t="s">
        <v>568</v>
      </c>
      <c r="DU43" s="29" t="s">
        <v>890</v>
      </c>
      <c r="DV43" t="s">
        <v>173</v>
      </c>
      <c r="DW43" t="s">
        <v>382</v>
      </c>
      <c r="DX43" t="s">
        <v>171</v>
      </c>
      <c r="DY43" t="s">
        <v>168</v>
      </c>
      <c r="DZ43" t="s">
        <v>169</v>
      </c>
      <c r="EA43" s="22">
        <v>43076.559560185182</v>
      </c>
      <c r="EB43" t="s">
        <v>1472</v>
      </c>
      <c r="EC43" t="s">
        <v>1580</v>
      </c>
    </row>
    <row r="44" spans="1:133">
      <c r="A44" s="30"/>
      <c r="B44" s="22">
        <v>42933.547222222223</v>
      </c>
      <c r="C44" s="22" t="s">
        <v>244</v>
      </c>
      <c r="D44" s="30" t="s">
        <v>780</v>
      </c>
      <c r="E44" s="30" t="s">
        <v>567</v>
      </c>
      <c r="F44" s="30" t="s">
        <v>170</v>
      </c>
      <c r="G44" s="30" t="s">
        <v>172</v>
      </c>
      <c r="H44" t="s">
        <v>94</v>
      </c>
      <c r="I44" t="s">
        <v>782</v>
      </c>
      <c r="J44" t="s">
        <v>579</v>
      </c>
      <c r="L44">
        <v>1</v>
      </c>
      <c r="M44" s="26">
        <v>3.13</v>
      </c>
      <c r="N44" t="s">
        <v>250</v>
      </c>
      <c r="Q44" s="29" t="s">
        <v>13</v>
      </c>
      <c r="R44" s="29" t="str">
        <f>IFERROR(MID(RADataTable[[#This Row],[RAtemplate]],1,LEN(RADataTable[[#This Row],[RAtemplate]])-8),"RA") &amp; " " &amp; RADataTable[[#This Row],[prop_id0]] &amp; " " &amp; RADataTable[[#This Row],[last0]]</f>
        <v>RA 1749385 Wang</v>
      </c>
      <c r="U44" s="21" t="str">
        <f>IF(signer1="PD",IF(ISBLANK(RADataTable[[#This Row],[sign_blck_name]]),"",RADataTable[[#This Row],[sign_blck_name]]),IF(ISBLANK(signer1),"",signer1))</f>
        <v>Jack Snoeyink</v>
      </c>
      <c r="V44" s="29" t="str">
        <f>signer2</f>
        <v>Cognizant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haitao.wang@usu.edu</v>
      </c>
      <c r="Y44" s="15" t="str">
        <f>HYPERLINK("mailto:"&amp;RADataTable[[#This Row],[allPIemail]]&amp;"&amp;subject=NSF Proposal:  "&amp;RADataTable[[#This Row],[Div]]&amp;" "&amp;RADataTable[[#This Row],[prop_id0]], "PIs@")</f>
        <v>PIs@</v>
      </c>
      <c r="Z44" t="s">
        <v>781</v>
      </c>
      <c r="AA44" t="s">
        <v>604</v>
      </c>
      <c r="AB44">
        <v>4</v>
      </c>
      <c r="AC44">
        <v>4</v>
      </c>
      <c r="AD44"/>
      <c r="AE44" s="21" t="str">
        <f>IF(RADataTable[[#This Row],[maxScore]]-RADataTable[[#This Row],[minScore]]&gt;4,"Y","")</f>
        <v>Y</v>
      </c>
      <c r="AF44" s="21">
        <v>4</v>
      </c>
      <c r="AG44" s="26">
        <v>6.25</v>
      </c>
      <c r="AH44">
        <v>9</v>
      </c>
      <c r="AI44" t="s">
        <v>794</v>
      </c>
      <c r="AJ44" s="30">
        <v>43030.179166666669</v>
      </c>
      <c r="AK44" s="13">
        <v>524898</v>
      </c>
      <c r="AL44" s="13">
        <v>524898</v>
      </c>
      <c r="AM44">
        <v>0</v>
      </c>
      <c r="AN44" s="30">
        <v>43221</v>
      </c>
      <c r="AO44" s="21">
        <v>60</v>
      </c>
      <c r="AP44" s="21" t="s">
        <v>795</v>
      </c>
      <c r="AS44" s="30"/>
      <c r="AT44" t="s">
        <v>583</v>
      </c>
      <c r="AU44" s="21" t="s">
        <v>251</v>
      </c>
      <c r="AV44" s="21">
        <v>13</v>
      </c>
      <c r="AW44" s="21" t="s">
        <v>879</v>
      </c>
      <c r="AX44" s="30">
        <v>43032</v>
      </c>
      <c r="AY44" s="21" t="s">
        <v>883</v>
      </c>
      <c r="AZ44" s="21" t="s">
        <v>881</v>
      </c>
      <c r="BA44" s="21">
        <v>14</v>
      </c>
      <c r="BB44" s="21">
        <v>0</v>
      </c>
      <c r="BG44" s="30"/>
      <c r="BP44" s="30"/>
      <c r="BU44" t="s">
        <v>604</v>
      </c>
      <c r="BV44" s="21" t="s">
        <v>342</v>
      </c>
      <c r="BW44" s="21" t="s">
        <v>792</v>
      </c>
      <c r="BX44" s="21" t="s">
        <v>793</v>
      </c>
      <c r="BY44" s="31">
        <v>524898</v>
      </c>
      <c r="BZ44" s="31">
        <v>524898</v>
      </c>
      <c r="CA44" t="s">
        <v>790</v>
      </c>
      <c r="CF44" s="31"/>
      <c r="CG44" s="31"/>
      <c r="CM44" s="31"/>
      <c r="CN44" s="31"/>
      <c r="CT44" s="31"/>
      <c r="CU44" s="31"/>
      <c r="CV44" s="31"/>
      <c r="DA44" s="31"/>
      <c r="DB44" s="31"/>
      <c r="DC44" s="31"/>
      <c r="DH44" s="31"/>
      <c r="DI44" s="31"/>
      <c r="DO44" s="31"/>
      <c r="DP44" s="31"/>
      <c r="DR44" t="s">
        <v>248</v>
      </c>
      <c r="DS44" t="s">
        <v>877</v>
      </c>
      <c r="DT44" t="s">
        <v>568</v>
      </c>
      <c r="DU44" s="29" t="s">
        <v>878</v>
      </c>
      <c r="DV44" t="s">
        <v>173</v>
      </c>
      <c r="DW44" t="s">
        <v>382</v>
      </c>
      <c r="DX44" t="s">
        <v>171</v>
      </c>
      <c r="DY44" t="s">
        <v>168</v>
      </c>
      <c r="DZ44" t="s">
        <v>169</v>
      </c>
      <c r="EA44" s="22">
        <v>43076.559560185182</v>
      </c>
      <c r="EB44" t="s">
        <v>796</v>
      </c>
      <c r="EC44" t="s">
        <v>884</v>
      </c>
    </row>
    <row r="45" spans="1:133">
      <c r="A45" s="30"/>
      <c r="B45" s="22">
        <v>42933.579861111109</v>
      </c>
      <c r="C45" s="22" t="s">
        <v>244</v>
      </c>
      <c r="D45" s="30" t="s">
        <v>780</v>
      </c>
      <c r="E45" s="30" t="s">
        <v>567</v>
      </c>
      <c r="F45" s="30" t="s">
        <v>170</v>
      </c>
      <c r="G45" s="30" t="s">
        <v>172</v>
      </c>
      <c r="H45" t="s">
        <v>94</v>
      </c>
      <c r="I45" t="s">
        <v>782</v>
      </c>
      <c r="J45" t="s">
        <v>944</v>
      </c>
      <c r="L45">
        <v>1</v>
      </c>
      <c r="M45" s="26">
        <v>3.13</v>
      </c>
      <c r="N45" t="s">
        <v>250</v>
      </c>
      <c r="Q45" s="29" t="s">
        <v>13</v>
      </c>
      <c r="R45" s="29" t="str">
        <f>IFERROR(MID(RADataTable[[#This Row],[RAtemplate]],1,LEN(RADataTable[[#This Row],[RAtemplate]])-8),"RA") &amp; " " &amp; RADataTable[[#This Row],[prop_id0]] &amp; " " &amp; RADataTable[[#This Row],[last0]]</f>
        <v>RA 1749414 Moseley</v>
      </c>
      <c r="U45" s="21" t="str">
        <f>IF(signer1="PD",IF(ISBLANK(RADataTable[[#This Row],[sign_blck_name]]),"",RADataTable[[#This Row],[sign_blck_name]]),IF(ISBLANK(signer1),"",signer1))</f>
        <v>Rahul Shah</v>
      </c>
      <c r="V45" s="29" t="str">
        <f>signer2</f>
        <v>Cognizant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bmoseley@seas.wustl.edu</v>
      </c>
      <c r="Y45" s="15" t="str">
        <f>HYPERLINK("mailto:"&amp;RADataTable[[#This Row],[allPIemail]]&amp;"&amp;subject=NSF Proposal:  "&amp;RADataTable[[#This Row],[Div]]&amp;" "&amp;RADataTable[[#This Row],[prop_id0]], "PIs@")</f>
        <v>PIs@</v>
      </c>
      <c r="Z45" t="s">
        <v>781</v>
      </c>
      <c r="AA45" t="s">
        <v>936</v>
      </c>
      <c r="AB45">
        <v>5</v>
      </c>
      <c r="AC45">
        <v>5</v>
      </c>
      <c r="AD45"/>
      <c r="AE45" s="21" t="str">
        <f>IF(RADataTable[[#This Row],[maxScore]]-RADataTable[[#This Row],[minScore]]&gt;4,"Y","")</f>
        <v/>
      </c>
      <c r="AF45" s="21">
        <v>5</v>
      </c>
      <c r="AG45" s="26">
        <v>6.8</v>
      </c>
      <c r="AH45">
        <v>9</v>
      </c>
      <c r="AI45" t="s">
        <v>1373</v>
      </c>
      <c r="AJ45" s="30">
        <v>43032.510416666664</v>
      </c>
      <c r="AK45" s="13">
        <v>545000</v>
      </c>
      <c r="AL45" s="13">
        <v>545000</v>
      </c>
      <c r="AM45">
        <v>0</v>
      </c>
      <c r="AN45" s="30">
        <v>43282</v>
      </c>
      <c r="AO45" s="21">
        <v>60</v>
      </c>
      <c r="AP45" s="21" t="s">
        <v>1374</v>
      </c>
      <c r="AS45" s="30"/>
      <c r="AT45" t="s">
        <v>583</v>
      </c>
      <c r="AU45" s="21" t="s">
        <v>251</v>
      </c>
      <c r="AV45" s="21">
        <v>13</v>
      </c>
      <c r="AW45" s="21" t="s">
        <v>879</v>
      </c>
      <c r="AX45" s="30">
        <v>43032</v>
      </c>
      <c r="AY45" s="21" t="s">
        <v>1531</v>
      </c>
      <c r="AZ45" s="21" t="s">
        <v>881</v>
      </c>
      <c r="BA45" s="21">
        <v>14</v>
      </c>
      <c r="BB45" s="21">
        <v>1</v>
      </c>
      <c r="BG45" s="30"/>
      <c r="BP45" s="30"/>
      <c r="BU45" t="s">
        <v>936</v>
      </c>
      <c r="BV45" s="21" t="s">
        <v>937</v>
      </c>
      <c r="BW45" s="21" t="s">
        <v>829</v>
      </c>
      <c r="BX45" s="21" t="s">
        <v>343</v>
      </c>
      <c r="BY45" s="31">
        <v>545000</v>
      </c>
      <c r="BZ45" s="31">
        <v>545000</v>
      </c>
      <c r="CA45" t="s">
        <v>819</v>
      </c>
      <c r="CF45" s="31"/>
      <c r="CG45" s="31"/>
      <c r="CM45" s="31"/>
      <c r="CN45" s="31"/>
      <c r="CT45" s="31"/>
      <c r="CU45" s="31"/>
      <c r="CV45" s="31"/>
      <c r="DA45" s="31"/>
      <c r="DB45" s="31"/>
      <c r="DC45" s="31"/>
      <c r="DH45" s="31"/>
      <c r="DI45" s="31"/>
      <c r="DO45" s="31"/>
      <c r="DP45" s="31"/>
      <c r="DR45" t="s">
        <v>248</v>
      </c>
      <c r="DS45" t="s">
        <v>877</v>
      </c>
      <c r="DT45" t="s">
        <v>568</v>
      </c>
      <c r="DU45" s="29" t="s">
        <v>1532</v>
      </c>
      <c r="DV45" t="s">
        <v>173</v>
      </c>
      <c r="DW45" t="s">
        <v>382</v>
      </c>
      <c r="DX45" t="s">
        <v>171</v>
      </c>
      <c r="DY45" t="s">
        <v>168</v>
      </c>
      <c r="DZ45" t="s">
        <v>169</v>
      </c>
      <c r="EA45" s="22">
        <v>43076.559560185182</v>
      </c>
      <c r="EB45" t="s">
        <v>1375</v>
      </c>
      <c r="EC45" t="s">
        <v>1533</v>
      </c>
    </row>
    <row r="46" spans="1:133">
      <c r="A46" s="30"/>
      <c r="B46" s="22">
        <v>42934.695138888892</v>
      </c>
      <c r="C46" s="22" t="s">
        <v>244</v>
      </c>
      <c r="D46" s="30" t="s">
        <v>780</v>
      </c>
      <c r="E46" s="30" t="s">
        <v>567</v>
      </c>
      <c r="F46" s="30" t="s">
        <v>170</v>
      </c>
      <c r="G46" s="30" t="s">
        <v>172</v>
      </c>
      <c r="H46" t="s">
        <v>94</v>
      </c>
      <c r="I46" t="s">
        <v>782</v>
      </c>
      <c r="J46" t="s">
        <v>579</v>
      </c>
      <c r="L46">
        <v>1</v>
      </c>
      <c r="M46" s="26">
        <v>3.13</v>
      </c>
      <c r="N46" t="s">
        <v>250</v>
      </c>
      <c r="Q46" s="29" t="s">
        <v>13</v>
      </c>
      <c r="R46" s="29" t="str">
        <f>IFERROR(MID(RADataTable[[#This Row],[RAtemplate]],1,LEN(RADataTable[[#This Row],[RAtemplate]])-8),"RA") &amp; " " &amp; RADataTable[[#This Row],[prop_id0]] &amp; " " &amp; RADataTable[[#This Row],[last0]]</f>
        <v>RA 1749977 Solomon</v>
      </c>
      <c r="U46" s="21" t="str">
        <f>IF(signer1="PD",IF(ISBLANK(RADataTable[[#This Row],[sign_blck_name]]),"",RADataTable[[#This Row],[sign_blck_name]]),IF(ISBLANK(signer1),"",signer1))</f>
        <v>Jack Snoeyink</v>
      </c>
      <c r="V46" s="29" t="str">
        <f>signer2</f>
        <v>Cognizant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jsolomon@mit.edu</v>
      </c>
      <c r="Y46" s="15" t="str">
        <f>HYPERLINK("mailto:"&amp;RADataTable[[#This Row],[allPIemail]]&amp;"&amp;subject=NSF Proposal:  "&amp;RADataTable[[#This Row],[Div]]&amp;" "&amp;RADataTable[[#This Row],[prop_id0]], "PIs@")</f>
        <v>PIs@</v>
      </c>
      <c r="Z46" t="s">
        <v>781</v>
      </c>
      <c r="AA46" t="s">
        <v>678</v>
      </c>
      <c r="AB46">
        <v>4</v>
      </c>
      <c r="AC46">
        <v>4</v>
      </c>
      <c r="AD46"/>
      <c r="AE46" s="21" t="str">
        <f>IF(RADataTable[[#This Row],[maxScore]]-RADataTable[[#This Row],[minScore]]&gt;4,"Y","")</f>
        <v>Y</v>
      </c>
      <c r="AF46" s="21">
        <v>3</v>
      </c>
      <c r="AG46" s="26">
        <v>6.25</v>
      </c>
      <c r="AH46">
        <v>9</v>
      </c>
      <c r="AI46" t="s">
        <v>816</v>
      </c>
      <c r="AJ46" s="30">
        <v>43030.972222222219</v>
      </c>
      <c r="AK46" s="13">
        <v>550000</v>
      </c>
      <c r="AL46" s="13">
        <v>550000</v>
      </c>
      <c r="AM46">
        <v>0</v>
      </c>
      <c r="AN46" s="30">
        <v>43101</v>
      </c>
      <c r="AO46" s="21">
        <v>60</v>
      </c>
      <c r="AP46" s="21" t="s">
        <v>817</v>
      </c>
      <c r="AS46" s="30"/>
      <c r="AT46" t="s">
        <v>583</v>
      </c>
      <c r="AU46" s="21" t="s">
        <v>251</v>
      </c>
      <c r="AV46" s="21">
        <v>13</v>
      </c>
      <c r="AW46" s="21" t="s">
        <v>879</v>
      </c>
      <c r="AX46" s="30">
        <v>43032</v>
      </c>
      <c r="AY46" s="21" t="s">
        <v>896</v>
      </c>
      <c r="AZ46" s="21" t="s">
        <v>881</v>
      </c>
      <c r="BA46" s="21">
        <v>14</v>
      </c>
      <c r="BB46" s="21">
        <v>2</v>
      </c>
      <c r="BG46" s="30"/>
      <c r="BP46" s="30"/>
      <c r="BU46" t="s">
        <v>678</v>
      </c>
      <c r="BV46" s="21" t="s">
        <v>679</v>
      </c>
      <c r="BW46" s="21" t="s">
        <v>814</v>
      </c>
      <c r="BX46" s="21" t="s">
        <v>815</v>
      </c>
      <c r="BY46" s="31">
        <v>550000</v>
      </c>
      <c r="BZ46" s="31">
        <v>550000</v>
      </c>
      <c r="CA46" t="s">
        <v>790</v>
      </c>
      <c r="CF46" s="31"/>
      <c r="CG46" s="31"/>
      <c r="CM46" s="31"/>
      <c r="CN46" s="31"/>
      <c r="CT46" s="31"/>
      <c r="CU46" s="31"/>
      <c r="CV46" s="31"/>
      <c r="DA46" s="31"/>
      <c r="DB46" s="31"/>
      <c r="DC46" s="31"/>
      <c r="DH46" s="31"/>
      <c r="DI46" s="31"/>
      <c r="DO46" s="31"/>
      <c r="DP46" s="31"/>
      <c r="DR46" t="s">
        <v>248</v>
      </c>
      <c r="DS46" t="s">
        <v>877</v>
      </c>
      <c r="DT46" t="s">
        <v>568</v>
      </c>
      <c r="DU46" s="29" t="s">
        <v>878</v>
      </c>
      <c r="DV46" t="s">
        <v>173</v>
      </c>
      <c r="DW46" t="s">
        <v>382</v>
      </c>
      <c r="DX46" t="s">
        <v>171</v>
      </c>
      <c r="DY46" t="s">
        <v>168</v>
      </c>
      <c r="DZ46" t="s">
        <v>169</v>
      </c>
      <c r="EA46" s="22">
        <v>43076.559560185182</v>
      </c>
      <c r="EB46" t="s">
        <v>818</v>
      </c>
      <c r="EC46" t="s">
        <v>897</v>
      </c>
    </row>
    <row r="47" spans="1:133">
      <c r="A47" s="30"/>
      <c r="B47" s="22">
        <v>42934.737500000003</v>
      </c>
      <c r="C47" s="22" t="s">
        <v>244</v>
      </c>
      <c r="D47" s="30" t="s">
        <v>780</v>
      </c>
      <c r="E47" s="30" t="s">
        <v>567</v>
      </c>
      <c r="F47" s="30" t="s">
        <v>170</v>
      </c>
      <c r="G47" s="30" t="s">
        <v>172</v>
      </c>
      <c r="H47" t="s">
        <v>94</v>
      </c>
      <c r="I47" t="s">
        <v>782</v>
      </c>
      <c r="J47" t="s">
        <v>582</v>
      </c>
      <c r="L47">
        <v>1</v>
      </c>
      <c r="M47" s="26">
        <v>3.13</v>
      </c>
      <c r="N47" t="s">
        <v>250</v>
      </c>
      <c r="Q47" s="29" t="s">
        <v>13</v>
      </c>
      <c r="R47" s="29" t="str">
        <f>IFERROR(MID(RADataTable[[#This Row],[RAtemplate]],1,LEN(RADataTable[[#This Row],[RAtemplate]])-8),"RA") &amp; " " &amp; RADataTable[[#This Row],[prop_id0]] &amp; " " &amp; RADataTable[[#This Row],[last0]]</f>
        <v>RA 1750039 Solomonik</v>
      </c>
      <c r="U47" s="21" t="str">
        <f>IF(signer1="PD",IF(ISBLANK(RADataTable[[#This Row],[sign_blck_name]]),"",RADataTable[[#This Row],[sign_blck_name]]),IF(ISBLANK(signer1),"",signer1))</f>
        <v>Tracy J. Kimbrel</v>
      </c>
      <c r="V47" s="29" t="str">
        <f>signer2</f>
        <v>Cognizant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solomon2@illinois.edu</v>
      </c>
      <c r="Y47" s="15" t="str">
        <f>HYPERLINK("mailto:"&amp;RADataTable[[#This Row],[allPIemail]]&amp;"&amp;subject=NSF Proposal:  "&amp;RADataTable[[#This Row],[Div]]&amp;" "&amp;RADataTable[[#This Row],[prop_id0]], "PIs@")</f>
        <v>PIs@</v>
      </c>
      <c r="Z47" t="s">
        <v>781</v>
      </c>
      <c r="AA47" t="s">
        <v>686</v>
      </c>
      <c r="AB47">
        <v>4</v>
      </c>
      <c r="AC47">
        <v>4</v>
      </c>
      <c r="AD47"/>
      <c r="AE47" s="21" t="str">
        <f>IF(RADataTable[[#This Row],[maxScore]]-RADataTable[[#This Row],[minScore]]&gt;4,"Y","")</f>
        <v/>
      </c>
      <c r="AF47" s="21">
        <v>3</v>
      </c>
      <c r="AG47" s="26">
        <v>4.5</v>
      </c>
      <c r="AH47">
        <v>5</v>
      </c>
      <c r="AI47" t="s">
        <v>821</v>
      </c>
      <c r="AJ47" s="30">
        <v>43031.922222222223</v>
      </c>
      <c r="AK47" s="13">
        <v>524117</v>
      </c>
      <c r="AL47" s="13">
        <v>524117</v>
      </c>
      <c r="AM47">
        <v>0</v>
      </c>
      <c r="AN47" s="30">
        <v>43132</v>
      </c>
      <c r="AO47" s="21">
        <v>60</v>
      </c>
      <c r="AP47" s="21" t="s">
        <v>822</v>
      </c>
      <c r="AS47" s="30"/>
      <c r="AT47" t="s">
        <v>583</v>
      </c>
      <c r="AU47" s="21" t="s">
        <v>251</v>
      </c>
      <c r="AV47" s="21">
        <v>13</v>
      </c>
      <c r="AW47" s="21" t="s">
        <v>879</v>
      </c>
      <c r="AX47" s="30">
        <v>43032</v>
      </c>
      <c r="AY47" s="21" t="s">
        <v>898</v>
      </c>
      <c r="AZ47" s="21" t="s">
        <v>881</v>
      </c>
      <c r="BA47" s="21">
        <v>14</v>
      </c>
      <c r="BB47" s="21">
        <v>2</v>
      </c>
      <c r="BG47" s="30"/>
      <c r="BP47" s="30"/>
      <c r="BU47" t="s">
        <v>686</v>
      </c>
      <c r="BV47" s="21" t="s">
        <v>687</v>
      </c>
      <c r="BW47" s="21" t="s">
        <v>820</v>
      </c>
      <c r="BX47" s="21" t="s">
        <v>346</v>
      </c>
      <c r="BY47" s="31">
        <v>524117</v>
      </c>
      <c r="BZ47" s="31">
        <v>524117</v>
      </c>
      <c r="CA47" t="s">
        <v>819</v>
      </c>
      <c r="CF47" s="31"/>
      <c r="CG47" s="31"/>
      <c r="CM47" s="31"/>
      <c r="CN47" s="31"/>
      <c r="CT47" s="31"/>
      <c r="CU47" s="31"/>
      <c r="CV47" s="31"/>
      <c r="DA47" s="31"/>
      <c r="DB47" s="31"/>
      <c r="DC47" s="31"/>
      <c r="DH47" s="31"/>
      <c r="DI47" s="31"/>
      <c r="DO47" s="31"/>
      <c r="DP47" s="31"/>
      <c r="DR47" t="s">
        <v>248</v>
      </c>
      <c r="DS47" t="s">
        <v>877</v>
      </c>
      <c r="DT47" t="s">
        <v>568</v>
      </c>
      <c r="DU47" s="29" t="s">
        <v>890</v>
      </c>
      <c r="DV47" t="s">
        <v>173</v>
      </c>
      <c r="DW47" t="s">
        <v>382</v>
      </c>
      <c r="DX47" t="s">
        <v>171</v>
      </c>
      <c r="DY47" t="s">
        <v>168</v>
      </c>
      <c r="DZ47" t="s">
        <v>169</v>
      </c>
      <c r="EA47" s="22">
        <v>43076.559560185182</v>
      </c>
      <c r="EB47" t="s">
        <v>823</v>
      </c>
      <c r="EC47" t="s">
        <v>899</v>
      </c>
    </row>
    <row r="48" spans="1:133">
      <c r="A48" s="30"/>
      <c r="B48" s="22">
        <v>42935.359027777777</v>
      </c>
      <c r="C48" s="22" t="s">
        <v>244</v>
      </c>
      <c r="D48" s="30" t="s">
        <v>780</v>
      </c>
      <c r="E48" s="30" t="s">
        <v>567</v>
      </c>
      <c r="F48" s="30" t="s">
        <v>170</v>
      </c>
      <c r="G48" s="30" t="s">
        <v>172</v>
      </c>
      <c r="H48" t="s">
        <v>94</v>
      </c>
      <c r="I48" t="s">
        <v>782</v>
      </c>
      <c r="J48" t="s">
        <v>944</v>
      </c>
      <c r="L48">
        <v>1</v>
      </c>
      <c r="M48" s="26">
        <v>3.13</v>
      </c>
      <c r="N48" t="s">
        <v>250</v>
      </c>
      <c r="Q48" s="29" t="s">
        <v>13</v>
      </c>
      <c r="R48" s="29" t="str">
        <f>IFERROR(MID(RADataTable[[#This Row],[RAtemplate]],1,LEN(RADataTable[[#This Row],[RAtemplate]])-8),"RA") &amp; " " &amp; RADataTable[[#This Row],[prop_id0]] &amp; " " &amp; RADataTable[[#This Row],[last0]]</f>
        <v>RA 1750118 Li</v>
      </c>
      <c r="U48" s="21" t="str">
        <f>IF(signer1="PD",IF(ISBLANK(RADataTable[[#This Row],[sign_blck_name]]),"",RADataTable[[#This Row],[sign_blck_name]]),IF(ISBLANK(signer1),"",signer1))</f>
        <v>Rahul Shah</v>
      </c>
      <c r="V48" s="29" t="str">
        <f>signer2</f>
        <v>Cognizant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shil@buffalo.edu</v>
      </c>
      <c r="Y48" s="15" t="str">
        <f>HYPERLINK("mailto:"&amp;RADataTable[[#This Row],[allPIemail]]&amp;"&amp;subject=NSF Proposal:  "&amp;RADataTable[[#This Row],[Div]]&amp;" "&amp;RADataTable[[#This Row],[prop_id0]], "PIs@")</f>
        <v>PIs@</v>
      </c>
      <c r="Z48" t="s">
        <v>781</v>
      </c>
      <c r="AA48" t="s">
        <v>1021</v>
      </c>
      <c r="AB48">
        <v>4</v>
      </c>
      <c r="AD48"/>
      <c r="AE48" s="21" t="str">
        <f>IF(RADataTable[[#This Row],[maxScore]]-RADataTable[[#This Row],[minScore]]&gt;4,"Y","")</f>
        <v/>
      </c>
      <c r="AF48" s="21">
        <v>4</v>
      </c>
      <c r="AG48" s="26">
        <v>5.25</v>
      </c>
      <c r="AH48">
        <v>7</v>
      </c>
      <c r="AI48" t="s">
        <v>350</v>
      </c>
      <c r="AJ48" s="30">
        <v>43031.584722222222</v>
      </c>
      <c r="AK48" s="13">
        <v>530842</v>
      </c>
      <c r="AL48" s="13">
        <v>530842</v>
      </c>
      <c r="AM48">
        <v>0</v>
      </c>
      <c r="AN48" s="30">
        <v>43344</v>
      </c>
      <c r="AO48" s="21">
        <v>60</v>
      </c>
      <c r="AP48" s="21" t="s">
        <v>1395</v>
      </c>
      <c r="AS48" s="30"/>
      <c r="AT48" t="s">
        <v>583</v>
      </c>
      <c r="AU48" s="21" t="s">
        <v>251</v>
      </c>
      <c r="AV48" s="21">
        <v>13</v>
      </c>
      <c r="AW48" s="21" t="s">
        <v>879</v>
      </c>
      <c r="AX48" s="30">
        <v>43032</v>
      </c>
      <c r="AY48" s="21" t="s">
        <v>384</v>
      </c>
      <c r="AZ48" s="21" t="s">
        <v>881</v>
      </c>
      <c r="BA48" s="21">
        <v>14</v>
      </c>
      <c r="BB48" s="21">
        <v>2</v>
      </c>
      <c r="BG48" s="30"/>
      <c r="BP48" s="30"/>
      <c r="BU48" t="s">
        <v>1021</v>
      </c>
      <c r="BV48" s="21" t="s">
        <v>349</v>
      </c>
      <c r="BW48" s="21" t="s">
        <v>1394</v>
      </c>
      <c r="BX48" s="21" t="s">
        <v>213</v>
      </c>
      <c r="BY48" s="31">
        <v>530842</v>
      </c>
      <c r="BZ48" s="31">
        <v>530842</v>
      </c>
      <c r="CA48" t="s">
        <v>783</v>
      </c>
      <c r="CF48" s="31"/>
      <c r="CG48" s="31"/>
      <c r="CM48" s="31"/>
      <c r="CN48" s="31"/>
      <c r="CT48" s="31"/>
      <c r="CU48" s="31"/>
      <c r="CV48" s="31"/>
      <c r="DA48" s="31"/>
      <c r="DB48" s="31"/>
      <c r="DC48" s="31"/>
      <c r="DH48" s="31"/>
      <c r="DI48" s="31"/>
      <c r="DO48" s="31"/>
      <c r="DP48" s="31"/>
      <c r="DR48" t="s">
        <v>248</v>
      </c>
      <c r="DS48" t="s">
        <v>877</v>
      </c>
      <c r="DT48" t="s">
        <v>568</v>
      </c>
      <c r="DU48" s="29" t="s">
        <v>1532</v>
      </c>
      <c r="DV48" t="s">
        <v>173</v>
      </c>
      <c r="DW48" t="s">
        <v>382</v>
      </c>
      <c r="DX48" t="s">
        <v>171</v>
      </c>
      <c r="DY48" t="s">
        <v>168</v>
      </c>
      <c r="DZ48" t="s">
        <v>169</v>
      </c>
      <c r="EA48" s="22">
        <v>43076.559560185182</v>
      </c>
      <c r="EB48" t="s">
        <v>1396</v>
      </c>
      <c r="EC48" t="s">
        <v>1545</v>
      </c>
    </row>
    <row r="49" spans="1:133">
      <c r="A49" s="30"/>
      <c r="B49" s="22">
        <v>42935.475694444445</v>
      </c>
      <c r="C49" s="22" t="s">
        <v>244</v>
      </c>
      <c r="D49" s="30" t="s">
        <v>780</v>
      </c>
      <c r="E49" s="30" t="s">
        <v>567</v>
      </c>
      <c r="F49" s="30" t="s">
        <v>170</v>
      </c>
      <c r="G49" s="30" t="s">
        <v>172</v>
      </c>
      <c r="H49" t="s">
        <v>94</v>
      </c>
      <c r="I49" t="s">
        <v>782</v>
      </c>
      <c r="J49" t="s">
        <v>944</v>
      </c>
      <c r="L49">
        <v>1</v>
      </c>
      <c r="M49" s="26">
        <v>3.13</v>
      </c>
      <c r="N49" t="s">
        <v>250</v>
      </c>
      <c r="Q49" s="29" t="s">
        <v>13</v>
      </c>
      <c r="R49" s="29" t="str">
        <f>IFERROR(MID(RADataTable[[#This Row],[RAtemplate]],1,LEN(RADataTable[[#This Row],[RAtemplate]])-8),"RA") &amp; " " &amp; RADataTable[[#This Row],[prop_id0]] &amp; " " &amp; RADataTable[[#This Row],[last0]]</f>
        <v>RA 1750302 Dinitz</v>
      </c>
      <c r="U49" s="21" t="str">
        <f>IF(signer1="PD",IF(ISBLANK(RADataTable[[#This Row],[sign_blck_name]]),"",RADataTable[[#This Row],[sign_blck_name]]),IF(ISBLANK(signer1),"",signer1))</f>
        <v>Rahul Shah</v>
      </c>
      <c r="V49" s="29" t="str">
        <f>signer2</f>
        <v>Cognizant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mdinitz@cs.jhu.edu</v>
      </c>
      <c r="Y49" s="15" t="str">
        <f>HYPERLINK("mailto:"&amp;RADataTable[[#This Row],[allPIemail]]&amp;"&amp;subject=NSF Proposal:  "&amp;RADataTable[[#This Row],[Div]]&amp;" "&amp;RADataTable[[#This Row],[prop_id0]], "PIs@")</f>
        <v>PIs@</v>
      </c>
      <c r="Z49" t="s">
        <v>781</v>
      </c>
      <c r="AA49" t="s">
        <v>1044</v>
      </c>
      <c r="AB49">
        <v>4</v>
      </c>
      <c r="AC49">
        <v>4</v>
      </c>
      <c r="AD49"/>
      <c r="AE49" s="21" t="str">
        <f>IF(RADataTable[[#This Row],[maxScore]]-RADataTable[[#This Row],[minScore]]&gt;4,"Y","")</f>
        <v/>
      </c>
      <c r="AF49" s="21">
        <v>6</v>
      </c>
      <c r="AG49" s="26">
        <v>6.75</v>
      </c>
      <c r="AH49">
        <v>8</v>
      </c>
      <c r="AI49" t="s">
        <v>355</v>
      </c>
      <c r="AJ49" s="30">
        <v>43030.96875</v>
      </c>
      <c r="AK49" s="13">
        <v>507459</v>
      </c>
      <c r="AL49" s="13">
        <v>507459</v>
      </c>
      <c r="AM49">
        <v>0</v>
      </c>
      <c r="AN49" s="30">
        <v>43282</v>
      </c>
      <c r="AO49" s="21">
        <v>60</v>
      </c>
      <c r="AP49" s="21" t="s">
        <v>1404</v>
      </c>
      <c r="AS49" s="30"/>
      <c r="AT49" t="s">
        <v>583</v>
      </c>
      <c r="AU49" s="21" t="s">
        <v>251</v>
      </c>
      <c r="AV49" s="21">
        <v>13</v>
      </c>
      <c r="AW49" s="21" t="s">
        <v>879</v>
      </c>
      <c r="AX49" s="30">
        <v>43032</v>
      </c>
      <c r="AY49" s="21" t="s">
        <v>385</v>
      </c>
      <c r="AZ49" s="21" t="s">
        <v>881</v>
      </c>
      <c r="BA49" s="21">
        <v>14</v>
      </c>
      <c r="BB49" s="21">
        <v>1</v>
      </c>
      <c r="BG49" s="30"/>
      <c r="BP49" s="30"/>
      <c r="BU49" t="s">
        <v>1044</v>
      </c>
      <c r="BV49" s="21" t="s">
        <v>1045</v>
      </c>
      <c r="BW49" s="21" t="s">
        <v>1351</v>
      </c>
      <c r="BX49" s="21" t="s">
        <v>1353</v>
      </c>
      <c r="BY49" s="31">
        <v>507459</v>
      </c>
      <c r="BZ49" s="31">
        <v>507459</v>
      </c>
      <c r="CA49" t="s">
        <v>783</v>
      </c>
      <c r="CF49" s="31"/>
      <c r="CG49" s="31"/>
      <c r="CM49" s="31"/>
      <c r="CN49" s="31"/>
      <c r="CT49" s="31"/>
      <c r="CU49" s="31"/>
      <c r="CV49" s="31"/>
      <c r="DA49" s="31"/>
      <c r="DB49" s="31"/>
      <c r="DC49" s="31"/>
      <c r="DH49" s="31"/>
      <c r="DI49" s="31"/>
      <c r="DO49" s="31"/>
      <c r="DP49" s="31"/>
      <c r="DR49" t="s">
        <v>248</v>
      </c>
      <c r="DS49" t="s">
        <v>877</v>
      </c>
      <c r="DT49" t="s">
        <v>568</v>
      </c>
      <c r="DU49" s="29" t="s">
        <v>1532</v>
      </c>
      <c r="DV49" t="s">
        <v>173</v>
      </c>
      <c r="DW49" t="s">
        <v>382</v>
      </c>
      <c r="DX49" t="s">
        <v>171</v>
      </c>
      <c r="DY49" t="s">
        <v>168</v>
      </c>
      <c r="DZ49" t="s">
        <v>169</v>
      </c>
      <c r="EA49" s="22">
        <v>43076.559560185182</v>
      </c>
      <c r="EB49" t="s">
        <v>1405</v>
      </c>
      <c r="EC49" t="s">
        <v>1549</v>
      </c>
    </row>
    <row r="50" spans="1:133">
      <c r="A50" s="30"/>
      <c r="B50" s="22">
        <v>42935.54583333333</v>
      </c>
      <c r="C50" s="22" t="s">
        <v>244</v>
      </c>
      <c r="D50" s="30" t="s">
        <v>780</v>
      </c>
      <c r="E50" s="30" t="s">
        <v>567</v>
      </c>
      <c r="F50" s="30" t="s">
        <v>170</v>
      </c>
      <c r="G50" s="30" t="s">
        <v>172</v>
      </c>
      <c r="H50" t="s">
        <v>94</v>
      </c>
      <c r="I50" t="s">
        <v>782</v>
      </c>
      <c r="J50" t="s">
        <v>944</v>
      </c>
      <c r="L50">
        <v>1</v>
      </c>
      <c r="M50" s="26">
        <v>3.13</v>
      </c>
      <c r="N50" t="s">
        <v>250</v>
      </c>
      <c r="Q50" s="29" t="s">
        <v>13</v>
      </c>
      <c r="R50" s="29" t="str">
        <f>IFERROR(MID(RADataTable[[#This Row],[RAtemplate]],1,LEN(RADataTable[[#This Row],[RAtemplate]])-8),"RA") &amp; " " &amp; RADataTable[[#This Row],[prop_id0]] &amp; " " &amp; RADataTable[[#This Row],[last0]]</f>
        <v>RA 1750463 Raghvendra</v>
      </c>
      <c r="U50" s="21" t="str">
        <f>IF(signer1="PD",IF(ISBLANK(RADataTable[[#This Row],[sign_blck_name]]),"",RADataTable[[#This Row],[sign_blck_name]]),IF(ISBLANK(signer1),"",signer1))</f>
        <v>Rahul Shah</v>
      </c>
      <c r="V50" s="29" t="str">
        <f>signer2</f>
        <v>Cognizant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sharathr@vt.edu</v>
      </c>
      <c r="Y50" s="15" t="str">
        <f>HYPERLINK("mailto:"&amp;RADataTable[[#This Row],[allPIemail]]&amp;"&amp;subject=NSF Proposal:  "&amp;RADataTable[[#This Row],[Div]]&amp;" "&amp;RADataTable[[#This Row],[prop_id0]], "PIs@")</f>
        <v>PIs@</v>
      </c>
      <c r="Z50" t="s">
        <v>781</v>
      </c>
      <c r="AA50" t="s">
        <v>1108</v>
      </c>
      <c r="AB50">
        <v>4</v>
      </c>
      <c r="AD50"/>
      <c r="AE50" s="21" t="str">
        <f>IF(RADataTable[[#This Row],[maxScore]]-RADataTable[[#This Row],[minScore]]&gt;4,"Y","")</f>
        <v/>
      </c>
      <c r="AF50" s="21">
        <v>5</v>
      </c>
      <c r="AG50" s="26">
        <v>6.5</v>
      </c>
      <c r="AH50">
        <v>8</v>
      </c>
      <c r="AI50" t="s">
        <v>1424</v>
      </c>
      <c r="AJ50" s="30">
        <v>43032.486805555556</v>
      </c>
      <c r="AK50" s="13">
        <v>533991</v>
      </c>
      <c r="AL50" s="13">
        <v>533991</v>
      </c>
      <c r="AM50">
        <v>0</v>
      </c>
      <c r="AN50" s="30">
        <v>43110</v>
      </c>
      <c r="AO50" s="21">
        <v>60</v>
      </c>
      <c r="AP50" s="21" t="s">
        <v>1425</v>
      </c>
      <c r="AS50" s="30"/>
      <c r="AT50" t="s">
        <v>583</v>
      </c>
      <c r="AU50" s="21" t="s">
        <v>251</v>
      </c>
      <c r="AV50" s="21">
        <v>13</v>
      </c>
      <c r="AW50" s="21" t="s">
        <v>879</v>
      </c>
      <c r="AX50" s="30">
        <v>43032</v>
      </c>
      <c r="AY50" s="21" t="s">
        <v>1560</v>
      </c>
      <c r="AZ50" s="21" t="s">
        <v>881</v>
      </c>
      <c r="BA50" s="21">
        <v>14</v>
      </c>
      <c r="BB50" s="21">
        <v>2</v>
      </c>
      <c r="BG50" s="30"/>
      <c r="BP50" s="30"/>
      <c r="BU50" t="s">
        <v>1108</v>
      </c>
      <c r="BV50" s="21" t="s">
        <v>1109</v>
      </c>
      <c r="BW50" s="21" t="s">
        <v>1423</v>
      </c>
      <c r="BX50" s="21" t="s">
        <v>356</v>
      </c>
      <c r="BY50" s="31">
        <v>533991</v>
      </c>
      <c r="BZ50" s="31">
        <v>533991</v>
      </c>
      <c r="CA50" t="s">
        <v>783</v>
      </c>
      <c r="CF50" s="31"/>
      <c r="CG50" s="31"/>
      <c r="CM50" s="31"/>
      <c r="CN50" s="31"/>
      <c r="CT50" s="31"/>
      <c r="CU50" s="31"/>
      <c r="CV50" s="31"/>
      <c r="DA50" s="31"/>
      <c r="DB50" s="31"/>
      <c r="DC50" s="31"/>
      <c r="DH50" s="31"/>
      <c r="DI50" s="31"/>
      <c r="DO50" s="31"/>
      <c r="DP50" s="31"/>
      <c r="DR50" t="s">
        <v>248</v>
      </c>
      <c r="DS50" t="s">
        <v>877</v>
      </c>
      <c r="DT50" t="s">
        <v>568</v>
      </c>
      <c r="DU50" s="29" t="s">
        <v>1532</v>
      </c>
      <c r="DV50" t="s">
        <v>173</v>
      </c>
      <c r="DW50" t="s">
        <v>382</v>
      </c>
      <c r="DX50" t="s">
        <v>171</v>
      </c>
      <c r="DY50" t="s">
        <v>168</v>
      </c>
      <c r="DZ50" t="s">
        <v>169</v>
      </c>
      <c r="EA50" s="22">
        <v>43076.559560185182</v>
      </c>
      <c r="EB50" t="s">
        <v>1426</v>
      </c>
      <c r="EC50" t="s">
        <v>1561</v>
      </c>
    </row>
    <row r="51" spans="1:133">
      <c r="A51" s="30"/>
      <c r="B51" s="22">
        <v>42935.680555555555</v>
      </c>
      <c r="C51" s="22" t="s">
        <v>244</v>
      </c>
      <c r="D51" s="30" t="s">
        <v>780</v>
      </c>
      <c r="E51" s="30" t="s">
        <v>567</v>
      </c>
      <c r="F51" s="30" t="s">
        <v>170</v>
      </c>
      <c r="G51" s="30" t="s">
        <v>172</v>
      </c>
      <c r="H51" t="s">
        <v>94</v>
      </c>
      <c r="I51" t="s">
        <v>782</v>
      </c>
      <c r="J51" t="s">
        <v>579</v>
      </c>
      <c r="L51">
        <v>1</v>
      </c>
      <c r="M51" s="26">
        <v>3.13</v>
      </c>
      <c r="N51" t="s">
        <v>250</v>
      </c>
      <c r="Q51" s="29" t="s">
        <v>13</v>
      </c>
      <c r="R51" s="29" t="str">
        <f>IFERROR(MID(RADataTable[[#This Row],[RAtemplate]],1,LEN(RADataTable[[#This Row],[RAtemplate]])-8),"RA") &amp; " " &amp; RADataTable[[#This Row],[prop_id0]] &amp; " " &amp; RADataTable[[#This Row],[last0]]</f>
        <v>RA 1751047 Gibson</v>
      </c>
      <c r="U51" s="21" t="str">
        <f>IF(signer1="PD",IF(ISBLANK(RADataTable[[#This Row],[sign_blck_name]]),"",RADataTable[[#This Row],[sign_blck_name]]),IF(ISBLANK(signer1),"",signer1))</f>
        <v>Jack Snoeyink</v>
      </c>
      <c r="V51" s="29" t="str">
        <f>signer2</f>
        <v>Cognizant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MATTHEW.GIBSON@UTSA.EDU</v>
      </c>
      <c r="Y51" s="15" t="str">
        <f>HYPERLINK("mailto:"&amp;RADataTable[[#This Row],[allPIemail]]&amp;"&amp;subject=NSF Proposal:  "&amp;RADataTable[[#This Row],[Div]]&amp;" "&amp;RADataTable[[#This Row],[prop_id0]], "PIs@")</f>
        <v>PIs@</v>
      </c>
      <c r="Z51" t="s">
        <v>781</v>
      </c>
      <c r="AA51" t="s">
        <v>717</v>
      </c>
      <c r="AB51">
        <v>4</v>
      </c>
      <c r="AC51">
        <v>4</v>
      </c>
      <c r="AD51"/>
      <c r="AE51" s="21" t="str">
        <f>IF(RADataTable[[#This Row],[maxScore]]-RADataTable[[#This Row],[minScore]]&gt;4,"Y","")</f>
        <v/>
      </c>
      <c r="AF51" s="21">
        <v>3</v>
      </c>
      <c r="AG51" s="26">
        <v>4.75</v>
      </c>
      <c r="AH51">
        <v>7</v>
      </c>
      <c r="AI51" t="s">
        <v>359</v>
      </c>
      <c r="AJ51" s="30">
        <v>43030.177777777775</v>
      </c>
      <c r="AK51" s="13">
        <v>415497</v>
      </c>
      <c r="AL51" s="13">
        <v>415497</v>
      </c>
      <c r="AM51">
        <v>0</v>
      </c>
      <c r="AN51" s="30">
        <v>43132</v>
      </c>
      <c r="AO51" s="21">
        <v>60</v>
      </c>
      <c r="AP51" s="21" t="s">
        <v>836</v>
      </c>
      <c r="AS51" s="30"/>
      <c r="AT51" t="s">
        <v>583</v>
      </c>
      <c r="AU51" s="21" t="s">
        <v>251</v>
      </c>
      <c r="AV51" s="21">
        <v>13</v>
      </c>
      <c r="AW51" s="21" t="s">
        <v>879</v>
      </c>
      <c r="AX51" s="30">
        <v>43032</v>
      </c>
      <c r="AY51" s="21" t="s">
        <v>386</v>
      </c>
      <c r="AZ51" s="21" t="s">
        <v>881</v>
      </c>
      <c r="BA51" s="21">
        <v>14</v>
      </c>
      <c r="BB51" s="21">
        <v>0</v>
      </c>
      <c r="BG51" s="30"/>
      <c r="BP51" s="30"/>
      <c r="BU51" t="s">
        <v>717</v>
      </c>
      <c r="BV51" s="21" t="s">
        <v>718</v>
      </c>
      <c r="BW51" s="21" t="s">
        <v>834</v>
      </c>
      <c r="BX51" s="21" t="s">
        <v>835</v>
      </c>
      <c r="BY51" s="31">
        <v>415497</v>
      </c>
      <c r="BZ51" s="31">
        <v>415497</v>
      </c>
      <c r="CA51" t="s">
        <v>790</v>
      </c>
      <c r="CF51" s="31"/>
      <c r="CG51" s="31"/>
      <c r="CM51" s="31"/>
      <c r="CN51" s="31"/>
      <c r="CT51" s="31"/>
      <c r="CU51" s="31"/>
      <c r="CV51" s="31"/>
      <c r="DA51" s="31"/>
      <c r="DB51" s="31"/>
      <c r="DC51" s="31"/>
      <c r="DH51" s="31"/>
      <c r="DI51" s="31"/>
      <c r="DO51" s="31"/>
      <c r="DP51" s="31"/>
      <c r="DR51" t="s">
        <v>248</v>
      </c>
      <c r="DS51" t="s">
        <v>877</v>
      </c>
      <c r="DT51" t="s">
        <v>568</v>
      </c>
      <c r="DU51" s="29" t="s">
        <v>878</v>
      </c>
      <c r="DV51" t="s">
        <v>173</v>
      </c>
      <c r="DW51" t="s">
        <v>382</v>
      </c>
      <c r="DX51" t="s">
        <v>171</v>
      </c>
      <c r="DY51" t="s">
        <v>168</v>
      </c>
      <c r="DZ51" t="s">
        <v>169</v>
      </c>
      <c r="EA51" s="22">
        <v>43076.559560185182</v>
      </c>
      <c r="EB51" t="s">
        <v>837</v>
      </c>
      <c r="EC51" t="s">
        <v>904</v>
      </c>
    </row>
    <row r="52" spans="1:133">
      <c r="A52" s="30"/>
      <c r="B52" s="22">
        <v>42935.851388888892</v>
      </c>
      <c r="C52" s="22" t="s">
        <v>244</v>
      </c>
      <c r="D52" s="30" t="s">
        <v>780</v>
      </c>
      <c r="E52" s="30" t="s">
        <v>567</v>
      </c>
      <c r="F52" s="30" t="s">
        <v>170</v>
      </c>
      <c r="G52" s="30" t="s">
        <v>172</v>
      </c>
      <c r="H52" t="s">
        <v>94</v>
      </c>
      <c r="I52" t="s">
        <v>782</v>
      </c>
      <c r="J52" t="s">
        <v>944</v>
      </c>
      <c r="L52">
        <v>1</v>
      </c>
      <c r="M52" s="26">
        <v>3.13</v>
      </c>
      <c r="N52" t="s">
        <v>250</v>
      </c>
      <c r="Q52" s="29" t="s">
        <v>13</v>
      </c>
      <c r="R52" s="29" t="str">
        <f>IFERROR(MID(RADataTable[[#This Row],[RAtemplate]],1,LEN(RADataTable[[#This Row],[RAtemplate]])-8),"RA") &amp; " " &amp; RADataTable[[#This Row],[prop_id0]] &amp; " " &amp; RADataTable[[#This Row],[last0]]</f>
        <v>RA 1751416 Sitchinava</v>
      </c>
      <c r="U52" s="21" t="str">
        <f>IF(signer1="PD",IF(ISBLANK(RADataTable[[#This Row],[sign_blck_name]]),"",RADataTable[[#This Row],[sign_blck_name]]),IF(ISBLANK(signer1),"",signer1))</f>
        <v>Rahul Shah</v>
      </c>
      <c r="V52" s="29" t="str">
        <f>signer2</f>
        <v>Cognizant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nodari@hawaii.edu</v>
      </c>
      <c r="Y52" s="15" t="str">
        <f>HYPERLINK("mailto:"&amp;RADataTable[[#This Row],[allPIemail]]&amp;"&amp;subject=NSF Proposal:  "&amp;RADataTable[[#This Row],[Div]]&amp;" "&amp;RADataTable[[#This Row],[prop_id0]], "PIs@")</f>
        <v>PIs@</v>
      </c>
      <c r="Z52" t="s">
        <v>781</v>
      </c>
      <c r="AA52" t="s">
        <v>1222</v>
      </c>
      <c r="AB52">
        <v>4</v>
      </c>
      <c r="AD52"/>
      <c r="AE52" s="21" t="str">
        <f>IF(RADataTable[[#This Row],[maxScore]]-RADataTable[[#This Row],[minScore]]&gt;4,"Y","")</f>
        <v/>
      </c>
      <c r="AF52" s="21">
        <v>4</v>
      </c>
      <c r="AG52" s="26">
        <v>5.5</v>
      </c>
      <c r="AH52">
        <v>7</v>
      </c>
      <c r="AI52" t="s">
        <v>361</v>
      </c>
      <c r="AJ52" s="30">
        <v>43031.703472222223</v>
      </c>
      <c r="AK52" s="13">
        <v>549999</v>
      </c>
      <c r="AL52" s="13">
        <v>549999</v>
      </c>
      <c r="AM52">
        <v>0</v>
      </c>
      <c r="AN52" s="30">
        <v>43160</v>
      </c>
      <c r="AO52" s="21">
        <v>60</v>
      </c>
      <c r="AP52" s="21" t="s">
        <v>1478</v>
      </c>
      <c r="AS52" s="30"/>
      <c r="AT52" t="s">
        <v>583</v>
      </c>
      <c r="AU52" s="21" t="s">
        <v>251</v>
      </c>
      <c r="AV52" s="21">
        <v>13</v>
      </c>
      <c r="AW52" s="21" t="s">
        <v>879</v>
      </c>
      <c r="AX52" s="30">
        <v>43032</v>
      </c>
      <c r="AY52" s="21" t="s">
        <v>387</v>
      </c>
      <c r="AZ52" s="21" t="s">
        <v>881</v>
      </c>
      <c r="BA52" s="21">
        <v>14</v>
      </c>
      <c r="BB52" s="21">
        <v>1</v>
      </c>
      <c r="BG52" s="30"/>
      <c r="BP52" s="30"/>
      <c r="BU52" t="s">
        <v>1222</v>
      </c>
      <c r="BV52" s="21" t="s">
        <v>1223</v>
      </c>
      <c r="BW52" s="21" t="s">
        <v>1477</v>
      </c>
      <c r="BX52" s="21" t="s">
        <v>360</v>
      </c>
      <c r="BY52" s="31">
        <v>549999</v>
      </c>
      <c r="BZ52" s="31">
        <v>549999</v>
      </c>
      <c r="CA52" t="s">
        <v>1464</v>
      </c>
      <c r="CF52" s="31"/>
      <c r="CG52" s="31"/>
      <c r="CM52" s="31"/>
      <c r="CN52" s="31"/>
      <c r="CT52" s="31"/>
      <c r="CU52" s="31"/>
      <c r="CV52" s="31"/>
      <c r="DA52" s="31"/>
      <c r="DB52" s="31"/>
      <c r="DC52" s="31"/>
      <c r="DH52" s="31"/>
      <c r="DI52" s="31"/>
      <c r="DO52" s="31"/>
      <c r="DP52" s="31"/>
      <c r="DR52" t="s">
        <v>248</v>
      </c>
      <c r="DS52" t="s">
        <v>877</v>
      </c>
      <c r="DT52" t="s">
        <v>568</v>
      </c>
      <c r="DU52" s="29" t="s">
        <v>1532</v>
      </c>
      <c r="DV52" t="s">
        <v>173</v>
      </c>
      <c r="DW52" t="s">
        <v>382</v>
      </c>
      <c r="DX52" t="s">
        <v>171</v>
      </c>
      <c r="DY52" t="s">
        <v>168</v>
      </c>
      <c r="DZ52" t="s">
        <v>169</v>
      </c>
      <c r="EA52" s="22">
        <v>43076.559560185182</v>
      </c>
      <c r="EB52" t="s">
        <v>1479</v>
      </c>
      <c r="EC52" t="s">
        <v>1582</v>
      </c>
    </row>
    <row r="53" spans="1:133">
      <c r="A53" s="30"/>
      <c r="B53" s="22">
        <v>42934.806944444441</v>
      </c>
      <c r="C53" s="22" t="s">
        <v>244</v>
      </c>
      <c r="D53" s="30" t="s">
        <v>780</v>
      </c>
      <c r="E53" s="30" t="s">
        <v>567</v>
      </c>
      <c r="F53" s="30" t="s">
        <v>170</v>
      </c>
      <c r="G53" s="30" t="s">
        <v>172</v>
      </c>
      <c r="H53" t="s">
        <v>94</v>
      </c>
      <c r="I53" t="s">
        <v>782</v>
      </c>
      <c r="J53" t="s">
        <v>944</v>
      </c>
      <c r="L53">
        <v>2</v>
      </c>
      <c r="M53" s="26">
        <v>3.18</v>
      </c>
      <c r="N53" t="s">
        <v>354</v>
      </c>
      <c r="O53" t="s">
        <v>250</v>
      </c>
      <c r="Q53" s="29" t="s">
        <v>13</v>
      </c>
      <c r="R53" s="29" t="str">
        <f>IFERROR(MID(RADataTable[[#This Row],[RAtemplate]],1,LEN(RADataTable[[#This Row],[RAtemplate]])-8),"RA") &amp; " " &amp; RADataTable[[#This Row],[prop_id0]] &amp; " " &amp; RADataTable[[#This Row],[last0]]</f>
        <v>RA 1750075 Razaviyayn</v>
      </c>
      <c r="U53" s="21" t="str">
        <f>IF(signer1="PD",IF(ISBLANK(RADataTable[[#This Row],[sign_blck_name]]),"",RADataTable[[#This Row],[sign_blck_name]]),IF(ISBLANK(signer1),"",signer1))</f>
        <v>Rahul Shah</v>
      </c>
      <c r="V53" s="29" t="str">
        <f>signer2</f>
        <v>Cognizant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razaviya@usc.edu</v>
      </c>
      <c r="Y53" s="15" t="str">
        <f>HYPERLINK("mailto:"&amp;RADataTable[[#This Row],[allPIemail]]&amp;"&amp;subject=NSF Proposal:  "&amp;RADataTable[[#This Row],[Div]]&amp;" "&amp;RADataTable[[#This Row],[prop_id0]], "PIs@")</f>
        <v>PIs@</v>
      </c>
      <c r="Z53" t="s">
        <v>781</v>
      </c>
      <c r="AA53" t="s">
        <v>985</v>
      </c>
      <c r="AB53">
        <v>9</v>
      </c>
      <c r="AC53">
        <v>5</v>
      </c>
      <c r="AD53"/>
      <c r="AE53" s="21" t="str">
        <f>IF(RADataTable[[#This Row],[maxScore]]-RADataTable[[#This Row],[minScore]]&gt;4,"Y","")</f>
        <v/>
      </c>
      <c r="AF53" s="21">
        <v>3</v>
      </c>
      <c r="AG53" s="26">
        <v>4.666666666666667</v>
      </c>
      <c r="AH53">
        <v>7</v>
      </c>
      <c r="AI53" t="s">
        <v>1391</v>
      </c>
      <c r="AJ53" s="30">
        <v>43059.886111111111</v>
      </c>
      <c r="AK53" s="13">
        <v>539673</v>
      </c>
      <c r="AL53" s="13">
        <v>539673</v>
      </c>
      <c r="AM53">
        <v>0</v>
      </c>
      <c r="AN53" s="30">
        <v>43236</v>
      </c>
      <c r="AO53" s="21">
        <v>60</v>
      </c>
      <c r="AP53" s="21" t="s">
        <v>1392</v>
      </c>
      <c r="AQ53">
        <v>1</v>
      </c>
      <c r="AR53" t="s">
        <v>1539</v>
      </c>
      <c r="AS53" s="30">
        <v>43037.776388888888</v>
      </c>
      <c r="AT53" t="s">
        <v>658</v>
      </c>
      <c r="AU53" s="21" t="s">
        <v>381</v>
      </c>
      <c r="AV53" s="21">
        <v>18</v>
      </c>
      <c r="AW53" s="21" t="s">
        <v>892</v>
      </c>
      <c r="AX53" s="30">
        <v>43060</v>
      </c>
      <c r="AY53" s="21" t="s">
        <v>1540</v>
      </c>
      <c r="AZ53" s="21" t="s">
        <v>894</v>
      </c>
      <c r="BA53" s="21">
        <v>12</v>
      </c>
      <c r="BB53" s="21">
        <v>0</v>
      </c>
      <c r="BC53" s="21" t="s">
        <v>990</v>
      </c>
      <c r="BD53" s="21" t="s">
        <v>251</v>
      </c>
      <c r="BF53" s="21" t="s">
        <v>1541</v>
      </c>
      <c r="BG53" s="30">
        <v>43060</v>
      </c>
      <c r="BH53" s="21" t="s">
        <v>1542</v>
      </c>
      <c r="BI53" s="21" t="s">
        <v>1543</v>
      </c>
      <c r="BJ53" s="21">
        <v>6</v>
      </c>
      <c r="BK53" s="21">
        <v>0</v>
      </c>
      <c r="BP53" s="30"/>
      <c r="BU53" t="s">
        <v>985</v>
      </c>
      <c r="BV53" s="21" t="s">
        <v>986</v>
      </c>
      <c r="BW53" s="21" t="s">
        <v>1390</v>
      </c>
      <c r="BX53" s="21" t="s">
        <v>452</v>
      </c>
      <c r="BY53" s="31">
        <v>539673</v>
      </c>
      <c r="BZ53" s="31">
        <v>539673</v>
      </c>
      <c r="CA53" t="s">
        <v>783</v>
      </c>
      <c r="CF53" s="31"/>
      <c r="CG53" s="31"/>
      <c r="CM53" s="31"/>
      <c r="CN53" s="31"/>
      <c r="CT53" s="31"/>
      <c r="CU53" s="31"/>
      <c r="CV53" s="31"/>
      <c r="DA53" s="31"/>
      <c r="DB53" s="31"/>
      <c r="DC53" s="31"/>
      <c r="DH53" s="31"/>
      <c r="DI53" s="31"/>
      <c r="DO53" s="31"/>
      <c r="DP53" s="31"/>
      <c r="DR53" t="s">
        <v>248</v>
      </c>
      <c r="DS53" t="s">
        <v>877</v>
      </c>
      <c r="DT53" t="s">
        <v>568</v>
      </c>
      <c r="DU53" s="29" t="s">
        <v>1532</v>
      </c>
      <c r="DV53" t="s">
        <v>173</v>
      </c>
      <c r="DW53" t="s">
        <v>382</v>
      </c>
      <c r="DX53" t="s">
        <v>171</v>
      </c>
      <c r="DY53" t="s">
        <v>168</v>
      </c>
      <c r="DZ53" t="s">
        <v>169</v>
      </c>
      <c r="EA53" s="22">
        <v>43076.559560185182</v>
      </c>
      <c r="EB53" t="s">
        <v>1393</v>
      </c>
      <c r="EC53" t="s">
        <v>1544</v>
      </c>
    </row>
    <row r="54" spans="1:133">
      <c r="A54" s="30"/>
      <c r="B54" s="22">
        <v>42954.500694444447</v>
      </c>
      <c r="C54" s="22" t="s">
        <v>848</v>
      </c>
      <c r="D54" s="30" t="s">
        <v>780</v>
      </c>
      <c r="E54" s="30" t="s">
        <v>565</v>
      </c>
      <c r="F54" s="30" t="s">
        <v>170</v>
      </c>
      <c r="G54" s="30" t="s">
        <v>172</v>
      </c>
      <c r="H54" t="s">
        <v>94</v>
      </c>
      <c r="I54" t="s">
        <v>849</v>
      </c>
      <c r="J54" t="s">
        <v>944</v>
      </c>
      <c r="L54">
        <v>1</v>
      </c>
      <c r="M54" s="26">
        <v>4.05</v>
      </c>
      <c r="N54" t="s">
        <v>354</v>
      </c>
      <c r="Q54" s="29" t="s">
        <v>13</v>
      </c>
      <c r="R54" s="29" t="str">
        <f>IFERROR(MID(RADataTable[[#This Row],[RAtemplate]],1,LEN(RADataTable[[#This Row],[RAtemplate]])-8),"RA") &amp; " " &amp; RADataTable[[#This Row],[prop_id0]] &amp; " " &amp; RADataTable[[#This Row],[last0]]</f>
        <v>RA 1755481 Wang</v>
      </c>
      <c r="U54" s="21" t="str">
        <f>IF(signer1="PD",IF(ISBLANK(RADataTable[[#This Row],[sign_blck_name]]),"",RADataTable[[#This Row],[sign_blck_name]]),IF(ISBLANK(signer1),"",signer1))</f>
        <v>Rahul Shah</v>
      </c>
      <c r="V54" s="29" t="str">
        <f>signer2</f>
        <v>Cognizant Program Director</v>
      </c>
      <c r="W54" s="15" t="str">
        <f>HYPERLINK("https://www.ejacket.nsf.gov/ej/showProposal.do?Continue=Y&amp;ID="&amp;RADataTable[[#This Row],[prop_id0]],"eJ")</f>
        <v>eJ</v>
      </c>
      <c r="X54" s="15" t="str">
        <f>HYPERLINK("mailto:"&amp;RADataTable[[#This Row],[email]]&amp;"&amp;subject=Your NSF Proposal:  "&amp;RADataTable[[#This Row],[Div]]&amp;" "&amp;RADataTable[[#This Row],[prop_id0]], RADataTable[[#This Row],[email]])</f>
        <v>kwang@georgiasouthern.edu</v>
      </c>
      <c r="Y54" s="15" t="str">
        <f>HYPERLINK("mailto:"&amp;RADataTable[[#This Row],[allPIemail]]&amp;"&amp;subject=NSF Proposal:  "&amp;RADataTable[[#This Row],[Div]]&amp;" "&amp;RADataTable[[#This Row],[prop_id0]], "PIs@")</f>
        <v>PIs@</v>
      </c>
      <c r="Z54" t="s">
        <v>781</v>
      </c>
      <c r="AA54" t="s">
        <v>1263</v>
      </c>
      <c r="AB54">
        <v>4</v>
      </c>
      <c r="AD54"/>
      <c r="AE54" s="21" t="str">
        <f>IF(RADataTable[[#This Row],[maxScore]]-RADataTable[[#This Row],[minScore]]&gt;4,"Y","")</f>
        <v/>
      </c>
      <c r="AF54" s="21">
        <v>3</v>
      </c>
      <c r="AG54" s="26">
        <v>3.25</v>
      </c>
      <c r="AH54">
        <v>4</v>
      </c>
      <c r="AI54" t="s">
        <v>362</v>
      </c>
      <c r="AJ54" s="30">
        <v>43031.775694444441</v>
      </c>
      <c r="AK54" s="13">
        <v>168126</v>
      </c>
      <c r="AL54" s="13">
        <v>168126</v>
      </c>
      <c r="AM54">
        <v>0</v>
      </c>
      <c r="AN54" s="30">
        <v>43101</v>
      </c>
      <c r="AO54" s="21">
        <v>24</v>
      </c>
      <c r="AP54" s="21" t="s">
        <v>1491</v>
      </c>
      <c r="AS54" s="30"/>
      <c r="AT54" t="s">
        <v>583</v>
      </c>
      <c r="AU54" s="21" t="s">
        <v>381</v>
      </c>
      <c r="AV54" s="21">
        <v>5</v>
      </c>
      <c r="AW54" s="21" t="s">
        <v>879</v>
      </c>
      <c r="AX54" s="30">
        <v>43032</v>
      </c>
      <c r="AY54" s="21" t="s">
        <v>388</v>
      </c>
      <c r="AZ54" s="21" t="s">
        <v>881</v>
      </c>
      <c r="BA54" s="21">
        <v>14</v>
      </c>
      <c r="BB54" s="21">
        <v>0</v>
      </c>
      <c r="BG54" s="30"/>
      <c r="BP54" s="30"/>
      <c r="BU54" t="s">
        <v>1263</v>
      </c>
      <c r="BV54" s="21" t="s">
        <v>342</v>
      </c>
      <c r="BW54" s="21" t="s">
        <v>1490</v>
      </c>
      <c r="BX54" s="21" t="s">
        <v>1487</v>
      </c>
      <c r="BY54" s="31">
        <v>168126</v>
      </c>
      <c r="BZ54" s="31">
        <v>168126</v>
      </c>
      <c r="CA54" t="s">
        <v>850</v>
      </c>
      <c r="CF54" s="31"/>
      <c r="CG54" s="31"/>
      <c r="CM54" s="31"/>
      <c r="CN54" s="31"/>
      <c r="CT54" s="31"/>
      <c r="CU54" s="31"/>
      <c r="CV54" s="31"/>
      <c r="DA54" s="31"/>
      <c r="DB54" s="31"/>
      <c r="DC54" s="31"/>
      <c r="DH54" s="31"/>
      <c r="DI54" s="31"/>
      <c r="DO54" s="31"/>
      <c r="DP54" s="31"/>
      <c r="DR54" t="s">
        <v>909</v>
      </c>
      <c r="DS54" t="s">
        <v>877</v>
      </c>
      <c r="DT54" t="s">
        <v>566</v>
      </c>
      <c r="DU54" s="29" t="s">
        <v>1532</v>
      </c>
      <c r="DV54" t="s">
        <v>173</v>
      </c>
      <c r="DW54" t="s">
        <v>382</v>
      </c>
      <c r="DX54" t="s">
        <v>171</v>
      </c>
      <c r="DY54" t="s">
        <v>168</v>
      </c>
      <c r="DZ54" t="s">
        <v>169</v>
      </c>
      <c r="EA54" s="22">
        <v>43076.559560185182</v>
      </c>
      <c r="EB54" t="s">
        <v>1492</v>
      </c>
      <c r="EC54" t="s">
        <v>1589</v>
      </c>
    </row>
    <row r="55" spans="1:133">
      <c r="A55" s="30"/>
      <c r="B55" s="22">
        <v>42956.647916666669</v>
      </c>
      <c r="C55" s="22" t="s">
        <v>848</v>
      </c>
      <c r="D55" s="30" t="s">
        <v>780</v>
      </c>
      <c r="E55" s="30" t="s">
        <v>565</v>
      </c>
      <c r="F55" s="30" t="s">
        <v>170</v>
      </c>
      <c r="G55" s="30" t="s">
        <v>172</v>
      </c>
      <c r="H55" t="s">
        <v>94</v>
      </c>
      <c r="I55" t="s">
        <v>849</v>
      </c>
      <c r="J55" t="s">
        <v>579</v>
      </c>
      <c r="L55">
        <v>1</v>
      </c>
      <c r="M55" s="26">
        <v>4.05</v>
      </c>
      <c r="N55" t="s">
        <v>354</v>
      </c>
      <c r="Q55" s="29" t="s">
        <v>13</v>
      </c>
      <c r="R55" s="29" t="str">
        <f>IFERROR(MID(RADataTable[[#This Row],[RAtemplate]],1,LEN(RADataTable[[#This Row],[RAtemplate]])-8),"RA") &amp; " " &amp; RADataTable[[#This Row],[prop_id0]] &amp; " " &amp; RADataTable[[#This Row],[last0]]</f>
        <v>RA 1755881 San</v>
      </c>
      <c r="U55" s="21" t="str">
        <f>IF(signer1="PD",IF(ISBLANK(RADataTable[[#This Row],[sign_blck_name]]),"",RADataTable[[#This Row],[sign_blck_name]]),IF(ISBLANK(signer1),"",signer1))</f>
        <v>Jack Snoeyink</v>
      </c>
      <c r="V55" s="29" t="str">
        <f>signer2</f>
        <v>Cognizant Program Director</v>
      </c>
      <c r="W55" s="15" t="str">
        <f>HYPERLINK("https://www.ejacket.nsf.gov/ej/showProposal.do?Continue=Y&amp;ID="&amp;RADataTable[[#This Row],[prop_id0]],"eJ")</f>
        <v>eJ</v>
      </c>
      <c r="X55" s="15" t="str">
        <f>HYPERLINK("mailto:"&amp;RADataTable[[#This Row],[email]]&amp;"&amp;subject=Your NSF Proposal:  "&amp;RADataTable[[#This Row],[Div]]&amp;" "&amp;RADataTable[[#This Row],[prop_id0]], RADataTable[[#This Row],[email]])</f>
        <v>osan@okstate.edu</v>
      </c>
      <c r="Y55" s="15" t="str">
        <f>HYPERLINK("mailto:"&amp;RADataTable[[#This Row],[allPIemail]]&amp;"&amp;subject=NSF Proposal:  "&amp;RADataTable[[#This Row],[Div]]&amp;" "&amp;RADataTable[[#This Row],[prop_id0]], "PIs@")</f>
        <v>PIs@</v>
      </c>
      <c r="Z55" t="s">
        <v>781</v>
      </c>
      <c r="AA55" t="s">
        <v>755</v>
      </c>
      <c r="AB55">
        <v>3</v>
      </c>
      <c r="AC55">
        <v>3</v>
      </c>
      <c r="AD55"/>
      <c r="AE55" s="21" t="str">
        <f>IF(RADataTable[[#This Row],[maxScore]]-RADataTable[[#This Row],[minScore]]&gt;4,"Y","")</f>
        <v>Y</v>
      </c>
      <c r="AF55" s="21">
        <v>3</v>
      </c>
      <c r="AG55" s="26">
        <v>5.333333333333333</v>
      </c>
      <c r="AH55">
        <v>8</v>
      </c>
      <c r="AI55" t="s">
        <v>864</v>
      </c>
      <c r="AJ55" s="30">
        <v>43031.741666666669</v>
      </c>
      <c r="AK55" s="13">
        <v>170144</v>
      </c>
      <c r="AL55" s="13">
        <v>170144</v>
      </c>
      <c r="AM55">
        <v>0</v>
      </c>
      <c r="AN55" s="30">
        <v>43252</v>
      </c>
      <c r="AO55" s="21">
        <v>24</v>
      </c>
      <c r="AP55" s="21" t="s">
        <v>865</v>
      </c>
      <c r="AS55" s="30"/>
      <c r="AT55" t="s">
        <v>583</v>
      </c>
      <c r="AU55" s="21" t="s">
        <v>381</v>
      </c>
      <c r="AV55" s="21">
        <v>5</v>
      </c>
      <c r="AW55" s="21" t="s">
        <v>879</v>
      </c>
      <c r="AX55" s="30">
        <v>43032</v>
      </c>
      <c r="AY55" s="21" t="s">
        <v>913</v>
      </c>
      <c r="AZ55" s="21" t="s">
        <v>881</v>
      </c>
      <c r="BA55" s="21">
        <v>14</v>
      </c>
      <c r="BB55" s="21">
        <v>0</v>
      </c>
      <c r="BG55" s="30"/>
      <c r="BP55" s="30"/>
      <c r="BU55" t="s">
        <v>755</v>
      </c>
      <c r="BV55" s="21" t="s">
        <v>756</v>
      </c>
      <c r="BW55" s="21" t="s">
        <v>862</v>
      </c>
      <c r="BX55" s="21" t="s">
        <v>863</v>
      </c>
      <c r="BY55" s="31">
        <v>170144</v>
      </c>
      <c r="BZ55" s="31">
        <v>170144</v>
      </c>
      <c r="CA55" t="s">
        <v>861</v>
      </c>
      <c r="CF55" s="31"/>
      <c r="CG55" s="31"/>
      <c r="CM55" s="31"/>
      <c r="CN55" s="31"/>
      <c r="CT55" s="31"/>
      <c r="CU55" s="31"/>
      <c r="CV55" s="31"/>
      <c r="DA55" s="31"/>
      <c r="DB55" s="31"/>
      <c r="DC55" s="31"/>
      <c r="DH55" s="31"/>
      <c r="DI55" s="31"/>
      <c r="DO55" s="31"/>
      <c r="DP55" s="31"/>
      <c r="DR55" t="s">
        <v>909</v>
      </c>
      <c r="DS55" t="s">
        <v>877</v>
      </c>
      <c r="DT55" t="s">
        <v>566</v>
      </c>
      <c r="DU55" s="29" t="s">
        <v>878</v>
      </c>
      <c r="DV55" t="s">
        <v>173</v>
      </c>
      <c r="DW55" t="s">
        <v>382</v>
      </c>
      <c r="DX55" t="s">
        <v>171</v>
      </c>
      <c r="DY55" t="s">
        <v>168</v>
      </c>
      <c r="DZ55" t="s">
        <v>169</v>
      </c>
      <c r="EA55" s="22">
        <v>43076.559560185182</v>
      </c>
      <c r="EB55" t="s">
        <v>866</v>
      </c>
      <c r="EC55" t="s">
        <v>914</v>
      </c>
    </row>
    <row r="56" spans="1:133">
      <c r="A56" s="30"/>
      <c r="B56" s="22">
        <v>42956.697222222225</v>
      </c>
      <c r="C56" s="22" t="s">
        <v>848</v>
      </c>
      <c r="D56" s="30" t="s">
        <v>780</v>
      </c>
      <c r="E56" s="30" t="s">
        <v>565</v>
      </c>
      <c r="F56" s="30" t="s">
        <v>170</v>
      </c>
      <c r="G56" s="30" t="s">
        <v>172</v>
      </c>
      <c r="H56" t="s">
        <v>94</v>
      </c>
      <c r="I56" t="s">
        <v>849</v>
      </c>
      <c r="J56" t="s">
        <v>579</v>
      </c>
      <c r="L56">
        <v>1</v>
      </c>
      <c r="M56" s="26">
        <v>4.05</v>
      </c>
      <c r="N56" t="s">
        <v>354</v>
      </c>
      <c r="Q56" s="29" t="s">
        <v>13</v>
      </c>
      <c r="R56" s="29" t="str">
        <f>IFERROR(MID(RADataTable[[#This Row],[RAtemplate]],1,LEN(RADataTable[[#This Row],[RAtemplate]])-8),"RA") &amp; " " &amp; RADataTable[[#This Row],[prop_id0]] &amp; " " &amp; RADataTable[[#This Row],[last0]]</f>
        <v>RA 1755954 Hajimirza</v>
      </c>
      <c r="U56" s="21" t="str">
        <f>IF(signer1="PD",IF(ISBLANK(RADataTable[[#This Row],[sign_blck_name]]),"",RADataTable[[#This Row],[sign_blck_name]]),IF(ISBLANK(signer1),"",signer1))</f>
        <v>Jack Snoeyink</v>
      </c>
      <c r="V56" s="29" t="str">
        <f>signer2</f>
        <v>Cognizant Program Director</v>
      </c>
      <c r="W56" s="15" t="str">
        <f>HYPERLINK("https://www.ejacket.nsf.gov/ej/showProposal.do?Continue=Y&amp;ID="&amp;RADataTable[[#This Row],[prop_id0]],"eJ")</f>
        <v>eJ</v>
      </c>
      <c r="X56" s="15" t="str">
        <f>HYPERLINK("mailto:"&amp;RADataTable[[#This Row],[email]]&amp;"&amp;subject=Your NSF Proposal:  "&amp;RADataTable[[#This Row],[Div]]&amp;" "&amp;RADataTable[[#This Row],[prop_id0]], RADataTable[[#This Row],[email]])</f>
        <v>shima.hm@tamu.edu</v>
      </c>
      <c r="Y56" s="15" t="str">
        <f>HYPERLINK("mailto:"&amp;RADataTable[[#This Row],[allPIemail]]&amp;"&amp;subject=NSF Proposal:  "&amp;RADataTable[[#This Row],[Div]]&amp;" "&amp;RADataTable[[#This Row],[prop_id0]], "PIs@")</f>
        <v>PIs@</v>
      </c>
      <c r="Z56" t="s">
        <v>781</v>
      </c>
      <c r="AA56" t="s">
        <v>762</v>
      </c>
      <c r="AB56">
        <v>3</v>
      </c>
      <c r="AC56">
        <v>3</v>
      </c>
      <c r="AD56"/>
      <c r="AE56" s="21" t="str">
        <f>IF(RADataTable[[#This Row],[maxScore]]-RADataTable[[#This Row],[minScore]]&gt;4,"Y","")</f>
        <v/>
      </c>
      <c r="AF56" s="21">
        <v>4</v>
      </c>
      <c r="AG56" s="26">
        <v>5.333333333333333</v>
      </c>
      <c r="AH56">
        <v>7</v>
      </c>
      <c r="AI56" t="s">
        <v>869</v>
      </c>
      <c r="AJ56" s="30">
        <v>43032.675694444442</v>
      </c>
      <c r="AK56" s="13">
        <v>175000</v>
      </c>
      <c r="AL56" s="13">
        <v>175000</v>
      </c>
      <c r="AM56">
        <v>0</v>
      </c>
      <c r="AN56" s="30">
        <v>43252</v>
      </c>
      <c r="AO56" s="21">
        <v>24</v>
      </c>
      <c r="AP56" s="21" t="s">
        <v>870</v>
      </c>
      <c r="AS56" s="30"/>
      <c r="AT56" t="s">
        <v>583</v>
      </c>
      <c r="AU56" s="21" t="s">
        <v>381</v>
      </c>
      <c r="AV56" s="21">
        <v>5</v>
      </c>
      <c r="AW56" s="21" t="s">
        <v>879</v>
      </c>
      <c r="AX56" s="30">
        <v>43032</v>
      </c>
      <c r="AY56" s="21" t="s">
        <v>915</v>
      </c>
      <c r="AZ56" s="21" t="s">
        <v>881</v>
      </c>
      <c r="BA56" s="21">
        <v>14</v>
      </c>
      <c r="BB56" s="21">
        <v>0</v>
      </c>
      <c r="BG56" s="30"/>
      <c r="BP56" s="30"/>
      <c r="BU56" t="s">
        <v>762</v>
      </c>
      <c r="BV56" s="21" t="s">
        <v>763</v>
      </c>
      <c r="BW56" s="21" t="s">
        <v>867</v>
      </c>
      <c r="BX56" s="21" t="s">
        <v>868</v>
      </c>
      <c r="BY56" s="31">
        <v>175000</v>
      </c>
      <c r="BZ56" s="31">
        <v>175000</v>
      </c>
      <c r="CA56" t="s">
        <v>856</v>
      </c>
      <c r="CF56" s="31"/>
      <c r="CG56" s="31"/>
      <c r="CM56" s="31"/>
      <c r="CN56" s="31"/>
      <c r="CT56" s="31"/>
      <c r="CU56" s="31"/>
      <c r="CV56" s="31"/>
      <c r="DA56" s="31"/>
      <c r="DB56" s="31"/>
      <c r="DC56" s="31"/>
      <c r="DH56" s="31"/>
      <c r="DI56" s="31"/>
      <c r="DO56" s="31"/>
      <c r="DP56" s="31"/>
      <c r="DR56" t="s">
        <v>909</v>
      </c>
      <c r="DS56" t="s">
        <v>877</v>
      </c>
      <c r="DT56" t="s">
        <v>566</v>
      </c>
      <c r="DU56" s="29" t="s">
        <v>878</v>
      </c>
      <c r="DV56" t="s">
        <v>173</v>
      </c>
      <c r="DW56" t="s">
        <v>382</v>
      </c>
      <c r="DX56" t="s">
        <v>171</v>
      </c>
      <c r="DY56" t="s">
        <v>168</v>
      </c>
      <c r="DZ56" t="s">
        <v>169</v>
      </c>
      <c r="EA56" s="22">
        <v>43076.559560185182</v>
      </c>
      <c r="EB56" t="s">
        <v>871</v>
      </c>
      <c r="EC56" t="s">
        <v>916</v>
      </c>
    </row>
    <row r="57" spans="1:133">
      <c r="A57" s="30"/>
      <c r="B57" s="22">
        <v>42956.717361111114</v>
      </c>
      <c r="C57" s="22" t="s">
        <v>848</v>
      </c>
      <c r="D57" s="30" t="s">
        <v>780</v>
      </c>
      <c r="E57" s="30" t="s">
        <v>565</v>
      </c>
      <c r="F57" s="30" t="s">
        <v>170</v>
      </c>
      <c r="G57" s="30" t="s">
        <v>172</v>
      </c>
      <c r="H57" t="s">
        <v>94</v>
      </c>
      <c r="I57" t="s">
        <v>849</v>
      </c>
      <c r="J57" t="s">
        <v>579</v>
      </c>
      <c r="L57">
        <v>1</v>
      </c>
      <c r="M57" s="26">
        <v>4.05</v>
      </c>
      <c r="N57" t="s">
        <v>354</v>
      </c>
      <c r="Q57" s="29" t="s">
        <v>13</v>
      </c>
      <c r="R57" s="29" t="str">
        <f>IFERROR(MID(RADataTable[[#This Row],[RAtemplate]],1,LEN(RADataTable[[#This Row],[RAtemplate]])-8),"RA") &amp; " " &amp; RADataTable[[#This Row],[prop_id0]] &amp; " " &amp; RADataTable[[#This Row],[last0]]</f>
        <v>RA 1755978 Gangammanavar</v>
      </c>
      <c r="U57" s="21" t="str">
        <f>IF(signer1="PD",IF(ISBLANK(RADataTable[[#This Row],[sign_blck_name]]),"",RADataTable[[#This Row],[sign_blck_name]]),IF(ISBLANK(signer1),"",signer1))</f>
        <v>Jack Snoeyink</v>
      </c>
      <c r="V57" s="29" t="str">
        <f>signer2</f>
        <v>Cognizant Program Director</v>
      </c>
      <c r="W57" s="15" t="str">
        <f>HYPERLINK("https://www.ejacket.nsf.gov/ej/showProposal.do?Continue=Y&amp;ID="&amp;RADataTable[[#This Row],[prop_id0]],"eJ")</f>
        <v>eJ</v>
      </c>
      <c r="X57" s="15" t="str">
        <f>HYPERLINK("mailto:"&amp;RADataTable[[#This Row],[email]]&amp;"&amp;subject=Your NSF Proposal:  "&amp;RADataTable[[#This Row],[Div]]&amp;" "&amp;RADataTable[[#This Row],[prop_id0]], RADataTable[[#This Row],[email]])</f>
        <v>harsha@smu.edu</v>
      </c>
      <c r="Y57" s="15" t="str">
        <f>HYPERLINK("mailto:"&amp;RADataTable[[#This Row],[allPIemail]]&amp;"&amp;subject=NSF Proposal:  "&amp;RADataTable[[#This Row],[Div]]&amp;" "&amp;RADataTable[[#This Row],[prop_id0]], "PIs@")</f>
        <v>PIs@</v>
      </c>
      <c r="Z57" t="s">
        <v>781</v>
      </c>
      <c r="AA57" t="s">
        <v>773</v>
      </c>
      <c r="AB57">
        <v>3</v>
      </c>
      <c r="AC57">
        <v>3</v>
      </c>
      <c r="AD57"/>
      <c r="AE57" s="21" t="str">
        <f>IF(RADataTable[[#This Row],[maxScore]]-RADataTable[[#This Row],[minScore]]&gt;4,"Y","")</f>
        <v/>
      </c>
      <c r="AF57" s="21">
        <v>3</v>
      </c>
      <c r="AG57" s="26">
        <v>4.666666666666667</v>
      </c>
      <c r="AH57">
        <v>6</v>
      </c>
      <c r="AI57" t="s">
        <v>874</v>
      </c>
      <c r="AJ57" s="30">
        <v>43031.75</v>
      </c>
      <c r="AK57" s="13">
        <v>175000</v>
      </c>
      <c r="AL57" s="13">
        <v>175000</v>
      </c>
      <c r="AM57">
        <v>0</v>
      </c>
      <c r="AN57" s="30">
        <v>43101</v>
      </c>
      <c r="AO57" s="21">
        <v>24</v>
      </c>
      <c r="AP57" s="21" t="s">
        <v>875</v>
      </c>
      <c r="AS57" s="30"/>
      <c r="AT57" t="s">
        <v>583</v>
      </c>
      <c r="AU57" s="21" t="s">
        <v>381</v>
      </c>
      <c r="AV57" s="21">
        <v>5</v>
      </c>
      <c r="AW57" s="21" t="s">
        <v>879</v>
      </c>
      <c r="AX57" s="30">
        <v>43032</v>
      </c>
      <c r="AY57" s="21" t="s">
        <v>917</v>
      </c>
      <c r="AZ57" s="21" t="s">
        <v>881</v>
      </c>
      <c r="BA57" s="21">
        <v>14</v>
      </c>
      <c r="BB57" s="21">
        <v>0</v>
      </c>
      <c r="BG57" s="30"/>
      <c r="BP57" s="30"/>
      <c r="BU57" t="s">
        <v>773</v>
      </c>
      <c r="BV57" s="21" t="s">
        <v>774</v>
      </c>
      <c r="BW57" s="21" t="s">
        <v>872</v>
      </c>
      <c r="BX57" s="21" t="s">
        <v>873</v>
      </c>
      <c r="BY57" s="31">
        <v>175000</v>
      </c>
      <c r="BZ57" s="31">
        <v>175000</v>
      </c>
      <c r="CA57" t="s">
        <v>577</v>
      </c>
      <c r="CF57" s="31"/>
      <c r="CG57" s="31"/>
      <c r="CM57" s="31"/>
      <c r="CN57" s="31"/>
      <c r="CT57" s="31"/>
      <c r="CU57" s="31"/>
      <c r="CV57" s="31"/>
      <c r="DA57" s="31"/>
      <c r="DB57" s="31"/>
      <c r="DC57" s="31"/>
      <c r="DH57" s="31"/>
      <c r="DI57" s="31"/>
      <c r="DO57" s="31"/>
      <c r="DP57" s="31"/>
      <c r="DR57" t="s">
        <v>909</v>
      </c>
      <c r="DS57" t="s">
        <v>877</v>
      </c>
      <c r="DT57" t="s">
        <v>566</v>
      </c>
      <c r="DU57" s="29" t="s">
        <v>878</v>
      </c>
      <c r="DV57" t="s">
        <v>173</v>
      </c>
      <c r="DW57" t="s">
        <v>382</v>
      </c>
      <c r="DX57" t="s">
        <v>171</v>
      </c>
      <c r="DY57" t="s">
        <v>168</v>
      </c>
      <c r="DZ57" t="s">
        <v>169</v>
      </c>
      <c r="EA57" s="22">
        <v>43076.559560185182</v>
      </c>
      <c r="EB57" t="s">
        <v>876</v>
      </c>
      <c r="EC57" t="s">
        <v>918</v>
      </c>
    </row>
    <row r="58" spans="1:133">
      <c r="A58" s="30"/>
      <c r="B58" s="22">
        <v>42935.654166666667</v>
      </c>
      <c r="C58" s="22" t="s">
        <v>244</v>
      </c>
      <c r="D58" s="30" t="s">
        <v>780</v>
      </c>
      <c r="E58" s="30" t="s">
        <v>567</v>
      </c>
      <c r="F58" s="30" t="s">
        <v>170</v>
      </c>
      <c r="G58" s="30" t="s">
        <v>172</v>
      </c>
      <c r="H58" t="s">
        <v>94</v>
      </c>
      <c r="I58" t="s">
        <v>782</v>
      </c>
      <c r="J58" t="s">
        <v>582</v>
      </c>
      <c r="L58">
        <v>1</v>
      </c>
      <c r="M58" s="26">
        <v>4.18</v>
      </c>
      <c r="N58" t="s">
        <v>354</v>
      </c>
      <c r="Q58" s="29" t="s">
        <v>13</v>
      </c>
      <c r="R58" s="29" t="str">
        <f>IFERROR(MID(RADataTable[[#This Row],[RAtemplate]],1,LEN(RADataTable[[#This Row],[RAtemplate]])-8),"RA") &amp; " " &amp; RADataTable[[#This Row],[prop_id0]] &amp; " " &amp; RADataTable[[#This Row],[last0]]</f>
        <v>RA 1750893 Xie</v>
      </c>
      <c r="U58" s="21" t="str">
        <f>IF(signer1="PD",IF(ISBLANK(RADataTable[[#This Row],[sign_blck_name]]),"",RADataTable[[#This Row],[sign_blck_name]]),IF(ISBLANK(signer1),"",signer1))</f>
        <v>Tracy J. Kimbrel</v>
      </c>
      <c r="V58" s="29" t="str">
        <f>signer2</f>
        <v>Cognizant Program Director</v>
      </c>
      <c r="W58" s="15" t="str">
        <f>HYPERLINK("https://www.ejacket.nsf.gov/ej/showProposal.do?Continue=Y&amp;ID="&amp;RADataTable[[#This Row],[prop_id0]],"eJ")</f>
        <v>eJ</v>
      </c>
      <c r="X58" s="15" t="str">
        <f>HYPERLINK("mailto:"&amp;RADataTable[[#This Row],[email]]&amp;"&amp;subject=Your NSF Proposal:  "&amp;RADataTable[[#This Row],[Div]]&amp;" "&amp;RADataTable[[#This Row],[prop_id0]], RADataTable[[#This Row],[email]])</f>
        <v>nxie@cs.fiu.edu</v>
      </c>
      <c r="Y58" s="15" t="str">
        <f>HYPERLINK("mailto:"&amp;RADataTable[[#This Row],[allPIemail]]&amp;"&amp;subject=NSF Proposal:  "&amp;RADataTable[[#This Row],[Div]]&amp;" "&amp;RADataTable[[#This Row],[prop_id0]], "PIs@")</f>
        <v>PIs@</v>
      </c>
      <c r="Z58" t="s">
        <v>781</v>
      </c>
      <c r="AA58" t="s">
        <v>1164</v>
      </c>
      <c r="AB58">
        <v>4</v>
      </c>
      <c r="AC58">
        <v>4</v>
      </c>
      <c r="AD58"/>
      <c r="AE58" s="21" t="str">
        <f>IF(RADataTable[[#This Row],[maxScore]]-RADataTable[[#This Row],[minScore]]&gt;4,"Y","")</f>
        <v/>
      </c>
      <c r="AF58" s="21">
        <v>3</v>
      </c>
      <c r="AG58" s="26">
        <v>3.5</v>
      </c>
      <c r="AH58">
        <v>5</v>
      </c>
      <c r="AI58" t="s">
        <v>1449</v>
      </c>
      <c r="AJ58" s="30">
        <v>43059.477083333331</v>
      </c>
      <c r="AK58" s="13">
        <v>520820</v>
      </c>
      <c r="AL58" s="13">
        <v>520820</v>
      </c>
      <c r="AM58">
        <v>0</v>
      </c>
      <c r="AN58" s="30">
        <v>43221</v>
      </c>
      <c r="AO58" s="21">
        <v>60</v>
      </c>
      <c r="AP58" s="21" t="s">
        <v>1450</v>
      </c>
      <c r="AQ58">
        <v>1</v>
      </c>
      <c r="AR58" t="s">
        <v>1572</v>
      </c>
      <c r="AS58" s="30">
        <v>43054.683333333334</v>
      </c>
      <c r="AT58" t="s">
        <v>658</v>
      </c>
      <c r="AU58" s="21" t="s">
        <v>381</v>
      </c>
      <c r="AV58" s="21">
        <v>18</v>
      </c>
      <c r="AW58" s="21" t="s">
        <v>892</v>
      </c>
      <c r="AX58" s="30">
        <v>43060</v>
      </c>
      <c r="AY58" s="21" t="s">
        <v>1524</v>
      </c>
      <c r="AZ58" s="21" t="s">
        <v>894</v>
      </c>
      <c r="BA58" s="21">
        <v>12</v>
      </c>
      <c r="BB58" s="21">
        <v>1</v>
      </c>
      <c r="BG58" s="30"/>
      <c r="BP58" s="30"/>
      <c r="BU58" t="s">
        <v>1164</v>
      </c>
      <c r="BV58" s="21" t="s">
        <v>534</v>
      </c>
      <c r="BW58" s="21" t="s">
        <v>1447</v>
      </c>
      <c r="BX58" s="21" t="s">
        <v>1448</v>
      </c>
      <c r="BY58" s="31">
        <v>520820</v>
      </c>
      <c r="BZ58" s="31">
        <v>520820</v>
      </c>
      <c r="CA58" t="s">
        <v>1383</v>
      </c>
      <c r="CF58" s="31"/>
      <c r="CG58" s="31"/>
      <c r="CM58" s="31"/>
      <c r="CN58" s="31"/>
      <c r="CT58" s="31"/>
      <c r="CU58" s="31"/>
      <c r="CV58" s="31"/>
      <c r="DA58" s="31"/>
      <c r="DB58" s="31"/>
      <c r="DC58" s="31"/>
      <c r="DH58" s="31"/>
      <c r="DI58" s="31"/>
      <c r="DO58" s="31"/>
      <c r="DP58" s="31"/>
      <c r="DR58" t="s">
        <v>248</v>
      </c>
      <c r="DS58" t="s">
        <v>877</v>
      </c>
      <c r="DT58" t="s">
        <v>568</v>
      </c>
      <c r="DU58" s="29" t="s">
        <v>890</v>
      </c>
      <c r="DV58" t="s">
        <v>173</v>
      </c>
      <c r="DW58" t="s">
        <v>382</v>
      </c>
      <c r="DX58" t="s">
        <v>171</v>
      </c>
      <c r="DY58" t="s">
        <v>168</v>
      </c>
      <c r="DZ58" t="s">
        <v>169</v>
      </c>
      <c r="EA58" s="22">
        <v>43076.559560185182</v>
      </c>
      <c r="EB58" t="s">
        <v>1451</v>
      </c>
      <c r="EC58" t="s">
        <v>1573</v>
      </c>
    </row>
    <row r="59" spans="1:133">
      <c r="A59" s="30"/>
      <c r="B59" s="22">
        <v>42930.554166666669</v>
      </c>
      <c r="C59" s="22" t="s">
        <v>244</v>
      </c>
      <c r="D59" s="30" t="s">
        <v>780</v>
      </c>
      <c r="E59" s="30" t="s">
        <v>567</v>
      </c>
      <c r="F59" s="30" t="s">
        <v>170</v>
      </c>
      <c r="G59" s="30" t="s">
        <v>172</v>
      </c>
      <c r="H59" t="s">
        <v>94</v>
      </c>
      <c r="I59" t="s">
        <v>782</v>
      </c>
      <c r="J59" t="s">
        <v>579</v>
      </c>
      <c r="L59">
        <v>1</v>
      </c>
      <c r="M59" s="26">
        <v>4.22</v>
      </c>
      <c r="N59" t="s">
        <v>354</v>
      </c>
      <c r="Q59" s="29" t="s">
        <v>13</v>
      </c>
      <c r="R59" s="29" t="str">
        <f>IFERROR(MID(RADataTable[[#This Row],[RAtemplate]],1,LEN(RADataTable[[#This Row],[RAtemplate]])-8),"RA") &amp; " " &amp; RADataTable[[#This Row],[prop_id0]] &amp; " " &amp; RADataTable[[#This Row],[last0]]</f>
        <v>RA 1749173 Borgwardt</v>
      </c>
      <c r="U59" s="21" t="str">
        <f>IF(signer1="PD",IF(ISBLANK(RADataTable[[#This Row],[sign_blck_name]]),"",RADataTable[[#This Row],[sign_blck_name]]),IF(ISBLANK(signer1),"",signer1))</f>
        <v>Jack Snoeyink</v>
      </c>
      <c r="V59" s="29" t="str">
        <f>signer2</f>
        <v>Cognizant Program Director</v>
      </c>
      <c r="W59" s="15" t="str">
        <f>HYPERLINK("https://www.ejacket.nsf.gov/ej/showProposal.do?Continue=Y&amp;ID="&amp;RADataTable[[#This Row],[prop_id0]],"eJ")</f>
        <v>eJ</v>
      </c>
      <c r="X59" s="15" t="str">
        <f>HYPERLINK("mailto:"&amp;RADataTable[[#This Row],[email]]&amp;"&amp;subject=Your NSF Proposal:  "&amp;RADataTable[[#This Row],[Div]]&amp;" "&amp;RADataTable[[#This Row],[prop_id0]], RADataTable[[#This Row],[email]])</f>
        <v>steffen.borgwardt@ucdenver.edu</v>
      </c>
      <c r="Y59" s="15" t="str">
        <f>HYPERLINK("mailto:"&amp;RADataTable[[#This Row],[allPIemail]]&amp;"&amp;subject=NSF Proposal:  "&amp;RADataTable[[#This Row],[Div]]&amp;" "&amp;RADataTable[[#This Row],[prop_id0]], "PIs@")</f>
        <v>PIs@</v>
      </c>
      <c r="Z59" t="s">
        <v>781</v>
      </c>
      <c r="AA59" t="s">
        <v>580</v>
      </c>
      <c r="AB59">
        <v>4</v>
      </c>
      <c r="AC59">
        <v>4</v>
      </c>
      <c r="AD59"/>
      <c r="AE59" s="21" t="str">
        <f>IF(RADataTable[[#This Row],[maxScore]]-RADataTable[[#This Row],[minScore]]&gt;4,"Y","")</f>
        <v>Y</v>
      </c>
      <c r="AF59" s="21">
        <v>2</v>
      </c>
      <c r="AG59" s="26">
        <v>3.75</v>
      </c>
      <c r="AH59">
        <v>7</v>
      </c>
      <c r="AI59" t="s">
        <v>787</v>
      </c>
      <c r="AJ59" s="30">
        <v>43031.583333333336</v>
      </c>
      <c r="AK59" s="13">
        <v>470400</v>
      </c>
      <c r="AL59" s="13">
        <v>470400</v>
      </c>
      <c r="AM59">
        <v>0</v>
      </c>
      <c r="AN59" s="30">
        <v>43101</v>
      </c>
      <c r="AO59" s="21">
        <v>60</v>
      </c>
      <c r="AP59" s="21" t="s">
        <v>788</v>
      </c>
      <c r="AS59" s="30"/>
      <c r="AT59" t="s">
        <v>583</v>
      </c>
      <c r="AU59" s="21" t="s">
        <v>381</v>
      </c>
      <c r="AV59" s="21">
        <v>22</v>
      </c>
      <c r="AW59" s="21" t="s">
        <v>879</v>
      </c>
      <c r="AX59" s="30">
        <v>43032</v>
      </c>
      <c r="AY59" s="21" t="s">
        <v>880</v>
      </c>
      <c r="AZ59" s="21" t="s">
        <v>881</v>
      </c>
      <c r="BA59" s="21">
        <v>14</v>
      </c>
      <c r="BB59" s="21">
        <v>0</v>
      </c>
      <c r="BG59" s="30"/>
      <c r="BP59" s="30"/>
      <c r="BU59" t="s">
        <v>580</v>
      </c>
      <c r="BV59" s="21" t="s">
        <v>581</v>
      </c>
      <c r="BW59" s="21" t="s">
        <v>785</v>
      </c>
      <c r="BX59" s="21" t="s">
        <v>786</v>
      </c>
      <c r="BY59" s="31">
        <v>470400</v>
      </c>
      <c r="BZ59" s="31">
        <v>470400</v>
      </c>
      <c r="CA59" t="s">
        <v>783</v>
      </c>
      <c r="CF59" s="31"/>
      <c r="CG59" s="31"/>
      <c r="CM59" s="31"/>
      <c r="CN59" s="31"/>
      <c r="CT59" s="31"/>
      <c r="CU59" s="31"/>
      <c r="CV59" s="31"/>
      <c r="DA59" s="31"/>
      <c r="DB59" s="31"/>
      <c r="DC59" s="31"/>
      <c r="DH59" s="31"/>
      <c r="DI59" s="31"/>
      <c r="DO59" s="31"/>
      <c r="DP59" s="31"/>
      <c r="DR59" t="s">
        <v>248</v>
      </c>
      <c r="DS59" t="s">
        <v>877</v>
      </c>
      <c r="DT59" t="s">
        <v>568</v>
      </c>
      <c r="DU59" s="29" t="s">
        <v>878</v>
      </c>
      <c r="DV59" t="s">
        <v>173</v>
      </c>
      <c r="DW59" t="s">
        <v>382</v>
      </c>
      <c r="DX59" t="s">
        <v>171</v>
      </c>
      <c r="DY59" t="s">
        <v>168</v>
      </c>
      <c r="DZ59" t="s">
        <v>169</v>
      </c>
      <c r="EA59" s="22">
        <v>43076.559560185182</v>
      </c>
      <c r="EB59" t="s">
        <v>789</v>
      </c>
      <c r="EC59" t="s">
        <v>882</v>
      </c>
    </row>
    <row r="60" spans="1:133">
      <c r="A60" s="30"/>
      <c r="B60" s="22">
        <v>42934.808333333334</v>
      </c>
      <c r="C60" s="22" t="s">
        <v>244</v>
      </c>
      <c r="D60" s="30" t="s">
        <v>780</v>
      </c>
      <c r="E60" s="30" t="s">
        <v>567</v>
      </c>
      <c r="F60" s="30" t="s">
        <v>170</v>
      </c>
      <c r="G60" s="30" t="s">
        <v>172</v>
      </c>
      <c r="H60" t="s">
        <v>94</v>
      </c>
      <c r="I60" t="s">
        <v>782</v>
      </c>
      <c r="J60" t="s">
        <v>579</v>
      </c>
      <c r="L60">
        <v>1</v>
      </c>
      <c r="M60" s="26">
        <v>4.22</v>
      </c>
      <c r="N60" t="s">
        <v>354</v>
      </c>
      <c r="Q60" s="29" t="s">
        <v>13</v>
      </c>
      <c r="R60" s="29" t="str">
        <f>IFERROR(MID(RADataTable[[#This Row],[RAtemplate]],1,LEN(RADataTable[[#This Row],[RAtemplate]])-8),"RA") &amp; " " &amp; RADataTable[[#This Row],[prop_id0]] &amp; " " &amp; RADataTable[[#This Row],[last0]]</f>
        <v>RA 1750076 Schroeder</v>
      </c>
      <c r="U60" s="21" t="str">
        <f>IF(signer1="PD",IF(ISBLANK(RADataTable[[#This Row],[sign_blck_name]]),"",RADataTable[[#This Row],[sign_blck_name]]),IF(ISBLANK(signer1),"",signer1))</f>
        <v>Jack Snoeyink</v>
      </c>
      <c r="V60" s="29" t="str">
        <f>signer2</f>
        <v>Cognizant Program Director</v>
      </c>
      <c r="W60" s="15" t="str">
        <f>HYPERLINK("https://www.ejacket.nsf.gov/ej/showProposal.do?Continue=Y&amp;ID="&amp;RADataTable[[#This Row],[prop_id0]],"eJ")</f>
        <v>eJ</v>
      </c>
      <c r="X60" s="15" t="str">
        <f>HYPERLINK("mailto:"&amp;RADataTable[[#This Row],[email]]&amp;"&amp;subject=Your NSF Proposal:  "&amp;RADataTable[[#This Row],[Div]]&amp;" "&amp;RADataTable[[#This Row],[prop_id0]], RADataTable[[#This Row],[email]])</f>
        <v>craig@ucr.edu</v>
      </c>
      <c r="Y60" s="15" t="str">
        <f>HYPERLINK("mailto:"&amp;RADataTable[[#This Row],[allPIemail]]&amp;"&amp;subject=NSF Proposal:  "&amp;RADataTable[[#This Row],[Div]]&amp;" "&amp;RADataTable[[#This Row],[prop_id0]], "PIs@")</f>
        <v>PIs@</v>
      </c>
      <c r="Z60" t="s">
        <v>781</v>
      </c>
      <c r="AA60" t="s">
        <v>697</v>
      </c>
      <c r="AB60">
        <v>4</v>
      </c>
      <c r="AC60">
        <v>4</v>
      </c>
      <c r="AD60"/>
      <c r="AE60" s="21" t="str">
        <f>IF(RADataTable[[#This Row],[maxScore]]-RADataTable[[#This Row],[minScore]]&gt;4,"Y","")</f>
        <v/>
      </c>
      <c r="AF60" s="21">
        <v>3</v>
      </c>
      <c r="AG60" s="26">
        <v>4</v>
      </c>
      <c r="AH60">
        <v>7</v>
      </c>
      <c r="AI60" t="s">
        <v>826</v>
      </c>
      <c r="AJ60" s="30">
        <v>43031.584027777775</v>
      </c>
      <c r="AK60" s="13">
        <v>440331</v>
      </c>
      <c r="AL60" s="13">
        <v>440331</v>
      </c>
      <c r="AM60">
        <v>0</v>
      </c>
      <c r="AN60" s="30">
        <v>43101</v>
      </c>
      <c r="AO60" s="21">
        <v>60</v>
      </c>
      <c r="AP60" s="21" t="s">
        <v>827</v>
      </c>
      <c r="AS60" s="30"/>
      <c r="AT60" t="s">
        <v>583</v>
      </c>
      <c r="AU60" s="21" t="s">
        <v>381</v>
      </c>
      <c r="AV60" s="21">
        <v>22</v>
      </c>
      <c r="AW60" s="21" t="s">
        <v>879</v>
      </c>
      <c r="AX60" s="30">
        <v>43032</v>
      </c>
      <c r="AY60" s="21" t="s">
        <v>900</v>
      </c>
      <c r="AZ60" s="21" t="s">
        <v>881</v>
      </c>
      <c r="BA60" s="21">
        <v>14</v>
      </c>
      <c r="BB60" s="21">
        <v>0</v>
      </c>
      <c r="BG60" s="30"/>
      <c r="BP60" s="30"/>
      <c r="BU60" t="s">
        <v>697</v>
      </c>
      <c r="BV60" s="21" t="s">
        <v>698</v>
      </c>
      <c r="BW60" s="21" t="s">
        <v>825</v>
      </c>
      <c r="BX60" s="21" t="s">
        <v>348</v>
      </c>
      <c r="BY60" s="31">
        <v>440331</v>
      </c>
      <c r="BZ60" s="31">
        <v>440331</v>
      </c>
      <c r="CA60" t="s">
        <v>824</v>
      </c>
      <c r="CF60" s="31"/>
      <c r="CG60" s="31"/>
      <c r="CM60" s="31"/>
      <c r="CN60" s="31"/>
      <c r="CT60" s="31"/>
      <c r="CU60" s="31"/>
      <c r="CV60" s="31"/>
      <c r="DA60" s="31"/>
      <c r="DB60" s="31"/>
      <c r="DC60" s="31"/>
      <c r="DH60" s="31"/>
      <c r="DI60" s="31"/>
      <c r="DO60" s="31"/>
      <c r="DP60" s="31"/>
      <c r="DR60" t="s">
        <v>248</v>
      </c>
      <c r="DS60" t="s">
        <v>877</v>
      </c>
      <c r="DT60" t="s">
        <v>568</v>
      </c>
      <c r="DU60" s="29" t="s">
        <v>878</v>
      </c>
      <c r="DV60" t="s">
        <v>173</v>
      </c>
      <c r="DW60" t="s">
        <v>382</v>
      </c>
      <c r="DX60" t="s">
        <v>171</v>
      </c>
      <c r="DY60" t="s">
        <v>168</v>
      </c>
      <c r="DZ60" t="s">
        <v>169</v>
      </c>
      <c r="EA60" s="22">
        <v>43076.559560185182</v>
      </c>
      <c r="EB60" t="s">
        <v>828</v>
      </c>
      <c r="EC60" t="s">
        <v>901</v>
      </c>
    </row>
  </sheetData>
  <conditionalFormatting sqref="Z2:Z60">
    <cfRule type="expression" dxfId="6" priority="2">
      <formula>LEFT(#REF!,1)="E"</formula>
    </cfRule>
  </conditionalFormatting>
  <conditionalFormatting sqref="Q2:Q60">
    <cfRule type="expression" dxfId="5" priority="1">
      <formula>LEFT($AI2,1)="E"</formula>
    </cfRule>
  </conditionalFormatting>
  <dataValidations count="1">
    <dataValidation type="list" allowBlank="1" showInputMessage="1" showErrorMessage="1" sqref="Q2:Q60 O2:O60">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70757</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AG2:AG60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6"/>
  <sheetViews>
    <sheetView showGridLines="0" workbookViewId="0">
      <selection activeCell="B8" sqref="B8"/>
    </sheetView>
  </sheetViews>
  <sheetFormatPr defaultRowHeight="14.6"/>
  <cols>
    <col min="1" max="1" width="10.3828125" style="6" customWidth="1"/>
    <col min="2" max="2" width="16.3046875" customWidth="1"/>
    <col min="3" max="3" width="3.3046875" style="5" customWidth="1"/>
    <col min="4" max="4" width="15.69140625" style="23"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10.15234375" customWidth="1"/>
    <col min="15" max="15" width="23.3828125" customWidth="1"/>
    <col min="16" max="16" width="12"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c r="A1" s="60" t="s">
        <v>292</v>
      </c>
      <c r="H1" s="3" t="s">
        <v>239</v>
      </c>
      <c r="M1" s="20" t="s">
        <v>103</v>
      </c>
    </row>
    <row r="2" spans="1:13" ht="16" customHeight="1">
      <c r="A2" s="9" t="s">
        <v>1618</v>
      </c>
      <c r="H2" s="3" t="s">
        <v>140</v>
      </c>
      <c r="J2" s="29"/>
      <c r="M2" s="19" t="s">
        <v>104</v>
      </c>
    </row>
    <row r="3" spans="1:13" ht="16" customHeight="1">
      <c r="A3" s="9" t="s">
        <v>1617</v>
      </c>
      <c r="H3" s="3" t="s">
        <v>141</v>
      </c>
      <c r="J3" s="29"/>
      <c r="M3" s="19" t="s">
        <v>99</v>
      </c>
    </row>
    <row r="4" spans="1:13" ht="16" customHeight="1">
      <c r="A4" s="9" t="s">
        <v>1615</v>
      </c>
      <c r="C4" s="16"/>
      <c r="E4" s="4"/>
      <c r="F4" s="29"/>
      <c r="H4" s="3" t="s">
        <v>238</v>
      </c>
      <c r="J4" s="29"/>
      <c r="M4" s="19" t="s">
        <v>105</v>
      </c>
    </row>
    <row r="5" spans="1:13" ht="16" customHeight="1">
      <c r="A5" s="9" t="s">
        <v>1616</v>
      </c>
      <c r="B5" s="4"/>
      <c r="E5" s="4"/>
      <c r="F5" s="29"/>
      <c r="J5" s="29"/>
      <c r="M5" s="19" t="s">
        <v>100</v>
      </c>
    </row>
    <row r="6" spans="1:13" ht="16" customHeight="1">
      <c r="A6" s="9" t="s">
        <v>1619</v>
      </c>
      <c r="E6" s="4"/>
      <c r="F6" s="29"/>
      <c r="H6" t="s">
        <v>242</v>
      </c>
      <c r="J6" s="30"/>
      <c r="M6" s="19" t="s">
        <v>106</v>
      </c>
    </row>
    <row r="7" spans="1:13" ht="16" customHeight="1">
      <c r="A7" s="9" t="s">
        <v>1621</v>
      </c>
      <c r="E7" s="4"/>
      <c r="F7" s="29"/>
      <c r="I7" s="24" t="s">
        <v>243</v>
      </c>
      <c r="J7" s="24"/>
      <c r="K7" s="7" t="s">
        <v>1614</v>
      </c>
      <c r="M7" s="19" t="s">
        <v>107</v>
      </c>
    </row>
    <row r="8" spans="1:13" ht="16" customHeight="1">
      <c r="A8" s="9" t="s">
        <v>1620</v>
      </c>
      <c r="E8" s="4"/>
      <c r="F8" s="43"/>
      <c r="I8" s="24" t="s">
        <v>517</v>
      </c>
      <c r="J8" s="24"/>
      <c r="K8" s="7" t="s">
        <v>206</v>
      </c>
      <c r="M8" s="19" t="s">
        <v>101</v>
      </c>
    </row>
    <row r="9" spans="1:13" ht="16" customHeight="1">
      <c r="A9" s="9"/>
      <c r="E9" s="4"/>
      <c r="F9" s="30"/>
      <c r="M9" s="19" t="s">
        <v>108</v>
      </c>
    </row>
    <row r="10" spans="1:13" ht="18.45">
      <c r="A10" s="47"/>
      <c r="B10" s="120" t="s">
        <v>291</v>
      </c>
      <c r="C10" s="120"/>
      <c r="D10" s="120"/>
      <c r="E10" s="48"/>
      <c r="I10" s="25" t="s">
        <v>139</v>
      </c>
      <c r="K10" s="6"/>
      <c r="M10" s="19" t="s">
        <v>109</v>
      </c>
    </row>
    <row r="11" spans="1:13" ht="15.9">
      <c r="A11" s="49"/>
      <c r="B11" s="50" t="s">
        <v>265</v>
      </c>
      <c r="C11" s="50"/>
      <c r="D11" s="50" t="s">
        <v>266</v>
      </c>
      <c r="E11" s="50"/>
      <c r="I11" s="25" t="s">
        <v>174</v>
      </c>
      <c r="K11" s="6"/>
      <c r="M11" s="19" t="s">
        <v>97</v>
      </c>
    </row>
    <row r="12" spans="1:13" ht="20.149999999999999" customHeight="1">
      <c r="B12" s="51" t="s">
        <v>267</v>
      </c>
      <c r="C12" s="51"/>
      <c r="D12" s="59" t="s">
        <v>283</v>
      </c>
      <c r="E12" s="52" t="s">
        <v>284</v>
      </c>
      <c r="I12" s="25" t="s">
        <v>210</v>
      </c>
      <c r="K12" s="6"/>
      <c r="M12" s="19" t="s">
        <v>110</v>
      </c>
    </row>
    <row r="13" spans="1:13" ht="20.149999999999999" customHeight="1">
      <c r="B13" s="51" t="s">
        <v>278</v>
      </c>
      <c r="C13" s="51"/>
      <c r="D13" s="53" t="s">
        <v>919</v>
      </c>
      <c r="E13" s="54"/>
      <c r="I13" s="25" t="s">
        <v>177</v>
      </c>
      <c r="K13" s="6"/>
      <c r="M13" s="19" t="s">
        <v>111</v>
      </c>
    </row>
    <row r="14" spans="1:13" ht="20.149999999999999" customHeight="1">
      <c r="B14" s="51" t="s">
        <v>272</v>
      </c>
      <c r="C14" s="51"/>
      <c r="D14" s="53" t="s">
        <v>273</v>
      </c>
      <c r="E14" s="54"/>
      <c r="K14" s="6"/>
      <c r="M14" s="19" t="s">
        <v>112</v>
      </c>
    </row>
    <row r="15" spans="1:13" ht="20.149999999999999" customHeight="1">
      <c r="B15" s="51" t="s">
        <v>268</v>
      </c>
      <c r="C15" s="51"/>
      <c r="D15" s="53" t="s">
        <v>287</v>
      </c>
      <c r="E15" s="54"/>
      <c r="G15" s="21"/>
      <c r="K15" s="6"/>
      <c r="M15" s="19" t="s">
        <v>543</v>
      </c>
    </row>
    <row r="16" spans="1:13" ht="20.149999999999999" customHeight="1">
      <c r="B16" s="51" t="s">
        <v>269</v>
      </c>
      <c r="C16" s="51"/>
      <c r="D16" s="55" t="s">
        <v>286</v>
      </c>
      <c r="E16" s="56"/>
      <c r="G16" s="21"/>
      <c r="K16" s="6"/>
      <c r="M16" s="19" t="s">
        <v>113</v>
      </c>
    </row>
    <row r="17" spans="2:13" ht="20.149999999999999" customHeight="1">
      <c r="B17" s="51" t="s">
        <v>270</v>
      </c>
      <c r="C17" s="51"/>
      <c r="D17" s="53" t="s">
        <v>285</v>
      </c>
      <c r="E17" s="54"/>
      <c r="G17" s="21"/>
      <c r="K17" s="6"/>
      <c r="M17" s="19" t="s">
        <v>114</v>
      </c>
    </row>
    <row r="18" spans="2:13" ht="20.149999999999999" customHeight="1">
      <c r="B18" s="51" t="s">
        <v>271</v>
      </c>
      <c r="C18" s="51"/>
      <c r="D18" s="53" t="s">
        <v>289</v>
      </c>
      <c r="E18" s="54"/>
      <c r="K18" s="6"/>
      <c r="M18" s="19" t="s">
        <v>115</v>
      </c>
    </row>
    <row r="19" spans="2:13" ht="20.149999999999999" customHeight="1">
      <c r="B19" s="51" t="s">
        <v>275</v>
      </c>
      <c r="C19" s="51"/>
      <c r="D19" s="53" t="s">
        <v>290</v>
      </c>
      <c r="E19" s="54"/>
      <c r="K19" s="6"/>
      <c r="M19" s="19" t="s">
        <v>116</v>
      </c>
    </row>
    <row r="20" spans="2:13" ht="20.149999999999999" customHeight="1">
      <c r="B20" s="51" t="s">
        <v>276</v>
      </c>
      <c r="C20" s="51"/>
      <c r="D20" s="53" t="s">
        <v>277</v>
      </c>
      <c r="E20" s="54"/>
      <c r="K20" s="6"/>
      <c r="M20" s="19" t="s">
        <v>117</v>
      </c>
    </row>
    <row r="21" spans="2:13" ht="20.149999999999999" customHeight="1">
      <c r="B21" s="51" t="s">
        <v>279</v>
      </c>
      <c r="C21" s="51"/>
      <c r="D21" s="53" t="s">
        <v>280</v>
      </c>
      <c r="E21" s="54"/>
      <c r="K21" s="6"/>
      <c r="M21" s="19" t="s">
        <v>118</v>
      </c>
    </row>
    <row r="22" spans="2:13" ht="20.149999999999999" customHeight="1">
      <c r="B22" s="51" t="s">
        <v>281</v>
      </c>
      <c r="C22" s="51"/>
      <c r="D22" s="53" t="s">
        <v>282</v>
      </c>
      <c r="E22" s="54"/>
      <c r="K22" s="6"/>
      <c r="M22" s="19" t="s">
        <v>119</v>
      </c>
    </row>
    <row r="23" spans="2:13" ht="20.149999999999999" customHeight="1">
      <c r="B23" s="51" t="s">
        <v>274</v>
      </c>
      <c r="C23" s="57"/>
      <c r="D23" s="118" t="str">
        <f>INDEX(codes_prop_stts,select_prop_stts)</f>
        <v>0[01289]</v>
      </c>
      <c r="E23" s="58"/>
      <c r="I23" s="23"/>
      <c r="M23" s="19" t="s">
        <v>98</v>
      </c>
    </row>
    <row r="24" spans="2:13" ht="20.149999999999999" customHeight="1">
      <c r="B24" s="3"/>
      <c r="C24" s="3"/>
      <c r="D24" s="3"/>
      <c r="E24" s="3"/>
      <c r="I24" s="23"/>
      <c r="M24" s="19" t="s">
        <v>120</v>
      </c>
    </row>
    <row r="25" spans="2:13" ht="20.149999999999999" customHeight="1">
      <c r="C25"/>
      <c r="D25"/>
      <c r="I25" s="23"/>
      <c r="M25" s="19" t="s">
        <v>121</v>
      </c>
    </row>
    <row r="26" spans="2:13" ht="19.75" customHeight="1">
      <c r="C26"/>
      <c r="D26"/>
      <c r="I26" s="23"/>
      <c r="M26" s="19" t="s">
        <v>122</v>
      </c>
    </row>
    <row r="27" spans="2:13">
      <c r="B27" s="25"/>
      <c r="C27"/>
      <c r="D27" s="25"/>
      <c r="E27" s="25"/>
      <c r="H27" s="5"/>
      <c r="M27" s="19" t="s">
        <v>123</v>
      </c>
    </row>
    <row r="28" spans="2:13">
      <c r="B28" s="25"/>
      <c r="C28"/>
      <c r="D28" s="25"/>
      <c r="E28" s="25"/>
      <c r="H28" s="5"/>
      <c r="M28" s="19" t="s">
        <v>124</v>
      </c>
    </row>
    <row r="29" spans="2:13">
      <c r="B29" s="25"/>
      <c r="C29"/>
      <c r="D29" s="25"/>
      <c r="G29" s="12"/>
      <c r="H29" s="5"/>
      <c r="M29" s="19" t="s">
        <v>125</v>
      </c>
    </row>
    <row r="30" spans="2:13">
      <c r="B30" s="25"/>
      <c r="C30"/>
      <c r="D30" s="25"/>
      <c r="G30" s="12"/>
      <c r="H30" s="5"/>
    </row>
    <row r="31" spans="2:13">
      <c r="B31" s="25"/>
      <c r="C31"/>
      <c r="D31" s="25"/>
    </row>
    <row r="32" spans="2:13" ht="16" customHeight="1">
      <c r="B32" s="25"/>
      <c r="C32"/>
      <c r="D32" s="25"/>
    </row>
    <row r="33" spans="2:4">
      <c r="B33" s="25"/>
      <c r="C33"/>
      <c r="D33" s="25"/>
    </row>
    <row r="34" spans="2:4">
      <c r="B34" s="25"/>
      <c r="C34"/>
      <c r="D34" s="25"/>
    </row>
    <row r="35" spans="2:4">
      <c r="B35" s="25"/>
      <c r="C35" s="43"/>
      <c r="D35" s="25"/>
    </row>
    <row r="36" spans="2:4">
      <c r="B36" s="25"/>
      <c r="C36"/>
      <c r="D36" s="25"/>
    </row>
    <row r="37" spans="2:4">
      <c r="B37" s="25"/>
      <c r="C37"/>
      <c r="D37" s="25"/>
    </row>
    <row r="38" spans="2:4">
      <c r="B38" s="25"/>
      <c r="C38"/>
      <c r="D38" s="25"/>
    </row>
    <row r="39" spans="2:4">
      <c r="B39" s="25"/>
      <c r="C39"/>
      <c r="D39" s="25"/>
    </row>
    <row r="40" spans="2:4">
      <c r="B40" s="25"/>
      <c r="C40"/>
      <c r="D40" s="25"/>
    </row>
    <row r="41" spans="2:4">
      <c r="B41" s="25"/>
      <c r="C41"/>
      <c r="D41" s="25"/>
    </row>
    <row r="42" spans="2:4">
      <c r="B42" s="25"/>
      <c r="C42"/>
      <c r="D42" s="25"/>
    </row>
    <row r="43" spans="2:4">
      <c r="B43" s="25"/>
      <c r="C43"/>
      <c r="D43" s="25"/>
    </row>
    <row r="44" spans="2:4">
      <c r="B44" s="25"/>
      <c r="C44"/>
      <c r="D44" s="25"/>
    </row>
    <row r="45" spans="2:4">
      <c r="B45" s="25"/>
      <c r="C45"/>
      <c r="D45" s="25"/>
    </row>
    <row r="46" spans="2:4">
      <c r="D46" s="25"/>
    </row>
  </sheetData>
  <mergeCells count="1">
    <mergeCell ref="B10:D10"/>
  </mergeCells>
  <conditionalFormatting sqref="D12:E22">
    <cfRule type="expression" dxfId="4" priority="1">
      <formula>SEARCH("eg:",D12)=1</formula>
    </cfRule>
  </conditionalFormatting>
  <dataValidations count="1">
    <dataValidation type="list" allowBlank="1" showInputMessage="1" showErrorMessage="1" sqref="B25 D25:E25">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10</xdr:col>
                    <xdr:colOff>10886</xdr:colOff>
                    <xdr:row>7</xdr:row>
                    <xdr:rowOff>174171</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2</xdr:col>
                    <xdr:colOff>223157</xdr:colOff>
                    <xdr:row>22</xdr:row>
                    <xdr:rowOff>10886</xdr:rowOff>
                  </from>
                  <to>
                    <xdr:col>5</xdr:col>
                    <xdr:colOff>261257</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1</xdr:col>
                    <xdr:colOff>97971</xdr:colOff>
                    <xdr:row>4</xdr:row>
                    <xdr:rowOff>195943</xdr:rowOff>
                  </from>
                  <to>
                    <xdr:col>2</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B2" sqref="B2"/>
    </sheetView>
  </sheetViews>
  <sheetFormatPr defaultRowHeight="14.6"/>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2" customWidth="1"/>
    <col min="39" max="39" width="15.15234375" style="82" customWidth="1"/>
    <col min="40" max="40" width="10.6914062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c r="A1" s="30" t="s">
        <v>87</v>
      </c>
      <c r="B1" s="30" t="s">
        <v>7</v>
      </c>
      <c r="C1" t="s">
        <v>17</v>
      </c>
      <c r="D1" s="14" t="s">
        <v>8</v>
      </c>
      <c r="E1" t="s">
        <v>472</v>
      </c>
      <c r="F1" t="s">
        <v>473</v>
      </c>
      <c r="G1" t="s">
        <v>430</v>
      </c>
      <c r="H1" t="s">
        <v>431</v>
      </c>
      <c r="I1" t="s">
        <v>432</v>
      </c>
      <c r="J1" t="s">
        <v>433</v>
      </c>
      <c r="K1" t="s">
        <v>434</v>
      </c>
      <c r="L1" t="s">
        <v>435</v>
      </c>
      <c r="M1" t="s">
        <v>166</v>
      </c>
      <c r="N1" t="s">
        <v>164</v>
      </c>
      <c r="O1" t="s">
        <v>436</v>
      </c>
      <c r="P1" s="21" t="s">
        <v>438</v>
      </c>
      <c r="Q1" t="s">
        <v>439</v>
      </c>
      <c r="R1" s="32" t="s">
        <v>440</v>
      </c>
      <c r="S1" s="21" t="s">
        <v>102</v>
      </c>
      <c r="T1" t="s">
        <v>88</v>
      </c>
      <c r="U1" t="s">
        <v>9</v>
      </c>
      <c r="V1" t="s">
        <v>1</v>
      </c>
      <c r="W1" t="s">
        <v>144</v>
      </c>
      <c r="X1" t="s">
        <v>0</v>
      </c>
      <c r="Y1" t="s">
        <v>10</v>
      </c>
      <c r="Z1" t="s">
        <v>18</v>
      </c>
      <c r="AA1" t="s">
        <v>323</v>
      </c>
      <c r="AB1" s="14" t="s">
        <v>475</v>
      </c>
      <c r="AC1" t="s">
        <v>146</v>
      </c>
      <c r="AD1" t="s">
        <v>324</v>
      </c>
      <c r="AE1" t="s">
        <v>441</v>
      </c>
      <c r="AF1" t="s">
        <v>437</v>
      </c>
      <c r="AG1" t="s">
        <v>167</v>
      </c>
      <c r="AH1" t="s">
        <v>36</v>
      </c>
      <c r="AK1" s="88" t="s">
        <v>478</v>
      </c>
      <c r="AL1"/>
      <c r="AM1" s="88" t="s">
        <v>476</v>
      </c>
      <c r="AN1"/>
      <c r="AO1"/>
      <c r="AP1"/>
      <c r="AQ1"/>
      <c r="AR1"/>
      <c r="AS1"/>
      <c r="AT1"/>
      <c r="AU1"/>
      <c r="AZ1"/>
      <c r="BB1"/>
      <c r="BC1"/>
      <c r="BO1"/>
      <c r="BS1"/>
    </row>
    <row r="2" spans="1:71">
      <c r="D2"/>
      <c r="E2" s="8"/>
      <c r="F2" s="8"/>
      <c r="G2"/>
      <c r="M2"/>
      <c r="N2" s="8"/>
      <c r="O2" s="8"/>
      <c r="P2" s="21"/>
      <c r="Q2" s="8"/>
      <c r="R2" s="32"/>
      <c r="T2" s="8"/>
      <c r="U2" s="8"/>
      <c r="V2" s="87"/>
      <c r="W2" s="8"/>
      <c r="X2" s="8"/>
      <c r="Y2" s="8"/>
      <c r="Z2" s="8"/>
      <c r="AA2" s="8"/>
      <c r="AB2" s="87"/>
      <c r="AC2" s="8"/>
      <c r="AD2" s="8"/>
      <c r="AE2" s="8"/>
      <c r="AF2" s="8"/>
      <c r="AG2" s="8"/>
      <c r="AH2" s="8"/>
      <c r="AK2" s="88" t="s">
        <v>479</v>
      </c>
      <c r="AL2" s="88" t="s">
        <v>10</v>
      </c>
      <c r="AM2" t="s">
        <v>1613</v>
      </c>
      <c r="AN2" t="s">
        <v>477</v>
      </c>
      <c r="AO2"/>
      <c r="AP2"/>
      <c r="AQ2"/>
      <c r="AR2"/>
      <c r="AS2"/>
      <c r="AT2"/>
      <c r="AU2"/>
      <c r="AZ2"/>
      <c r="BB2"/>
      <c r="BC2"/>
      <c r="BO2"/>
      <c r="BS2"/>
    </row>
    <row r="3" spans="1:71">
      <c r="AK3" s="25" t="s">
        <v>1613</v>
      </c>
      <c r="AL3" s="25" t="s">
        <v>1613</v>
      </c>
      <c r="AM3" s="31"/>
      <c r="AN3" s="31"/>
      <c r="AO3"/>
      <c r="AP3"/>
      <c r="AQ3"/>
      <c r="AR3"/>
      <c r="AS3"/>
      <c r="AT3"/>
      <c r="AU3"/>
      <c r="AZ3"/>
      <c r="BB3"/>
      <c r="BC3"/>
      <c r="BO3"/>
      <c r="BS3"/>
    </row>
    <row r="4" spans="1:71">
      <c r="AK4"/>
      <c r="AL4" s="89" t="s">
        <v>1613</v>
      </c>
      <c r="AM4" s="31"/>
      <c r="AN4" s="31"/>
      <c r="AO4"/>
      <c r="AP4"/>
      <c r="AQ4"/>
      <c r="AR4"/>
      <c r="AS4"/>
      <c r="AT4"/>
      <c r="AU4"/>
      <c r="AZ4"/>
      <c r="BB4"/>
      <c r="BC4"/>
      <c r="BO4"/>
      <c r="BS4"/>
    </row>
    <row r="5" spans="1:71">
      <c r="AK5" s="25" t="s">
        <v>477</v>
      </c>
      <c r="AL5"/>
      <c r="AM5" s="31"/>
      <c r="AN5" s="31"/>
      <c r="AO5"/>
      <c r="AP5"/>
      <c r="AQ5"/>
      <c r="AR5"/>
      <c r="AS5"/>
      <c r="AT5"/>
      <c r="AU5"/>
      <c r="AZ5"/>
      <c r="BB5"/>
      <c r="BC5"/>
      <c r="BO5"/>
      <c r="BS5"/>
    </row>
    <row r="6" spans="1:71">
      <c r="AK6"/>
      <c r="AL6"/>
      <c r="AM6"/>
      <c r="AN6"/>
      <c r="AO6"/>
      <c r="AP6"/>
      <c r="AQ6"/>
      <c r="AR6"/>
      <c r="AS6"/>
      <c r="AT6"/>
      <c r="AU6"/>
      <c r="AZ6"/>
      <c r="BB6"/>
      <c r="BC6"/>
      <c r="BO6"/>
      <c r="BS6"/>
    </row>
    <row r="7" spans="1:71">
      <c r="AK7"/>
      <c r="AL7"/>
      <c r="AM7"/>
      <c r="AN7"/>
      <c r="AO7"/>
      <c r="AP7"/>
      <c r="AQ7"/>
      <c r="AR7"/>
      <c r="AS7"/>
      <c r="AT7"/>
      <c r="AU7"/>
      <c r="AZ7"/>
      <c r="BB7"/>
      <c r="BC7"/>
      <c r="BO7"/>
      <c r="BS7"/>
    </row>
    <row r="8" spans="1:71">
      <c r="AK8"/>
      <c r="AL8"/>
      <c r="AM8"/>
      <c r="AN8"/>
      <c r="AO8"/>
      <c r="AP8"/>
      <c r="AQ8"/>
      <c r="AR8"/>
      <c r="AS8"/>
      <c r="AT8"/>
      <c r="AU8"/>
      <c r="AZ8"/>
      <c r="BB8"/>
      <c r="BC8"/>
      <c r="BO8"/>
      <c r="BS8"/>
    </row>
    <row r="9" spans="1:71">
      <c r="AK9"/>
      <c r="AL9"/>
      <c r="AM9"/>
      <c r="AN9"/>
      <c r="AO9"/>
      <c r="AP9"/>
      <c r="AQ9"/>
      <c r="AR9"/>
      <c r="AS9"/>
      <c r="AT9"/>
      <c r="AU9"/>
      <c r="AZ9"/>
      <c r="BB9"/>
      <c r="BC9"/>
      <c r="BO9"/>
      <c r="BS9"/>
    </row>
  </sheetData>
  <conditionalFormatting sqref="F2 H2 J2 L2 AE2">
    <cfRule type="expression" dxfId="3" priority="1">
      <formula>E2&lt;&gt;F2</formula>
    </cfRule>
  </conditionalFormatting>
  <conditionalFormatting sqref="A2:AH2">
    <cfRule type="expression" dxfId="2" priority="2035">
      <formula>$U1048405&lt;&gt;$U2</formula>
    </cfRule>
    <cfRule type="expression" dxfId="1" priority="2036">
      <formula>MOD($S2,2)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60"/>
  <sheetViews>
    <sheetView workbookViewId="0">
      <selection activeCell="P90" sqref="P90"/>
    </sheetView>
  </sheetViews>
  <sheetFormatPr defaultRowHeight="14.6"/>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c r="A1" t="s">
        <v>102</v>
      </c>
      <c r="B1" t="s">
        <v>9</v>
      </c>
      <c r="C1" t="s">
        <v>10</v>
      </c>
      <c r="D1" t="s">
        <v>180</v>
      </c>
      <c r="E1" t="s">
        <v>181</v>
      </c>
      <c r="F1" t="s">
        <v>182</v>
      </c>
      <c r="G1" t="s">
        <v>183</v>
      </c>
      <c r="H1" t="s">
        <v>184</v>
      </c>
      <c r="I1" t="s">
        <v>185</v>
      </c>
      <c r="J1" t="s">
        <v>186</v>
      </c>
      <c r="K1" s="28" t="s">
        <v>187</v>
      </c>
      <c r="L1" t="s">
        <v>188</v>
      </c>
      <c r="M1" s="21" t="s">
        <v>189</v>
      </c>
      <c r="N1" s="21" t="s">
        <v>190</v>
      </c>
      <c r="O1" t="s">
        <v>191</v>
      </c>
      <c r="P1" t="s">
        <v>192</v>
      </c>
    </row>
    <row r="2" spans="1:16">
      <c r="A2">
        <f t="shared" ref="A2:A65" si="0">A1+(B2&lt;&gt;B1)</f>
        <v>1</v>
      </c>
      <c r="B2" t="s">
        <v>580</v>
      </c>
      <c r="C2" t="s">
        <v>581</v>
      </c>
      <c r="D2" t="s">
        <v>205</v>
      </c>
      <c r="E2" t="s">
        <v>582</v>
      </c>
      <c r="F2" t="s">
        <v>583</v>
      </c>
      <c r="G2" t="s">
        <v>584</v>
      </c>
      <c r="H2" t="s">
        <v>381</v>
      </c>
      <c r="I2" t="s">
        <v>200</v>
      </c>
      <c r="J2" t="s">
        <v>585</v>
      </c>
      <c r="K2" s="30">
        <v>43031</v>
      </c>
      <c r="L2" s="8"/>
      <c r="M2" s="21">
        <f>LEN(ProjTextTable[[#This Row],[text]])</f>
        <v>3392</v>
      </c>
      <c r="N2" s="21">
        <f>LEN(TRIM(CLEAN(SUBSTITUTE(ProjTextTable[[#This Row],[text]],CHAR(10)," "))))+1 - LEN(SUBSTITUTE(CLEAN(SUBSTITUTE(ProjTextTable[[#This Row],[text]],CHAR(10)," "))," ",""))</f>
        <v>513</v>
      </c>
      <c r="O2" t="s">
        <v>354</v>
      </c>
      <c r="P2" t="s">
        <v>586</v>
      </c>
    </row>
    <row r="3" spans="1:16">
      <c r="A3">
        <f t="shared" si="0"/>
        <v>1</v>
      </c>
      <c r="B3" t="s">
        <v>580</v>
      </c>
      <c r="C3" t="s">
        <v>581</v>
      </c>
      <c r="D3" t="s">
        <v>194</v>
      </c>
      <c r="E3" t="s">
        <v>582</v>
      </c>
      <c r="F3" t="s">
        <v>587</v>
      </c>
      <c r="G3" t="s">
        <v>588</v>
      </c>
      <c r="H3" t="s">
        <v>589</v>
      </c>
      <c r="I3" t="s">
        <v>209</v>
      </c>
      <c r="J3" t="s">
        <v>176</v>
      </c>
      <c r="K3" s="30">
        <v>43032</v>
      </c>
      <c r="L3" s="8">
        <v>43031.583935185183</v>
      </c>
      <c r="M3" s="21">
        <f>LEN(ProjTextTable[[#This Row],[text]])</f>
        <v>3353</v>
      </c>
      <c r="N3" s="21">
        <f>LEN(TRIM(CLEAN(SUBSTITUTE(ProjTextTable[[#This Row],[text]],CHAR(10)," "))))+1 - LEN(SUBSTITUTE(CLEAN(SUBSTITUTE(ProjTextTable[[#This Row],[text]],CHAR(10)," "))," ",""))</f>
        <v>545</v>
      </c>
      <c r="O3" t="s">
        <v>214</v>
      </c>
      <c r="P3" t="s">
        <v>590</v>
      </c>
    </row>
    <row r="4" spans="1:16">
      <c r="A4">
        <f t="shared" si="0"/>
        <v>1</v>
      </c>
      <c r="B4" t="s">
        <v>580</v>
      </c>
      <c r="C4" t="s">
        <v>581</v>
      </c>
      <c r="D4" t="s">
        <v>194</v>
      </c>
      <c r="E4" t="s">
        <v>582</v>
      </c>
      <c r="F4" t="s">
        <v>591</v>
      </c>
      <c r="G4" t="s">
        <v>592</v>
      </c>
      <c r="H4" t="s">
        <v>593</v>
      </c>
      <c r="I4" t="s">
        <v>209</v>
      </c>
      <c r="J4" t="s">
        <v>176</v>
      </c>
      <c r="K4" s="30">
        <v>43032</v>
      </c>
      <c r="L4" s="8">
        <v>43031.52008101852</v>
      </c>
      <c r="M4" s="21">
        <f>LEN(ProjTextTable[[#This Row],[text]])</f>
        <v>1749</v>
      </c>
      <c r="N4" s="21">
        <f>LEN(TRIM(CLEAN(SUBSTITUTE(ProjTextTable[[#This Row],[text]],CHAR(10)," "))))+1 - LEN(SUBSTITUTE(CLEAN(SUBSTITUTE(ProjTextTable[[#This Row],[text]],CHAR(10)," "))," ",""))</f>
        <v>271</v>
      </c>
      <c r="O4" t="s">
        <v>201</v>
      </c>
      <c r="P4" t="s">
        <v>594</v>
      </c>
    </row>
    <row r="5" spans="1:16">
      <c r="A5">
        <f t="shared" si="0"/>
        <v>1</v>
      </c>
      <c r="B5" t="s">
        <v>580</v>
      </c>
      <c r="C5" t="s">
        <v>581</v>
      </c>
      <c r="D5" t="s">
        <v>194</v>
      </c>
      <c r="E5" t="s">
        <v>582</v>
      </c>
      <c r="F5" t="s">
        <v>595</v>
      </c>
      <c r="G5" t="s">
        <v>596</v>
      </c>
      <c r="H5" t="s">
        <v>597</v>
      </c>
      <c r="I5" t="s">
        <v>209</v>
      </c>
      <c r="J5" t="s">
        <v>176</v>
      </c>
      <c r="K5" s="30">
        <v>43032</v>
      </c>
      <c r="L5" s="8">
        <v>43026.508344907408</v>
      </c>
      <c r="M5" s="21">
        <f>LEN(ProjTextTable[[#This Row],[text]])</f>
        <v>3446</v>
      </c>
      <c r="N5" s="21">
        <f>LEN(TRIM(CLEAN(SUBSTITUTE(ProjTextTable[[#This Row],[text]],CHAR(10)," "))))+1 - LEN(SUBSTITUTE(CLEAN(SUBSTITUTE(ProjTextTable[[#This Row],[text]],CHAR(10)," "))," ",""))</f>
        <v>531</v>
      </c>
      <c r="O5" t="s">
        <v>199</v>
      </c>
      <c r="P5" t="s">
        <v>598</v>
      </c>
    </row>
    <row r="6" spans="1:16">
      <c r="A6">
        <f t="shared" si="0"/>
        <v>1</v>
      </c>
      <c r="B6" t="s">
        <v>580</v>
      </c>
      <c r="C6" t="s">
        <v>581</v>
      </c>
      <c r="D6" t="s">
        <v>194</v>
      </c>
      <c r="E6" t="s">
        <v>579</v>
      </c>
      <c r="F6" t="s">
        <v>599</v>
      </c>
      <c r="G6" t="s">
        <v>600</v>
      </c>
      <c r="H6" t="s">
        <v>601</v>
      </c>
      <c r="I6" t="s">
        <v>209</v>
      </c>
      <c r="J6" t="s">
        <v>176</v>
      </c>
      <c r="K6" s="30">
        <v>43032</v>
      </c>
      <c r="L6" s="8">
        <v>43018.840243055558</v>
      </c>
      <c r="M6" s="21">
        <f>LEN(ProjTextTable[[#This Row],[text]])</f>
        <v>2975</v>
      </c>
      <c r="N6" s="21">
        <f>LEN(TRIM(CLEAN(SUBSTITUTE(ProjTextTable[[#This Row],[text]],CHAR(10)," "))))+1 - LEN(SUBSTITUTE(CLEAN(SUBSTITUTE(ProjTextTable[[#This Row],[text]],CHAR(10)," "))," ",""))</f>
        <v>476</v>
      </c>
      <c r="O6" t="s">
        <v>201</v>
      </c>
      <c r="P6" t="s">
        <v>602</v>
      </c>
    </row>
    <row r="7" spans="1:16">
      <c r="A7">
        <f t="shared" si="0"/>
        <v>1</v>
      </c>
      <c r="B7" t="s">
        <v>580</v>
      </c>
      <c r="C7" t="s">
        <v>581</v>
      </c>
      <c r="D7" t="s">
        <v>196</v>
      </c>
      <c r="E7" t="s">
        <v>579</v>
      </c>
      <c r="F7" t="s">
        <v>13</v>
      </c>
      <c r="G7" t="s">
        <v>13</v>
      </c>
      <c r="H7" t="s">
        <v>13</v>
      </c>
      <c r="K7" s="30"/>
      <c r="L7" s="8">
        <v>42931.442777777775</v>
      </c>
      <c r="M7" s="21">
        <f>LEN(ProjTextTable[[#This Row],[text]])</f>
        <v>3950</v>
      </c>
      <c r="N7" s="21">
        <f>LEN(TRIM(CLEAN(SUBSTITUTE(ProjTextTable[[#This Row],[text]],CHAR(10)," "))))+1 - LEN(SUBSTITUTE(CLEAN(SUBSTITUTE(ProjTextTable[[#This Row],[text]],CHAR(10)," "))," ",""))</f>
        <v>602</v>
      </c>
      <c r="O7" t="s">
        <v>13</v>
      </c>
      <c r="P7" t="s">
        <v>603</v>
      </c>
    </row>
    <row r="8" spans="1:16">
      <c r="A8">
        <f t="shared" si="0"/>
        <v>2</v>
      </c>
      <c r="B8" t="s">
        <v>604</v>
      </c>
      <c r="C8" t="s">
        <v>342</v>
      </c>
      <c r="D8" t="s">
        <v>205</v>
      </c>
      <c r="E8" t="s">
        <v>582</v>
      </c>
      <c r="F8" t="s">
        <v>583</v>
      </c>
      <c r="G8" t="s">
        <v>584</v>
      </c>
      <c r="H8" t="s">
        <v>251</v>
      </c>
      <c r="I8" t="s">
        <v>193</v>
      </c>
      <c r="J8" t="s">
        <v>605</v>
      </c>
      <c r="K8" s="30">
        <v>43031</v>
      </c>
      <c r="L8" s="8"/>
      <c r="M8" s="21">
        <f>LEN(ProjTextTable[[#This Row],[text]])</f>
        <v>4739</v>
      </c>
      <c r="N8" s="21">
        <f>LEN(TRIM(CLEAN(SUBSTITUTE(ProjTextTable[[#This Row],[text]],CHAR(10)," "))))+1 - LEN(SUBSTITUTE(CLEAN(SUBSTITUTE(ProjTextTable[[#This Row],[text]],CHAR(10)," "))," ",""))</f>
        <v>677</v>
      </c>
      <c r="O8" t="s">
        <v>250</v>
      </c>
      <c r="P8" t="s">
        <v>606</v>
      </c>
    </row>
    <row r="9" spans="1:16">
      <c r="A9">
        <f t="shared" si="0"/>
        <v>2</v>
      </c>
      <c r="B9" t="s">
        <v>604</v>
      </c>
      <c r="C9" t="s">
        <v>342</v>
      </c>
      <c r="D9" t="s">
        <v>194</v>
      </c>
      <c r="E9" t="s">
        <v>582</v>
      </c>
      <c r="F9" t="s">
        <v>607</v>
      </c>
      <c r="G9" t="s">
        <v>608</v>
      </c>
      <c r="H9" t="s">
        <v>609</v>
      </c>
      <c r="I9" t="s">
        <v>209</v>
      </c>
      <c r="J9" t="s">
        <v>176</v>
      </c>
      <c r="K9" s="30">
        <v>43032</v>
      </c>
      <c r="L9" s="8">
        <v>43029.002870370372</v>
      </c>
      <c r="M9" s="21">
        <f>LEN(ProjTextTable[[#This Row],[text]])</f>
        <v>3294</v>
      </c>
      <c r="N9" s="21">
        <f>LEN(TRIM(CLEAN(SUBSTITUTE(ProjTextTable[[#This Row],[text]],CHAR(10)," "))))+1 - LEN(SUBSTITUTE(CLEAN(SUBSTITUTE(ProjTextTable[[#This Row],[text]],CHAR(10)," "))," ",""))</f>
        <v>495</v>
      </c>
      <c r="O9" t="s">
        <v>195</v>
      </c>
      <c r="P9" t="s">
        <v>610</v>
      </c>
    </row>
    <row r="10" spans="1:16">
      <c r="A10">
        <f t="shared" si="0"/>
        <v>2</v>
      </c>
      <c r="B10" t="s">
        <v>604</v>
      </c>
      <c r="C10" t="s">
        <v>342</v>
      </c>
      <c r="D10" t="s">
        <v>194</v>
      </c>
      <c r="E10" t="s">
        <v>579</v>
      </c>
      <c r="F10" t="s">
        <v>611</v>
      </c>
      <c r="G10" t="s">
        <v>612</v>
      </c>
      <c r="H10" t="s">
        <v>613</v>
      </c>
      <c r="I10" t="s">
        <v>209</v>
      </c>
      <c r="J10" t="s">
        <v>176</v>
      </c>
      <c r="K10" s="30">
        <v>43032</v>
      </c>
      <c r="L10" s="8">
        <v>43030.179826388892</v>
      </c>
      <c r="M10" s="21">
        <f>LEN(ProjTextTable[[#This Row],[text]])</f>
        <v>2298</v>
      </c>
      <c r="N10" s="21">
        <f>LEN(TRIM(CLEAN(SUBSTITUTE(ProjTextTable[[#This Row],[text]],CHAR(10)," "))))+1 - LEN(SUBSTITUTE(CLEAN(SUBSTITUTE(ProjTextTable[[#This Row],[text]],CHAR(10)," "))," ",""))</f>
        <v>339</v>
      </c>
      <c r="O10" t="s">
        <v>199</v>
      </c>
      <c r="P10" t="s">
        <v>614</v>
      </c>
    </row>
    <row r="11" spans="1:16">
      <c r="A11">
        <f t="shared" si="0"/>
        <v>2</v>
      </c>
      <c r="B11" t="s">
        <v>604</v>
      </c>
      <c r="C11" t="s">
        <v>342</v>
      </c>
      <c r="D11" t="s">
        <v>194</v>
      </c>
      <c r="E11" t="s">
        <v>582</v>
      </c>
      <c r="F11" t="s">
        <v>615</v>
      </c>
      <c r="G11" t="s">
        <v>616</v>
      </c>
      <c r="H11" t="s">
        <v>617</v>
      </c>
      <c r="I11" t="s">
        <v>209</v>
      </c>
      <c r="J11" t="s">
        <v>176</v>
      </c>
      <c r="K11" s="30">
        <v>43032</v>
      </c>
      <c r="L11" s="8">
        <v>43028.861863425926</v>
      </c>
      <c r="M11" s="21">
        <f>LEN(ProjTextTable[[#This Row],[text]])</f>
        <v>2774</v>
      </c>
      <c r="N11" s="21">
        <f>LEN(TRIM(CLEAN(SUBSTITUTE(ProjTextTable[[#This Row],[text]],CHAR(10)," "))))+1 - LEN(SUBSTITUTE(CLEAN(SUBSTITUTE(ProjTextTable[[#This Row],[text]],CHAR(10)," "))," ",""))</f>
        <v>392</v>
      </c>
      <c r="O11" t="s">
        <v>253</v>
      </c>
      <c r="P11" t="s">
        <v>618</v>
      </c>
    </row>
    <row r="12" spans="1:16">
      <c r="A12">
        <f t="shared" si="0"/>
        <v>2</v>
      </c>
      <c r="B12" t="s">
        <v>604</v>
      </c>
      <c r="C12" t="s">
        <v>342</v>
      </c>
      <c r="D12" t="s">
        <v>194</v>
      </c>
      <c r="E12" t="s">
        <v>582</v>
      </c>
      <c r="F12" t="s">
        <v>619</v>
      </c>
      <c r="G12" t="s">
        <v>620</v>
      </c>
      <c r="H12" t="s">
        <v>621</v>
      </c>
      <c r="I12" t="s">
        <v>209</v>
      </c>
      <c r="J12" t="s">
        <v>176</v>
      </c>
      <c r="K12" s="30">
        <v>43032</v>
      </c>
      <c r="L12" s="8">
        <v>43029.985185185185</v>
      </c>
      <c r="M12" s="21">
        <f>LEN(ProjTextTable[[#This Row],[text]])</f>
        <v>3648</v>
      </c>
      <c r="N12" s="21">
        <f>LEN(TRIM(CLEAN(SUBSTITUTE(ProjTextTable[[#This Row],[text]],CHAR(10)," "))))+1 - LEN(SUBSTITUTE(CLEAN(SUBSTITUTE(ProjTextTable[[#This Row],[text]],CHAR(10)," "))," ",""))</f>
        <v>547</v>
      </c>
      <c r="O12" t="s">
        <v>203</v>
      </c>
      <c r="P12" t="s">
        <v>622</v>
      </c>
    </row>
    <row r="13" spans="1:16">
      <c r="A13">
        <f t="shared" si="0"/>
        <v>2</v>
      </c>
      <c r="B13" t="s">
        <v>604</v>
      </c>
      <c r="C13" t="s">
        <v>342</v>
      </c>
      <c r="D13" t="s">
        <v>196</v>
      </c>
      <c r="E13" t="s">
        <v>579</v>
      </c>
      <c r="F13" t="s">
        <v>13</v>
      </c>
      <c r="G13" t="s">
        <v>13</v>
      </c>
      <c r="H13" t="s">
        <v>13</v>
      </c>
      <c r="K13" s="30"/>
      <c r="L13" s="8">
        <v>42934.042766203704</v>
      </c>
      <c r="M13" s="21">
        <f>LEN(ProjTextTable[[#This Row],[text]])</f>
        <v>3482</v>
      </c>
      <c r="N13" s="21">
        <f>LEN(TRIM(CLEAN(SUBSTITUTE(ProjTextTable[[#This Row],[text]],CHAR(10)," "))))+1 - LEN(SUBSTITUTE(CLEAN(SUBSTITUTE(ProjTextTable[[#This Row],[text]],CHAR(10)," "))," ",""))</f>
        <v>489</v>
      </c>
      <c r="O13" t="s">
        <v>13</v>
      </c>
      <c r="P13" t="s">
        <v>623</v>
      </c>
    </row>
    <row r="14" spans="1:16">
      <c r="A14">
        <f t="shared" si="0"/>
        <v>3</v>
      </c>
      <c r="B14" t="s">
        <v>936</v>
      </c>
      <c r="C14" t="s">
        <v>937</v>
      </c>
      <c r="D14" t="s">
        <v>205</v>
      </c>
      <c r="E14" t="s">
        <v>582</v>
      </c>
      <c r="F14" t="s">
        <v>583</v>
      </c>
      <c r="G14" t="s">
        <v>584</v>
      </c>
      <c r="H14" t="s">
        <v>251</v>
      </c>
      <c r="I14" t="s">
        <v>193</v>
      </c>
      <c r="J14" t="s">
        <v>605</v>
      </c>
      <c r="K14" s="30">
        <v>43031</v>
      </c>
      <c r="L14" s="8"/>
      <c r="M14" s="21">
        <f>LEN(ProjTextTable[[#This Row],[text]])</f>
        <v>4890</v>
      </c>
      <c r="N14" s="21">
        <f>LEN(TRIM(CLEAN(SUBSTITUTE(ProjTextTable[[#This Row],[text]],CHAR(10)," "))))+1 - LEN(SUBSTITUTE(CLEAN(SUBSTITUTE(ProjTextTable[[#This Row],[text]],CHAR(10)," "))," ",""))</f>
        <v>733</v>
      </c>
      <c r="O14" t="s">
        <v>250</v>
      </c>
      <c r="P14" t="s">
        <v>938</v>
      </c>
    </row>
    <row r="15" spans="1:16">
      <c r="A15">
        <f t="shared" si="0"/>
        <v>3</v>
      </c>
      <c r="B15" t="s">
        <v>936</v>
      </c>
      <c r="C15" t="s">
        <v>937</v>
      </c>
      <c r="D15" t="s">
        <v>194</v>
      </c>
      <c r="E15" t="s">
        <v>582</v>
      </c>
      <c r="F15" t="s">
        <v>591</v>
      </c>
      <c r="G15" t="s">
        <v>592</v>
      </c>
      <c r="H15" t="s">
        <v>593</v>
      </c>
      <c r="I15" t="s">
        <v>209</v>
      </c>
      <c r="J15" t="s">
        <v>176</v>
      </c>
      <c r="K15" s="30">
        <v>43032</v>
      </c>
      <c r="L15" s="8">
        <v>43032.397743055553</v>
      </c>
      <c r="M15" s="21">
        <f>LEN(ProjTextTable[[#This Row],[text]])</f>
        <v>3674</v>
      </c>
      <c r="N15" s="21">
        <f>LEN(TRIM(CLEAN(SUBSTITUTE(ProjTextTable[[#This Row],[text]],CHAR(10)," "))))+1 - LEN(SUBSTITUTE(CLEAN(SUBSTITUTE(ProjTextTable[[#This Row],[text]],CHAR(10)," "))," ",""))</f>
        <v>555</v>
      </c>
      <c r="O15" t="s">
        <v>195</v>
      </c>
      <c r="P15" t="s">
        <v>939</v>
      </c>
    </row>
    <row r="16" spans="1:16">
      <c r="A16">
        <f t="shared" si="0"/>
        <v>3</v>
      </c>
      <c r="B16" t="s">
        <v>936</v>
      </c>
      <c r="C16" t="s">
        <v>937</v>
      </c>
      <c r="D16" t="s">
        <v>194</v>
      </c>
      <c r="E16" t="s">
        <v>582</v>
      </c>
      <c r="F16" t="s">
        <v>595</v>
      </c>
      <c r="G16" t="s">
        <v>596</v>
      </c>
      <c r="H16" t="s">
        <v>597</v>
      </c>
      <c r="I16" t="s">
        <v>209</v>
      </c>
      <c r="J16" t="s">
        <v>176</v>
      </c>
      <c r="K16" s="30">
        <v>43032</v>
      </c>
      <c r="L16" s="8">
        <v>43026.400833333333</v>
      </c>
      <c r="M16" s="21">
        <f>LEN(ProjTextTable[[#This Row],[text]])</f>
        <v>2867</v>
      </c>
      <c r="N16" s="21">
        <f>LEN(TRIM(CLEAN(SUBSTITUTE(ProjTextTable[[#This Row],[text]],CHAR(10)," "))))+1 - LEN(SUBSTITUTE(CLEAN(SUBSTITUTE(ProjTextTable[[#This Row],[text]],CHAR(10)," "))," ",""))</f>
        <v>428</v>
      </c>
      <c r="O16" t="s">
        <v>198</v>
      </c>
      <c r="P16" t="s">
        <v>940</v>
      </c>
    </row>
    <row r="17" spans="1:16">
      <c r="A17">
        <f t="shared" si="0"/>
        <v>3</v>
      </c>
      <c r="B17" t="s">
        <v>936</v>
      </c>
      <c r="C17" t="s">
        <v>937</v>
      </c>
      <c r="D17" t="s">
        <v>194</v>
      </c>
      <c r="E17" t="s">
        <v>582</v>
      </c>
      <c r="F17" t="s">
        <v>768</v>
      </c>
      <c r="G17" t="s">
        <v>769</v>
      </c>
      <c r="H17" t="s">
        <v>770</v>
      </c>
      <c r="I17" t="s">
        <v>209</v>
      </c>
      <c r="J17" t="s">
        <v>176</v>
      </c>
      <c r="K17" s="30">
        <v>43032</v>
      </c>
      <c r="L17" s="8">
        <v>43032.510775462964</v>
      </c>
      <c r="M17" s="21">
        <f>LEN(ProjTextTable[[#This Row],[text]])</f>
        <v>6678</v>
      </c>
      <c r="N17" s="21">
        <f>LEN(TRIM(CLEAN(SUBSTITUTE(ProjTextTable[[#This Row],[text]],CHAR(10)," "))))+1 - LEN(SUBSTITUTE(CLEAN(SUBSTITUTE(ProjTextTable[[#This Row],[text]],CHAR(10)," "))," ",""))</f>
        <v>1128</v>
      </c>
      <c r="O17" t="s">
        <v>199</v>
      </c>
      <c r="P17" t="s">
        <v>941</v>
      </c>
    </row>
    <row r="18" spans="1:16">
      <c r="A18">
        <f t="shared" si="0"/>
        <v>3</v>
      </c>
      <c r="B18" t="s">
        <v>936</v>
      </c>
      <c r="C18" t="s">
        <v>937</v>
      </c>
      <c r="D18" t="s">
        <v>194</v>
      </c>
      <c r="E18" t="s">
        <v>582</v>
      </c>
      <c r="F18" t="s">
        <v>619</v>
      </c>
      <c r="G18" t="s">
        <v>620</v>
      </c>
      <c r="H18" t="s">
        <v>621</v>
      </c>
      <c r="I18" t="s">
        <v>209</v>
      </c>
      <c r="J18" t="s">
        <v>176</v>
      </c>
      <c r="K18" s="30">
        <v>43032</v>
      </c>
      <c r="L18" s="8">
        <v>43030.016840277778</v>
      </c>
      <c r="M18" s="21">
        <f>LEN(ProjTextTable[[#This Row],[text]])</f>
        <v>2387</v>
      </c>
      <c r="N18" s="21">
        <f>LEN(TRIM(CLEAN(SUBSTITUTE(ProjTextTable[[#This Row],[text]],CHAR(10)," "))))+1 - LEN(SUBSTITUTE(CLEAN(SUBSTITUTE(ProjTextTable[[#This Row],[text]],CHAR(10)," "))," ",""))</f>
        <v>347</v>
      </c>
      <c r="O18" t="s">
        <v>253</v>
      </c>
      <c r="P18" t="s">
        <v>942</v>
      </c>
    </row>
    <row r="19" spans="1:16">
      <c r="A19">
        <f t="shared" si="0"/>
        <v>3</v>
      </c>
      <c r="B19" t="s">
        <v>936</v>
      </c>
      <c r="C19" t="s">
        <v>937</v>
      </c>
      <c r="D19" t="s">
        <v>194</v>
      </c>
      <c r="E19" t="s">
        <v>582</v>
      </c>
      <c r="F19" t="s">
        <v>630</v>
      </c>
      <c r="G19" t="s">
        <v>631</v>
      </c>
      <c r="H19" t="s">
        <v>632</v>
      </c>
      <c r="I19" t="s">
        <v>209</v>
      </c>
      <c r="J19" t="s">
        <v>176</v>
      </c>
      <c r="K19" s="30">
        <v>43032</v>
      </c>
      <c r="L19" s="8">
        <v>43028.956053240741</v>
      </c>
      <c r="M19" s="21">
        <f>LEN(ProjTextTable[[#This Row],[text]])</f>
        <v>1695</v>
      </c>
      <c r="N19" s="21">
        <f>LEN(TRIM(CLEAN(SUBSTITUTE(ProjTextTable[[#This Row],[text]],CHAR(10)," "))))+1 - LEN(SUBSTITUTE(CLEAN(SUBSTITUTE(ProjTextTable[[#This Row],[text]],CHAR(10)," "))," ",""))</f>
        <v>264</v>
      </c>
      <c r="O19" t="s">
        <v>195</v>
      </c>
      <c r="P19" t="s">
        <v>943</v>
      </c>
    </row>
    <row r="20" spans="1:16">
      <c r="A20">
        <f t="shared" si="0"/>
        <v>3</v>
      </c>
      <c r="B20" t="s">
        <v>936</v>
      </c>
      <c r="C20" t="s">
        <v>937</v>
      </c>
      <c r="D20" t="s">
        <v>196</v>
      </c>
      <c r="E20" t="s">
        <v>944</v>
      </c>
      <c r="F20" t="s">
        <v>13</v>
      </c>
      <c r="G20" t="s">
        <v>13</v>
      </c>
      <c r="H20" t="s">
        <v>13</v>
      </c>
      <c r="K20" s="30"/>
      <c r="L20" s="8">
        <v>42934.04283564815</v>
      </c>
      <c r="M20" s="21">
        <f>LEN(ProjTextTable[[#This Row],[text]])</f>
        <v>3485</v>
      </c>
      <c r="N20" s="21">
        <f>LEN(TRIM(CLEAN(SUBSTITUTE(ProjTextTable[[#This Row],[text]],CHAR(10)," "))))+1 - LEN(SUBSTITUTE(CLEAN(SUBSTITUTE(ProjTextTable[[#This Row],[text]],CHAR(10)," "))," ",""))</f>
        <v>473</v>
      </c>
      <c r="O20" t="s">
        <v>13</v>
      </c>
      <c r="P20" t="s">
        <v>945</v>
      </c>
    </row>
    <row r="21" spans="1:16">
      <c r="A21">
        <f t="shared" si="0"/>
        <v>4</v>
      </c>
      <c r="B21" t="s">
        <v>624</v>
      </c>
      <c r="C21" t="s">
        <v>625</v>
      </c>
      <c r="D21" t="s">
        <v>205</v>
      </c>
      <c r="E21" t="s">
        <v>582</v>
      </c>
      <c r="F21" t="s">
        <v>583</v>
      </c>
      <c r="G21" t="s">
        <v>584</v>
      </c>
      <c r="H21" t="s">
        <v>207</v>
      </c>
      <c r="I21" t="s">
        <v>197</v>
      </c>
      <c r="J21" t="s">
        <v>193</v>
      </c>
      <c r="K21" s="30">
        <v>43031</v>
      </c>
      <c r="L21" s="8"/>
      <c r="M21" s="21">
        <f>LEN(ProjTextTable[[#This Row],[text]])</f>
        <v>4547</v>
      </c>
      <c r="N21" s="21">
        <f>LEN(TRIM(CLEAN(SUBSTITUTE(ProjTextTable[[#This Row],[text]],CHAR(10)," "))))+1 - LEN(SUBSTITUTE(CLEAN(SUBSTITUTE(ProjTextTable[[#This Row],[text]],CHAR(10)," "))," ",""))</f>
        <v>673</v>
      </c>
      <c r="O21" t="s">
        <v>208</v>
      </c>
      <c r="P21" t="s">
        <v>626</v>
      </c>
    </row>
    <row r="22" spans="1:16">
      <c r="A22">
        <f t="shared" si="0"/>
        <v>4</v>
      </c>
      <c r="B22" t="s">
        <v>624</v>
      </c>
      <c r="C22" t="s">
        <v>625</v>
      </c>
      <c r="D22" t="s">
        <v>194</v>
      </c>
      <c r="E22" t="s">
        <v>582</v>
      </c>
      <c r="F22" t="s">
        <v>587</v>
      </c>
      <c r="G22" t="s">
        <v>588</v>
      </c>
      <c r="H22" t="s">
        <v>589</v>
      </c>
      <c r="I22" t="s">
        <v>209</v>
      </c>
      <c r="J22" t="s">
        <v>176</v>
      </c>
      <c r="K22" s="30">
        <v>43032</v>
      </c>
      <c r="L22" s="8">
        <v>43031.584305555552</v>
      </c>
      <c r="M22" s="21">
        <f>LEN(ProjTextTable[[#This Row],[text]])</f>
        <v>2413</v>
      </c>
      <c r="N22" s="21">
        <f>LEN(TRIM(CLEAN(SUBSTITUTE(ProjTextTable[[#This Row],[text]],CHAR(10)," "))))+1 - LEN(SUBSTITUTE(CLEAN(SUBSTITUTE(ProjTextTable[[#This Row],[text]],CHAR(10)," "))," ",""))</f>
        <v>378</v>
      </c>
      <c r="O22" t="s">
        <v>198</v>
      </c>
      <c r="P22" t="s">
        <v>627</v>
      </c>
    </row>
    <row r="23" spans="1:16">
      <c r="A23">
        <f t="shared" si="0"/>
        <v>4</v>
      </c>
      <c r="B23" t="s">
        <v>624</v>
      </c>
      <c r="C23" t="s">
        <v>625</v>
      </c>
      <c r="D23" t="s">
        <v>194</v>
      </c>
      <c r="E23" t="s">
        <v>582</v>
      </c>
      <c r="F23" t="s">
        <v>591</v>
      </c>
      <c r="G23" t="s">
        <v>592</v>
      </c>
      <c r="H23" t="s">
        <v>593</v>
      </c>
      <c r="I23" t="s">
        <v>209</v>
      </c>
      <c r="J23" t="s">
        <v>176</v>
      </c>
      <c r="K23" s="30">
        <v>43032</v>
      </c>
      <c r="L23" s="8">
        <v>43031.433321759258</v>
      </c>
      <c r="M23" s="21">
        <f>LEN(ProjTextTable[[#This Row],[text]])</f>
        <v>2325</v>
      </c>
      <c r="N23" s="21">
        <f>LEN(TRIM(CLEAN(SUBSTITUTE(ProjTextTable[[#This Row],[text]],CHAR(10)," "))))+1 - LEN(SUBSTITUTE(CLEAN(SUBSTITUTE(ProjTextTable[[#This Row],[text]],CHAR(10)," "))," ",""))</f>
        <v>359</v>
      </c>
      <c r="O23" t="s">
        <v>202</v>
      </c>
      <c r="P23" t="s">
        <v>628</v>
      </c>
    </row>
    <row r="24" spans="1:16">
      <c r="A24">
        <f t="shared" si="0"/>
        <v>4</v>
      </c>
      <c r="B24" t="s">
        <v>624</v>
      </c>
      <c r="C24" t="s">
        <v>625</v>
      </c>
      <c r="D24" t="s">
        <v>194</v>
      </c>
      <c r="E24" t="s">
        <v>579</v>
      </c>
      <c r="F24" t="s">
        <v>599</v>
      </c>
      <c r="G24" t="s">
        <v>600</v>
      </c>
      <c r="H24" t="s">
        <v>601</v>
      </c>
      <c r="I24" t="s">
        <v>209</v>
      </c>
      <c r="J24" t="s">
        <v>176</v>
      </c>
      <c r="K24" s="30">
        <v>43032</v>
      </c>
      <c r="L24" s="8">
        <v>43018.886724537035</v>
      </c>
      <c r="M24" s="21">
        <f>LEN(ProjTextTable[[#This Row],[text]])</f>
        <v>1961</v>
      </c>
      <c r="N24" s="21">
        <f>LEN(TRIM(CLEAN(SUBSTITUTE(ProjTextTable[[#This Row],[text]],CHAR(10)," "))))+1 - LEN(SUBSTITUTE(CLEAN(SUBSTITUTE(ProjTextTable[[#This Row],[text]],CHAR(10)," "))," ",""))</f>
        <v>296</v>
      </c>
      <c r="O24" t="s">
        <v>199</v>
      </c>
      <c r="P24" t="s">
        <v>629</v>
      </c>
    </row>
    <row r="25" spans="1:16">
      <c r="A25">
        <f t="shared" si="0"/>
        <v>4</v>
      </c>
      <c r="B25" t="s">
        <v>624</v>
      </c>
      <c r="C25" t="s">
        <v>625</v>
      </c>
      <c r="D25" t="s">
        <v>194</v>
      </c>
      <c r="E25" t="s">
        <v>582</v>
      </c>
      <c r="F25" t="s">
        <v>630</v>
      </c>
      <c r="G25" t="s">
        <v>631</v>
      </c>
      <c r="H25" t="s">
        <v>632</v>
      </c>
      <c r="I25" t="s">
        <v>209</v>
      </c>
      <c r="J25" t="s">
        <v>176</v>
      </c>
      <c r="K25" s="30">
        <v>43032</v>
      </c>
      <c r="L25" s="8">
        <v>43029.019606481481</v>
      </c>
      <c r="M25" s="21">
        <f>LEN(ProjTextTable[[#This Row],[text]])</f>
        <v>1910</v>
      </c>
      <c r="N25" s="21">
        <f>LEN(TRIM(CLEAN(SUBSTITUTE(ProjTextTable[[#This Row],[text]],CHAR(10)," "))))+1 - LEN(SUBSTITUTE(CLEAN(SUBSTITUTE(ProjTextTable[[#This Row],[text]],CHAR(10)," "))," ",""))</f>
        <v>279</v>
      </c>
      <c r="O25" t="s">
        <v>199</v>
      </c>
      <c r="P25" t="s">
        <v>633</v>
      </c>
    </row>
    <row r="26" spans="1:16">
      <c r="A26">
        <f t="shared" si="0"/>
        <v>4</v>
      </c>
      <c r="B26" t="s">
        <v>624</v>
      </c>
      <c r="C26" t="s">
        <v>625</v>
      </c>
      <c r="D26" t="s">
        <v>196</v>
      </c>
      <c r="E26" t="s">
        <v>579</v>
      </c>
      <c r="F26" t="s">
        <v>13</v>
      </c>
      <c r="G26" t="s">
        <v>13</v>
      </c>
      <c r="H26" t="s">
        <v>13</v>
      </c>
      <c r="K26" s="30"/>
      <c r="L26" s="8">
        <v>42934.043171296296</v>
      </c>
      <c r="M26" s="21">
        <f>LEN(ProjTextTable[[#This Row],[text]])</f>
        <v>4358</v>
      </c>
      <c r="N26" s="21">
        <f>LEN(TRIM(CLEAN(SUBSTITUTE(ProjTextTable[[#This Row],[text]],CHAR(10)," "))))+1 - LEN(SUBSTITUTE(CLEAN(SUBSTITUTE(ProjTextTable[[#This Row],[text]],CHAR(10)," "))," ",""))</f>
        <v>666</v>
      </c>
      <c r="O26" t="s">
        <v>13</v>
      </c>
      <c r="P26" t="s">
        <v>634</v>
      </c>
    </row>
    <row r="27" spans="1:16">
      <c r="A27">
        <f t="shared" si="0"/>
        <v>5</v>
      </c>
      <c r="B27" t="s">
        <v>635</v>
      </c>
      <c r="C27" t="s">
        <v>344</v>
      </c>
      <c r="D27" t="s">
        <v>205</v>
      </c>
      <c r="E27" t="s">
        <v>582</v>
      </c>
      <c r="F27" t="s">
        <v>583</v>
      </c>
      <c r="G27" t="s">
        <v>584</v>
      </c>
      <c r="H27" t="s">
        <v>247</v>
      </c>
      <c r="I27" t="s">
        <v>95</v>
      </c>
      <c r="J27" t="s">
        <v>95</v>
      </c>
      <c r="K27" s="30">
        <v>43031</v>
      </c>
      <c r="L27" s="8"/>
      <c r="M27" s="21">
        <f>LEN(ProjTextTable[[#This Row],[text]])</f>
        <v>3611</v>
      </c>
      <c r="N27" s="21">
        <f>LEN(TRIM(CLEAN(SUBSTITUTE(ProjTextTable[[#This Row],[text]],CHAR(10)," "))))+1 - LEN(SUBSTITUTE(CLEAN(SUBSTITUTE(ProjTextTable[[#This Row],[text]],CHAR(10)," "))," ",""))</f>
        <v>527</v>
      </c>
      <c r="O27" t="s">
        <v>245</v>
      </c>
      <c r="P27" t="s">
        <v>636</v>
      </c>
    </row>
    <row r="28" spans="1:16">
      <c r="A28">
        <f t="shared" si="0"/>
        <v>5</v>
      </c>
      <c r="B28" t="s">
        <v>635</v>
      </c>
      <c r="C28" t="s">
        <v>344</v>
      </c>
      <c r="D28" t="s">
        <v>194</v>
      </c>
      <c r="E28" t="s">
        <v>582</v>
      </c>
      <c r="F28" t="s">
        <v>615</v>
      </c>
      <c r="G28" t="s">
        <v>616</v>
      </c>
      <c r="H28" t="s">
        <v>617</v>
      </c>
      <c r="I28" t="s">
        <v>209</v>
      </c>
      <c r="J28" t="s">
        <v>176</v>
      </c>
      <c r="K28" s="30">
        <v>43032</v>
      </c>
      <c r="L28" s="8">
        <v>43028.861875000002</v>
      </c>
      <c r="M28" s="21">
        <f>LEN(ProjTextTable[[#This Row],[text]])</f>
        <v>2647</v>
      </c>
      <c r="N28" s="21">
        <f>LEN(TRIM(CLEAN(SUBSTITUTE(ProjTextTable[[#This Row],[text]],CHAR(10)," "))))+1 - LEN(SUBSTITUTE(CLEAN(SUBSTITUTE(ProjTextTable[[#This Row],[text]],CHAR(10)," "))," ",""))</f>
        <v>399</v>
      </c>
      <c r="O28" t="s">
        <v>253</v>
      </c>
      <c r="P28" t="s">
        <v>637</v>
      </c>
    </row>
    <row r="29" spans="1:16">
      <c r="A29">
        <f t="shared" si="0"/>
        <v>5</v>
      </c>
      <c r="B29" t="s">
        <v>635</v>
      </c>
      <c r="C29" t="s">
        <v>344</v>
      </c>
      <c r="D29" t="s">
        <v>194</v>
      </c>
      <c r="E29" t="s">
        <v>582</v>
      </c>
      <c r="F29" t="s">
        <v>591</v>
      </c>
      <c r="G29" t="s">
        <v>592</v>
      </c>
      <c r="H29" t="s">
        <v>593</v>
      </c>
      <c r="I29" t="s">
        <v>209</v>
      </c>
      <c r="J29" t="s">
        <v>176</v>
      </c>
      <c r="K29" s="30">
        <v>43032</v>
      </c>
      <c r="L29" s="8">
        <v>43031.376006944447</v>
      </c>
      <c r="M29" s="21">
        <f>LEN(ProjTextTable[[#This Row],[text]])</f>
        <v>2191</v>
      </c>
      <c r="N29" s="21">
        <f>LEN(TRIM(CLEAN(SUBSTITUTE(ProjTextTable[[#This Row],[text]],CHAR(10)," "))))+1 - LEN(SUBSTITUTE(CLEAN(SUBSTITUTE(ProjTextTable[[#This Row],[text]],CHAR(10)," "))," ",""))</f>
        <v>350</v>
      </c>
      <c r="O29" t="s">
        <v>253</v>
      </c>
      <c r="P29" t="s">
        <v>638</v>
      </c>
    </row>
    <row r="30" spans="1:16">
      <c r="A30">
        <f t="shared" si="0"/>
        <v>5</v>
      </c>
      <c r="B30" t="s">
        <v>635</v>
      </c>
      <c r="C30" t="s">
        <v>344</v>
      </c>
      <c r="D30" t="s">
        <v>194</v>
      </c>
      <c r="E30" t="s">
        <v>582</v>
      </c>
      <c r="F30" t="s">
        <v>595</v>
      </c>
      <c r="G30" t="s">
        <v>596</v>
      </c>
      <c r="H30" t="s">
        <v>597</v>
      </c>
      <c r="I30" t="s">
        <v>209</v>
      </c>
      <c r="J30" t="s">
        <v>176</v>
      </c>
      <c r="K30" s="30">
        <v>43032</v>
      </c>
      <c r="L30" s="8">
        <v>43030.878263888888</v>
      </c>
      <c r="M30" s="21">
        <f>LEN(ProjTextTable[[#This Row],[text]])</f>
        <v>1995</v>
      </c>
      <c r="N30" s="21">
        <f>LEN(TRIM(CLEAN(SUBSTITUTE(ProjTextTable[[#This Row],[text]],CHAR(10)," "))))+1 - LEN(SUBSTITUTE(CLEAN(SUBSTITUTE(ProjTextTable[[#This Row],[text]],CHAR(10)," "))," ",""))</f>
        <v>300</v>
      </c>
      <c r="O30" t="s">
        <v>198</v>
      </c>
      <c r="P30" t="s">
        <v>639</v>
      </c>
    </row>
    <row r="31" spans="1:16">
      <c r="A31">
        <f t="shared" si="0"/>
        <v>5</v>
      </c>
      <c r="B31" t="s">
        <v>635</v>
      </c>
      <c r="C31" t="s">
        <v>344</v>
      </c>
      <c r="D31" t="s">
        <v>194</v>
      </c>
      <c r="E31" t="s">
        <v>579</v>
      </c>
      <c r="F31" t="s">
        <v>599</v>
      </c>
      <c r="G31" t="s">
        <v>600</v>
      </c>
      <c r="H31" t="s">
        <v>601</v>
      </c>
      <c r="I31" t="s">
        <v>209</v>
      </c>
      <c r="J31" t="s">
        <v>176</v>
      </c>
      <c r="K31" s="30">
        <v>43032</v>
      </c>
      <c r="L31" s="8">
        <v>43023.931284722225</v>
      </c>
      <c r="M31" s="21">
        <f>LEN(ProjTextTable[[#This Row],[text]])</f>
        <v>2561</v>
      </c>
      <c r="N31" s="21">
        <f>LEN(TRIM(CLEAN(SUBSTITUTE(ProjTextTable[[#This Row],[text]],CHAR(10)," "))))+1 - LEN(SUBSTITUTE(CLEAN(SUBSTITUTE(ProjTextTable[[#This Row],[text]],CHAR(10)," "))," ",""))</f>
        <v>401</v>
      </c>
      <c r="O31" t="s">
        <v>202</v>
      </c>
      <c r="P31" t="s">
        <v>640</v>
      </c>
    </row>
    <row r="32" spans="1:16">
      <c r="A32">
        <f t="shared" si="0"/>
        <v>5</v>
      </c>
      <c r="B32" t="s">
        <v>635</v>
      </c>
      <c r="C32" t="s">
        <v>344</v>
      </c>
      <c r="D32" t="s">
        <v>196</v>
      </c>
      <c r="E32" t="s">
        <v>579</v>
      </c>
      <c r="F32" t="s">
        <v>13</v>
      </c>
      <c r="G32" t="s">
        <v>13</v>
      </c>
      <c r="H32" t="s">
        <v>13</v>
      </c>
      <c r="K32" s="30"/>
      <c r="L32" s="8">
        <v>42934.043275462966</v>
      </c>
      <c r="M32" s="21">
        <f>LEN(ProjTextTable[[#This Row],[text]])</f>
        <v>3506</v>
      </c>
      <c r="N32" s="21">
        <f>LEN(TRIM(CLEAN(SUBSTITUTE(ProjTextTable[[#This Row],[text]],CHAR(10)," "))))+1 - LEN(SUBSTITUTE(CLEAN(SUBSTITUTE(ProjTextTable[[#This Row],[text]],CHAR(10)," "))," ",""))</f>
        <v>480</v>
      </c>
      <c r="O32" t="s">
        <v>13</v>
      </c>
      <c r="P32" t="s">
        <v>641</v>
      </c>
    </row>
    <row r="33" spans="1:16">
      <c r="A33">
        <f t="shared" si="0"/>
        <v>6</v>
      </c>
      <c r="B33" t="s">
        <v>946</v>
      </c>
      <c r="C33" t="s">
        <v>947</v>
      </c>
      <c r="D33" t="s">
        <v>205</v>
      </c>
      <c r="E33" t="s">
        <v>582</v>
      </c>
      <c r="F33" t="s">
        <v>583</v>
      </c>
      <c r="G33" t="s">
        <v>584</v>
      </c>
      <c r="H33" t="s">
        <v>207</v>
      </c>
      <c r="I33" t="s">
        <v>197</v>
      </c>
      <c r="J33" t="s">
        <v>417</v>
      </c>
      <c r="K33" s="30">
        <v>43031</v>
      </c>
      <c r="L33" s="8"/>
      <c r="M33" s="21">
        <f>LEN(ProjTextTable[[#This Row],[text]])</f>
        <v>3363</v>
      </c>
      <c r="N33" s="21">
        <f>LEN(TRIM(CLEAN(SUBSTITUTE(ProjTextTable[[#This Row],[text]],CHAR(10)," "))))+1 - LEN(SUBSTITUTE(CLEAN(SUBSTITUTE(ProjTextTable[[#This Row],[text]],CHAR(10)," "))," ",""))</f>
        <v>509</v>
      </c>
      <c r="O33" t="s">
        <v>208</v>
      </c>
      <c r="P33" t="s">
        <v>948</v>
      </c>
    </row>
    <row r="34" spans="1:16">
      <c r="A34">
        <f t="shared" si="0"/>
        <v>6</v>
      </c>
      <c r="B34" t="s">
        <v>946</v>
      </c>
      <c r="C34" t="s">
        <v>947</v>
      </c>
      <c r="D34" t="s">
        <v>194</v>
      </c>
      <c r="E34" t="s">
        <v>582</v>
      </c>
      <c r="F34" t="s">
        <v>689</v>
      </c>
      <c r="G34" t="s">
        <v>690</v>
      </c>
      <c r="H34" t="s">
        <v>691</v>
      </c>
      <c r="I34" t="s">
        <v>209</v>
      </c>
      <c r="J34" t="s">
        <v>176</v>
      </c>
      <c r="K34" s="30">
        <v>43032</v>
      </c>
      <c r="L34" s="8">
        <v>43030.868946759256</v>
      </c>
      <c r="M34" s="21">
        <f>LEN(ProjTextTable[[#This Row],[text]])</f>
        <v>3913</v>
      </c>
      <c r="N34" s="21">
        <f>LEN(TRIM(CLEAN(SUBSTITUTE(ProjTextTable[[#This Row],[text]],CHAR(10)," "))))+1 - LEN(SUBSTITUTE(CLEAN(SUBSTITUTE(ProjTextTable[[#This Row],[text]],CHAR(10)," "))," ",""))</f>
        <v>608</v>
      </c>
      <c r="O34" t="s">
        <v>199</v>
      </c>
      <c r="P34" t="s">
        <v>949</v>
      </c>
    </row>
    <row r="35" spans="1:16">
      <c r="A35">
        <f t="shared" si="0"/>
        <v>6</v>
      </c>
      <c r="B35" t="s">
        <v>946</v>
      </c>
      <c r="C35" t="s">
        <v>947</v>
      </c>
      <c r="D35" t="s">
        <v>194</v>
      </c>
      <c r="E35" t="s">
        <v>582</v>
      </c>
      <c r="F35" t="s">
        <v>712</v>
      </c>
      <c r="G35" t="s">
        <v>713</v>
      </c>
      <c r="H35" t="s">
        <v>714</v>
      </c>
      <c r="I35" t="s">
        <v>209</v>
      </c>
      <c r="J35" t="s">
        <v>176</v>
      </c>
      <c r="K35" s="30">
        <v>43032</v>
      </c>
      <c r="L35" s="8">
        <v>43027.621539351851</v>
      </c>
      <c r="M35" s="21">
        <f>LEN(ProjTextTable[[#This Row],[text]])</f>
        <v>2023</v>
      </c>
      <c r="N35" s="21">
        <f>LEN(TRIM(CLEAN(SUBSTITUTE(ProjTextTable[[#This Row],[text]],CHAR(10)," "))))+1 - LEN(SUBSTITUTE(CLEAN(SUBSTITUTE(ProjTextTable[[#This Row],[text]],CHAR(10)," "))," ",""))</f>
        <v>292</v>
      </c>
      <c r="O35" t="s">
        <v>199</v>
      </c>
      <c r="P35" t="s">
        <v>950</v>
      </c>
    </row>
    <row r="36" spans="1:16">
      <c r="A36">
        <f t="shared" si="0"/>
        <v>6</v>
      </c>
      <c r="B36" t="s">
        <v>946</v>
      </c>
      <c r="C36" t="s">
        <v>947</v>
      </c>
      <c r="D36" t="s">
        <v>194</v>
      </c>
      <c r="E36" t="s">
        <v>582</v>
      </c>
      <c r="F36" t="s">
        <v>768</v>
      </c>
      <c r="G36" t="s">
        <v>769</v>
      </c>
      <c r="H36" t="s">
        <v>770</v>
      </c>
      <c r="I36" t="s">
        <v>209</v>
      </c>
      <c r="J36" t="s">
        <v>176</v>
      </c>
      <c r="K36" s="30">
        <v>43032</v>
      </c>
      <c r="L36" s="8">
        <v>43032.51840277778</v>
      </c>
      <c r="M36" s="21">
        <f>LEN(ProjTextTable[[#This Row],[text]])</f>
        <v>6091</v>
      </c>
      <c r="N36" s="21">
        <f>LEN(TRIM(CLEAN(SUBSTITUTE(ProjTextTable[[#This Row],[text]],CHAR(10)," "))))+1 - LEN(SUBSTITUTE(CLEAN(SUBSTITUTE(ProjTextTable[[#This Row],[text]],CHAR(10)," "))," ",""))</f>
        <v>1005</v>
      </c>
      <c r="O36" t="s">
        <v>199</v>
      </c>
      <c r="P36" t="s">
        <v>951</v>
      </c>
    </row>
    <row r="37" spans="1:16">
      <c r="A37">
        <f t="shared" si="0"/>
        <v>6</v>
      </c>
      <c r="B37" t="s">
        <v>946</v>
      </c>
      <c r="C37" t="s">
        <v>947</v>
      </c>
      <c r="D37" t="s">
        <v>194</v>
      </c>
      <c r="E37" t="s">
        <v>582</v>
      </c>
      <c r="F37" t="s">
        <v>651</v>
      </c>
      <c r="G37" t="s">
        <v>652</v>
      </c>
      <c r="H37" t="s">
        <v>653</v>
      </c>
      <c r="I37" t="s">
        <v>209</v>
      </c>
      <c r="J37" t="s">
        <v>176</v>
      </c>
      <c r="K37" s="30">
        <v>43032</v>
      </c>
      <c r="L37" s="8">
        <v>43026.70616898148</v>
      </c>
      <c r="M37" s="21">
        <f>LEN(ProjTextTable[[#This Row],[text]])</f>
        <v>2375</v>
      </c>
      <c r="N37" s="21">
        <f>LEN(TRIM(CLEAN(SUBSTITUTE(ProjTextTable[[#This Row],[text]],CHAR(10)," "))))+1 - LEN(SUBSTITUTE(CLEAN(SUBSTITUTE(ProjTextTable[[#This Row],[text]],CHAR(10)," "))," ",""))</f>
        <v>373</v>
      </c>
      <c r="O37" t="s">
        <v>195</v>
      </c>
      <c r="P37" t="s">
        <v>952</v>
      </c>
    </row>
    <row r="38" spans="1:16">
      <c r="A38">
        <f t="shared" si="0"/>
        <v>6</v>
      </c>
      <c r="B38" t="s">
        <v>946</v>
      </c>
      <c r="C38" t="s">
        <v>947</v>
      </c>
      <c r="D38" t="s">
        <v>196</v>
      </c>
      <c r="E38" t="s">
        <v>944</v>
      </c>
      <c r="F38" t="s">
        <v>13</v>
      </c>
      <c r="G38" t="s">
        <v>13</v>
      </c>
      <c r="H38" t="s">
        <v>13</v>
      </c>
      <c r="K38" s="30"/>
      <c r="L38" s="8">
        <v>42935.042743055557</v>
      </c>
      <c r="M38" s="21">
        <f>LEN(ProjTextTable[[#This Row],[text]])</f>
        <v>4068</v>
      </c>
      <c r="N38" s="21">
        <f>LEN(TRIM(CLEAN(SUBSTITUTE(ProjTextTable[[#This Row],[text]],CHAR(10)," "))))+1 - LEN(SUBSTITUTE(CLEAN(SUBSTITUTE(ProjTextTable[[#This Row],[text]],CHAR(10)," "))," ",""))</f>
        <v>585</v>
      </c>
      <c r="O38" t="s">
        <v>13</v>
      </c>
      <c r="P38" t="s">
        <v>953</v>
      </c>
    </row>
    <row r="39" spans="1:16">
      <c r="A39">
        <f t="shared" si="0"/>
        <v>7</v>
      </c>
      <c r="B39" t="s">
        <v>954</v>
      </c>
      <c r="C39" t="s">
        <v>955</v>
      </c>
      <c r="D39" t="s">
        <v>205</v>
      </c>
      <c r="E39" t="s">
        <v>582</v>
      </c>
      <c r="F39" t="s">
        <v>583</v>
      </c>
      <c r="G39" t="s">
        <v>584</v>
      </c>
      <c r="H39" t="s">
        <v>207</v>
      </c>
      <c r="I39" t="s">
        <v>197</v>
      </c>
      <c r="J39" t="s">
        <v>707</v>
      </c>
      <c r="K39" s="30">
        <v>43031</v>
      </c>
      <c r="L39" s="8"/>
      <c r="M39" s="21">
        <f>LEN(ProjTextTable[[#This Row],[text]])</f>
        <v>4027</v>
      </c>
      <c r="N39" s="21">
        <f>LEN(TRIM(CLEAN(SUBSTITUTE(ProjTextTable[[#This Row],[text]],CHAR(10)," "))))+1 - LEN(SUBSTITUTE(CLEAN(SUBSTITUTE(ProjTextTable[[#This Row],[text]],CHAR(10)," "))," ",""))</f>
        <v>611</v>
      </c>
      <c r="O39" t="s">
        <v>208</v>
      </c>
      <c r="P39" t="s">
        <v>956</v>
      </c>
    </row>
    <row r="40" spans="1:16">
      <c r="A40">
        <f t="shared" si="0"/>
        <v>7</v>
      </c>
      <c r="B40" t="s">
        <v>954</v>
      </c>
      <c r="C40" t="s">
        <v>955</v>
      </c>
      <c r="D40" t="s">
        <v>194</v>
      </c>
      <c r="E40" t="s">
        <v>582</v>
      </c>
      <c r="F40" t="s">
        <v>615</v>
      </c>
      <c r="G40" t="s">
        <v>616</v>
      </c>
      <c r="H40" t="s">
        <v>617</v>
      </c>
      <c r="I40" t="s">
        <v>209</v>
      </c>
      <c r="J40" t="s">
        <v>176</v>
      </c>
      <c r="K40" s="30">
        <v>43032</v>
      </c>
      <c r="L40" s="8">
        <v>43028.861875000002</v>
      </c>
      <c r="M40" s="21">
        <f>LEN(ProjTextTable[[#This Row],[text]])</f>
        <v>2572</v>
      </c>
      <c r="N40" s="21">
        <f>LEN(TRIM(CLEAN(SUBSTITUTE(ProjTextTable[[#This Row],[text]],CHAR(10)," "))))+1 - LEN(SUBSTITUTE(CLEAN(SUBSTITUTE(ProjTextTable[[#This Row],[text]],CHAR(10)," "))," ",""))</f>
        <v>393</v>
      </c>
      <c r="O40" t="s">
        <v>199</v>
      </c>
      <c r="P40" t="s">
        <v>957</v>
      </c>
    </row>
    <row r="41" spans="1:16">
      <c r="A41">
        <f t="shared" si="0"/>
        <v>7</v>
      </c>
      <c r="B41" t="s">
        <v>954</v>
      </c>
      <c r="C41" t="s">
        <v>955</v>
      </c>
      <c r="D41" t="s">
        <v>194</v>
      </c>
      <c r="E41" t="s">
        <v>944</v>
      </c>
      <c r="F41" t="s">
        <v>599</v>
      </c>
      <c r="G41" t="s">
        <v>600</v>
      </c>
      <c r="H41" t="s">
        <v>601</v>
      </c>
      <c r="I41" t="s">
        <v>209</v>
      </c>
      <c r="J41" t="s">
        <v>176</v>
      </c>
      <c r="K41" s="30">
        <v>43032</v>
      </c>
      <c r="L41" s="8">
        <v>43017.899826388886</v>
      </c>
      <c r="M41" s="21">
        <f>LEN(ProjTextTable[[#This Row],[text]])</f>
        <v>3376</v>
      </c>
      <c r="N41" s="21">
        <f>LEN(TRIM(CLEAN(SUBSTITUTE(ProjTextTable[[#This Row],[text]],CHAR(10)," "))))+1 - LEN(SUBSTITUTE(CLEAN(SUBSTITUTE(ProjTextTable[[#This Row],[text]],CHAR(10)," "))," ",""))</f>
        <v>539</v>
      </c>
      <c r="O41" t="s">
        <v>199</v>
      </c>
      <c r="P41" t="s">
        <v>958</v>
      </c>
    </row>
    <row r="42" spans="1:16">
      <c r="A42">
        <f t="shared" si="0"/>
        <v>7</v>
      </c>
      <c r="B42" t="s">
        <v>954</v>
      </c>
      <c r="C42" t="s">
        <v>955</v>
      </c>
      <c r="D42" t="s">
        <v>194</v>
      </c>
      <c r="E42" t="s">
        <v>582</v>
      </c>
      <c r="F42" t="s">
        <v>768</v>
      </c>
      <c r="G42" t="s">
        <v>769</v>
      </c>
      <c r="H42" t="s">
        <v>770</v>
      </c>
      <c r="I42" t="s">
        <v>209</v>
      </c>
      <c r="J42" t="s">
        <v>176</v>
      </c>
      <c r="K42" s="30">
        <v>43032</v>
      </c>
      <c r="L42" s="8">
        <v>43032.515555555554</v>
      </c>
      <c r="M42" s="21">
        <f>LEN(ProjTextTable[[#This Row],[text]])</f>
        <v>5884</v>
      </c>
      <c r="N42" s="21">
        <f>LEN(TRIM(CLEAN(SUBSTITUTE(ProjTextTable[[#This Row],[text]],CHAR(10)," "))))+1 - LEN(SUBSTITUTE(CLEAN(SUBSTITUTE(ProjTextTable[[#This Row],[text]],CHAR(10)," "))," ",""))</f>
        <v>993</v>
      </c>
      <c r="O42" t="s">
        <v>199</v>
      </c>
      <c r="P42" t="s">
        <v>959</v>
      </c>
    </row>
    <row r="43" spans="1:16">
      <c r="A43">
        <f t="shared" si="0"/>
        <v>7</v>
      </c>
      <c r="B43" t="s">
        <v>954</v>
      </c>
      <c r="C43" t="s">
        <v>955</v>
      </c>
      <c r="D43" t="s">
        <v>194</v>
      </c>
      <c r="E43" t="s">
        <v>582</v>
      </c>
      <c r="F43" t="s">
        <v>645</v>
      </c>
      <c r="G43" t="s">
        <v>646</v>
      </c>
      <c r="H43" t="s">
        <v>647</v>
      </c>
      <c r="I43" t="s">
        <v>209</v>
      </c>
      <c r="J43" t="s">
        <v>176</v>
      </c>
      <c r="K43" s="30">
        <v>43032</v>
      </c>
      <c r="L43" s="8">
        <v>43030.115324074075</v>
      </c>
      <c r="M43" s="21">
        <f>LEN(ProjTextTable[[#This Row],[text]])</f>
        <v>2904</v>
      </c>
      <c r="N43" s="21">
        <f>LEN(TRIM(CLEAN(SUBSTITUTE(ProjTextTable[[#This Row],[text]],CHAR(10)," "))))+1 - LEN(SUBSTITUTE(CLEAN(SUBSTITUTE(ProjTextTable[[#This Row],[text]],CHAR(10)," "))," ",""))</f>
        <v>453</v>
      </c>
      <c r="O43" t="s">
        <v>253</v>
      </c>
      <c r="P43" t="s">
        <v>960</v>
      </c>
    </row>
    <row r="44" spans="1:16">
      <c r="A44">
        <f t="shared" si="0"/>
        <v>8</v>
      </c>
      <c r="B44" t="s">
        <v>961</v>
      </c>
      <c r="C44" t="s">
        <v>962</v>
      </c>
      <c r="D44" t="s">
        <v>205</v>
      </c>
      <c r="E44" t="s">
        <v>582</v>
      </c>
      <c r="F44" t="s">
        <v>658</v>
      </c>
      <c r="G44" t="s">
        <v>659</v>
      </c>
      <c r="H44" t="s">
        <v>207</v>
      </c>
      <c r="I44" t="s">
        <v>197</v>
      </c>
      <c r="J44" t="s">
        <v>707</v>
      </c>
      <c r="K44" s="30">
        <v>43059</v>
      </c>
      <c r="L44" s="8"/>
      <c r="M44" s="21">
        <f>LEN(ProjTextTable[[#This Row],[text]])</f>
        <v>2457</v>
      </c>
      <c r="N44" s="21">
        <f>LEN(TRIM(CLEAN(SUBSTITUTE(ProjTextTable[[#This Row],[text]],CHAR(10)," "))))+1 - LEN(SUBSTITUTE(CLEAN(SUBSTITUTE(ProjTextTable[[#This Row],[text]],CHAR(10)," "))," ",""))</f>
        <v>367</v>
      </c>
      <c r="O44" t="s">
        <v>208</v>
      </c>
      <c r="P44" t="s">
        <v>963</v>
      </c>
    </row>
    <row r="45" spans="1:16">
      <c r="A45">
        <f t="shared" si="0"/>
        <v>8</v>
      </c>
      <c r="B45" t="s">
        <v>961</v>
      </c>
      <c r="C45" t="s">
        <v>962</v>
      </c>
      <c r="D45" t="s">
        <v>194</v>
      </c>
      <c r="E45" t="s">
        <v>582</v>
      </c>
      <c r="F45" t="s">
        <v>930</v>
      </c>
      <c r="G45" t="s">
        <v>931</v>
      </c>
      <c r="H45" t="s">
        <v>932</v>
      </c>
      <c r="I45" t="s">
        <v>209</v>
      </c>
      <c r="J45" t="s">
        <v>176</v>
      </c>
      <c r="K45" s="30">
        <v>43060</v>
      </c>
      <c r="L45" s="8">
        <v>43058.884155092594</v>
      </c>
      <c r="M45" s="21">
        <f>LEN(ProjTextTable[[#This Row],[text]])</f>
        <v>3205</v>
      </c>
      <c r="N45" s="21">
        <f>LEN(TRIM(CLEAN(SUBSTITUTE(ProjTextTable[[#This Row],[text]],CHAR(10)," "))))+1 - LEN(SUBSTITUTE(CLEAN(SUBSTITUTE(ProjTextTable[[#This Row],[text]],CHAR(10)," "))," ",""))</f>
        <v>478</v>
      </c>
      <c r="O45" t="s">
        <v>199</v>
      </c>
      <c r="P45" t="s">
        <v>964</v>
      </c>
    </row>
    <row r="46" spans="1:16">
      <c r="A46">
        <f t="shared" si="0"/>
        <v>8</v>
      </c>
      <c r="B46" t="s">
        <v>961</v>
      </c>
      <c r="C46" t="s">
        <v>962</v>
      </c>
      <c r="D46" t="s">
        <v>194</v>
      </c>
      <c r="E46" t="s">
        <v>582</v>
      </c>
      <c r="F46" t="s">
        <v>933</v>
      </c>
      <c r="G46" t="s">
        <v>934</v>
      </c>
      <c r="H46" t="s">
        <v>935</v>
      </c>
      <c r="I46" t="s">
        <v>209</v>
      </c>
      <c r="J46" t="s">
        <v>176</v>
      </c>
      <c r="K46" s="30">
        <v>43060</v>
      </c>
      <c r="L46" s="8">
        <v>43055.8827662037</v>
      </c>
      <c r="M46" s="21">
        <f>LEN(ProjTextTable[[#This Row],[text]])</f>
        <v>1731</v>
      </c>
      <c r="N46" s="21">
        <f>LEN(TRIM(CLEAN(SUBSTITUTE(ProjTextTable[[#This Row],[text]],CHAR(10)," "))))+1 - LEN(SUBSTITUTE(CLEAN(SUBSTITUTE(ProjTextTable[[#This Row],[text]],CHAR(10)," "))," ",""))</f>
        <v>268</v>
      </c>
      <c r="O46" t="s">
        <v>253</v>
      </c>
      <c r="P46" t="s">
        <v>965</v>
      </c>
    </row>
    <row r="47" spans="1:16">
      <c r="A47">
        <f t="shared" si="0"/>
        <v>8</v>
      </c>
      <c r="B47" t="s">
        <v>961</v>
      </c>
      <c r="C47" t="s">
        <v>962</v>
      </c>
      <c r="D47" t="s">
        <v>194</v>
      </c>
      <c r="E47" t="s">
        <v>582</v>
      </c>
      <c r="F47" t="s">
        <v>966</v>
      </c>
      <c r="G47" t="s">
        <v>967</v>
      </c>
      <c r="H47" t="s">
        <v>968</v>
      </c>
      <c r="I47" t="s">
        <v>209</v>
      </c>
      <c r="J47" t="s">
        <v>176</v>
      </c>
      <c r="K47" s="30">
        <v>43060</v>
      </c>
      <c r="L47" s="8">
        <v>43059.920208333337</v>
      </c>
      <c r="M47" s="21">
        <f>LEN(ProjTextTable[[#This Row],[text]])</f>
        <v>1340</v>
      </c>
      <c r="N47" s="21">
        <f>LEN(TRIM(CLEAN(SUBSTITUTE(ProjTextTable[[#This Row],[text]],CHAR(10)," "))))+1 - LEN(SUBSTITUTE(CLEAN(SUBSTITUTE(ProjTextTable[[#This Row],[text]],CHAR(10)," "))," ",""))</f>
        <v>195</v>
      </c>
      <c r="O47" t="s">
        <v>195</v>
      </c>
      <c r="P47" t="s">
        <v>969</v>
      </c>
    </row>
    <row r="48" spans="1:16">
      <c r="A48">
        <f t="shared" si="0"/>
        <v>8</v>
      </c>
      <c r="B48" t="s">
        <v>961</v>
      </c>
      <c r="C48" t="s">
        <v>962</v>
      </c>
      <c r="D48" t="s">
        <v>194</v>
      </c>
      <c r="E48" t="s">
        <v>582</v>
      </c>
      <c r="F48" t="s">
        <v>970</v>
      </c>
      <c r="G48" t="s">
        <v>971</v>
      </c>
      <c r="H48" t="s">
        <v>972</v>
      </c>
      <c r="I48" t="s">
        <v>209</v>
      </c>
      <c r="J48" t="s">
        <v>176</v>
      </c>
      <c r="K48" s="30">
        <v>43060</v>
      </c>
      <c r="L48" s="8">
        <v>43056.618009259262</v>
      </c>
      <c r="M48" s="21">
        <f>LEN(ProjTextTable[[#This Row],[text]])</f>
        <v>1555</v>
      </c>
      <c r="N48" s="21">
        <f>LEN(TRIM(CLEAN(SUBSTITUTE(ProjTextTable[[#This Row],[text]],CHAR(10)," "))))+1 - LEN(SUBSTITUTE(CLEAN(SUBSTITUTE(ProjTextTable[[#This Row],[text]],CHAR(10)," "))," ",""))</f>
        <v>240</v>
      </c>
      <c r="O48" t="s">
        <v>199</v>
      </c>
      <c r="P48" t="s">
        <v>973</v>
      </c>
    </row>
    <row r="49" spans="1:16">
      <c r="A49">
        <f t="shared" si="0"/>
        <v>9</v>
      </c>
      <c r="B49" t="s">
        <v>642</v>
      </c>
      <c r="C49" t="s">
        <v>643</v>
      </c>
      <c r="D49" t="s">
        <v>205</v>
      </c>
      <c r="E49" t="s">
        <v>582</v>
      </c>
      <c r="F49" t="s">
        <v>583</v>
      </c>
      <c r="G49" t="s">
        <v>584</v>
      </c>
      <c r="H49" t="s">
        <v>207</v>
      </c>
      <c r="I49" t="s">
        <v>197</v>
      </c>
      <c r="J49" t="s">
        <v>254</v>
      </c>
      <c r="K49" s="30">
        <v>43031</v>
      </c>
      <c r="L49" s="8"/>
      <c r="M49" s="21">
        <f>LEN(ProjTextTable[[#This Row],[text]])</f>
        <v>3492</v>
      </c>
      <c r="N49" s="21">
        <f>LEN(TRIM(CLEAN(SUBSTITUTE(ProjTextTable[[#This Row],[text]],CHAR(10)," "))))+1 - LEN(SUBSTITUTE(CLEAN(SUBSTITUTE(ProjTextTable[[#This Row],[text]],CHAR(10)," "))," ",""))</f>
        <v>501</v>
      </c>
      <c r="O49" t="s">
        <v>208</v>
      </c>
      <c r="P49" t="s">
        <v>644</v>
      </c>
    </row>
    <row r="50" spans="1:16">
      <c r="A50">
        <f t="shared" si="0"/>
        <v>9</v>
      </c>
      <c r="B50" t="s">
        <v>642</v>
      </c>
      <c r="C50" t="s">
        <v>643</v>
      </c>
      <c r="D50" t="s">
        <v>194</v>
      </c>
      <c r="E50" t="s">
        <v>582</v>
      </c>
      <c r="F50" t="s">
        <v>645</v>
      </c>
      <c r="G50" t="s">
        <v>646</v>
      </c>
      <c r="H50" t="s">
        <v>647</v>
      </c>
      <c r="I50" t="s">
        <v>209</v>
      </c>
      <c r="J50" t="s">
        <v>176</v>
      </c>
      <c r="K50" s="30">
        <v>43032</v>
      </c>
      <c r="L50" s="8">
        <v>43030.723078703704</v>
      </c>
      <c r="M50" s="21">
        <f>LEN(ProjTextTable[[#This Row],[text]])</f>
        <v>2678</v>
      </c>
      <c r="N50" s="21">
        <f>LEN(TRIM(CLEAN(SUBSTITUTE(ProjTextTable[[#This Row],[text]],CHAR(10)," "))))+1 - LEN(SUBSTITUTE(CLEAN(SUBSTITUTE(ProjTextTable[[#This Row],[text]],CHAR(10)," "))," ",""))</f>
        <v>407</v>
      </c>
      <c r="O50" t="s">
        <v>199</v>
      </c>
      <c r="P50" t="s">
        <v>648</v>
      </c>
    </row>
    <row r="51" spans="1:16">
      <c r="A51">
        <f t="shared" si="0"/>
        <v>9</v>
      </c>
      <c r="B51" t="s">
        <v>642</v>
      </c>
      <c r="C51" t="s">
        <v>643</v>
      </c>
      <c r="D51" t="s">
        <v>194</v>
      </c>
      <c r="E51" t="s">
        <v>582</v>
      </c>
      <c r="F51" t="s">
        <v>619</v>
      </c>
      <c r="G51" t="s">
        <v>620</v>
      </c>
      <c r="H51" t="s">
        <v>621</v>
      </c>
      <c r="I51" t="s">
        <v>209</v>
      </c>
      <c r="J51" t="s">
        <v>176</v>
      </c>
      <c r="K51" s="30">
        <v>43032</v>
      </c>
      <c r="L51" s="8">
        <v>43030.031655092593</v>
      </c>
      <c r="M51" s="21">
        <f>LEN(ProjTextTable[[#This Row],[text]])</f>
        <v>2970</v>
      </c>
      <c r="N51" s="21">
        <f>LEN(TRIM(CLEAN(SUBSTITUTE(ProjTextTable[[#This Row],[text]],CHAR(10)," "))))+1 - LEN(SUBSTITUTE(CLEAN(SUBSTITUTE(ProjTextTable[[#This Row],[text]],CHAR(10)," "))," ",""))</f>
        <v>441</v>
      </c>
      <c r="O51" t="s">
        <v>199</v>
      </c>
      <c r="P51" t="s">
        <v>649</v>
      </c>
    </row>
    <row r="52" spans="1:16">
      <c r="A52">
        <f t="shared" si="0"/>
        <v>9</v>
      </c>
      <c r="B52" t="s">
        <v>642</v>
      </c>
      <c r="C52" t="s">
        <v>643</v>
      </c>
      <c r="D52" t="s">
        <v>194</v>
      </c>
      <c r="E52" t="s">
        <v>582</v>
      </c>
      <c r="F52" t="s">
        <v>630</v>
      </c>
      <c r="G52" t="s">
        <v>631</v>
      </c>
      <c r="H52" t="s">
        <v>632</v>
      </c>
      <c r="I52" t="s">
        <v>209</v>
      </c>
      <c r="J52" t="s">
        <v>176</v>
      </c>
      <c r="K52" s="30">
        <v>43032</v>
      </c>
      <c r="L52" s="8">
        <v>43029.774409722224</v>
      </c>
      <c r="M52" s="21">
        <f>LEN(ProjTextTable[[#This Row],[text]])</f>
        <v>1606</v>
      </c>
      <c r="N52" s="21">
        <f>LEN(TRIM(CLEAN(SUBSTITUTE(ProjTextTable[[#This Row],[text]],CHAR(10)," "))))+1 - LEN(SUBSTITUTE(CLEAN(SUBSTITUTE(ProjTextTable[[#This Row],[text]],CHAR(10)," "))," ",""))</f>
        <v>239</v>
      </c>
      <c r="O52" t="s">
        <v>195</v>
      </c>
      <c r="P52" t="s">
        <v>650</v>
      </c>
    </row>
    <row r="53" spans="1:16">
      <c r="A53">
        <f t="shared" si="0"/>
        <v>9</v>
      </c>
      <c r="B53" t="s">
        <v>642</v>
      </c>
      <c r="C53" t="s">
        <v>643</v>
      </c>
      <c r="D53" t="s">
        <v>194</v>
      </c>
      <c r="E53" t="s">
        <v>582</v>
      </c>
      <c r="F53" t="s">
        <v>651</v>
      </c>
      <c r="G53" t="s">
        <v>652</v>
      </c>
      <c r="H53" t="s">
        <v>653</v>
      </c>
      <c r="I53" t="s">
        <v>209</v>
      </c>
      <c r="J53" t="s">
        <v>176</v>
      </c>
      <c r="K53" s="30">
        <v>43032</v>
      </c>
      <c r="L53" s="8">
        <v>43027.338993055557</v>
      </c>
      <c r="M53" s="21">
        <f>LEN(ProjTextTable[[#This Row],[text]])</f>
        <v>3261</v>
      </c>
      <c r="N53" s="21">
        <f>LEN(TRIM(CLEAN(SUBSTITUTE(ProjTextTable[[#This Row],[text]],CHAR(10)," "))))+1 - LEN(SUBSTITUTE(CLEAN(SUBSTITUTE(ProjTextTable[[#This Row],[text]],CHAR(10)," "))," ",""))</f>
        <v>511</v>
      </c>
      <c r="O53" t="s">
        <v>198</v>
      </c>
      <c r="P53" t="s">
        <v>654</v>
      </c>
    </row>
    <row r="54" spans="1:16">
      <c r="A54">
        <f t="shared" si="0"/>
        <v>9</v>
      </c>
      <c r="B54" t="s">
        <v>642</v>
      </c>
      <c r="C54" t="s">
        <v>643</v>
      </c>
      <c r="D54" t="s">
        <v>196</v>
      </c>
      <c r="E54" t="s">
        <v>582</v>
      </c>
      <c r="F54" t="s">
        <v>13</v>
      </c>
      <c r="G54" t="s">
        <v>13</v>
      </c>
      <c r="H54" t="s">
        <v>13</v>
      </c>
      <c r="K54" s="30"/>
      <c r="L54" s="8">
        <v>42935.042881944442</v>
      </c>
      <c r="M54" s="21">
        <f>LEN(ProjTextTable[[#This Row],[text]])</f>
        <v>4012</v>
      </c>
      <c r="N54" s="21">
        <f>LEN(TRIM(CLEAN(SUBSTITUTE(ProjTextTable[[#This Row],[text]],CHAR(10)," "))))+1 - LEN(SUBSTITUTE(CLEAN(SUBSTITUTE(ProjTextTable[[#This Row],[text]],CHAR(10)," "))," ",""))</f>
        <v>584</v>
      </c>
      <c r="O54" t="s">
        <v>13</v>
      </c>
      <c r="P54" t="s">
        <v>655</v>
      </c>
    </row>
    <row r="55" spans="1:16">
      <c r="A55">
        <f t="shared" si="0"/>
        <v>10</v>
      </c>
      <c r="B55" t="s">
        <v>656</v>
      </c>
      <c r="C55" t="s">
        <v>657</v>
      </c>
      <c r="D55" t="s">
        <v>205</v>
      </c>
      <c r="E55" t="s">
        <v>582</v>
      </c>
      <c r="F55" t="s">
        <v>658</v>
      </c>
      <c r="G55" t="s">
        <v>659</v>
      </c>
      <c r="H55" t="s">
        <v>207</v>
      </c>
      <c r="I55" t="s">
        <v>197</v>
      </c>
      <c r="J55" t="s">
        <v>200</v>
      </c>
      <c r="K55" s="30">
        <v>43059</v>
      </c>
      <c r="L55" s="8"/>
      <c r="M55" s="21">
        <f>LEN(ProjTextTable[[#This Row],[text]])</f>
        <v>2672</v>
      </c>
      <c r="N55" s="21">
        <f>LEN(TRIM(CLEAN(SUBSTITUTE(ProjTextTable[[#This Row],[text]],CHAR(10)," "))))+1 - LEN(SUBSTITUTE(CLEAN(SUBSTITUTE(ProjTextTable[[#This Row],[text]],CHAR(10)," "))," ",""))</f>
        <v>394</v>
      </c>
      <c r="O55" t="s">
        <v>208</v>
      </c>
      <c r="P55" t="s">
        <v>660</v>
      </c>
    </row>
    <row r="56" spans="1:16">
      <c r="A56">
        <f t="shared" si="0"/>
        <v>10</v>
      </c>
      <c r="B56" t="s">
        <v>656</v>
      </c>
      <c r="C56" t="s">
        <v>657</v>
      </c>
      <c r="D56" t="s">
        <v>194</v>
      </c>
      <c r="E56" t="s">
        <v>579</v>
      </c>
      <c r="F56" t="s">
        <v>661</v>
      </c>
      <c r="G56" t="s">
        <v>662</v>
      </c>
      <c r="H56" t="s">
        <v>663</v>
      </c>
      <c r="I56" t="s">
        <v>209</v>
      </c>
      <c r="J56" t="s">
        <v>176</v>
      </c>
      <c r="K56" s="30">
        <v>43060</v>
      </c>
      <c r="L56" s="8">
        <v>43059.664166666669</v>
      </c>
      <c r="M56" s="21">
        <f>LEN(ProjTextTable[[#This Row],[text]])</f>
        <v>1844</v>
      </c>
      <c r="N56" s="21">
        <f>LEN(TRIM(CLEAN(SUBSTITUTE(ProjTextTable[[#This Row],[text]],CHAR(10)," "))))+1 - LEN(SUBSTITUTE(CLEAN(SUBSTITUTE(ProjTextTable[[#This Row],[text]],CHAR(10)," "))," ",""))</f>
        <v>267</v>
      </c>
      <c r="O56" t="s">
        <v>253</v>
      </c>
      <c r="P56" t="s">
        <v>664</v>
      </c>
    </row>
    <row r="57" spans="1:16">
      <c r="A57">
        <f t="shared" si="0"/>
        <v>10</v>
      </c>
      <c r="B57" t="s">
        <v>656</v>
      </c>
      <c r="C57" t="s">
        <v>657</v>
      </c>
      <c r="D57" t="s">
        <v>194</v>
      </c>
      <c r="E57" t="s">
        <v>582</v>
      </c>
      <c r="F57" t="s">
        <v>665</v>
      </c>
      <c r="G57" t="s">
        <v>666</v>
      </c>
      <c r="H57" t="s">
        <v>667</v>
      </c>
      <c r="I57" t="s">
        <v>209</v>
      </c>
      <c r="J57" t="s">
        <v>176</v>
      </c>
      <c r="K57" s="30">
        <v>43060</v>
      </c>
      <c r="L57" s="8">
        <v>43059.226400462961</v>
      </c>
      <c r="M57" s="21">
        <f>LEN(ProjTextTable[[#This Row],[text]])</f>
        <v>3132</v>
      </c>
      <c r="N57" s="21">
        <f>LEN(TRIM(CLEAN(SUBSTITUTE(ProjTextTable[[#This Row],[text]],CHAR(10)," "))))+1 - LEN(SUBSTITUTE(CLEAN(SUBSTITUTE(ProjTextTable[[#This Row],[text]],CHAR(10)," "))," ",""))</f>
        <v>456</v>
      </c>
      <c r="O57" t="s">
        <v>199</v>
      </c>
      <c r="P57" t="s">
        <v>668</v>
      </c>
    </row>
    <row r="58" spans="1:16">
      <c r="A58">
        <f t="shared" si="0"/>
        <v>10</v>
      </c>
      <c r="B58" t="s">
        <v>656</v>
      </c>
      <c r="C58" t="s">
        <v>657</v>
      </c>
      <c r="D58" t="s">
        <v>194</v>
      </c>
      <c r="E58" t="s">
        <v>579</v>
      </c>
      <c r="F58" t="s">
        <v>669</v>
      </c>
      <c r="G58" t="s">
        <v>670</v>
      </c>
      <c r="H58" t="s">
        <v>671</v>
      </c>
      <c r="I58" t="s">
        <v>209</v>
      </c>
      <c r="J58" t="s">
        <v>176</v>
      </c>
      <c r="K58" s="30">
        <v>43060</v>
      </c>
      <c r="L58" s="8">
        <v>43054.497754629629</v>
      </c>
      <c r="M58" s="21">
        <f>LEN(ProjTextTable[[#This Row],[text]])</f>
        <v>2925</v>
      </c>
      <c r="N58" s="21">
        <f>LEN(TRIM(CLEAN(SUBSTITUTE(ProjTextTable[[#This Row],[text]],CHAR(10)," "))))+1 - LEN(SUBSTITUTE(CLEAN(SUBSTITUTE(ProjTextTable[[#This Row],[text]],CHAR(10)," "))," ",""))</f>
        <v>433</v>
      </c>
      <c r="O58" t="s">
        <v>199</v>
      </c>
      <c r="P58" t="s">
        <v>672</v>
      </c>
    </row>
    <row r="59" spans="1:16">
      <c r="A59">
        <f t="shared" si="0"/>
        <v>10</v>
      </c>
      <c r="B59" t="s">
        <v>656</v>
      </c>
      <c r="C59" t="s">
        <v>657</v>
      </c>
      <c r="D59" t="s">
        <v>194</v>
      </c>
      <c r="E59" t="s">
        <v>582</v>
      </c>
      <c r="F59" t="s">
        <v>673</v>
      </c>
      <c r="G59" t="s">
        <v>674</v>
      </c>
      <c r="H59" t="s">
        <v>675</v>
      </c>
      <c r="I59" t="s">
        <v>209</v>
      </c>
      <c r="J59" t="s">
        <v>176</v>
      </c>
      <c r="K59" s="30">
        <v>43060</v>
      </c>
      <c r="L59" s="8">
        <v>43056.703969907408</v>
      </c>
      <c r="M59" s="21">
        <f>LEN(ProjTextTable[[#This Row],[text]])</f>
        <v>4277</v>
      </c>
      <c r="N59" s="21">
        <f>LEN(TRIM(CLEAN(SUBSTITUTE(ProjTextTable[[#This Row],[text]],CHAR(10)," "))))+1 - LEN(SUBSTITUTE(CLEAN(SUBSTITUTE(ProjTextTable[[#This Row],[text]],CHAR(10)," "))," ",""))</f>
        <v>627</v>
      </c>
      <c r="O59" t="s">
        <v>253</v>
      </c>
      <c r="P59" t="s">
        <v>676</v>
      </c>
    </row>
    <row r="60" spans="1:16">
      <c r="A60">
        <f t="shared" si="0"/>
        <v>10</v>
      </c>
      <c r="B60" t="s">
        <v>656</v>
      </c>
      <c r="C60" t="s">
        <v>657</v>
      </c>
      <c r="D60" t="s">
        <v>196</v>
      </c>
      <c r="E60" t="s">
        <v>579</v>
      </c>
      <c r="F60" t="s">
        <v>13</v>
      </c>
      <c r="G60" t="s">
        <v>13</v>
      </c>
      <c r="H60" t="s">
        <v>13</v>
      </c>
      <c r="K60" s="30"/>
      <c r="L60" s="8">
        <v>42935.043124999997</v>
      </c>
      <c r="M60" s="21">
        <f>LEN(ProjTextTable[[#This Row],[text]])</f>
        <v>3824</v>
      </c>
      <c r="N60" s="21">
        <f>LEN(TRIM(CLEAN(SUBSTITUTE(ProjTextTable[[#This Row],[text]],CHAR(10)," "))))+1 - LEN(SUBSTITUTE(CLEAN(SUBSTITUTE(ProjTextTable[[#This Row],[text]],CHAR(10)," "))," ",""))</f>
        <v>539</v>
      </c>
      <c r="O60" t="s">
        <v>13</v>
      </c>
      <c r="P60" t="s">
        <v>677</v>
      </c>
    </row>
    <row r="61" spans="1:16">
      <c r="A61">
        <f t="shared" si="0"/>
        <v>11</v>
      </c>
      <c r="B61" t="s">
        <v>678</v>
      </c>
      <c r="C61" t="s">
        <v>679</v>
      </c>
      <c r="D61" t="s">
        <v>205</v>
      </c>
      <c r="E61" t="s">
        <v>582</v>
      </c>
      <c r="F61" t="s">
        <v>583</v>
      </c>
      <c r="G61" t="s">
        <v>584</v>
      </c>
      <c r="H61" t="s">
        <v>251</v>
      </c>
      <c r="I61" t="s">
        <v>193</v>
      </c>
      <c r="J61" t="s">
        <v>605</v>
      </c>
      <c r="K61" s="30">
        <v>43031</v>
      </c>
      <c r="L61" s="8"/>
      <c r="M61" s="21">
        <f>LEN(ProjTextTable[[#This Row],[text]])</f>
        <v>3155</v>
      </c>
      <c r="N61" s="21">
        <f>LEN(TRIM(CLEAN(SUBSTITUTE(ProjTextTable[[#This Row],[text]],CHAR(10)," "))))+1 - LEN(SUBSTITUTE(CLEAN(SUBSTITUTE(ProjTextTable[[#This Row],[text]],CHAR(10)," "))," ",""))</f>
        <v>468</v>
      </c>
      <c r="O61" t="s">
        <v>250</v>
      </c>
      <c r="P61" t="s">
        <v>680</v>
      </c>
    </row>
    <row r="62" spans="1:16">
      <c r="A62">
        <f t="shared" si="0"/>
        <v>11</v>
      </c>
      <c r="B62" t="s">
        <v>678</v>
      </c>
      <c r="C62" t="s">
        <v>679</v>
      </c>
      <c r="D62" t="s">
        <v>194</v>
      </c>
      <c r="E62" t="s">
        <v>582</v>
      </c>
      <c r="F62" t="s">
        <v>607</v>
      </c>
      <c r="G62" t="s">
        <v>608</v>
      </c>
      <c r="H62" t="s">
        <v>609</v>
      </c>
      <c r="I62" t="s">
        <v>209</v>
      </c>
      <c r="J62" t="s">
        <v>176</v>
      </c>
      <c r="K62" s="30">
        <v>43032</v>
      </c>
      <c r="L62" s="8">
        <v>43022.920254629629</v>
      </c>
      <c r="M62" s="21">
        <f>LEN(ProjTextTable[[#This Row],[text]])</f>
        <v>1892</v>
      </c>
      <c r="N62" s="21">
        <f>LEN(TRIM(CLEAN(SUBSTITUTE(ProjTextTable[[#This Row],[text]],CHAR(10)," "))))+1 - LEN(SUBSTITUTE(CLEAN(SUBSTITUTE(ProjTextTable[[#This Row],[text]],CHAR(10)," "))," ",""))</f>
        <v>282</v>
      </c>
      <c r="O62" t="s">
        <v>253</v>
      </c>
      <c r="P62" t="s">
        <v>681</v>
      </c>
    </row>
    <row r="63" spans="1:16">
      <c r="A63">
        <f t="shared" si="0"/>
        <v>11</v>
      </c>
      <c r="B63" t="s">
        <v>678</v>
      </c>
      <c r="C63" t="s">
        <v>679</v>
      </c>
      <c r="D63" t="s">
        <v>194</v>
      </c>
      <c r="E63" t="s">
        <v>582</v>
      </c>
      <c r="F63" t="s">
        <v>615</v>
      </c>
      <c r="G63" t="s">
        <v>616</v>
      </c>
      <c r="H63" t="s">
        <v>617</v>
      </c>
      <c r="I63" t="s">
        <v>209</v>
      </c>
      <c r="J63" t="s">
        <v>176</v>
      </c>
      <c r="K63" s="30">
        <v>43032</v>
      </c>
      <c r="L63" s="8">
        <v>43028.861875000002</v>
      </c>
      <c r="M63" s="21">
        <f>LEN(ProjTextTable[[#This Row],[text]])</f>
        <v>1845</v>
      </c>
      <c r="N63" s="21">
        <f>LEN(TRIM(CLEAN(SUBSTITUTE(ProjTextTable[[#This Row],[text]],CHAR(10)," "))))+1 - LEN(SUBSTITUTE(CLEAN(SUBSTITUTE(ProjTextTable[[#This Row],[text]],CHAR(10)," "))," ",""))</f>
        <v>272</v>
      </c>
      <c r="O63" t="s">
        <v>201</v>
      </c>
      <c r="P63" t="s">
        <v>682</v>
      </c>
    </row>
    <row r="64" spans="1:16">
      <c r="A64">
        <f t="shared" si="0"/>
        <v>11</v>
      </c>
      <c r="B64" t="s">
        <v>678</v>
      </c>
      <c r="C64" t="s">
        <v>679</v>
      </c>
      <c r="D64" t="s">
        <v>194</v>
      </c>
      <c r="E64" t="s">
        <v>579</v>
      </c>
      <c r="F64" t="s">
        <v>599</v>
      </c>
      <c r="G64" t="s">
        <v>600</v>
      </c>
      <c r="H64" t="s">
        <v>601</v>
      </c>
      <c r="I64" t="s">
        <v>209</v>
      </c>
      <c r="J64" t="s">
        <v>176</v>
      </c>
      <c r="K64" s="30">
        <v>43032</v>
      </c>
      <c r="L64" s="8">
        <v>43028.683356481481</v>
      </c>
      <c r="M64" s="21">
        <f>LEN(ProjTextTable[[#This Row],[text]])</f>
        <v>2593</v>
      </c>
      <c r="N64" s="21">
        <f>LEN(TRIM(CLEAN(SUBSTITUTE(ProjTextTable[[#This Row],[text]],CHAR(10)," "))))+1 - LEN(SUBSTITUTE(CLEAN(SUBSTITUTE(ProjTextTable[[#This Row],[text]],CHAR(10)," "))," ",""))</f>
        <v>407</v>
      </c>
      <c r="O64" t="s">
        <v>199</v>
      </c>
      <c r="P64" t="s">
        <v>683</v>
      </c>
    </row>
    <row r="65" spans="1:16">
      <c r="A65">
        <f t="shared" si="0"/>
        <v>11</v>
      </c>
      <c r="B65" t="s">
        <v>678</v>
      </c>
      <c r="C65" t="s">
        <v>679</v>
      </c>
      <c r="D65" t="s">
        <v>194</v>
      </c>
      <c r="E65" t="s">
        <v>582</v>
      </c>
      <c r="F65" t="s">
        <v>619</v>
      </c>
      <c r="G65" t="s">
        <v>620</v>
      </c>
      <c r="H65" t="s">
        <v>621</v>
      </c>
      <c r="I65" t="s">
        <v>209</v>
      </c>
      <c r="J65" t="s">
        <v>176</v>
      </c>
      <c r="K65" s="30">
        <v>43032</v>
      </c>
      <c r="L65" s="8">
        <v>43030.972268518519</v>
      </c>
      <c r="M65" s="21">
        <f>LEN(ProjTextTable[[#This Row],[text]])</f>
        <v>2229</v>
      </c>
      <c r="N65" s="21">
        <f>LEN(TRIM(CLEAN(SUBSTITUTE(ProjTextTable[[#This Row],[text]],CHAR(10)," "))))+1 - LEN(SUBSTITUTE(CLEAN(SUBSTITUTE(ProjTextTable[[#This Row],[text]],CHAR(10)," "))," ",""))</f>
        <v>335</v>
      </c>
      <c r="O65" t="s">
        <v>202</v>
      </c>
      <c r="P65" t="s">
        <v>684</v>
      </c>
    </row>
    <row r="66" spans="1:16">
      <c r="A66">
        <f t="shared" ref="A66:A129" si="1">A65+(B66&lt;&gt;B65)</f>
        <v>11</v>
      </c>
      <c r="B66" t="s">
        <v>678</v>
      </c>
      <c r="C66" t="s">
        <v>679</v>
      </c>
      <c r="D66" t="s">
        <v>196</v>
      </c>
      <c r="E66" t="s">
        <v>579</v>
      </c>
      <c r="F66" t="s">
        <v>13</v>
      </c>
      <c r="G66" t="s">
        <v>13</v>
      </c>
      <c r="H66" t="s">
        <v>13</v>
      </c>
      <c r="K66" s="30"/>
      <c r="L66" s="8">
        <v>42935.043379629627</v>
      </c>
      <c r="M66" s="21">
        <f>LEN(ProjTextTable[[#This Row],[text]])</f>
        <v>3644</v>
      </c>
      <c r="N66" s="21">
        <f>LEN(TRIM(CLEAN(SUBSTITUTE(ProjTextTable[[#This Row],[text]],CHAR(10)," "))))+1 - LEN(SUBSTITUTE(CLEAN(SUBSTITUTE(ProjTextTable[[#This Row],[text]],CHAR(10)," "))," ",""))</f>
        <v>477</v>
      </c>
      <c r="O66" t="s">
        <v>13</v>
      </c>
      <c r="P66" t="s">
        <v>685</v>
      </c>
    </row>
    <row r="67" spans="1:16">
      <c r="A67">
        <f t="shared" si="1"/>
        <v>12</v>
      </c>
      <c r="B67" t="s">
        <v>974</v>
      </c>
      <c r="C67" t="s">
        <v>975</v>
      </c>
      <c r="D67" t="s">
        <v>205</v>
      </c>
      <c r="E67" t="s">
        <v>582</v>
      </c>
      <c r="F67" t="s">
        <v>658</v>
      </c>
      <c r="G67" t="s">
        <v>659</v>
      </c>
      <c r="H67" t="s">
        <v>207</v>
      </c>
      <c r="I67" t="s">
        <v>197</v>
      </c>
      <c r="J67" t="s">
        <v>707</v>
      </c>
      <c r="K67" s="30">
        <v>43059</v>
      </c>
      <c r="L67" s="8"/>
      <c r="M67" s="21">
        <f>LEN(ProjTextTable[[#This Row],[text]])</f>
        <v>1930</v>
      </c>
      <c r="N67" s="21">
        <f>LEN(TRIM(CLEAN(SUBSTITUTE(ProjTextTable[[#This Row],[text]],CHAR(10)," "))))+1 - LEN(SUBSTITUTE(CLEAN(SUBSTITUTE(ProjTextTable[[#This Row],[text]],CHAR(10)," "))," ",""))</f>
        <v>282</v>
      </c>
      <c r="O67" t="s">
        <v>208</v>
      </c>
      <c r="P67" t="s">
        <v>976</v>
      </c>
    </row>
    <row r="68" spans="1:16">
      <c r="A68">
        <f t="shared" si="1"/>
        <v>12</v>
      </c>
      <c r="B68" t="s">
        <v>974</v>
      </c>
      <c r="C68" t="s">
        <v>975</v>
      </c>
      <c r="D68" t="s">
        <v>194</v>
      </c>
      <c r="E68" t="s">
        <v>582</v>
      </c>
      <c r="F68" t="s">
        <v>933</v>
      </c>
      <c r="G68" t="s">
        <v>934</v>
      </c>
      <c r="H68" t="s">
        <v>935</v>
      </c>
      <c r="I68" t="s">
        <v>209</v>
      </c>
      <c r="J68" t="s">
        <v>176</v>
      </c>
      <c r="K68" s="30">
        <v>43060</v>
      </c>
      <c r="L68" s="8">
        <v>43056.590636574074</v>
      </c>
      <c r="M68" s="21">
        <f>LEN(ProjTextTable[[#This Row],[text]])</f>
        <v>1525</v>
      </c>
      <c r="N68" s="21">
        <f>LEN(TRIM(CLEAN(SUBSTITUTE(ProjTextTable[[#This Row],[text]],CHAR(10)," "))))+1 - LEN(SUBSTITUTE(CLEAN(SUBSTITUTE(ProjTextTable[[#This Row],[text]],CHAR(10)," "))," ",""))</f>
        <v>225</v>
      </c>
      <c r="O68" t="s">
        <v>199</v>
      </c>
      <c r="P68" t="s">
        <v>977</v>
      </c>
    </row>
    <row r="69" spans="1:16">
      <c r="A69">
        <f t="shared" si="1"/>
        <v>12</v>
      </c>
      <c r="B69" t="s">
        <v>974</v>
      </c>
      <c r="C69" t="s">
        <v>975</v>
      </c>
      <c r="D69" t="s">
        <v>194</v>
      </c>
      <c r="E69" t="s">
        <v>582</v>
      </c>
      <c r="F69" t="s">
        <v>966</v>
      </c>
      <c r="G69" t="s">
        <v>967</v>
      </c>
      <c r="H69" t="s">
        <v>968</v>
      </c>
      <c r="I69" t="s">
        <v>209</v>
      </c>
      <c r="J69" t="s">
        <v>176</v>
      </c>
      <c r="K69" s="30">
        <v>43060</v>
      </c>
      <c r="L69" s="8">
        <v>43059.937245370369</v>
      </c>
      <c r="M69" s="21">
        <f>LEN(ProjTextTable[[#This Row],[text]])</f>
        <v>1545</v>
      </c>
      <c r="N69" s="21">
        <f>LEN(TRIM(CLEAN(SUBSTITUTE(ProjTextTable[[#This Row],[text]],CHAR(10)," "))))+1 - LEN(SUBSTITUTE(CLEAN(SUBSTITUTE(ProjTextTable[[#This Row],[text]],CHAR(10)," "))," ",""))</f>
        <v>235</v>
      </c>
      <c r="O69" t="s">
        <v>199</v>
      </c>
      <c r="P69" t="s">
        <v>978</v>
      </c>
    </row>
    <row r="70" spans="1:16">
      <c r="A70">
        <f t="shared" si="1"/>
        <v>12</v>
      </c>
      <c r="B70" t="s">
        <v>974</v>
      </c>
      <c r="C70" t="s">
        <v>975</v>
      </c>
      <c r="D70" t="s">
        <v>194</v>
      </c>
      <c r="E70" t="s">
        <v>582</v>
      </c>
      <c r="F70" t="s">
        <v>979</v>
      </c>
      <c r="G70" t="s">
        <v>980</v>
      </c>
      <c r="H70" t="s">
        <v>981</v>
      </c>
      <c r="I70" t="s">
        <v>209</v>
      </c>
      <c r="J70" t="s">
        <v>176</v>
      </c>
      <c r="K70" s="30">
        <v>43060</v>
      </c>
      <c r="L70" s="8">
        <v>43057.861631944441</v>
      </c>
      <c r="M70" s="21">
        <f>LEN(ProjTextTable[[#This Row],[text]])</f>
        <v>1619</v>
      </c>
      <c r="N70" s="21">
        <f>LEN(TRIM(CLEAN(SUBSTITUTE(ProjTextTable[[#This Row],[text]],CHAR(10)," "))))+1 - LEN(SUBSTITUTE(CLEAN(SUBSTITUTE(ProjTextTable[[#This Row],[text]],CHAR(10)," "))," ",""))</f>
        <v>236</v>
      </c>
      <c r="O70" t="s">
        <v>199</v>
      </c>
      <c r="P70" t="s">
        <v>982</v>
      </c>
    </row>
    <row r="71" spans="1:16">
      <c r="A71">
        <f t="shared" si="1"/>
        <v>12</v>
      </c>
      <c r="B71" t="s">
        <v>974</v>
      </c>
      <c r="C71" t="s">
        <v>975</v>
      </c>
      <c r="D71" t="s">
        <v>194</v>
      </c>
      <c r="E71" t="s">
        <v>582</v>
      </c>
      <c r="F71" t="s">
        <v>970</v>
      </c>
      <c r="G71" t="s">
        <v>971</v>
      </c>
      <c r="H71" t="s">
        <v>972</v>
      </c>
      <c r="I71" t="s">
        <v>209</v>
      </c>
      <c r="J71" t="s">
        <v>176</v>
      </c>
      <c r="K71" s="30">
        <v>43060</v>
      </c>
      <c r="L71" s="8">
        <v>43058.714618055557</v>
      </c>
      <c r="M71" s="21">
        <f>LEN(ProjTextTable[[#This Row],[text]])</f>
        <v>2214</v>
      </c>
      <c r="N71" s="21">
        <f>LEN(TRIM(CLEAN(SUBSTITUTE(ProjTextTable[[#This Row],[text]],CHAR(10)," "))))+1 - LEN(SUBSTITUTE(CLEAN(SUBSTITUTE(ProjTextTable[[#This Row],[text]],CHAR(10)," "))," ",""))</f>
        <v>343</v>
      </c>
      <c r="O71" t="s">
        <v>202</v>
      </c>
      <c r="P71" t="s">
        <v>983</v>
      </c>
    </row>
    <row r="72" spans="1:16">
      <c r="A72">
        <f t="shared" si="1"/>
        <v>12</v>
      </c>
      <c r="B72" t="s">
        <v>974</v>
      </c>
      <c r="C72" t="s">
        <v>975</v>
      </c>
      <c r="D72" t="s">
        <v>196</v>
      </c>
      <c r="E72" t="s">
        <v>582</v>
      </c>
      <c r="F72" t="s">
        <v>13</v>
      </c>
      <c r="G72" t="s">
        <v>13</v>
      </c>
      <c r="H72" t="s">
        <v>13</v>
      </c>
      <c r="K72" s="30"/>
      <c r="L72" s="8">
        <v>42935.043495370373</v>
      </c>
      <c r="M72" s="21">
        <f>LEN(ProjTextTable[[#This Row],[text]])</f>
        <v>4562</v>
      </c>
      <c r="N72" s="21">
        <f>LEN(TRIM(CLEAN(SUBSTITUTE(ProjTextTable[[#This Row],[text]],CHAR(10)," "))))+1 - LEN(SUBSTITUTE(CLEAN(SUBSTITUTE(ProjTextTable[[#This Row],[text]],CHAR(10)," "))," ",""))</f>
        <v>683</v>
      </c>
      <c r="O72" t="s">
        <v>13</v>
      </c>
      <c r="P72" t="s">
        <v>984</v>
      </c>
    </row>
    <row r="73" spans="1:16">
      <c r="A73">
        <f t="shared" si="1"/>
        <v>13</v>
      </c>
      <c r="B73" t="s">
        <v>686</v>
      </c>
      <c r="C73" t="s">
        <v>687</v>
      </c>
      <c r="D73" t="s">
        <v>205</v>
      </c>
      <c r="E73" t="s">
        <v>582</v>
      </c>
      <c r="F73" t="s">
        <v>583</v>
      </c>
      <c r="G73" t="s">
        <v>584</v>
      </c>
      <c r="H73" t="s">
        <v>251</v>
      </c>
      <c r="I73" t="s">
        <v>193</v>
      </c>
      <c r="J73" t="s">
        <v>605</v>
      </c>
      <c r="K73" s="30">
        <v>43031</v>
      </c>
      <c r="L73" s="8"/>
      <c r="M73" s="21">
        <f>LEN(ProjTextTable[[#This Row],[text]])</f>
        <v>4104</v>
      </c>
      <c r="N73" s="21">
        <f>LEN(TRIM(CLEAN(SUBSTITUTE(ProjTextTable[[#This Row],[text]],CHAR(10)," "))))+1 - LEN(SUBSTITUTE(CLEAN(SUBSTITUTE(ProjTextTable[[#This Row],[text]],CHAR(10)," "))," ",""))</f>
        <v>658</v>
      </c>
      <c r="O73" t="s">
        <v>250</v>
      </c>
      <c r="P73" t="s">
        <v>688</v>
      </c>
    </row>
    <row r="74" spans="1:16">
      <c r="A74">
        <f t="shared" si="1"/>
        <v>13</v>
      </c>
      <c r="B74" t="s">
        <v>686</v>
      </c>
      <c r="C74" t="s">
        <v>687</v>
      </c>
      <c r="D74" t="s">
        <v>194</v>
      </c>
      <c r="E74" t="s">
        <v>582</v>
      </c>
      <c r="F74" t="s">
        <v>689</v>
      </c>
      <c r="G74" t="s">
        <v>690</v>
      </c>
      <c r="H74" t="s">
        <v>691</v>
      </c>
      <c r="I74" t="s">
        <v>209</v>
      </c>
      <c r="J74" t="s">
        <v>176</v>
      </c>
      <c r="K74" s="30">
        <v>43032</v>
      </c>
      <c r="L74" s="8">
        <v>43030.876967592594</v>
      </c>
      <c r="M74" s="21">
        <f>LEN(ProjTextTable[[#This Row],[text]])</f>
        <v>2807</v>
      </c>
      <c r="N74" s="21">
        <f>LEN(TRIM(CLEAN(SUBSTITUTE(ProjTextTable[[#This Row],[text]],CHAR(10)," "))))+1 - LEN(SUBSTITUTE(CLEAN(SUBSTITUTE(ProjTextTable[[#This Row],[text]],CHAR(10)," "))," ",""))</f>
        <v>427</v>
      </c>
      <c r="O74" t="s">
        <v>195</v>
      </c>
      <c r="P74" t="s">
        <v>692</v>
      </c>
    </row>
    <row r="75" spans="1:16">
      <c r="A75">
        <f t="shared" si="1"/>
        <v>13</v>
      </c>
      <c r="B75" t="s">
        <v>686</v>
      </c>
      <c r="C75" t="s">
        <v>687</v>
      </c>
      <c r="D75" t="s">
        <v>194</v>
      </c>
      <c r="E75" t="s">
        <v>582</v>
      </c>
      <c r="F75" t="s">
        <v>587</v>
      </c>
      <c r="G75" t="s">
        <v>588</v>
      </c>
      <c r="H75" t="s">
        <v>589</v>
      </c>
      <c r="I75" t="s">
        <v>209</v>
      </c>
      <c r="J75" t="s">
        <v>176</v>
      </c>
      <c r="K75" s="30">
        <v>43032</v>
      </c>
      <c r="L75" s="8">
        <v>43031.922314814816</v>
      </c>
      <c r="M75" s="21">
        <f>LEN(ProjTextTable[[#This Row],[text]])</f>
        <v>2190</v>
      </c>
      <c r="N75" s="21">
        <f>LEN(TRIM(CLEAN(SUBSTITUTE(ProjTextTable[[#This Row],[text]],CHAR(10)," "))))+1 - LEN(SUBSTITUTE(CLEAN(SUBSTITUTE(ProjTextTable[[#This Row],[text]],CHAR(10)," "))," ",""))</f>
        <v>339</v>
      </c>
      <c r="O75" t="s">
        <v>195</v>
      </c>
      <c r="P75" t="s">
        <v>693</v>
      </c>
    </row>
    <row r="76" spans="1:16">
      <c r="A76">
        <f t="shared" si="1"/>
        <v>13</v>
      </c>
      <c r="B76" t="s">
        <v>686</v>
      </c>
      <c r="C76" t="s">
        <v>687</v>
      </c>
      <c r="D76" t="s">
        <v>194</v>
      </c>
      <c r="E76" t="s">
        <v>582</v>
      </c>
      <c r="F76" t="s">
        <v>645</v>
      </c>
      <c r="G76" t="s">
        <v>646</v>
      </c>
      <c r="H76" t="s">
        <v>647</v>
      </c>
      <c r="I76" t="s">
        <v>209</v>
      </c>
      <c r="J76" t="s">
        <v>176</v>
      </c>
      <c r="K76" s="30">
        <v>43032</v>
      </c>
      <c r="L76" s="8">
        <v>43031.043321759258</v>
      </c>
      <c r="M76" s="21">
        <f>LEN(ProjTextTable[[#This Row],[text]])</f>
        <v>1763</v>
      </c>
      <c r="N76" s="21">
        <f>LEN(TRIM(CLEAN(SUBSTITUTE(ProjTextTable[[#This Row],[text]],CHAR(10)," "))))+1 - LEN(SUBSTITUTE(CLEAN(SUBSTITUTE(ProjTextTable[[#This Row],[text]],CHAR(10)," "))," ",""))</f>
        <v>263</v>
      </c>
      <c r="O76" t="s">
        <v>201</v>
      </c>
      <c r="P76" t="s">
        <v>694</v>
      </c>
    </row>
    <row r="77" spans="1:16">
      <c r="A77">
        <f t="shared" si="1"/>
        <v>13</v>
      </c>
      <c r="B77" t="s">
        <v>686</v>
      </c>
      <c r="C77" t="s">
        <v>687</v>
      </c>
      <c r="D77" t="s">
        <v>194</v>
      </c>
      <c r="E77" t="s">
        <v>582</v>
      </c>
      <c r="F77" t="s">
        <v>651</v>
      </c>
      <c r="G77" t="s">
        <v>652</v>
      </c>
      <c r="H77" t="s">
        <v>653</v>
      </c>
      <c r="I77" t="s">
        <v>209</v>
      </c>
      <c r="J77" t="s">
        <v>176</v>
      </c>
      <c r="K77" s="30">
        <v>43032</v>
      </c>
      <c r="L77" s="8">
        <v>43030.827002314814</v>
      </c>
      <c r="M77" s="21">
        <f>LEN(ProjTextTable[[#This Row],[text]])</f>
        <v>2352</v>
      </c>
      <c r="N77" s="21">
        <f>LEN(TRIM(CLEAN(SUBSTITUTE(ProjTextTable[[#This Row],[text]],CHAR(10)," "))))+1 - LEN(SUBSTITUTE(CLEAN(SUBSTITUTE(ProjTextTable[[#This Row],[text]],CHAR(10)," "))," ",""))</f>
        <v>363</v>
      </c>
      <c r="O77" t="s">
        <v>195</v>
      </c>
      <c r="P77" t="s">
        <v>695</v>
      </c>
    </row>
    <row r="78" spans="1:16">
      <c r="A78">
        <f t="shared" si="1"/>
        <v>13</v>
      </c>
      <c r="B78" t="s">
        <v>686</v>
      </c>
      <c r="C78" t="s">
        <v>687</v>
      </c>
      <c r="D78" t="s">
        <v>196</v>
      </c>
      <c r="E78" t="s">
        <v>582</v>
      </c>
      <c r="F78" t="s">
        <v>13</v>
      </c>
      <c r="G78" t="s">
        <v>13</v>
      </c>
      <c r="H78" t="s">
        <v>13</v>
      </c>
      <c r="K78" s="30"/>
      <c r="L78" s="8">
        <v>42935.043506944443</v>
      </c>
      <c r="M78" s="21">
        <f>LEN(ProjTextTable[[#This Row],[text]])</f>
        <v>2691</v>
      </c>
      <c r="N78" s="21">
        <f>LEN(TRIM(CLEAN(SUBSTITUTE(ProjTextTable[[#This Row],[text]],CHAR(10)," "))))+1 - LEN(SUBSTITUTE(CLEAN(SUBSTITUTE(ProjTextTable[[#This Row],[text]],CHAR(10)," "))," ",""))</f>
        <v>364</v>
      </c>
      <c r="O78" t="s">
        <v>13</v>
      </c>
      <c r="P78" t="s">
        <v>696</v>
      </c>
    </row>
    <row r="79" spans="1:16">
      <c r="A79">
        <f t="shared" si="1"/>
        <v>14</v>
      </c>
      <c r="B79" t="s">
        <v>985</v>
      </c>
      <c r="C79" t="s">
        <v>986</v>
      </c>
      <c r="D79" t="s">
        <v>205</v>
      </c>
      <c r="E79" t="s">
        <v>582</v>
      </c>
      <c r="F79" t="s">
        <v>658</v>
      </c>
      <c r="G79" t="s">
        <v>659</v>
      </c>
      <c r="H79" t="s">
        <v>381</v>
      </c>
      <c r="I79" t="s">
        <v>200</v>
      </c>
      <c r="J79" t="s">
        <v>987</v>
      </c>
      <c r="K79" s="30">
        <v>43059</v>
      </c>
      <c r="L79" s="8">
        <v>43075.7190162037</v>
      </c>
      <c r="M79" s="21">
        <f>LEN(ProjTextTable[[#This Row],[text]])</f>
        <v>3635</v>
      </c>
      <c r="N79" s="21">
        <f>LEN(TRIM(CLEAN(SUBSTITUTE(ProjTextTable[[#This Row],[text]],CHAR(10)," "))))+1 - LEN(SUBSTITUTE(CLEAN(SUBSTITUTE(ProjTextTable[[#This Row],[text]],CHAR(10)," "))," ",""))</f>
        <v>530</v>
      </c>
      <c r="O79" t="s">
        <v>354</v>
      </c>
      <c r="P79" t="s">
        <v>988</v>
      </c>
    </row>
    <row r="80" spans="1:16">
      <c r="A80">
        <f t="shared" si="1"/>
        <v>14</v>
      </c>
      <c r="B80" t="s">
        <v>985</v>
      </c>
      <c r="C80" t="s">
        <v>986</v>
      </c>
      <c r="D80" t="s">
        <v>205</v>
      </c>
      <c r="E80" t="s">
        <v>989</v>
      </c>
      <c r="F80" t="s">
        <v>990</v>
      </c>
      <c r="G80" t="s">
        <v>991</v>
      </c>
      <c r="H80" t="s">
        <v>251</v>
      </c>
      <c r="I80" t="s">
        <v>193</v>
      </c>
      <c r="K80" s="30">
        <v>43060</v>
      </c>
      <c r="L80" s="8"/>
      <c r="M80" s="21">
        <f>LEN(ProjTextTable[[#This Row],[text]])</f>
        <v>3573</v>
      </c>
      <c r="N80" s="21">
        <f>LEN(TRIM(CLEAN(SUBSTITUTE(ProjTextTable[[#This Row],[text]],CHAR(10)," "))))+1 - LEN(SUBSTITUTE(CLEAN(SUBSTITUTE(ProjTextTable[[#This Row],[text]],CHAR(10)," "))," ",""))</f>
        <v>515</v>
      </c>
      <c r="O80" t="s">
        <v>250</v>
      </c>
      <c r="P80" t="s">
        <v>992</v>
      </c>
    </row>
    <row r="81" spans="1:16">
      <c r="A81">
        <f t="shared" si="1"/>
        <v>14</v>
      </c>
      <c r="B81" t="s">
        <v>985</v>
      </c>
      <c r="C81" t="s">
        <v>986</v>
      </c>
      <c r="D81" t="s">
        <v>194</v>
      </c>
      <c r="E81" t="s">
        <v>582</v>
      </c>
      <c r="F81" t="s">
        <v>993</v>
      </c>
      <c r="G81" t="s">
        <v>994</v>
      </c>
      <c r="H81" t="s">
        <v>995</v>
      </c>
      <c r="I81" t="s">
        <v>209</v>
      </c>
      <c r="J81" t="s">
        <v>176</v>
      </c>
      <c r="K81" s="30">
        <v>43060</v>
      </c>
      <c r="L81" s="8">
        <v>43056.597870370373</v>
      </c>
      <c r="M81" s="21">
        <f>LEN(ProjTextTable[[#This Row],[text]])</f>
        <v>4136</v>
      </c>
      <c r="N81" s="21">
        <f>LEN(TRIM(CLEAN(SUBSTITUTE(ProjTextTable[[#This Row],[text]],CHAR(10)," "))))+1 - LEN(SUBSTITUTE(CLEAN(SUBSTITUTE(ProjTextTable[[#This Row],[text]],CHAR(10)," "))," ",""))</f>
        <v>648</v>
      </c>
      <c r="O81" t="s">
        <v>195</v>
      </c>
      <c r="P81" t="s">
        <v>996</v>
      </c>
    </row>
    <row r="82" spans="1:16">
      <c r="A82">
        <f t="shared" si="1"/>
        <v>14</v>
      </c>
      <c r="B82" t="s">
        <v>985</v>
      </c>
      <c r="C82" t="s">
        <v>986</v>
      </c>
      <c r="D82" t="s">
        <v>194</v>
      </c>
      <c r="E82" t="s">
        <v>944</v>
      </c>
      <c r="F82" t="s">
        <v>669</v>
      </c>
      <c r="G82" t="s">
        <v>670</v>
      </c>
      <c r="H82" t="s">
        <v>671</v>
      </c>
      <c r="I82" t="s">
        <v>209</v>
      </c>
      <c r="J82" t="s">
        <v>176</v>
      </c>
      <c r="K82" s="30">
        <v>43060</v>
      </c>
      <c r="L82" s="8">
        <v>43054.539270833331</v>
      </c>
      <c r="M82" s="21">
        <f>LEN(ProjTextTable[[#This Row],[text]])</f>
        <v>2267</v>
      </c>
      <c r="N82" s="21">
        <f>LEN(TRIM(CLEAN(SUBSTITUTE(ProjTextTable[[#This Row],[text]],CHAR(10)," "))))+1 - LEN(SUBSTITUTE(CLEAN(SUBSTITUTE(ProjTextTable[[#This Row],[text]],CHAR(10)," "))," ",""))</f>
        <v>348</v>
      </c>
      <c r="O82" t="s">
        <v>195</v>
      </c>
      <c r="P82" t="s">
        <v>997</v>
      </c>
    </row>
    <row r="83" spans="1:16">
      <c r="A83">
        <f t="shared" si="1"/>
        <v>14</v>
      </c>
      <c r="B83" t="s">
        <v>985</v>
      </c>
      <c r="C83" t="s">
        <v>986</v>
      </c>
      <c r="D83" t="s">
        <v>194</v>
      </c>
      <c r="E83" t="s">
        <v>944</v>
      </c>
      <c r="F83" t="s">
        <v>998</v>
      </c>
      <c r="G83" t="s">
        <v>999</v>
      </c>
      <c r="H83" t="s">
        <v>1000</v>
      </c>
      <c r="I83" t="s">
        <v>209</v>
      </c>
      <c r="J83" t="s">
        <v>176</v>
      </c>
      <c r="K83" s="30">
        <v>43060</v>
      </c>
      <c r="L83" s="8">
        <v>43059.579641203702</v>
      </c>
      <c r="M83" s="21">
        <f>LEN(ProjTextTable[[#This Row],[text]])</f>
        <v>2791</v>
      </c>
      <c r="N83" s="21">
        <f>LEN(TRIM(CLEAN(SUBSTITUTE(ProjTextTable[[#This Row],[text]],CHAR(10)," "))))+1 - LEN(SUBSTITUTE(CLEAN(SUBSTITUTE(ProjTextTable[[#This Row],[text]],CHAR(10)," "))," ",""))</f>
        <v>401</v>
      </c>
      <c r="O83" t="s">
        <v>203</v>
      </c>
      <c r="P83" t="s">
        <v>1001</v>
      </c>
    </row>
    <row r="84" spans="1:16">
      <c r="A84">
        <f t="shared" si="1"/>
        <v>14</v>
      </c>
      <c r="B84" t="s">
        <v>985</v>
      </c>
      <c r="C84" t="s">
        <v>986</v>
      </c>
      <c r="D84" t="s">
        <v>194</v>
      </c>
      <c r="E84" t="s">
        <v>944</v>
      </c>
      <c r="F84" t="s">
        <v>1002</v>
      </c>
      <c r="G84" t="s">
        <v>1003</v>
      </c>
      <c r="H84" t="s">
        <v>1004</v>
      </c>
      <c r="I84" t="s">
        <v>209</v>
      </c>
      <c r="J84" t="s">
        <v>176</v>
      </c>
      <c r="K84" s="30">
        <v>43060</v>
      </c>
      <c r="L84" s="8">
        <v>43059.76116898148</v>
      </c>
      <c r="M84" s="21">
        <f>LEN(ProjTextTable[[#This Row],[text]])</f>
        <v>5836</v>
      </c>
      <c r="N84" s="21">
        <f>LEN(TRIM(CLEAN(SUBSTITUTE(ProjTextTable[[#This Row],[text]],CHAR(10)," "))))+1 - LEN(SUBSTITUTE(CLEAN(SUBSTITUTE(ProjTextTable[[#This Row],[text]],CHAR(10)," "))," ",""))</f>
        <v>807</v>
      </c>
      <c r="O84" t="s">
        <v>199</v>
      </c>
      <c r="P84" t="s">
        <v>1005</v>
      </c>
    </row>
    <row r="85" spans="1:16">
      <c r="A85">
        <f t="shared" si="1"/>
        <v>14</v>
      </c>
      <c r="B85" t="s">
        <v>985</v>
      </c>
      <c r="C85" t="s">
        <v>986</v>
      </c>
      <c r="D85" t="s">
        <v>194</v>
      </c>
      <c r="E85" t="s">
        <v>582</v>
      </c>
      <c r="F85" t="s">
        <v>673</v>
      </c>
      <c r="G85" t="s">
        <v>674</v>
      </c>
      <c r="H85" t="s">
        <v>675</v>
      </c>
      <c r="I85" t="s">
        <v>209</v>
      </c>
      <c r="J85" t="s">
        <v>176</v>
      </c>
      <c r="K85" s="30">
        <v>43060</v>
      </c>
      <c r="L85" s="8">
        <v>43056.705740740741</v>
      </c>
      <c r="M85" s="21">
        <f>LEN(ProjTextTable[[#This Row],[text]])</f>
        <v>5069</v>
      </c>
      <c r="N85" s="21">
        <f>LEN(TRIM(CLEAN(SUBSTITUTE(ProjTextTable[[#This Row],[text]],CHAR(10)," "))))+1 - LEN(SUBSTITUTE(CLEAN(SUBSTITUTE(ProjTextTable[[#This Row],[text]],CHAR(10)," "))," ",""))</f>
        <v>779</v>
      </c>
      <c r="O85" t="s">
        <v>195</v>
      </c>
      <c r="P85" t="s">
        <v>1006</v>
      </c>
    </row>
    <row r="86" spans="1:16">
      <c r="A86">
        <f t="shared" si="1"/>
        <v>14</v>
      </c>
      <c r="B86" t="s">
        <v>985</v>
      </c>
      <c r="C86" t="s">
        <v>986</v>
      </c>
      <c r="D86" t="s">
        <v>194</v>
      </c>
      <c r="E86" t="s">
        <v>989</v>
      </c>
      <c r="F86" t="s">
        <v>1007</v>
      </c>
      <c r="G86" t="s">
        <v>1008</v>
      </c>
      <c r="H86" t="s">
        <v>1009</v>
      </c>
      <c r="I86" t="s">
        <v>176</v>
      </c>
      <c r="J86" t="s">
        <v>176</v>
      </c>
      <c r="K86" s="30">
        <v>43035</v>
      </c>
      <c r="L86" s="8">
        <v>43037.776643518519</v>
      </c>
      <c r="M86" s="21">
        <f>LEN(ProjTextTable[[#This Row],[text]])</f>
        <v>4908</v>
      </c>
      <c r="N86" s="21">
        <f>LEN(TRIM(CLEAN(SUBSTITUTE(ProjTextTable[[#This Row],[text]],CHAR(10)," "))))+1 - LEN(SUBSTITUTE(CLEAN(SUBSTITUTE(ProjTextTable[[#This Row],[text]],CHAR(10)," "))," ",""))</f>
        <v>778</v>
      </c>
      <c r="O86" t="s">
        <v>195</v>
      </c>
      <c r="P86" t="s">
        <v>1010</v>
      </c>
    </row>
    <row r="87" spans="1:16">
      <c r="A87">
        <f t="shared" si="1"/>
        <v>14</v>
      </c>
      <c r="B87" t="s">
        <v>985</v>
      </c>
      <c r="C87" t="s">
        <v>986</v>
      </c>
      <c r="D87" t="s">
        <v>194</v>
      </c>
      <c r="E87" t="s">
        <v>944</v>
      </c>
      <c r="F87" t="s">
        <v>1011</v>
      </c>
      <c r="G87" t="s">
        <v>1012</v>
      </c>
      <c r="H87" t="s">
        <v>1013</v>
      </c>
      <c r="I87" t="s">
        <v>209</v>
      </c>
      <c r="J87" t="s">
        <v>176</v>
      </c>
      <c r="K87" s="30">
        <v>43060</v>
      </c>
      <c r="L87" s="8">
        <v>43059.627106481479</v>
      </c>
      <c r="M87" s="21">
        <f>LEN(ProjTextTable[[#This Row],[text]])</f>
        <v>5209</v>
      </c>
      <c r="N87" s="21">
        <f>LEN(TRIM(CLEAN(SUBSTITUTE(ProjTextTable[[#This Row],[text]],CHAR(10)," "))))+1 - LEN(SUBSTITUTE(CLEAN(SUBSTITUTE(ProjTextTable[[#This Row],[text]],CHAR(10)," "))," ",""))</f>
        <v>822</v>
      </c>
      <c r="O87" t="s">
        <v>203</v>
      </c>
      <c r="P87" t="s">
        <v>1014</v>
      </c>
    </row>
    <row r="88" spans="1:16">
      <c r="A88">
        <f t="shared" si="1"/>
        <v>14</v>
      </c>
      <c r="B88" t="s">
        <v>985</v>
      </c>
      <c r="C88" t="s">
        <v>986</v>
      </c>
      <c r="D88" t="s">
        <v>194</v>
      </c>
      <c r="E88" t="s">
        <v>582</v>
      </c>
      <c r="F88" t="s">
        <v>933</v>
      </c>
      <c r="G88" t="s">
        <v>934</v>
      </c>
      <c r="H88" t="s">
        <v>935</v>
      </c>
      <c r="I88" t="s">
        <v>209</v>
      </c>
      <c r="J88" t="s">
        <v>176</v>
      </c>
      <c r="K88" s="30">
        <v>43060</v>
      </c>
      <c r="L88" s="8">
        <v>43056.787835648145</v>
      </c>
      <c r="M88" s="21">
        <f>LEN(ProjTextTable[[#This Row],[text]])</f>
        <v>1195</v>
      </c>
      <c r="N88" s="21">
        <f>LEN(TRIM(CLEAN(SUBSTITUTE(ProjTextTable[[#This Row],[text]],CHAR(10)," "))))+1 - LEN(SUBSTITUTE(CLEAN(SUBSTITUTE(ProjTextTable[[#This Row],[text]],CHAR(10)," "))," ",""))</f>
        <v>178</v>
      </c>
      <c r="O88" t="s">
        <v>201</v>
      </c>
      <c r="P88" t="s">
        <v>1015</v>
      </c>
    </row>
    <row r="89" spans="1:16">
      <c r="A89">
        <f t="shared" si="1"/>
        <v>14</v>
      </c>
      <c r="B89" t="s">
        <v>985</v>
      </c>
      <c r="C89" t="s">
        <v>986</v>
      </c>
      <c r="D89" t="s">
        <v>194</v>
      </c>
      <c r="E89" t="s">
        <v>944</v>
      </c>
      <c r="F89" t="s">
        <v>1016</v>
      </c>
      <c r="G89" t="s">
        <v>1017</v>
      </c>
      <c r="H89" t="s">
        <v>1018</v>
      </c>
      <c r="I89" t="s">
        <v>209</v>
      </c>
      <c r="J89" t="s">
        <v>176</v>
      </c>
      <c r="K89" s="30">
        <v>43060</v>
      </c>
      <c r="L89" s="8">
        <v>43059.886759259258</v>
      </c>
      <c r="M89" s="21">
        <f>LEN(ProjTextTable[[#This Row],[text]])</f>
        <v>2301</v>
      </c>
      <c r="N89" s="21">
        <f>LEN(TRIM(CLEAN(SUBSTITUTE(ProjTextTable[[#This Row],[text]],CHAR(10)," "))))+1 - LEN(SUBSTITUTE(CLEAN(SUBSTITUTE(ProjTextTable[[#This Row],[text]],CHAR(10)," "))," ",""))</f>
        <v>335</v>
      </c>
      <c r="O89" t="s">
        <v>203</v>
      </c>
      <c r="P89" t="s">
        <v>1019</v>
      </c>
    </row>
    <row r="90" spans="1:16">
      <c r="A90">
        <f t="shared" si="1"/>
        <v>14</v>
      </c>
      <c r="B90" t="s">
        <v>985</v>
      </c>
      <c r="C90" t="s">
        <v>986</v>
      </c>
      <c r="D90" t="s">
        <v>196</v>
      </c>
      <c r="E90" t="s">
        <v>944</v>
      </c>
      <c r="F90" t="s">
        <v>13</v>
      </c>
      <c r="G90" t="s">
        <v>13</v>
      </c>
      <c r="H90" t="s">
        <v>13</v>
      </c>
      <c r="K90" s="30"/>
      <c r="L90" s="8">
        <v>42935.043599537035</v>
      </c>
      <c r="M90" s="21">
        <f>LEN(ProjTextTable[[#This Row],[text]])</f>
        <v>3533</v>
      </c>
      <c r="N90" s="21">
        <f>LEN(TRIM(CLEAN(SUBSTITUTE(ProjTextTable[[#This Row],[text]],CHAR(10)," "))))+1 - LEN(SUBSTITUTE(CLEAN(SUBSTITUTE(ProjTextTable[[#This Row],[text]],CHAR(10)," "))," ",""))</f>
        <v>480</v>
      </c>
      <c r="O90" t="s">
        <v>13</v>
      </c>
      <c r="P90" t="s">
        <v>1020</v>
      </c>
    </row>
    <row r="91" spans="1:16">
      <c r="A91">
        <f t="shared" si="1"/>
        <v>15</v>
      </c>
      <c r="B91" t="s">
        <v>697</v>
      </c>
      <c r="C91" t="s">
        <v>698</v>
      </c>
      <c r="D91" t="s">
        <v>205</v>
      </c>
      <c r="E91" t="s">
        <v>582</v>
      </c>
      <c r="F91" t="s">
        <v>583</v>
      </c>
      <c r="G91" t="s">
        <v>584</v>
      </c>
      <c r="H91" t="s">
        <v>381</v>
      </c>
      <c r="I91" t="s">
        <v>200</v>
      </c>
      <c r="J91" t="s">
        <v>585</v>
      </c>
      <c r="K91" s="30">
        <v>43031</v>
      </c>
      <c r="L91" s="8"/>
      <c r="M91" s="21">
        <f>LEN(ProjTextTable[[#This Row],[text]])</f>
        <v>2254</v>
      </c>
      <c r="N91" s="21">
        <f>LEN(TRIM(CLEAN(SUBSTITUTE(ProjTextTable[[#This Row],[text]],CHAR(10)," "))))+1 - LEN(SUBSTITUTE(CLEAN(SUBSTITUTE(ProjTextTable[[#This Row],[text]],CHAR(10)," "))," ",""))</f>
        <v>326</v>
      </c>
      <c r="O91" t="s">
        <v>354</v>
      </c>
      <c r="P91" t="s">
        <v>699</v>
      </c>
    </row>
    <row r="92" spans="1:16">
      <c r="A92">
        <f t="shared" si="1"/>
        <v>15</v>
      </c>
      <c r="B92" t="s">
        <v>697</v>
      </c>
      <c r="C92" t="s">
        <v>698</v>
      </c>
      <c r="D92" t="s">
        <v>194</v>
      </c>
      <c r="E92" t="s">
        <v>582</v>
      </c>
      <c r="F92" t="s">
        <v>689</v>
      </c>
      <c r="G92" t="s">
        <v>690</v>
      </c>
      <c r="H92" t="s">
        <v>691</v>
      </c>
      <c r="I92" t="s">
        <v>209</v>
      </c>
      <c r="J92" t="s">
        <v>176</v>
      </c>
      <c r="K92" s="30">
        <v>43032</v>
      </c>
      <c r="L92" s="8">
        <v>43030.872187499997</v>
      </c>
      <c r="M92" s="21">
        <f>LEN(ProjTextTable[[#This Row],[text]])</f>
        <v>2046</v>
      </c>
      <c r="N92" s="21">
        <f>LEN(TRIM(CLEAN(SUBSTITUTE(ProjTextTable[[#This Row],[text]],CHAR(10)," "))))+1 - LEN(SUBSTITUTE(CLEAN(SUBSTITUTE(ProjTextTable[[#This Row],[text]],CHAR(10)," "))," ",""))</f>
        <v>322</v>
      </c>
      <c r="O92" t="s">
        <v>201</v>
      </c>
      <c r="P92" t="s">
        <v>700</v>
      </c>
    </row>
    <row r="93" spans="1:16">
      <c r="A93">
        <f t="shared" si="1"/>
        <v>15</v>
      </c>
      <c r="B93" t="s">
        <v>697</v>
      </c>
      <c r="C93" t="s">
        <v>698</v>
      </c>
      <c r="D93" t="s">
        <v>194</v>
      </c>
      <c r="E93" t="s">
        <v>582</v>
      </c>
      <c r="F93" t="s">
        <v>587</v>
      </c>
      <c r="G93" t="s">
        <v>588</v>
      </c>
      <c r="H93" t="s">
        <v>589</v>
      </c>
      <c r="I93" t="s">
        <v>209</v>
      </c>
      <c r="J93" t="s">
        <v>176</v>
      </c>
      <c r="K93" s="30">
        <v>43032</v>
      </c>
      <c r="L93" s="8">
        <v>43031.584618055553</v>
      </c>
      <c r="M93" s="21">
        <f>LEN(ProjTextTable[[#This Row],[text]])</f>
        <v>4713</v>
      </c>
      <c r="N93" s="21">
        <f>LEN(TRIM(CLEAN(SUBSTITUTE(ProjTextTable[[#This Row],[text]],CHAR(10)," "))))+1 - LEN(SUBSTITUTE(CLEAN(SUBSTITUTE(ProjTextTable[[#This Row],[text]],CHAR(10)," "))," ",""))</f>
        <v>751</v>
      </c>
      <c r="O93" t="s">
        <v>199</v>
      </c>
      <c r="P93" t="s">
        <v>701</v>
      </c>
    </row>
    <row r="94" spans="1:16">
      <c r="A94">
        <f t="shared" si="1"/>
        <v>15</v>
      </c>
      <c r="B94" t="s">
        <v>697</v>
      </c>
      <c r="C94" t="s">
        <v>698</v>
      </c>
      <c r="D94" t="s">
        <v>194</v>
      </c>
      <c r="E94" t="s">
        <v>582</v>
      </c>
      <c r="F94" t="s">
        <v>645</v>
      </c>
      <c r="G94" t="s">
        <v>646</v>
      </c>
      <c r="H94" t="s">
        <v>647</v>
      </c>
      <c r="I94" t="s">
        <v>209</v>
      </c>
      <c r="J94" t="s">
        <v>176</v>
      </c>
      <c r="K94" s="30">
        <v>43032</v>
      </c>
      <c r="L94" s="8">
        <v>43030.765972222223</v>
      </c>
      <c r="M94" s="21">
        <f>LEN(ProjTextTable[[#This Row],[text]])</f>
        <v>1991</v>
      </c>
      <c r="N94" s="21">
        <f>LEN(TRIM(CLEAN(SUBSTITUTE(ProjTextTable[[#This Row],[text]],CHAR(10)," "))))+1 - LEN(SUBSTITUTE(CLEAN(SUBSTITUTE(ProjTextTable[[#This Row],[text]],CHAR(10)," "))," ",""))</f>
        <v>301</v>
      </c>
      <c r="O94" t="s">
        <v>201</v>
      </c>
      <c r="P94" t="s">
        <v>702</v>
      </c>
    </row>
    <row r="95" spans="1:16">
      <c r="A95">
        <f t="shared" si="1"/>
        <v>15</v>
      </c>
      <c r="B95" t="s">
        <v>697</v>
      </c>
      <c r="C95" t="s">
        <v>698</v>
      </c>
      <c r="D95" t="s">
        <v>194</v>
      </c>
      <c r="E95" t="s">
        <v>582</v>
      </c>
      <c r="F95" t="s">
        <v>651</v>
      </c>
      <c r="G95" t="s">
        <v>652</v>
      </c>
      <c r="H95" t="s">
        <v>653</v>
      </c>
      <c r="I95" t="s">
        <v>209</v>
      </c>
      <c r="J95" t="s">
        <v>176</v>
      </c>
      <c r="K95" s="30">
        <v>43032</v>
      </c>
      <c r="L95" s="8">
        <v>43026.705312500002</v>
      </c>
      <c r="M95" s="21">
        <f>LEN(ProjTextTable[[#This Row],[text]])</f>
        <v>1527</v>
      </c>
      <c r="N95" s="21">
        <f>LEN(TRIM(CLEAN(SUBSTITUTE(ProjTextTable[[#This Row],[text]],CHAR(10)," "))))+1 - LEN(SUBSTITUTE(CLEAN(SUBSTITUTE(ProjTextTable[[#This Row],[text]],CHAR(10)," "))," ",""))</f>
        <v>224</v>
      </c>
      <c r="O95" t="s">
        <v>201</v>
      </c>
      <c r="P95" t="s">
        <v>703</v>
      </c>
    </row>
    <row r="96" spans="1:16">
      <c r="A96">
        <f t="shared" si="1"/>
        <v>15</v>
      </c>
      <c r="B96" t="s">
        <v>697</v>
      </c>
      <c r="C96" t="s">
        <v>698</v>
      </c>
      <c r="D96" t="s">
        <v>196</v>
      </c>
      <c r="E96" t="s">
        <v>579</v>
      </c>
      <c r="F96" t="s">
        <v>13</v>
      </c>
      <c r="G96" t="s">
        <v>13</v>
      </c>
      <c r="H96" t="s">
        <v>13</v>
      </c>
      <c r="K96" s="30"/>
      <c r="L96" s="8">
        <v>42935.043599537035</v>
      </c>
      <c r="M96" s="21">
        <f>LEN(ProjTextTable[[#This Row],[text]])</f>
        <v>4036</v>
      </c>
      <c r="N96" s="21">
        <f>LEN(TRIM(CLEAN(SUBSTITUTE(ProjTextTable[[#This Row],[text]],CHAR(10)," "))))+1 - LEN(SUBSTITUTE(CLEAN(SUBSTITUTE(ProjTextTable[[#This Row],[text]],CHAR(10)," "))," ",""))</f>
        <v>595</v>
      </c>
      <c r="O96" t="s">
        <v>13</v>
      </c>
      <c r="P96" t="s">
        <v>704</v>
      </c>
    </row>
    <row r="97" spans="1:16">
      <c r="A97">
        <f t="shared" si="1"/>
        <v>16</v>
      </c>
      <c r="B97" t="s">
        <v>1021</v>
      </c>
      <c r="C97" t="s">
        <v>349</v>
      </c>
      <c r="D97" t="s">
        <v>205</v>
      </c>
      <c r="E97" t="s">
        <v>582</v>
      </c>
      <c r="F97" t="s">
        <v>583</v>
      </c>
      <c r="G97" t="s">
        <v>584</v>
      </c>
      <c r="H97" t="s">
        <v>251</v>
      </c>
      <c r="I97" t="s">
        <v>193</v>
      </c>
      <c r="J97" t="s">
        <v>605</v>
      </c>
      <c r="K97" s="30">
        <v>43031</v>
      </c>
      <c r="L97" s="8">
        <v>43075.718576388892</v>
      </c>
      <c r="M97" s="21">
        <f>LEN(ProjTextTable[[#This Row],[text]])</f>
        <v>3188</v>
      </c>
      <c r="N97" s="21">
        <f>LEN(TRIM(CLEAN(SUBSTITUTE(ProjTextTable[[#This Row],[text]],CHAR(10)," "))))+1 - LEN(SUBSTITUTE(CLEAN(SUBSTITUTE(ProjTextTable[[#This Row],[text]],CHAR(10)," "))," ",""))</f>
        <v>475</v>
      </c>
      <c r="O97" t="s">
        <v>250</v>
      </c>
      <c r="P97" t="s">
        <v>1022</v>
      </c>
    </row>
    <row r="98" spans="1:16">
      <c r="A98">
        <f t="shared" si="1"/>
        <v>16</v>
      </c>
      <c r="B98" t="s">
        <v>1021</v>
      </c>
      <c r="C98" t="s">
        <v>349</v>
      </c>
      <c r="D98" t="s">
        <v>194</v>
      </c>
      <c r="E98" t="s">
        <v>582</v>
      </c>
      <c r="F98" t="s">
        <v>689</v>
      </c>
      <c r="G98" t="s">
        <v>690</v>
      </c>
      <c r="H98" t="s">
        <v>691</v>
      </c>
      <c r="I98" t="s">
        <v>209</v>
      </c>
      <c r="J98" t="s">
        <v>176</v>
      </c>
      <c r="K98" s="30">
        <v>43032</v>
      </c>
      <c r="L98" s="8">
        <v>43030.879699074074</v>
      </c>
      <c r="M98" s="21">
        <f>LEN(ProjTextTable[[#This Row],[text]])</f>
        <v>2801</v>
      </c>
      <c r="N98" s="21">
        <f>LEN(TRIM(CLEAN(SUBSTITUTE(ProjTextTable[[#This Row],[text]],CHAR(10)," "))))+1 - LEN(SUBSTITUTE(CLEAN(SUBSTITUTE(ProjTextTable[[#This Row],[text]],CHAR(10)," "))," ",""))</f>
        <v>432</v>
      </c>
      <c r="O98" t="s">
        <v>199</v>
      </c>
      <c r="P98" t="s">
        <v>1023</v>
      </c>
    </row>
    <row r="99" spans="1:16">
      <c r="A99">
        <f t="shared" si="1"/>
        <v>16</v>
      </c>
      <c r="B99" t="s">
        <v>1021</v>
      </c>
      <c r="C99" t="s">
        <v>349</v>
      </c>
      <c r="D99" t="s">
        <v>194</v>
      </c>
      <c r="E99" t="s">
        <v>582</v>
      </c>
      <c r="F99" t="s">
        <v>587</v>
      </c>
      <c r="G99" t="s">
        <v>588</v>
      </c>
      <c r="H99" t="s">
        <v>589</v>
      </c>
      <c r="I99" t="s">
        <v>209</v>
      </c>
      <c r="J99" t="s">
        <v>176</v>
      </c>
      <c r="K99" s="30">
        <v>43032</v>
      </c>
      <c r="L99" s="8">
        <v>43031.585347222222</v>
      </c>
      <c r="M99" s="21">
        <f>LEN(ProjTextTable[[#This Row],[text]])</f>
        <v>3518</v>
      </c>
      <c r="N99" s="21">
        <f>LEN(TRIM(CLEAN(SUBSTITUTE(ProjTextTable[[#This Row],[text]],CHAR(10)," "))))+1 - LEN(SUBSTITUTE(CLEAN(SUBSTITUTE(ProjTextTable[[#This Row],[text]],CHAR(10)," "))," ",""))</f>
        <v>586</v>
      </c>
      <c r="O99" t="s">
        <v>203</v>
      </c>
      <c r="P99" t="s">
        <v>1024</v>
      </c>
    </row>
    <row r="100" spans="1:16">
      <c r="A100">
        <f t="shared" si="1"/>
        <v>16</v>
      </c>
      <c r="B100" t="s">
        <v>1021</v>
      </c>
      <c r="C100" t="s">
        <v>349</v>
      </c>
      <c r="D100" t="s">
        <v>194</v>
      </c>
      <c r="E100" t="s">
        <v>582</v>
      </c>
      <c r="F100" t="s">
        <v>591</v>
      </c>
      <c r="G100" t="s">
        <v>592</v>
      </c>
      <c r="H100" t="s">
        <v>593</v>
      </c>
      <c r="I100" t="s">
        <v>209</v>
      </c>
      <c r="J100" t="s">
        <v>176</v>
      </c>
      <c r="K100" s="30">
        <v>43032</v>
      </c>
      <c r="L100" s="8">
        <v>43031.332002314812</v>
      </c>
      <c r="M100" s="21">
        <f>LEN(ProjTextTable[[#This Row],[text]])</f>
        <v>2047</v>
      </c>
      <c r="N100" s="21">
        <f>LEN(TRIM(CLEAN(SUBSTITUTE(ProjTextTable[[#This Row],[text]],CHAR(10)," "))))+1 - LEN(SUBSTITUTE(CLEAN(SUBSTITUTE(ProjTextTable[[#This Row],[text]],CHAR(10)," "))," ",""))</f>
        <v>299</v>
      </c>
      <c r="O100" t="s">
        <v>195</v>
      </c>
      <c r="P100" t="s">
        <v>1025</v>
      </c>
    </row>
    <row r="101" spans="1:16">
      <c r="A101">
        <f t="shared" si="1"/>
        <v>16</v>
      </c>
      <c r="B101" t="s">
        <v>1021</v>
      </c>
      <c r="C101" t="s">
        <v>349</v>
      </c>
      <c r="D101" t="s">
        <v>194</v>
      </c>
      <c r="E101" t="s">
        <v>582</v>
      </c>
      <c r="F101" t="s">
        <v>768</v>
      </c>
      <c r="G101" t="s">
        <v>769</v>
      </c>
      <c r="H101" t="s">
        <v>770</v>
      </c>
      <c r="I101" t="s">
        <v>209</v>
      </c>
      <c r="J101" t="s">
        <v>176</v>
      </c>
      <c r="K101" s="30">
        <v>43032</v>
      </c>
      <c r="L101" s="8">
        <v>43013.77783564815</v>
      </c>
      <c r="M101" s="21">
        <f>LEN(ProjTextTable[[#This Row],[text]])</f>
        <v>5306</v>
      </c>
      <c r="N101" s="21">
        <f>LEN(TRIM(CLEAN(SUBSTITUTE(ProjTextTable[[#This Row],[text]],CHAR(10)," "))))+1 - LEN(SUBSTITUTE(CLEAN(SUBSTITUTE(ProjTextTable[[#This Row],[text]],CHAR(10)," "))," ",""))</f>
        <v>882</v>
      </c>
      <c r="O101" t="s">
        <v>195</v>
      </c>
      <c r="P101" t="s">
        <v>1026</v>
      </c>
    </row>
    <row r="102" spans="1:16">
      <c r="A102">
        <f t="shared" si="1"/>
        <v>16</v>
      </c>
      <c r="B102" t="s">
        <v>1021</v>
      </c>
      <c r="C102" t="s">
        <v>349</v>
      </c>
      <c r="D102" t="s">
        <v>196</v>
      </c>
      <c r="E102" t="s">
        <v>944</v>
      </c>
      <c r="F102" t="s">
        <v>13</v>
      </c>
      <c r="G102" t="s">
        <v>13</v>
      </c>
      <c r="H102" t="s">
        <v>13</v>
      </c>
      <c r="K102" s="30"/>
      <c r="L102" s="8">
        <v>42936.042557870373</v>
      </c>
      <c r="M102" s="21">
        <f>LEN(ProjTextTable[[#This Row],[text]])</f>
        <v>3445</v>
      </c>
      <c r="N102" s="21">
        <f>LEN(TRIM(CLEAN(SUBSTITUTE(ProjTextTable[[#This Row],[text]],CHAR(10)," "))))+1 - LEN(SUBSTITUTE(CLEAN(SUBSTITUTE(ProjTextTable[[#This Row],[text]],CHAR(10)," "))," ",""))</f>
        <v>492</v>
      </c>
      <c r="O102" t="s">
        <v>13</v>
      </c>
      <c r="P102" t="s">
        <v>1027</v>
      </c>
    </row>
    <row r="103" spans="1:16">
      <c r="A103">
        <f t="shared" si="1"/>
        <v>17</v>
      </c>
      <c r="B103" t="s">
        <v>1028</v>
      </c>
      <c r="C103" t="s">
        <v>1029</v>
      </c>
      <c r="D103" t="s">
        <v>205</v>
      </c>
      <c r="E103" t="s">
        <v>582</v>
      </c>
      <c r="F103" t="s">
        <v>583</v>
      </c>
      <c r="G103" t="s">
        <v>584</v>
      </c>
      <c r="H103" t="s">
        <v>207</v>
      </c>
      <c r="I103" t="s">
        <v>197</v>
      </c>
      <c r="J103" t="s">
        <v>255</v>
      </c>
      <c r="K103" s="30">
        <v>43031</v>
      </c>
      <c r="L103" s="8"/>
      <c r="M103" s="21">
        <f>LEN(ProjTextTable[[#This Row],[text]])</f>
        <v>4296</v>
      </c>
      <c r="N103" s="21">
        <f>LEN(TRIM(CLEAN(SUBSTITUTE(ProjTextTable[[#This Row],[text]],CHAR(10)," "))))+1 - LEN(SUBSTITUTE(CLEAN(SUBSTITUTE(ProjTextTable[[#This Row],[text]],CHAR(10)," "))," ",""))</f>
        <v>633</v>
      </c>
      <c r="O103" t="s">
        <v>208</v>
      </c>
      <c r="P103" t="s">
        <v>1030</v>
      </c>
    </row>
    <row r="104" spans="1:16">
      <c r="A104">
        <f t="shared" si="1"/>
        <v>17</v>
      </c>
      <c r="B104" t="s">
        <v>1028</v>
      </c>
      <c r="C104" t="s">
        <v>1029</v>
      </c>
      <c r="D104" t="s">
        <v>194</v>
      </c>
      <c r="E104" t="s">
        <v>582</v>
      </c>
      <c r="F104" t="s">
        <v>768</v>
      </c>
      <c r="G104" t="s">
        <v>769</v>
      </c>
      <c r="H104" t="s">
        <v>770</v>
      </c>
      <c r="I104" t="s">
        <v>209</v>
      </c>
      <c r="J104" t="s">
        <v>176</v>
      </c>
      <c r="K104" s="30">
        <v>43032</v>
      </c>
      <c r="L104" s="8">
        <v>43032.519444444442</v>
      </c>
      <c r="M104" s="21">
        <f>LEN(ProjTextTable[[#This Row],[text]])</f>
        <v>7359</v>
      </c>
      <c r="N104" s="21">
        <f>LEN(TRIM(CLEAN(SUBSTITUTE(ProjTextTable[[#This Row],[text]],CHAR(10)," "))))+1 - LEN(SUBSTITUTE(CLEAN(SUBSTITUTE(ProjTextTable[[#This Row],[text]],CHAR(10)," "))," ",""))</f>
        <v>1246</v>
      </c>
      <c r="O104" t="s">
        <v>199</v>
      </c>
      <c r="P104" t="s">
        <v>1031</v>
      </c>
    </row>
    <row r="105" spans="1:16">
      <c r="A105">
        <f t="shared" si="1"/>
        <v>17</v>
      </c>
      <c r="B105" t="s">
        <v>1028</v>
      </c>
      <c r="C105" t="s">
        <v>1029</v>
      </c>
      <c r="D105" t="s">
        <v>194</v>
      </c>
      <c r="E105" t="s">
        <v>582</v>
      </c>
      <c r="F105" t="s">
        <v>619</v>
      </c>
      <c r="G105" t="s">
        <v>620</v>
      </c>
      <c r="H105" t="s">
        <v>621</v>
      </c>
      <c r="I105" t="s">
        <v>209</v>
      </c>
      <c r="J105" t="s">
        <v>176</v>
      </c>
      <c r="K105" s="30">
        <v>43032</v>
      </c>
      <c r="L105" s="8">
        <v>43030.097916666666</v>
      </c>
      <c r="M105" s="21">
        <f>LEN(ProjTextTable[[#This Row],[text]])</f>
        <v>2211</v>
      </c>
      <c r="N105" s="21">
        <f>LEN(TRIM(CLEAN(SUBSTITUTE(ProjTextTable[[#This Row],[text]],CHAR(10)," "))))+1 - LEN(SUBSTITUTE(CLEAN(SUBSTITUTE(ProjTextTable[[#This Row],[text]],CHAR(10)," "))," ",""))</f>
        <v>328</v>
      </c>
      <c r="O105" t="s">
        <v>195</v>
      </c>
      <c r="P105" t="s">
        <v>1032</v>
      </c>
    </row>
    <row r="106" spans="1:16">
      <c r="A106">
        <f t="shared" si="1"/>
        <v>17</v>
      </c>
      <c r="B106" t="s">
        <v>1028</v>
      </c>
      <c r="C106" t="s">
        <v>1029</v>
      </c>
      <c r="D106" t="s">
        <v>194</v>
      </c>
      <c r="E106" t="s">
        <v>582</v>
      </c>
      <c r="F106" t="s">
        <v>630</v>
      </c>
      <c r="G106" t="s">
        <v>631</v>
      </c>
      <c r="H106" t="s">
        <v>632</v>
      </c>
      <c r="I106" t="s">
        <v>209</v>
      </c>
      <c r="J106" t="s">
        <v>176</v>
      </c>
      <c r="K106" s="30">
        <v>43032</v>
      </c>
      <c r="L106" s="8">
        <v>43029.743773148148</v>
      </c>
      <c r="M106" s="21">
        <f>LEN(ProjTextTable[[#This Row],[text]])</f>
        <v>1790</v>
      </c>
      <c r="N106" s="21">
        <f>LEN(TRIM(CLEAN(SUBSTITUTE(ProjTextTable[[#This Row],[text]],CHAR(10)," "))))+1 - LEN(SUBSTITUTE(CLEAN(SUBSTITUTE(ProjTextTable[[#This Row],[text]],CHAR(10)," "))," ",""))</f>
        <v>255</v>
      </c>
      <c r="O106" t="s">
        <v>253</v>
      </c>
      <c r="P106" t="s">
        <v>1033</v>
      </c>
    </row>
    <row r="107" spans="1:16">
      <c r="A107">
        <f t="shared" si="1"/>
        <v>17</v>
      </c>
      <c r="B107" t="s">
        <v>1028</v>
      </c>
      <c r="C107" t="s">
        <v>1029</v>
      </c>
      <c r="D107" t="s">
        <v>194</v>
      </c>
      <c r="E107" t="s">
        <v>582</v>
      </c>
      <c r="F107" t="s">
        <v>651</v>
      </c>
      <c r="G107" t="s">
        <v>652</v>
      </c>
      <c r="H107" t="s">
        <v>653</v>
      </c>
      <c r="I107" t="s">
        <v>209</v>
      </c>
      <c r="J107" t="s">
        <v>176</v>
      </c>
      <c r="K107" s="30">
        <v>43032</v>
      </c>
      <c r="L107" s="8">
        <v>43026.70988425926</v>
      </c>
      <c r="M107" s="21">
        <f>LEN(ProjTextTable[[#This Row],[text]])</f>
        <v>2510</v>
      </c>
      <c r="N107" s="21">
        <f>LEN(TRIM(CLEAN(SUBSTITUTE(ProjTextTable[[#This Row],[text]],CHAR(10)," "))))+1 - LEN(SUBSTITUTE(CLEAN(SUBSTITUTE(ProjTextTable[[#This Row],[text]],CHAR(10)," "))," ",""))</f>
        <v>396</v>
      </c>
      <c r="O107" t="s">
        <v>199</v>
      </c>
      <c r="P107" t="s">
        <v>1034</v>
      </c>
    </row>
    <row r="108" spans="1:16">
      <c r="A108">
        <f t="shared" si="1"/>
        <v>17</v>
      </c>
      <c r="B108" t="s">
        <v>1028</v>
      </c>
      <c r="C108" t="s">
        <v>1029</v>
      </c>
      <c r="D108" t="s">
        <v>196</v>
      </c>
      <c r="E108" t="s">
        <v>944</v>
      </c>
      <c r="F108" t="s">
        <v>13</v>
      </c>
      <c r="G108" t="s">
        <v>13</v>
      </c>
      <c r="H108" t="s">
        <v>13</v>
      </c>
      <c r="K108" s="30"/>
      <c r="L108" s="8">
        <v>42936.042581018519</v>
      </c>
      <c r="M108" s="21">
        <f>LEN(ProjTextTable[[#This Row],[text]])</f>
        <v>2310</v>
      </c>
      <c r="N108" s="21">
        <f>LEN(TRIM(CLEAN(SUBSTITUTE(ProjTextTable[[#This Row],[text]],CHAR(10)," "))))+1 - LEN(SUBSTITUTE(CLEAN(SUBSTITUTE(ProjTextTable[[#This Row],[text]],CHAR(10)," "))," ",""))</f>
        <v>295</v>
      </c>
      <c r="O108" t="s">
        <v>13</v>
      </c>
      <c r="P108" t="s">
        <v>1035</v>
      </c>
    </row>
    <row r="109" spans="1:16">
      <c r="A109">
        <f t="shared" si="1"/>
        <v>18</v>
      </c>
      <c r="B109" t="s">
        <v>1036</v>
      </c>
      <c r="C109" t="s">
        <v>1037</v>
      </c>
      <c r="D109" t="s">
        <v>205</v>
      </c>
      <c r="E109" t="s">
        <v>582</v>
      </c>
      <c r="F109" t="s">
        <v>583</v>
      </c>
      <c r="G109" t="s">
        <v>584</v>
      </c>
      <c r="H109" t="s">
        <v>207</v>
      </c>
      <c r="I109" t="s">
        <v>197</v>
      </c>
      <c r="J109" t="s">
        <v>193</v>
      </c>
      <c r="K109" s="30">
        <v>43031</v>
      </c>
      <c r="L109" s="8"/>
      <c r="M109" s="21">
        <f>LEN(ProjTextTable[[#This Row],[text]])</f>
        <v>2693</v>
      </c>
      <c r="N109" s="21">
        <f>LEN(TRIM(CLEAN(SUBSTITUTE(ProjTextTable[[#This Row],[text]],CHAR(10)," "))))+1 - LEN(SUBSTITUTE(CLEAN(SUBSTITUTE(ProjTextTable[[#This Row],[text]],CHAR(10)," "))," ",""))</f>
        <v>386</v>
      </c>
      <c r="O109" t="s">
        <v>208</v>
      </c>
      <c r="P109" t="s">
        <v>1038</v>
      </c>
    </row>
    <row r="110" spans="1:16">
      <c r="A110">
        <f t="shared" si="1"/>
        <v>18</v>
      </c>
      <c r="B110" t="s">
        <v>1036</v>
      </c>
      <c r="C110" t="s">
        <v>1037</v>
      </c>
      <c r="D110" t="s">
        <v>194</v>
      </c>
      <c r="E110" t="s">
        <v>582</v>
      </c>
      <c r="F110" t="s">
        <v>712</v>
      </c>
      <c r="G110" t="s">
        <v>713</v>
      </c>
      <c r="H110" t="s">
        <v>714</v>
      </c>
      <c r="I110" t="s">
        <v>209</v>
      </c>
      <c r="J110" t="s">
        <v>176</v>
      </c>
      <c r="K110" s="30">
        <v>43032</v>
      </c>
      <c r="L110" s="8">
        <v>43027.652361111112</v>
      </c>
      <c r="M110" s="21">
        <f>LEN(ProjTextTable[[#This Row],[text]])</f>
        <v>2118</v>
      </c>
      <c r="N110" s="21">
        <f>LEN(TRIM(CLEAN(SUBSTITUTE(ProjTextTable[[#This Row],[text]],CHAR(10)," "))))+1 - LEN(SUBSTITUTE(CLEAN(SUBSTITUTE(ProjTextTable[[#This Row],[text]],CHAR(10)," "))," ",""))</f>
        <v>305</v>
      </c>
      <c r="O110" t="s">
        <v>199</v>
      </c>
      <c r="P110" t="s">
        <v>1039</v>
      </c>
    </row>
    <row r="111" spans="1:16">
      <c r="A111">
        <f t="shared" si="1"/>
        <v>18</v>
      </c>
      <c r="B111" t="s">
        <v>1036</v>
      </c>
      <c r="C111" t="s">
        <v>1037</v>
      </c>
      <c r="D111" t="s">
        <v>194</v>
      </c>
      <c r="E111" t="s">
        <v>944</v>
      </c>
      <c r="F111" t="s">
        <v>599</v>
      </c>
      <c r="G111" t="s">
        <v>600</v>
      </c>
      <c r="H111" t="s">
        <v>601</v>
      </c>
      <c r="I111" t="s">
        <v>209</v>
      </c>
      <c r="J111" t="s">
        <v>176</v>
      </c>
      <c r="K111" s="30">
        <v>43032</v>
      </c>
      <c r="L111" s="8">
        <v>43031.632939814815</v>
      </c>
      <c r="M111" s="21">
        <f>LEN(ProjTextTable[[#This Row],[text]])</f>
        <v>2363</v>
      </c>
      <c r="N111" s="21">
        <f>LEN(TRIM(CLEAN(SUBSTITUTE(ProjTextTable[[#This Row],[text]],CHAR(10)," "))))+1 - LEN(SUBSTITUTE(CLEAN(SUBSTITUTE(ProjTextTable[[#This Row],[text]],CHAR(10)," "))," ",""))</f>
        <v>352</v>
      </c>
      <c r="O111" t="s">
        <v>199</v>
      </c>
      <c r="P111" t="s">
        <v>1040</v>
      </c>
    </row>
    <row r="112" spans="1:16">
      <c r="A112">
        <f t="shared" si="1"/>
        <v>18</v>
      </c>
      <c r="B112" t="s">
        <v>1036</v>
      </c>
      <c r="C112" t="s">
        <v>1037</v>
      </c>
      <c r="D112" t="s">
        <v>194</v>
      </c>
      <c r="E112" t="s">
        <v>582</v>
      </c>
      <c r="F112" t="s">
        <v>768</v>
      </c>
      <c r="G112" t="s">
        <v>769</v>
      </c>
      <c r="H112" t="s">
        <v>770</v>
      </c>
      <c r="I112" t="s">
        <v>209</v>
      </c>
      <c r="J112" t="s">
        <v>176</v>
      </c>
      <c r="K112" s="30">
        <v>43032</v>
      </c>
      <c r="L112" s="8">
        <v>43032.520671296297</v>
      </c>
      <c r="M112" s="21">
        <f>LEN(ProjTextTable[[#This Row],[text]])</f>
        <v>5534</v>
      </c>
      <c r="N112" s="21">
        <f>LEN(TRIM(CLEAN(SUBSTITUTE(ProjTextTable[[#This Row],[text]],CHAR(10)," "))))+1 - LEN(SUBSTITUTE(CLEAN(SUBSTITUTE(ProjTextTable[[#This Row],[text]],CHAR(10)," "))," ",""))</f>
        <v>912</v>
      </c>
      <c r="O112" t="s">
        <v>253</v>
      </c>
      <c r="P112" t="s">
        <v>1041</v>
      </c>
    </row>
    <row r="113" spans="1:16">
      <c r="A113">
        <f t="shared" si="1"/>
        <v>18</v>
      </c>
      <c r="B113" t="s">
        <v>1036</v>
      </c>
      <c r="C113" t="s">
        <v>1037</v>
      </c>
      <c r="D113" t="s">
        <v>194</v>
      </c>
      <c r="E113" t="s">
        <v>582</v>
      </c>
      <c r="F113" t="s">
        <v>645</v>
      </c>
      <c r="G113" t="s">
        <v>646</v>
      </c>
      <c r="H113" t="s">
        <v>647</v>
      </c>
      <c r="I113" t="s">
        <v>209</v>
      </c>
      <c r="J113" t="s">
        <v>176</v>
      </c>
      <c r="K113" s="30">
        <v>43032</v>
      </c>
      <c r="L113" s="8">
        <v>43030.650266203702</v>
      </c>
      <c r="M113" s="21">
        <f>LEN(ProjTextTable[[#This Row],[text]])</f>
        <v>2740</v>
      </c>
      <c r="N113" s="21">
        <f>LEN(TRIM(CLEAN(SUBSTITUTE(ProjTextTable[[#This Row],[text]],CHAR(10)," "))))+1 - LEN(SUBSTITUTE(CLEAN(SUBSTITUTE(ProjTextTable[[#This Row],[text]],CHAR(10)," "))," ",""))</f>
        <v>440</v>
      </c>
      <c r="O113" t="s">
        <v>198</v>
      </c>
      <c r="P113" t="s">
        <v>1042</v>
      </c>
    </row>
    <row r="114" spans="1:16">
      <c r="A114">
        <f t="shared" si="1"/>
        <v>18</v>
      </c>
      <c r="B114" t="s">
        <v>1036</v>
      </c>
      <c r="C114" t="s">
        <v>1037</v>
      </c>
      <c r="D114" t="s">
        <v>196</v>
      </c>
      <c r="E114" t="s">
        <v>944</v>
      </c>
      <c r="F114" t="s">
        <v>13</v>
      </c>
      <c r="G114" t="s">
        <v>13</v>
      </c>
      <c r="H114" t="s">
        <v>13</v>
      </c>
      <c r="K114" s="30"/>
      <c r="L114" s="8">
        <v>42936.042615740742</v>
      </c>
      <c r="M114" s="21">
        <f>LEN(ProjTextTable[[#This Row],[text]])</f>
        <v>4420</v>
      </c>
      <c r="N114" s="21">
        <f>LEN(TRIM(CLEAN(SUBSTITUTE(ProjTextTable[[#This Row],[text]],CHAR(10)," "))))+1 - LEN(SUBSTITUTE(CLEAN(SUBSTITUTE(ProjTextTable[[#This Row],[text]],CHAR(10)," "))," ",""))</f>
        <v>643</v>
      </c>
      <c r="O114" t="s">
        <v>13</v>
      </c>
      <c r="P114" t="s">
        <v>1043</v>
      </c>
    </row>
    <row r="115" spans="1:16">
      <c r="A115">
        <f t="shared" si="1"/>
        <v>19</v>
      </c>
      <c r="B115" t="s">
        <v>1044</v>
      </c>
      <c r="C115" t="s">
        <v>1045</v>
      </c>
      <c r="D115" t="s">
        <v>205</v>
      </c>
      <c r="E115" t="s">
        <v>582</v>
      </c>
      <c r="F115" t="s">
        <v>583</v>
      </c>
      <c r="G115" t="s">
        <v>584</v>
      </c>
      <c r="H115" t="s">
        <v>251</v>
      </c>
      <c r="I115" t="s">
        <v>193</v>
      </c>
      <c r="J115" t="s">
        <v>605</v>
      </c>
      <c r="K115" s="30">
        <v>43031</v>
      </c>
      <c r="L115" s="8"/>
      <c r="M115" s="21">
        <f>LEN(ProjTextTable[[#This Row],[text]])</f>
        <v>2933</v>
      </c>
      <c r="N115" s="21">
        <f>LEN(TRIM(CLEAN(SUBSTITUTE(ProjTextTable[[#This Row],[text]],CHAR(10)," "))))+1 - LEN(SUBSTITUTE(CLEAN(SUBSTITUTE(ProjTextTable[[#This Row],[text]],CHAR(10)," "))," ",""))</f>
        <v>435</v>
      </c>
      <c r="O115" t="s">
        <v>250</v>
      </c>
      <c r="P115" t="s">
        <v>1046</v>
      </c>
    </row>
    <row r="116" spans="1:16">
      <c r="A116">
        <f t="shared" si="1"/>
        <v>19</v>
      </c>
      <c r="B116" t="s">
        <v>1044</v>
      </c>
      <c r="C116" t="s">
        <v>1045</v>
      </c>
      <c r="D116" t="s">
        <v>194</v>
      </c>
      <c r="E116" t="s">
        <v>582</v>
      </c>
      <c r="F116" t="s">
        <v>689</v>
      </c>
      <c r="G116" t="s">
        <v>690</v>
      </c>
      <c r="H116" t="s">
        <v>691</v>
      </c>
      <c r="I116" t="s">
        <v>209</v>
      </c>
      <c r="J116" t="s">
        <v>176</v>
      </c>
      <c r="K116" s="30">
        <v>43032</v>
      </c>
      <c r="L116" s="8">
        <v>43030.861539351848</v>
      </c>
      <c r="M116" s="21">
        <f>LEN(ProjTextTable[[#This Row],[text]])</f>
        <v>2279</v>
      </c>
      <c r="N116" s="21">
        <f>LEN(TRIM(CLEAN(SUBSTITUTE(ProjTextTable[[#This Row],[text]],CHAR(10)," "))))+1 - LEN(SUBSTITUTE(CLEAN(SUBSTITUTE(ProjTextTable[[#This Row],[text]],CHAR(10)," "))," ",""))</f>
        <v>335</v>
      </c>
      <c r="O116" t="s">
        <v>198</v>
      </c>
      <c r="P116" t="s">
        <v>1047</v>
      </c>
    </row>
    <row r="117" spans="1:16">
      <c r="A117">
        <f t="shared" si="1"/>
        <v>19</v>
      </c>
      <c r="B117" t="s">
        <v>1044</v>
      </c>
      <c r="C117" t="s">
        <v>1045</v>
      </c>
      <c r="D117" t="s">
        <v>194</v>
      </c>
      <c r="E117" t="s">
        <v>582</v>
      </c>
      <c r="F117" t="s">
        <v>595</v>
      </c>
      <c r="G117" t="s">
        <v>596</v>
      </c>
      <c r="H117" t="s">
        <v>597</v>
      </c>
      <c r="I117" t="s">
        <v>209</v>
      </c>
      <c r="J117" t="s">
        <v>176</v>
      </c>
      <c r="K117" s="30">
        <v>43032</v>
      </c>
      <c r="L117" s="8">
        <v>43030.96875</v>
      </c>
      <c r="M117" s="21">
        <f>LEN(ProjTextTable[[#This Row],[text]])</f>
        <v>2428</v>
      </c>
      <c r="N117" s="21">
        <f>LEN(TRIM(CLEAN(SUBSTITUTE(ProjTextTable[[#This Row],[text]],CHAR(10)," "))))+1 - LEN(SUBSTITUTE(CLEAN(SUBSTITUTE(ProjTextTable[[#This Row],[text]],CHAR(10)," "))," ",""))</f>
        <v>386</v>
      </c>
      <c r="O117" t="s">
        <v>202</v>
      </c>
      <c r="P117" t="s">
        <v>1048</v>
      </c>
    </row>
    <row r="118" spans="1:16">
      <c r="A118">
        <f t="shared" si="1"/>
        <v>19</v>
      </c>
      <c r="B118" t="s">
        <v>1044</v>
      </c>
      <c r="C118" t="s">
        <v>1045</v>
      </c>
      <c r="D118" t="s">
        <v>194</v>
      </c>
      <c r="E118" t="s">
        <v>582</v>
      </c>
      <c r="F118" t="s">
        <v>619</v>
      </c>
      <c r="G118" t="s">
        <v>620</v>
      </c>
      <c r="H118" t="s">
        <v>621</v>
      </c>
      <c r="I118" t="s">
        <v>209</v>
      </c>
      <c r="J118" t="s">
        <v>176</v>
      </c>
      <c r="K118" s="30">
        <v>43032</v>
      </c>
      <c r="L118" s="8">
        <v>43030.694988425923</v>
      </c>
      <c r="M118" s="21">
        <f>LEN(ProjTextTable[[#This Row],[text]])</f>
        <v>4076</v>
      </c>
      <c r="N118" s="21">
        <f>LEN(TRIM(CLEAN(SUBSTITUTE(ProjTextTable[[#This Row],[text]],CHAR(10)," "))))+1 - LEN(SUBSTITUTE(CLEAN(SUBSTITUTE(ProjTextTable[[#This Row],[text]],CHAR(10)," "))," ",""))</f>
        <v>620</v>
      </c>
      <c r="O118" t="s">
        <v>199</v>
      </c>
      <c r="P118" t="s">
        <v>1049</v>
      </c>
    </row>
    <row r="119" spans="1:16">
      <c r="A119">
        <f t="shared" si="1"/>
        <v>19</v>
      </c>
      <c r="B119" t="s">
        <v>1044</v>
      </c>
      <c r="C119" t="s">
        <v>1045</v>
      </c>
      <c r="D119" t="s">
        <v>194</v>
      </c>
      <c r="E119" t="s">
        <v>582</v>
      </c>
      <c r="F119" t="s">
        <v>651</v>
      </c>
      <c r="G119" t="s">
        <v>652</v>
      </c>
      <c r="H119" t="s">
        <v>653</v>
      </c>
      <c r="I119" t="s">
        <v>209</v>
      </c>
      <c r="J119" t="s">
        <v>176</v>
      </c>
      <c r="K119" s="30">
        <v>43032</v>
      </c>
      <c r="L119" s="8">
        <v>43030.806562500002</v>
      </c>
      <c r="M119" s="21">
        <f>LEN(ProjTextTable[[#This Row],[text]])</f>
        <v>3124</v>
      </c>
      <c r="N119" s="21">
        <f>LEN(TRIM(CLEAN(SUBSTITUTE(ProjTextTable[[#This Row],[text]],CHAR(10)," "))))+1 - LEN(SUBSTITUTE(CLEAN(SUBSTITUTE(ProjTextTable[[#This Row],[text]],CHAR(10)," "))," ",""))</f>
        <v>492</v>
      </c>
      <c r="O119" t="s">
        <v>202</v>
      </c>
      <c r="P119" t="s">
        <v>1050</v>
      </c>
    </row>
    <row r="120" spans="1:16">
      <c r="A120">
        <f t="shared" si="1"/>
        <v>19</v>
      </c>
      <c r="B120" t="s">
        <v>1044</v>
      </c>
      <c r="C120" t="s">
        <v>1045</v>
      </c>
      <c r="D120" t="s">
        <v>196</v>
      </c>
      <c r="E120" t="s">
        <v>944</v>
      </c>
      <c r="F120" t="s">
        <v>13</v>
      </c>
      <c r="G120" t="s">
        <v>13</v>
      </c>
      <c r="H120" t="s">
        <v>13</v>
      </c>
      <c r="K120" s="30"/>
      <c r="L120" s="8">
        <v>42936.043032407404</v>
      </c>
      <c r="M120" s="21">
        <f>LEN(ProjTextTable[[#This Row],[text]])</f>
        <v>4474</v>
      </c>
      <c r="N120" s="21">
        <f>LEN(TRIM(CLEAN(SUBSTITUTE(ProjTextTable[[#This Row],[text]],CHAR(10)," "))))+1 - LEN(SUBSTITUTE(CLEAN(SUBSTITUTE(ProjTextTable[[#This Row],[text]],CHAR(10)," "))," ",""))</f>
        <v>661</v>
      </c>
      <c r="O120" t="s">
        <v>13</v>
      </c>
      <c r="P120" t="s">
        <v>1051</v>
      </c>
    </row>
    <row r="121" spans="1:16">
      <c r="A121">
        <f t="shared" si="1"/>
        <v>20</v>
      </c>
      <c r="B121" t="s">
        <v>1052</v>
      </c>
      <c r="C121" t="s">
        <v>1053</v>
      </c>
      <c r="D121" t="s">
        <v>205</v>
      </c>
      <c r="E121" t="s">
        <v>582</v>
      </c>
      <c r="F121" t="s">
        <v>583</v>
      </c>
      <c r="G121" t="s">
        <v>584</v>
      </c>
      <c r="H121" t="s">
        <v>247</v>
      </c>
      <c r="I121" t="s">
        <v>95</v>
      </c>
      <c r="J121" t="s">
        <v>95</v>
      </c>
      <c r="K121" s="30">
        <v>43031</v>
      </c>
      <c r="L121" s="8"/>
      <c r="M121" s="21">
        <f>LEN(ProjTextTable[[#This Row],[text]])</f>
        <v>3395</v>
      </c>
      <c r="N121" s="21">
        <f>LEN(TRIM(CLEAN(SUBSTITUTE(ProjTextTable[[#This Row],[text]],CHAR(10)," "))))+1 - LEN(SUBSTITUTE(CLEAN(SUBSTITUTE(ProjTextTable[[#This Row],[text]],CHAR(10)," "))," ",""))</f>
        <v>510</v>
      </c>
      <c r="O121" t="s">
        <v>245</v>
      </c>
      <c r="P121" t="s">
        <v>1054</v>
      </c>
    </row>
    <row r="122" spans="1:16">
      <c r="A122">
        <f t="shared" si="1"/>
        <v>20</v>
      </c>
      <c r="B122" t="s">
        <v>1052</v>
      </c>
      <c r="C122" t="s">
        <v>1053</v>
      </c>
      <c r="D122" t="s">
        <v>194</v>
      </c>
      <c r="E122" t="s">
        <v>582</v>
      </c>
      <c r="F122" t="s">
        <v>595</v>
      </c>
      <c r="G122" t="s">
        <v>596</v>
      </c>
      <c r="H122" t="s">
        <v>597</v>
      </c>
      <c r="I122" t="s">
        <v>209</v>
      </c>
      <c r="J122" t="s">
        <v>176</v>
      </c>
      <c r="K122" s="30">
        <v>43032</v>
      </c>
      <c r="L122" s="8">
        <v>43031.606099537035</v>
      </c>
      <c r="M122" s="21">
        <f>LEN(ProjTextTable[[#This Row],[text]])</f>
        <v>3088</v>
      </c>
      <c r="N122" s="21">
        <f>LEN(TRIM(CLEAN(SUBSTITUTE(ProjTextTable[[#This Row],[text]],CHAR(10)," "))))+1 - LEN(SUBSTITUTE(CLEAN(SUBSTITUTE(ProjTextTable[[#This Row],[text]],CHAR(10)," "))," ",""))</f>
        <v>450</v>
      </c>
      <c r="O122" t="s">
        <v>198</v>
      </c>
      <c r="P122" t="s">
        <v>1055</v>
      </c>
    </row>
    <row r="123" spans="1:16">
      <c r="A123">
        <f t="shared" si="1"/>
        <v>20</v>
      </c>
      <c r="B123" t="s">
        <v>1052</v>
      </c>
      <c r="C123" t="s">
        <v>1053</v>
      </c>
      <c r="D123" t="s">
        <v>194</v>
      </c>
      <c r="E123" t="s">
        <v>582</v>
      </c>
      <c r="F123" t="s">
        <v>768</v>
      </c>
      <c r="G123" t="s">
        <v>769</v>
      </c>
      <c r="H123" t="s">
        <v>770</v>
      </c>
      <c r="I123" t="s">
        <v>209</v>
      </c>
      <c r="J123" t="s">
        <v>176</v>
      </c>
      <c r="K123" s="30">
        <v>43032</v>
      </c>
      <c r="L123" s="8">
        <v>43032.52853009259</v>
      </c>
      <c r="M123" s="21">
        <f>LEN(ProjTextTable[[#This Row],[text]])</f>
        <v>4240</v>
      </c>
      <c r="N123" s="21">
        <f>LEN(TRIM(CLEAN(SUBSTITUTE(ProjTextTable[[#This Row],[text]],CHAR(10)," "))))+1 - LEN(SUBSTITUTE(CLEAN(SUBSTITUTE(ProjTextTable[[#This Row],[text]],CHAR(10)," "))," ",""))</f>
        <v>665</v>
      </c>
      <c r="O123" t="s">
        <v>195</v>
      </c>
      <c r="P123" t="s">
        <v>1056</v>
      </c>
    </row>
    <row r="124" spans="1:16">
      <c r="A124">
        <f t="shared" si="1"/>
        <v>20</v>
      </c>
      <c r="B124" t="s">
        <v>1052</v>
      </c>
      <c r="C124" t="s">
        <v>1053</v>
      </c>
      <c r="D124" t="s">
        <v>194</v>
      </c>
      <c r="E124" t="s">
        <v>582</v>
      </c>
      <c r="F124" t="s">
        <v>645</v>
      </c>
      <c r="G124" t="s">
        <v>646</v>
      </c>
      <c r="H124" t="s">
        <v>647</v>
      </c>
      <c r="I124" t="s">
        <v>209</v>
      </c>
      <c r="J124" t="s">
        <v>176</v>
      </c>
      <c r="K124" s="30">
        <v>43032</v>
      </c>
      <c r="L124" s="8">
        <v>43030.964513888888</v>
      </c>
      <c r="M124" s="21">
        <f>LEN(ProjTextTable[[#This Row],[text]])</f>
        <v>1835</v>
      </c>
      <c r="N124" s="21">
        <f>LEN(TRIM(CLEAN(SUBSTITUTE(ProjTextTable[[#This Row],[text]],CHAR(10)," "))))+1 - LEN(SUBSTITUTE(CLEAN(SUBSTITUTE(ProjTextTable[[#This Row],[text]],CHAR(10)," "))," ",""))</f>
        <v>279</v>
      </c>
      <c r="O124" t="s">
        <v>198</v>
      </c>
      <c r="P124" t="s">
        <v>1057</v>
      </c>
    </row>
    <row r="125" spans="1:16">
      <c r="A125">
        <f t="shared" si="1"/>
        <v>20</v>
      </c>
      <c r="B125" t="s">
        <v>1052</v>
      </c>
      <c r="C125" t="s">
        <v>1053</v>
      </c>
      <c r="D125" t="s">
        <v>194</v>
      </c>
      <c r="E125" t="s">
        <v>582</v>
      </c>
      <c r="F125" t="s">
        <v>630</v>
      </c>
      <c r="G125" t="s">
        <v>631</v>
      </c>
      <c r="H125" t="s">
        <v>632</v>
      </c>
      <c r="I125" t="s">
        <v>209</v>
      </c>
      <c r="J125" t="s">
        <v>176</v>
      </c>
      <c r="K125" s="30">
        <v>43032</v>
      </c>
      <c r="L125" s="8">
        <v>43028.722314814811</v>
      </c>
      <c r="M125" s="21">
        <f>LEN(ProjTextTable[[#This Row],[text]])</f>
        <v>1743</v>
      </c>
      <c r="N125" s="21">
        <f>LEN(TRIM(CLEAN(SUBSTITUTE(ProjTextTable[[#This Row],[text]],CHAR(10)," "))))+1 - LEN(SUBSTITUTE(CLEAN(SUBSTITUTE(ProjTextTable[[#This Row],[text]],CHAR(10)," "))," ",""))</f>
        <v>246</v>
      </c>
      <c r="O125" t="s">
        <v>253</v>
      </c>
      <c r="P125" t="s">
        <v>1058</v>
      </c>
    </row>
    <row r="126" spans="1:16">
      <c r="A126">
        <f t="shared" si="1"/>
        <v>21</v>
      </c>
      <c r="B126" t="s">
        <v>1059</v>
      </c>
      <c r="C126" t="s">
        <v>926</v>
      </c>
      <c r="D126" t="s">
        <v>205</v>
      </c>
      <c r="E126" t="s">
        <v>582</v>
      </c>
      <c r="F126" t="s">
        <v>658</v>
      </c>
      <c r="G126" t="s">
        <v>659</v>
      </c>
      <c r="H126" t="s">
        <v>251</v>
      </c>
      <c r="I126" t="s">
        <v>193</v>
      </c>
      <c r="J126" t="s">
        <v>924</v>
      </c>
      <c r="K126" s="30">
        <v>43059</v>
      </c>
      <c r="L126" s="8">
        <v>43075.742546296293</v>
      </c>
      <c r="M126" s="21">
        <f>LEN(ProjTextTable[[#This Row],[text]])</f>
        <v>2924</v>
      </c>
      <c r="N126" s="21">
        <f>LEN(TRIM(CLEAN(SUBSTITUTE(ProjTextTable[[#This Row],[text]],CHAR(10)," "))))+1 - LEN(SUBSTITUTE(CLEAN(SUBSTITUTE(ProjTextTable[[#This Row],[text]],CHAR(10)," "))," ",""))</f>
        <v>439</v>
      </c>
      <c r="O126" t="s">
        <v>250</v>
      </c>
      <c r="P126" t="s">
        <v>1060</v>
      </c>
    </row>
    <row r="127" spans="1:16">
      <c r="A127">
        <f t="shared" si="1"/>
        <v>21</v>
      </c>
      <c r="B127" t="s">
        <v>1059</v>
      </c>
      <c r="C127" t="s">
        <v>926</v>
      </c>
      <c r="D127" t="s">
        <v>194</v>
      </c>
      <c r="E127" t="s">
        <v>582</v>
      </c>
      <c r="F127" t="s">
        <v>930</v>
      </c>
      <c r="G127" t="s">
        <v>931</v>
      </c>
      <c r="H127" t="s">
        <v>932</v>
      </c>
      <c r="I127" t="s">
        <v>209</v>
      </c>
      <c r="J127" t="s">
        <v>176</v>
      </c>
      <c r="K127" s="30">
        <v>43060</v>
      </c>
      <c r="L127" s="8">
        <v>43058.980439814812</v>
      </c>
      <c r="M127" s="21">
        <f>LEN(ProjTextTable[[#This Row],[text]])</f>
        <v>2623</v>
      </c>
      <c r="N127" s="21">
        <f>LEN(TRIM(CLEAN(SUBSTITUTE(ProjTextTable[[#This Row],[text]],CHAR(10)," "))))+1 - LEN(SUBSTITUTE(CLEAN(SUBSTITUTE(ProjTextTable[[#This Row],[text]],CHAR(10)," "))," ",""))</f>
        <v>395</v>
      </c>
      <c r="O127" t="s">
        <v>195</v>
      </c>
      <c r="P127" t="s">
        <v>1061</v>
      </c>
    </row>
    <row r="128" spans="1:16">
      <c r="A128">
        <f t="shared" si="1"/>
        <v>21</v>
      </c>
      <c r="B128" t="s">
        <v>1059</v>
      </c>
      <c r="C128" t="s">
        <v>926</v>
      </c>
      <c r="D128" t="s">
        <v>194</v>
      </c>
      <c r="E128" t="s">
        <v>582</v>
      </c>
      <c r="F128" t="s">
        <v>933</v>
      </c>
      <c r="G128" t="s">
        <v>934</v>
      </c>
      <c r="H128" t="s">
        <v>935</v>
      </c>
      <c r="I128" t="s">
        <v>209</v>
      </c>
      <c r="J128" t="s">
        <v>176</v>
      </c>
      <c r="K128" s="30">
        <v>43060</v>
      </c>
      <c r="L128" s="8">
        <v>43057.612581018519</v>
      </c>
      <c r="M128" s="21">
        <f>LEN(ProjTextTable[[#This Row],[text]])</f>
        <v>1910</v>
      </c>
      <c r="N128" s="21">
        <f>LEN(TRIM(CLEAN(SUBSTITUTE(ProjTextTable[[#This Row],[text]],CHAR(10)," "))))+1 - LEN(SUBSTITUTE(CLEAN(SUBSTITUTE(ProjTextTable[[#This Row],[text]],CHAR(10)," "))," ",""))</f>
        <v>291</v>
      </c>
      <c r="O128" t="s">
        <v>203</v>
      </c>
      <c r="P128" t="s">
        <v>1062</v>
      </c>
    </row>
    <row r="129" spans="1:16">
      <c r="A129">
        <f t="shared" si="1"/>
        <v>21</v>
      </c>
      <c r="B129" t="s">
        <v>1059</v>
      </c>
      <c r="C129" t="s">
        <v>926</v>
      </c>
      <c r="D129" t="s">
        <v>194</v>
      </c>
      <c r="E129" t="s">
        <v>582</v>
      </c>
      <c r="F129" t="s">
        <v>966</v>
      </c>
      <c r="G129" t="s">
        <v>967</v>
      </c>
      <c r="H129" t="s">
        <v>968</v>
      </c>
      <c r="I129" t="s">
        <v>209</v>
      </c>
      <c r="J129" t="s">
        <v>176</v>
      </c>
      <c r="K129" s="30">
        <v>43060</v>
      </c>
      <c r="L129" s="8">
        <v>43059.951006944444</v>
      </c>
      <c r="M129" s="21">
        <f>LEN(ProjTextTable[[#This Row],[text]])</f>
        <v>1875</v>
      </c>
      <c r="N129" s="21">
        <f>LEN(TRIM(CLEAN(SUBSTITUTE(ProjTextTable[[#This Row],[text]],CHAR(10)," "))))+1 - LEN(SUBSTITUTE(CLEAN(SUBSTITUTE(ProjTextTable[[#This Row],[text]],CHAR(10)," "))," ",""))</f>
        <v>283</v>
      </c>
      <c r="O129" t="s">
        <v>199</v>
      </c>
      <c r="P129" t="s">
        <v>1063</v>
      </c>
    </row>
    <row r="130" spans="1:16">
      <c r="A130">
        <f t="shared" ref="A130:A193" si="2">A129+(B130&lt;&gt;B129)</f>
        <v>21</v>
      </c>
      <c r="B130" t="s">
        <v>1059</v>
      </c>
      <c r="C130" t="s">
        <v>926</v>
      </c>
      <c r="D130" t="s">
        <v>194</v>
      </c>
      <c r="E130" t="s">
        <v>582</v>
      </c>
      <c r="F130" t="s">
        <v>979</v>
      </c>
      <c r="G130" t="s">
        <v>980</v>
      </c>
      <c r="H130" t="s">
        <v>981</v>
      </c>
      <c r="I130" t="s">
        <v>209</v>
      </c>
      <c r="J130" t="s">
        <v>176</v>
      </c>
      <c r="K130" s="30">
        <v>43060</v>
      </c>
      <c r="L130" s="8">
        <v>43058.974745370368</v>
      </c>
      <c r="M130" s="21">
        <f>LEN(ProjTextTable[[#This Row],[text]])</f>
        <v>2219</v>
      </c>
      <c r="N130" s="21">
        <f>LEN(TRIM(CLEAN(SUBSTITUTE(ProjTextTable[[#This Row],[text]],CHAR(10)," "))))+1 - LEN(SUBSTITUTE(CLEAN(SUBSTITUTE(ProjTextTable[[#This Row],[text]],CHAR(10)," "))," ",""))</f>
        <v>334</v>
      </c>
      <c r="O130" t="s">
        <v>203</v>
      </c>
      <c r="P130" t="s">
        <v>1064</v>
      </c>
    </row>
    <row r="131" spans="1:16">
      <c r="A131">
        <f t="shared" si="2"/>
        <v>21</v>
      </c>
      <c r="B131" t="s">
        <v>1059</v>
      </c>
      <c r="C131" t="s">
        <v>926</v>
      </c>
      <c r="D131" t="s">
        <v>196</v>
      </c>
      <c r="E131" t="s">
        <v>944</v>
      </c>
      <c r="F131" t="s">
        <v>13</v>
      </c>
      <c r="G131" t="s">
        <v>13</v>
      </c>
      <c r="H131" t="s">
        <v>13</v>
      </c>
      <c r="K131" s="30"/>
      <c r="L131" s="8">
        <v>42936.043124999997</v>
      </c>
      <c r="M131" s="21">
        <f>LEN(ProjTextTable[[#This Row],[text]])</f>
        <v>2664</v>
      </c>
      <c r="N131" s="21">
        <f>LEN(TRIM(CLEAN(SUBSTITUTE(ProjTextTable[[#This Row],[text]],CHAR(10)," "))))+1 - LEN(SUBSTITUTE(CLEAN(SUBSTITUTE(ProjTextTable[[#This Row],[text]],CHAR(10)," "))," ",""))</f>
        <v>408</v>
      </c>
      <c r="O131" t="s">
        <v>13</v>
      </c>
      <c r="P131" t="s">
        <v>1065</v>
      </c>
    </row>
    <row r="132" spans="1:16">
      <c r="A132">
        <f t="shared" si="2"/>
        <v>22</v>
      </c>
      <c r="B132" t="s">
        <v>1066</v>
      </c>
      <c r="C132" t="s">
        <v>1067</v>
      </c>
      <c r="D132" t="s">
        <v>205</v>
      </c>
      <c r="E132" t="s">
        <v>582</v>
      </c>
      <c r="F132" t="s">
        <v>658</v>
      </c>
      <c r="G132" t="s">
        <v>659</v>
      </c>
      <c r="H132" t="s">
        <v>207</v>
      </c>
      <c r="I132" t="s">
        <v>197</v>
      </c>
      <c r="J132" t="s">
        <v>707</v>
      </c>
      <c r="K132" s="30">
        <v>43059</v>
      </c>
      <c r="L132" s="8"/>
      <c r="M132" s="21">
        <f>LEN(ProjTextTable[[#This Row],[text]])</f>
        <v>2705</v>
      </c>
      <c r="N132" s="21">
        <f>LEN(TRIM(CLEAN(SUBSTITUTE(ProjTextTable[[#This Row],[text]],CHAR(10)," "))))+1 - LEN(SUBSTITUTE(CLEAN(SUBSTITUTE(ProjTextTable[[#This Row],[text]],CHAR(10)," "))," ",""))</f>
        <v>417</v>
      </c>
      <c r="O132" t="s">
        <v>208</v>
      </c>
      <c r="P132" t="s">
        <v>1068</v>
      </c>
    </row>
    <row r="133" spans="1:16">
      <c r="A133">
        <f t="shared" si="2"/>
        <v>22</v>
      </c>
      <c r="B133" t="s">
        <v>1066</v>
      </c>
      <c r="C133" t="s">
        <v>1067</v>
      </c>
      <c r="D133" t="s">
        <v>194</v>
      </c>
      <c r="E133" t="s">
        <v>582</v>
      </c>
      <c r="F133" t="s">
        <v>993</v>
      </c>
      <c r="G133" t="s">
        <v>994</v>
      </c>
      <c r="H133" t="s">
        <v>995</v>
      </c>
      <c r="I133" t="s">
        <v>209</v>
      </c>
      <c r="J133" t="s">
        <v>176</v>
      </c>
      <c r="K133" s="30">
        <v>43060</v>
      </c>
      <c r="L133" s="8">
        <v>43056.601504629631</v>
      </c>
      <c r="M133" s="21">
        <f>LEN(ProjTextTable[[#This Row],[text]])</f>
        <v>3349</v>
      </c>
      <c r="N133" s="21">
        <f>LEN(TRIM(CLEAN(SUBSTITUTE(ProjTextTable[[#This Row],[text]],CHAR(10)," "))))+1 - LEN(SUBSTITUTE(CLEAN(SUBSTITUTE(ProjTextTable[[#This Row],[text]],CHAR(10)," "))," ",""))</f>
        <v>522</v>
      </c>
      <c r="O133" t="s">
        <v>199</v>
      </c>
      <c r="P133" t="s">
        <v>1069</v>
      </c>
    </row>
    <row r="134" spans="1:16">
      <c r="A134">
        <f t="shared" si="2"/>
        <v>22</v>
      </c>
      <c r="B134" t="s">
        <v>1066</v>
      </c>
      <c r="C134" t="s">
        <v>1067</v>
      </c>
      <c r="D134" t="s">
        <v>194</v>
      </c>
      <c r="E134" t="s">
        <v>582</v>
      </c>
      <c r="F134" t="s">
        <v>665</v>
      </c>
      <c r="G134" t="s">
        <v>666</v>
      </c>
      <c r="H134" t="s">
        <v>667</v>
      </c>
      <c r="I134" t="s">
        <v>209</v>
      </c>
      <c r="J134" t="s">
        <v>176</v>
      </c>
      <c r="K134" s="30">
        <v>43060</v>
      </c>
      <c r="L134" s="8">
        <v>43059.263854166667</v>
      </c>
      <c r="M134" s="21">
        <f>LEN(ProjTextTable[[#This Row],[text]])</f>
        <v>1841</v>
      </c>
      <c r="N134" s="21">
        <f>LEN(TRIM(CLEAN(SUBSTITUTE(ProjTextTable[[#This Row],[text]],CHAR(10)," "))))+1 - LEN(SUBSTITUTE(CLEAN(SUBSTITUTE(ProjTextTable[[#This Row],[text]],CHAR(10)," "))," ",""))</f>
        <v>267</v>
      </c>
      <c r="O134" t="s">
        <v>199</v>
      </c>
      <c r="P134" t="s">
        <v>1070</v>
      </c>
    </row>
    <row r="135" spans="1:16">
      <c r="A135">
        <f t="shared" si="2"/>
        <v>22</v>
      </c>
      <c r="B135" t="s">
        <v>1066</v>
      </c>
      <c r="C135" t="s">
        <v>1067</v>
      </c>
      <c r="D135" t="s">
        <v>194</v>
      </c>
      <c r="E135" t="s">
        <v>582</v>
      </c>
      <c r="F135" t="s">
        <v>673</v>
      </c>
      <c r="G135" t="s">
        <v>674</v>
      </c>
      <c r="H135" t="s">
        <v>675</v>
      </c>
      <c r="I135" t="s">
        <v>209</v>
      </c>
      <c r="J135" t="s">
        <v>176</v>
      </c>
      <c r="K135" s="30">
        <v>43060</v>
      </c>
      <c r="L135" s="8">
        <v>43060.388043981482</v>
      </c>
      <c r="M135" s="21">
        <f>LEN(ProjTextTable[[#This Row],[text]])</f>
        <v>4900</v>
      </c>
      <c r="N135" s="21">
        <f>LEN(TRIM(CLEAN(SUBSTITUTE(ProjTextTable[[#This Row],[text]],CHAR(10)," "))))+1 - LEN(SUBSTITUTE(CLEAN(SUBSTITUTE(ProjTextTable[[#This Row],[text]],CHAR(10)," "))," ",""))</f>
        <v>756</v>
      </c>
      <c r="O135" t="s">
        <v>202</v>
      </c>
      <c r="P135" t="s">
        <v>1071</v>
      </c>
    </row>
    <row r="136" spans="1:16">
      <c r="A136">
        <f t="shared" si="2"/>
        <v>22</v>
      </c>
      <c r="B136" t="s">
        <v>1066</v>
      </c>
      <c r="C136" t="s">
        <v>1067</v>
      </c>
      <c r="D136" t="s">
        <v>194</v>
      </c>
      <c r="E136" t="s">
        <v>582</v>
      </c>
      <c r="F136" t="s">
        <v>1072</v>
      </c>
      <c r="G136" t="s">
        <v>1073</v>
      </c>
      <c r="H136" t="s">
        <v>1074</v>
      </c>
      <c r="I136" t="s">
        <v>209</v>
      </c>
      <c r="J136" t="s">
        <v>176</v>
      </c>
      <c r="K136" s="30">
        <v>43060</v>
      </c>
      <c r="L136" s="8">
        <v>43060.566712962966</v>
      </c>
      <c r="M136" s="21">
        <f>LEN(ProjTextTable[[#This Row],[text]])</f>
        <v>4193</v>
      </c>
      <c r="N136" s="21">
        <f>LEN(TRIM(CLEAN(SUBSTITUTE(ProjTextTable[[#This Row],[text]],CHAR(10)," "))))+1 - LEN(SUBSTITUTE(CLEAN(SUBSTITUTE(ProjTextTable[[#This Row],[text]],CHAR(10)," "))," ",""))</f>
        <v>646</v>
      </c>
      <c r="O136" t="s">
        <v>253</v>
      </c>
      <c r="P136" t="s">
        <v>1075</v>
      </c>
    </row>
    <row r="137" spans="1:16">
      <c r="A137">
        <f t="shared" si="2"/>
        <v>22</v>
      </c>
      <c r="B137" t="s">
        <v>1066</v>
      </c>
      <c r="C137" t="s">
        <v>1067</v>
      </c>
      <c r="D137" t="s">
        <v>196</v>
      </c>
      <c r="E137" t="s">
        <v>582</v>
      </c>
      <c r="F137" t="s">
        <v>13</v>
      </c>
      <c r="G137" t="s">
        <v>13</v>
      </c>
      <c r="H137" t="s">
        <v>13</v>
      </c>
      <c r="K137" s="30"/>
      <c r="L137" s="8">
        <v>42936.043368055558</v>
      </c>
      <c r="M137" s="21">
        <f>LEN(ProjTextTable[[#This Row],[text]])</f>
        <v>4057</v>
      </c>
      <c r="N137" s="21">
        <f>LEN(TRIM(CLEAN(SUBSTITUTE(ProjTextTable[[#This Row],[text]],CHAR(10)," "))))+1 - LEN(SUBSTITUTE(CLEAN(SUBSTITUTE(ProjTextTable[[#This Row],[text]],CHAR(10)," "))," ",""))</f>
        <v>597</v>
      </c>
      <c r="O137" t="s">
        <v>13</v>
      </c>
      <c r="P137" t="s">
        <v>1076</v>
      </c>
    </row>
    <row r="138" spans="1:16">
      <c r="A138">
        <f t="shared" si="2"/>
        <v>23</v>
      </c>
      <c r="B138" t="s">
        <v>1077</v>
      </c>
      <c r="C138" t="s">
        <v>1078</v>
      </c>
      <c r="D138" t="s">
        <v>205</v>
      </c>
      <c r="E138" t="s">
        <v>582</v>
      </c>
      <c r="F138" t="s">
        <v>658</v>
      </c>
      <c r="G138" t="s">
        <v>659</v>
      </c>
      <c r="H138" t="s">
        <v>207</v>
      </c>
      <c r="I138" t="s">
        <v>197</v>
      </c>
      <c r="J138" t="s">
        <v>200</v>
      </c>
      <c r="K138" s="30">
        <v>43059</v>
      </c>
      <c r="L138" s="8"/>
      <c r="M138" s="21">
        <f>LEN(ProjTextTable[[#This Row],[text]])</f>
        <v>2023</v>
      </c>
      <c r="N138" s="21">
        <f>LEN(TRIM(CLEAN(SUBSTITUTE(ProjTextTable[[#This Row],[text]],CHAR(10)," "))))+1 - LEN(SUBSTITUTE(CLEAN(SUBSTITUTE(ProjTextTable[[#This Row],[text]],CHAR(10)," "))," ",""))</f>
        <v>298</v>
      </c>
      <c r="O138" t="s">
        <v>208</v>
      </c>
      <c r="P138" t="s">
        <v>1079</v>
      </c>
    </row>
    <row r="139" spans="1:16">
      <c r="A139">
        <f t="shared" si="2"/>
        <v>23</v>
      </c>
      <c r="B139" t="s">
        <v>1077</v>
      </c>
      <c r="C139" t="s">
        <v>1078</v>
      </c>
      <c r="D139" t="s">
        <v>205</v>
      </c>
      <c r="E139" t="s">
        <v>1080</v>
      </c>
      <c r="F139" t="s">
        <v>1081</v>
      </c>
      <c r="G139" t="s">
        <v>1082</v>
      </c>
      <c r="H139" t="s">
        <v>251</v>
      </c>
      <c r="I139" t="s">
        <v>193</v>
      </c>
      <c r="J139" t="s">
        <v>417</v>
      </c>
      <c r="K139" s="30">
        <v>43045</v>
      </c>
      <c r="L139" s="8"/>
      <c r="M139" s="21">
        <f>LEN(ProjTextTable[[#This Row],[text]])</f>
        <v>2544</v>
      </c>
      <c r="N139" s="21">
        <f>LEN(TRIM(CLEAN(SUBSTITUTE(ProjTextTable[[#This Row],[text]],CHAR(10)," "))))+1 - LEN(SUBSTITUTE(CLEAN(SUBSTITUTE(ProjTextTable[[#This Row],[text]],CHAR(10)," "))," ",""))</f>
        <v>374</v>
      </c>
      <c r="O139" t="s">
        <v>250</v>
      </c>
      <c r="P139" t="s">
        <v>1083</v>
      </c>
    </row>
    <row r="140" spans="1:16">
      <c r="A140">
        <f t="shared" si="2"/>
        <v>23</v>
      </c>
      <c r="B140" t="s">
        <v>1077</v>
      </c>
      <c r="C140" t="s">
        <v>1078</v>
      </c>
      <c r="D140" t="s">
        <v>194</v>
      </c>
      <c r="E140" t="s">
        <v>582</v>
      </c>
      <c r="F140" t="s">
        <v>1084</v>
      </c>
      <c r="G140" t="s">
        <v>1085</v>
      </c>
      <c r="H140" t="s">
        <v>1086</v>
      </c>
      <c r="I140" t="s">
        <v>209</v>
      </c>
      <c r="J140" t="s">
        <v>176</v>
      </c>
      <c r="K140" s="30">
        <v>43046</v>
      </c>
      <c r="L140" s="8">
        <v>43039.371203703704</v>
      </c>
      <c r="M140" s="21">
        <f>LEN(ProjTextTable[[#This Row],[text]])</f>
        <v>2609</v>
      </c>
      <c r="N140" s="21">
        <f>LEN(TRIM(CLEAN(SUBSTITUTE(ProjTextTable[[#This Row],[text]],CHAR(10)," "))))+1 - LEN(SUBSTITUTE(CLEAN(SUBSTITUTE(ProjTextTable[[#This Row],[text]],CHAR(10)," "))," ",""))</f>
        <v>396</v>
      </c>
      <c r="O140" t="s">
        <v>195</v>
      </c>
      <c r="P140" t="s">
        <v>1087</v>
      </c>
    </row>
    <row r="141" spans="1:16">
      <c r="A141">
        <f t="shared" si="2"/>
        <v>23</v>
      </c>
      <c r="B141" t="s">
        <v>1077</v>
      </c>
      <c r="C141" t="s">
        <v>1078</v>
      </c>
      <c r="D141" t="s">
        <v>194</v>
      </c>
      <c r="E141" t="s">
        <v>582</v>
      </c>
      <c r="F141" t="s">
        <v>1088</v>
      </c>
      <c r="G141" t="s">
        <v>1089</v>
      </c>
      <c r="H141" t="s">
        <v>1090</v>
      </c>
      <c r="I141" t="s">
        <v>209</v>
      </c>
      <c r="J141" t="s">
        <v>176</v>
      </c>
      <c r="K141" s="30">
        <v>43046</v>
      </c>
      <c r="L141" s="8">
        <v>43045.334178240744</v>
      </c>
      <c r="M141" s="21">
        <f>LEN(ProjTextTable[[#This Row],[text]])</f>
        <v>3283</v>
      </c>
      <c r="N141" s="21">
        <f>LEN(TRIM(CLEAN(SUBSTITUTE(ProjTextTable[[#This Row],[text]],CHAR(10)," "))))+1 - LEN(SUBSTITUTE(CLEAN(SUBSTITUTE(ProjTextTable[[#This Row],[text]],CHAR(10)," "))," ",""))</f>
        <v>503</v>
      </c>
      <c r="O141" t="s">
        <v>202</v>
      </c>
      <c r="P141" t="s">
        <v>1091</v>
      </c>
    </row>
    <row r="142" spans="1:16">
      <c r="A142">
        <f t="shared" si="2"/>
        <v>23</v>
      </c>
      <c r="B142" t="s">
        <v>1077</v>
      </c>
      <c r="C142" t="s">
        <v>1078</v>
      </c>
      <c r="D142" t="s">
        <v>194</v>
      </c>
      <c r="E142" t="s">
        <v>582</v>
      </c>
      <c r="F142" t="s">
        <v>1092</v>
      </c>
      <c r="G142" t="s">
        <v>533</v>
      </c>
      <c r="H142" t="s">
        <v>1093</v>
      </c>
      <c r="I142" t="s">
        <v>209</v>
      </c>
      <c r="J142" t="s">
        <v>176</v>
      </c>
      <c r="K142" s="30">
        <v>43046</v>
      </c>
      <c r="L142" s="8">
        <v>43045.366435185184</v>
      </c>
      <c r="M142" s="21">
        <f>LEN(ProjTextTable[[#This Row],[text]])</f>
        <v>1887</v>
      </c>
      <c r="N142" s="21">
        <f>LEN(TRIM(CLEAN(SUBSTITUTE(ProjTextTable[[#This Row],[text]],CHAR(10)," "))))+1 - LEN(SUBSTITUTE(CLEAN(SUBSTITUTE(ProjTextTable[[#This Row],[text]],CHAR(10)," "))," ",""))</f>
        <v>287</v>
      </c>
      <c r="O142" t="s">
        <v>195</v>
      </c>
      <c r="P142" t="s">
        <v>1094</v>
      </c>
    </row>
    <row r="143" spans="1:16">
      <c r="A143">
        <f t="shared" si="2"/>
        <v>23</v>
      </c>
      <c r="B143" t="s">
        <v>1077</v>
      </c>
      <c r="C143" t="s">
        <v>1078</v>
      </c>
      <c r="D143" t="s">
        <v>194</v>
      </c>
      <c r="E143" t="s">
        <v>582</v>
      </c>
      <c r="F143" t="s">
        <v>1095</v>
      </c>
      <c r="G143" t="s">
        <v>1096</v>
      </c>
      <c r="H143" t="s">
        <v>1097</v>
      </c>
      <c r="I143" t="s">
        <v>209</v>
      </c>
      <c r="J143" t="s">
        <v>176</v>
      </c>
      <c r="K143" s="30">
        <v>43046</v>
      </c>
      <c r="L143" s="8">
        <v>43045.65662037037</v>
      </c>
      <c r="M143" s="21">
        <f>LEN(ProjTextTable[[#This Row],[text]])</f>
        <v>2392</v>
      </c>
      <c r="N143" s="21">
        <f>LEN(TRIM(CLEAN(SUBSTITUTE(ProjTextTable[[#This Row],[text]],CHAR(10)," "))))+1 - LEN(SUBSTITUTE(CLEAN(SUBSTITUTE(ProjTextTable[[#This Row],[text]],CHAR(10)," "))," ",""))</f>
        <v>342</v>
      </c>
      <c r="O143" t="s">
        <v>195</v>
      </c>
      <c r="P143" t="s">
        <v>1098</v>
      </c>
    </row>
    <row r="144" spans="1:16">
      <c r="A144">
        <f t="shared" si="2"/>
        <v>23</v>
      </c>
      <c r="B144" t="s">
        <v>1077</v>
      </c>
      <c r="C144" t="s">
        <v>1078</v>
      </c>
      <c r="D144" t="s">
        <v>194</v>
      </c>
      <c r="E144" t="s">
        <v>582</v>
      </c>
      <c r="F144" t="s">
        <v>930</v>
      </c>
      <c r="G144" t="s">
        <v>931</v>
      </c>
      <c r="H144" t="s">
        <v>932</v>
      </c>
      <c r="I144" t="s">
        <v>209</v>
      </c>
      <c r="J144" t="s">
        <v>176</v>
      </c>
      <c r="K144" s="30">
        <v>43060</v>
      </c>
      <c r="L144" s="8">
        <v>43058.898796296293</v>
      </c>
      <c r="M144" s="21">
        <f>LEN(ProjTextTable[[#This Row],[text]])</f>
        <v>3537</v>
      </c>
      <c r="N144" s="21">
        <f>LEN(TRIM(CLEAN(SUBSTITUTE(ProjTextTable[[#This Row],[text]],CHAR(10)," "))))+1 - LEN(SUBSTITUTE(CLEAN(SUBSTITUTE(ProjTextTable[[#This Row],[text]],CHAR(10)," "))," ",""))</f>
        <v>508</v>
      </c>
      <c r="O144" t="s">
        <v>199</v>
      </c>
      <c r="P144" t="s">
        <v>1099</v>
      </c>
    </row>
    <row r="145" spans="1:16">
      <c r="A145">
        <f t="shared" si="2"/>
        <v>23</v>
      </c>
      <c r="B145" t="s">
        <v>1077</v>
      </c>
      <c r="C145" t="s">
        <v>1078</v>
      </c>
      <c r="D145" t="s">
        <v>194</v>
      </c>
      <c r="E145" t="s">
        <v>582</v>
      </c>
      <c r="F145" t="s">
        <v>966</v>
      </c>
      <c r="G145" t="s">
        <v>967</v>
      </c>
      <c r="H145" t="s">
        <v>968</v>
      </c>
      <c r="I145" t="s">
        <v>209</v>
      </c>
      <c r="J145" t="s">
        <v>176</v>
      </c>
      <c r="K145" s="30">
        <v>43060</v>
      </c>
      <c r="L145" s="8">
        <v>43059.575960648152</v>
      </c>
      <c r="M145" s="21">
        <f>LEN(ProjTextTable[[#This Row],[text]])</f>
        <v>1643</v>
      </c>
      <c r="N145" s="21">
        <f>LEN(TRIM(CLEAN(SUBSTITUTE(ProjTextTable[[#This Row],[text]],CHAR(10)," "))))+1 - LEN(SUBSTITUTE(CLEAN(SUBSTITUTE(ProjTextTable[[#This Row],[text]],CHAR(10)," "))," ",""))</f>
        <v>246</v>
      </c>
      <c r="O145" t="s">
        <v>253</v>
      </c>
      <c r="P145" t="s">
        <v>1100</v>
      </c>
    </row>
    <row r="146" spans="1:16">
      <c r="A146">
        <f t="shared" si="2"/>
        <v>23</v>
      </c>
      <c r="B146" t="s">
        <v>1077</v>
      </c>
      <c r="C146" t="s">
        <v>1078</v>
      </c>
      <c r="D146" t="s">
        <v>194</v>
      </c>
      <c r="E146" t="s">
        <v>582</v>
      </c>
      <c r="F146" t="s">
        <v>979</v>
      </c>
      <c r="G146" t="s">
        <v>980</v>
      </c>
      <c r="H146" t="s">
        <v>981</v>
      </c>
      <c r="I146" t="s">
        <v>209</v>
      </c>
      <c r="J146" t="s">
        <v>176</v>
      </c>
      <c r="K146" s="30">
        <v>43060</v>
      </c>
      <c r="L146" s="8">
        <v>43059.047349537039</v>
      </c>
      <c r="M146" s="21">
        <f>LEN(ProjTextTable[[#This Row],[text]])</f>
        <v>3020</v>
      </c>
      <c r="N146" s="21">
        <f>LEN(TRIM(CLEAN(SUBSTITUTE(ProjTextTable[[#This Row],[text]],CHAR(10)," "))))+1 - LEN(SUBSTITUTE(CLEAN(SUBSTITUTE(ProjTextTable[[#This Row],[text]],CHAR(10)," "))," ",""))</f>
        <v>470</v>
      </c>
      <c r="O146" t="s">
        <v>199</v>
      </c>
      <c r="P146" t="s">
        <v>1101</v>
      </c>
    </row>
    <row r="147" spans="1:16">
      <c r="A147">
        <f t="shared" si="2"/>
        <v>23</v>
      </c>
      <c r="B147" t="s">
        <v>1077</v>
      </c>
      <c r="C147" t="s">
        <v>1078</v>
      </c>
      <c r="D147" t="s">
        <v>194</v>
      </c>
      <c r="E147" t="s">
        <v>582</v>
      </c>
      <c r="F147" t="s">
        <v>1102</v>
      </c>
      <c r="G147" t="s">
        <v>1103</v>
      </c>
      <c r="H147" t="s">
        <v>1104</v>
      </c>
      <c r="I147" t="s">
        <v>209</v>
      </c>
      <c r="J147" t="s">
        <v>176</v>
      </c>
      <c r="K147" s="30">
        <v>43046</v>
      </c>
      <c r="L147" s="8">
        <v>43046.353425925925</v>
      </c>
      <c r="M147" s="21">
        <f>LEN(ProjTextTable[[#This Row],[text]])</f>
        <v>2701</v>
      </c>
      <c r="N147" s="21">
        <f>LEN(TRIM(CLEAN(SUBSTITUTE(ProjTextTable[[#This Row],[text]],CHAR(10)," "))))+1 - LEN(SUBSTITUTE(CLEAN(SUBSTITUTE(ProjTextTable[[#This Row],[text]],CHAR(10)," "))," ",""))</f>
        <v>410</v>
      </c>
      <c r="O147" t="s">
        <v>195</v>
      </c>
      <c r="P147" t="s">
        <v>1105</v>
      </c>
    </row>
    <row r="148" spans="1:16">
      <c r="A148">
        <f t="shared" si="2"/>
        <v>23</v>
      </c>
      <c r="B148" t="s">
        <v>1077</v>
      </c>
      <c r="C148" t="s">
        <v>1078</v>
      </c>
      <c r="D148" t="s">
        <v>194</v>
      </c>
      <c r="E148" t="s">
        <v>582</v>
      </c>
      <c r="F148" t="s">
        <v>970</v>
      </c>
      <c r="G148" t="s">
        <v>971</v>
      </c>
      <c r="H148" t="s">
        <v>972</v>
      </c>
      <c r="I148" t="s">
        <v>209</v>
      </c>
      <c r="J148" t="s">
        <v>176</v>
      </c>
      <c r="K148" s="30">
        <v>43060</v>
      </c>
      <c r="L148" s="8">
        <v>43056.620196759257</v>
      </c>
      <c r="M148" s="21">
        <f>LEN(ProjTextTable[[#This Row],[text]])</f>
        <v>1195</v>
      </c>
      <c r="N148" s="21">
        <f>LEN(TRIM(CLEAN(SUBSTITUTE(ProjTextTable[[#This Row],[text]],CHAR(10)," "))))+1 - LEN(SUBSTITUTE(CLEAN(SUBSTITUTE(ProjTextTable[[#This Row],[text]],CHAR(10)," "))," ",""))</f>
        <v>174</v>
      </c>
      <c r="O148" t="s">
        <v>199</v>
      </c>
      <c r="P148" t="s">
        <v>1106</v>
      </c>
    </row>
    <row r="149" spans="1:16">
      <c r="A149">
        <f t="shared" si="2"/>
        <v>23</v>
      </c>
      <c r="B149" t="s">
        <v>1077</v>
      </c>
      <c r="C149" t="s">
        <v>1078</v>
      </c>
      <c r="D149" t="s">
        <v>196</v>
      </c>
      <c r="E149" t="s">
        <v>582</v>
      </c>
      <c r="F149" t="s">
        <v>13</v>
      </c>
      <c r="G149" t="s">
        <v>13</v>
      </c>
      <c r="H149" t="s">
        <v>13</v>
      </c>
      <c r="K149" s="30"/>
      <c r="L149" s="8">
        <v>42936.043391203704</v>
      </c>
      <c r="M149" s="21">
        <f>LEN(ProjTextTable[[#This Row],[text]])</f>
        <v>3483</v>
      </c>
      <c r="N149" s="21">
        <f>LEN(TRIM(CLEAN(SUBSTITUTE(ProjTextTable[[#This Row],[text]],CHAR(10)," "))))+1 - LEN(SUBSTITUTE(CLEAN(SUBSTITUTE(ProjTextTable[[#This Row],[text]],CHAR(10)," "))," ",""))</f>
        <v>486</v>
      </c>
      <c r="O149" t="s">
        <v>13</v>
      </c>
      <c r="P149" t="s">
        <v>1107</v>
      </c>
    </row>
    <row r="150" spans="1:16">
      <c r="A150">
        <f t="shared" si="2"/>
        <v>24</v>
      </c>
      <c r="B150" t="s">
        <v>1108</v>
      </c>
      <c r="C150" t="s">
        <v>1109</v>
      </c>
      <c r="D150" t="s">
        <v>205</v>
      </c>
      <c r="E150" t="s">
        <v>582</v>
      </c>
      <c r="F150" t="s">
        <v>583</v>
      </c>
      <c r="G150" t="s">
        <v>584</v>
      </c>
      <c r="H150" t="s">
        <v>251</v>
      </c>
      <c r="I150" t="s">
        <v>193</v>
      </c>
      <c r="J150" t="s">
        <v>605</v>
      </c>
      <c r="K150" s="30">
        <v>43031</v>
      </c>
      <c r="L150" s="8">
        <v>43075.738043981481</v>
      </c>
      <c r="M150" s="21">
        <f>LEN(ProjTextTable[[#This Row],[text]])</f>
        <v>3384</v>
      </c>
      <c r="N150" s="21">
        <f>LEN(TRIM(CLEAN(SUBSTITUTE(ProjTextTable[[#This Row],[text]],CHAR(10)," "))))+1 - LEN(SUBSTITUTE(CLEAN(SUBSTITUTE(ProjTextTable[[#This Row],[text]],CHAR(10)," "))," ",""))</f>
        <v>497</v>
      </c>
      <c r="O150" t="s">
        <v>250</v>
      </c>
      <c r="P150" t="s">
        <v>1110</v>
      </c>
    </row>
    <row r="151" spans="1:16">
      <c r="A151">
        <f t="shared" si="2"/>
        <v>24</v>
      </c>
      <c r="B151" t="s">
        <v>1108</v>
      </c>
      <c r="C151" t="s">
        <v>1109</v>
      </c>
      <c r="D151" t="s">
        <v>194</v>
      </c>
      <c r="E151" t="s">
        <v>582</v>
      </c>
      <c r="F151" t="s">
        <v>689</v>
      </c>
      <c r="G151" t="s">
        <v>690</v>
      </c>
      <c r="H151" t="s">
        <v>691</v>
      </c>
      <c r="I151" t="s">
        <v>209</v>
      </c>
      <c r="J151" t="s">
        <v>176</v>
      </c>
      <c r="K151" s="30">
        <v>43032</v>
      </c>
      <c r="L151" s="8">
        <v>43030.881342592591</v>
      </c>
      <c r="M151" s="21">
        <f>LEN(ProjTextTable[[#This Row],[text]])</f>
        <v>2806</v>
      </c>
      <c r="N151" s="21">
        <f>LEN(TRIM(CLEAN(SUBSTITUTE(ProjTextTable[[#This Row],[text]],CHAR(10)," "))))+1 - LEN(SUBSTITUTE(CLEAN(SUBSTITUTE(ProjTextTable[[#This Row],[text]],CHAR(10)," "))," ",""))</f>
        <v>425</v>
      </c>
      <c r="O151" t="s">
        <v>199</v>
      </c>
      <c r="P151" t="s">
        <v>1111</v>
      </c>
    </row>
    <row r="152" spans="1:16">
      <c r="A152">
        <f t="shared" si="2"/>
        <v>24</v>
      </c>
      <c r="B152" t="s">
        <v>1108</v>
      </c>
      <c r="C152" t="s">
        <v>1109</v>
      </c>
      <c r="D152" t="s">
        <v>194</v>
      </c>
      <c r="E152" t="s">
        <v>582</v>
      </c>
      <c r="F152" t="s">
        <v>587</v>
      </c>
      <c r="G152" t="s">
        <v>588</v>
      </c>
      <c r="H152" t="s">
        <v>589</v>
      </c>
      <c r="I152" t="s">
        <v>209</v>
      </c>
      <c r="J152" t="s">
        <v>176</v>
      </c>
      <c r="K152" s="30">
        <v>43032</v>
      </c>
      <c r="L152" s="8">
        <v>43031.585636574076</v>
      </c>
      <c r="M152" s="21">
        <f>LEN(ProjTextTable[[#This Row],[text]])</f>
        <v>3764</v>
      </c>
      <c r="N152" s="21">
        <f>LEN(TRIM(CLEAN(SUBSTITUTE(ProjTextTable[[#This Row],[text]],CHAR(10)," "))))+1 - LEN(SUBSTITUTE(CLEAN(SUBSTITUTE(ProjTextTable[[#This Row],[text]],CHAR(10)," "))," ",""))</f>
        <v>592</v>
      </c>
      <c r="O152" t="s">
        <v>202</v>
      </c>
      <c r="P152" t="s">
        <v>1112</v>
      </c>
    </row>
    <row r="153" spans="1:16">
      <c r="A153">
        <f t="shared" si="2"/>
        <v>24</v>
      </c>
      <c r="B153" t="s">
        <v>1108</v>
      </c>
      <c r="C153" t="s">
        <v>1109</v>
      </c>
      <c r="D153" t="s">
        <v>194</v>
      </c>
      <c r="E153" t="s">
        <v>582</v>
      </c>
      <c r="F153" t="s">
        <v>595</v>
      </c>
      <c r="G153" t="s">
        <v>596</v>
      </c>
      <c r="H153" t="s">
        <v>597</v>
      </c>
      <c r="I153" t="s">
        <v>209</v>
      </c>
      <c r="J153" t="s">
        <v>176</v>
      </c>
      <c r="K153" s="30">
        <v>43032</v>
      </c>
      <c r="L153" s="8">
        <v>43030.737314814818</v>
      </c>
      <c r="M153" s="21">
        <f>LEN(ProjTextTable[[#This Row],[text]])</f>
        <v>2838</v>
      </c>
      <c r="N153" s="21">
        <f>LEN(TRIM(CLEAN(SUBSTITUTE(ProjTextTable[[#This Row],[text]],CHAR(10)," "))))+1 - LEN(SUBSTITUTE(CLEAN(SUBSTITUTE(ProjTextTable[[#This Row],[text]],CHAR(10)," "))," ",""))</f>
        <v>429</v>
      </c>
      <c r="O153" t="s">
        <v>198</v>
      </c>
      <c r="P153" t="s">
        <v>1113</v>
      </c>
    </row>
    <row r="154" spans="1:16">
      <c r="A154">
        <f t="shared" si="2"/>
        <v>24</v>
      </c>
      <c r="B154" t="s">
        <v>1108</v>
      </c>
      <c r="C154" t="s">
        <v>1109</v>
      </c>
      <c r="D154" t="s">
        <v>194</v>
      </c>
      <c r="E154" t="s">
        <v>582</v>
      </c>
      <c r="F154" t="s">
        <v>630</v>
      </c>
      <c r="G154" t="s">
        <v>631</v>
      </c>
      <c r="H154" t="s">
        <v>632</v>
      </c>
      <c r="I154" t="s">
        <v>209</v>
      </c>
      <c r="J154" t="s">
        <v>176</v>
      </c>
      <c r="K154" s="30">
        <v>43032</v>
      </c>
      <c r="L154" s="8">
        <v>43032.487256944441</v>
      </c>
      <c r="M154" s="21">
        <f>LEN(ProjTextTable[[#This Row],[text]])</f>
        <v>1564</v>
      </c>
      <c r="N154" s="21">
        <f>LEN(TRIM(CLEAN(SUBSTITUTE(ProjTextTable[[#This Row],[text]],CHAR(10)," "))))+1 - LEN(SUBSTITUTE(CLEAN(SUBSTITUTE(ProjTextTable[[#This Row],[text]],CHAR(10)," "))," ",""))</f>
        <v>236</v>
      </c>
      <c r="O154" t="s">
        <v>195</v>
      </c>
      <c r="P154" t="s">
        <v>1114</v>
      </c>
    </row>
    <row r="155" spans="1:16">
      <c r="A155">
        <f t="shared" si="2"/>
        <v>24</v>
      </c>
      <c r="B155" t="s">
        <v>1108</v>
      </c>
      <c r="C155" t="s">
        <v>1109</v>
      </c>
      <c r="D155" t="s">
        <v>196</v>
      </c>
      <c r="E155" t="s">
        <v>944</v>
      </c>
      <c r="F155" t="s">
        <v>13</v>
      </c>
      <c r="G155" t="s">
        <v>13</v>
      </c>
      <c r="H155" t="s">
        <v>13</v>
      </c>
      <c r="K155" s="30"/>
      <c r="L155" s="8">
        <v>42936.043437499997</v>
      </c>
      <c r="M155" s="21">
        <f>LEN(ProjTextTable[[#This Row],[text]])</f>
        <v>3137</v>
      </c>
      <c r="N155" s="21">
        <f>LEN(TRIM(CLEAN(SUBSTITUTE(ProjTextTable[[#This Row],[text]],CHAR(10)," "))))+1 - LEN(SUBSTITUTE(CLEAN(SUBSTITUTE(ProjTextTable[[#This Row],[text]],CHAR(10)," "))," ",""))</f>
        <v>455</v>
      </c>
      <c r="O155" t="s">
        <v>13</v>
      </c>
      <c r="P155" t="s">
        <v>1115</v>
      </c>
    </row>
    <row r="156" spans="1:16">
      <c r="A156">
        <f t="shared" si="2"/>
        <v>25</v>
      </c>
      <c r="B156" t="s">
        <v>1116</v>
      </c>
      <c r="C156" t="s">
        <v>1117</v>
      </c>
      <c r="D156" t="s">
        <v>205</v>
      </c>
      <c r="E156" t="s">
        <v>582</v>
      </c>
      <c r="F156" t="s">
        <v>658</v>
      </c>
      <c r="G156" t="s">
        <v>659</v>
      </c>
      <c r="H156" t="s">
        <v>247</v>
      </c>
      <c r="I156" t="s">
        <v>95</v>
      </c>
      <c r="J156" t="s">
        <v>95</v>
      </c>
      <c r="K156" s="30">
        <v>43059</v>
      </c>
      <c r="L156" s="8"/>
      <c r="M156" s="21">
        <f>LEN(ProjTextTable[[#This Row],[text]])</f>
        <v>3120</v>
      </c>
      <c r="N156" s="21">
        <f>LEN(TRIM(CLEAN(SUBSTITUTE(ProjTextTable[[#This Row],[text]],CHAR(10)," "))))+1 - LEN(SUBSTITUTE(CLEAN(SUBSTITUTE(ProjTextTable[[#This Row],[text]],CHAR(10)," "))," ",""))</f>
        <v>431</v>
      </c>
      <c r="O156" t="s">
        <v>245</v>
      </c>
      <c r="P156" t="s">
        <v>1118</v>
      </c>
    </row>
    <row r="157" spans="1:16">
      <c r="A157">
        <f t="shared" si="2"/>
        <v>25</v>
      </c>
      <c r="B157" t="s">
        <v>1116</v>
      </c>
      <c r="C157" t="s">
        <v>1117</v>
      </c>
      <c r="D157" t="s">
        <v>194</v>
      </c>
      <c r="E157" t="s">
        <v>582</v>
      </c>
      <c r="F157" t="s">
        <v>661</v>
      </c>
      <c r="G157" t="s">
        <v>662</v>
      </c>
      <c r="H157" t="s">
        <v>663</v>
      </c>
      <c r="I157" t="s">
        <v>209</v>
      </c>
      <c r="J157" t="s">
        <v>176</v>
      </c>
      <c r="K157" s="30">
        <v>43060</v>
      </c>
      <c r="L157" s="8">
        <v>43057.820625</v>
      </c>
      <c r="M157" s="21">
        <f>LEN(ProjTextTable[[#This Row],[text]])</f>
        <v>1894</v>
      </c>
      <c r="N157" s="21">
        <f>LEN(TRIM(CLEAN(SUBSTITUTE(ProjTextTable[[#This Row],[text]],CHAR(10)," "))))+1 - LEN(SUBSTITUTE(CLEAN(SUBSTITUTE(ProjTextTable[[#This Row],[text]],CHAR(10)," "))," ",""))</f>
        <v>277</v>
      </c>
      <c r="O157" t="s">
        <v>253</v>
      </c>
      <c r="P157" t="s">
        <v>1119</v>
      </c>
    </row>
    <row r="158" spans="1:16">
      <c r="A158">
        <f t="shared" si="2"/>
        <v>25</v>
      </c>
      <c r="B158" t="s">
        <v>1116</v>
      </c>
      <c r="C158" t="s">
        <v>1117</v>
      </c>
      <c r="D158" t="s">
        <v>194</v>
      </c>
      <c r="E158" t="s">
        <v>582</v>
      </c>
      <c r="F158" t="s">
        <v>665</v>
      </c>
      <c r="G158" t="s">
        <v>666</v>
      </c>
      <c r="H158" t="s">
        <v>667</v>
      </c>
      <c r="I158" t="s">
        <v>209</v>
      </c>
      <c r="J158" t="s">
        <v>176</v>
      </c>
      <c r="K158" s="30">
        <v>43060</v>
      </c>
      <c r="L158" s="8">
        <v>43059.226273148146</v>
      </c>
      <c r="M158" s="21">
        <f>LEN(ProjTextTable[[#This Row],[text]])</f>
        <v>1618</v>
      </c>
      <c r="N158" s="21">
        <f>LEN(TRIM(CLEAN(SUBSTITUTE(ProjTextTable[[#This Row],[text]],CHAR(10)," "))))+1 - LEN(SUBSTITUTE(CLEAN(SUBSTITUTE(ProjTextTable[[#This Row],[text]],CHAR(10)," "))," ",""))</f>
        <v>230</v>
      </c>
      <c r="O158" t="s">
        <v>253</v>
      </c>
      <c r="P158" t="s">
        <v>1120</v>
      </c>
    </row>
    <row r="159" spans="1:16">
      <c r="A159">
        <f t="shared" si="2"/>
        <v>25</v>
      </c>
      <c r="B159" t="s">
        <v>1116</v>
      </c>
      <c r="C159" t="s">
        <v>1117</v>
      </c>
      <c r="D159" t="s">
        <v>194</v>
      </c>
      <c r="E159" t="s">
        <v>582</v>
      </c>
      <c r="F159" t="s">
        <v>669</v>
      </c>
      <c r="G159" t="s">
        <v>670</v>
      </c>
      <c r="H159" t="s">
        <v>671</v>
      </c>
      <c r="I159" t="s">
        <v>209</v>
      </c>
      <c r="J159" t="s">
        <v>176</v>
      </c>
      <c r="K159" s="30">
        <v>43060</v>
      </c>
      <c r="L159" s="8">
        <v>43056.434490740743</v>
      </c>
      <c r="M159" s="21">
        <f>LEN(ProjTextTable[[#This Row],[text]])</f>
        <v>3602</v>
      </c>
      <c r="N159" s="21">
        <f>LEN(TRIM(CLEAN(SUBSTITUTE(ProjTextTable[[#This Row],[text]],CHAR(10)," "))))+1 - LEN(SUBSTITUTE(CLEAN(SUBSTITUTE(ProjTextTable[[#This Row],[text]],CHAR(10)," "))," ",""))</f>
        <v>533</v>
      </c>
      <c r="O159" t="s">
        <v>198</v>
      </c>
      <c r="P159" t="s">
        <v>1121</v>
      </c>
    </row>
    <row r="160" spans="1:16">
      <c r="A160">
        <f t="shared" si="2"/>
        <v>25</v>
      </c>
      <c r="B160" t="s">
        <v>1116</v>
      </c>
      <c r="C160" t="s">
        <v>1117</v>
      </c>
      <c r="D160" t="s">
        <v>194</v>
      </c>
      <c r="E160" t="s">
        <v>582</v>
      </c>
      <c r="F160" t="s">
        <v>970</v>
      </c>
      <c r="G160" t="s">
        <v>971</v>
      </c>
      <c r="H160" t="s">
        <v>972</v>
      </c>
      <c r="I160" t="s">
        <v>209</v>
      </c>
      <c r="J160" t="s">
        <v>176</v>
      </c>
      <c r="K160" s="30">
        <v>43060</v>
      </c>
      <c r="L160" s="8">
        <v>43059.786053240743</v>
      </c>
      <c r="M160" s="21">
        <f>LEN(ProjTextTable[[#This Row],[text]])</f>
        <v>1418</v>
      </c>
      <c r="N160" s="21">
        <f>LEN(TRIM(CLEAN(SUBSTITUTE(ProjTextTable[[#This Row],[text]],CHAR(10)," "))))+1 - LEN(SUBSTITUTE(CLEAN(SUBSTITUTE(ProjTextTable[[#This Row],[text]],CHAR(10)," "))," ",""))</f>
        <v>216</v>
      </c>
      <c r="O160" t="s">
        <v>253</v>
      </c>
      <c r="P160" t="s">
        <v>1122</v>
      </c>
    </row>
    <row r="161" spans="1:16">
      <c r="A161">
        <f t="shared" si="2"/>
        <v>25</v>
      </c>
      <c r="B161" t="s">
        <v>1116</v>
      </c>
      <c r="C161" t="s">
        <v>1117</v>
      </c>
      <c r="D161" t="s">
        <v>196</v>
      </c>
      <c r="E161" t="s">
        <v>582</v>
      </c>
      <c r="F161" t="s">
        <v>13</v>
      </c>
      <c r="G161" t="s">
        <v>13</v>
      </c>
      <c r="H161" t="s">
        <v>13</v>
      </c>
      <c r="K161" s="30"/>
      <c r="L161" s="8">
        <v>42936.043680555558</v>
      </c>
      <c r="M161" s="21">
        <f>LEN(ProjTextTable[[#This Row],[text]])</f>
        <v>3396</v>
      </c>
      <c r="N161" s="21">
        <f>LEN(TRIM(CLEAN(SUBSTITUTE(ProjTextTable[[#This Row],[text]],CHAR(10)," "))))+1 - LEN(SUBSTITUTE(CLEAN(SUBSTITUTE(ProjTextTable[[#This Row],[text]],CHAR(10)," "))," ",""))</f>
        <v>495</v>
      </c>
      <c r="O161" t="s">
        <v>13</v>
      </c>
      <c r="P161" t="s">
        <v>1123</v>
      </c>
    </row>
    <row r="162" spans="1:16">
      <c r="A162">
        <f t="shared" si="2"/>
        <v>26</v>
      </c>
      <c r="B162" t="s">
        <v>1124</v>
      </c>
      <c r="C162" t="s">
        <v>1125</v>
      </c>
      <c r="D162" t="s">
        <v>205</v>
      </c>
      <c r="E162" t="s">
        <v>582</v>
      </c>
      <c r="F162" t="s">
        <v>658</v>
      </c>
      <c r="G162" t="s">
        <v>659</v>
      </c>
      <c r="H162" t="s">
        <v>247</v>
      </c>
      <c r="I162" t="s">
        <v>95</v>
      </c>
      <c r="J162" t="s">
        <v>197</v>
      </c>
      <c r="K162" s="30">
        <v>43059</v>
      </c>
      <c r="L162" s="8"/>
      <c r="M162" s="21">
        <f>LEN(ProjTextTable[[#This Row],[text]])</f>
        <v>2576</v>
      </c>
      <c r="N162" s="21">
        <f>LEN(TRIM(CLEAN(SUBSTITUTE(ProjTextTable[[#This Row],[text]],CHAR(10)," "))))+1 - LEN(SUBSTITUTE(CLEAN(SUBSTITUTE(ProjTextTable[[#This Row],[text]],CHAR(10)," "))," ",""))</f>
        <v>356</v>
      </c>
      <c r="O162" t="s">
        <v>245</v>
      </c>
      <c r="P162" t="s">
        <v>1126</v>
      </c>
    </row>
    <row r="163" spans="1:16">
      <c r="A163">
        <f t="shared" si="2"/>
        <v>26</v>
      </c>
      <c r="B163" t="s">
        <v>1124</v>
      </c>
      <c r="C163" t="s">
        <v>1125</v>
      </c>
      <c r="D163" t="s">
        <v>194</v>
      </c>
      <c r="E163" t="s">
        <v>582</v>
      </c>
      <c r="F163" t="s">
        <v>665</v>
      </c>
      <c r="G163" t="s">
        <v>666</v>
      </c>
      <c r="H163" t="s">
        <v>667</v>
      </c>
      <c r="I163" t="s">
        <v>209</v>
      </c>
      <c r="J163" t="s">
        <v>176</v>
      </c>
      <c r="K163" s="30">
        <v>43060</v>
      </c>
      <c r="L163" s="8">
        <v>43059.227268518516</v>
      </c>
      <c r="M163" s="21">
        <f>LEN(ProjTextTable[[#This Row],[text]])</f>
        <v>2740</v>
      </c>
      <c r="N163" s="21">
        <f>LEN(TRIM(CLEAN(SUBSTITUTE(ProjTextTable[[#This Row],[text]],CHAR(10)," "))))+1 - LEN(SUBSTITUTE(CLEAN(SUBSTITUTE(ProjTextTable[[#This Row],[text]],CHAR(10)," "))," ",""))</f>
        <v>381</v>
      </c>
      <c r="O163" t="s">
        <v>253</v>
      </c>
      <c r="P163" t="s">
        <v>1127</v>
      </c>
    </row>
    <row r="164" spans="1:16">
      <c r="A164">
        <f t="shared" si="2"/>
        <v>26</v>
      </c>
      <c r="B164" t="s">
        <v>1124</v>
      </c>
      <c r="C164" t="s">
        <v>1125</v>
      </c>
      <c r="D164" t="s">
        <v>194</v>
      </c>
      <c r="E164" t="s">
        <v>582</v>
      </c>
      <c r="F164" t="s">
        <v>669</v>
      </c>
      <c r="G164" t="s">
        <v>670</v>
      </c>
      <c r="H164" t="s">
        <v>671</v>
      </c>
      <c r="I164" t="s">
        <v>209</v>
      </c>
      <c r="J164" t="s">
        <v>176</v>
      </c>
      <c r="K164" s="30">
        <v>43060</v>
      </c>
      <c r="L164" s="8">
        <v>43058.459224537037</v>
      </c>
      <c r="M164" s="21">
        <f>LEN(ProjTextTable[[#This Row],[text]])</f>
        <v>2343</v>
      </c>
      <c r="N164" s="21">
        <f>LEN(TRIM(CLEAN(SUBSTITUTE(ProjTextTable[[#This Row],[text]],CHAR(10)," "))))+1 - LEN(SUBSTITUTE(CLEAN(SUBSTITUTE(ProjTextTable[[#This Row],[text]],CHAR(10)," "))," ",""))</f>
        <v>347</v>
      </c>
      <c r="O164" t="s">
        <v>198</v>
      </c>
      <c r="P164" t="s">
        <v>1128</v>
      </c>
    </row>
    <row r="165" spans="1:16">
      <c r="A165">
        <f t="shared" si="2"/>
        <v>26</v>
      </c>
      <c r="B165" t="s">
        <v>1124</v>
      </c>
      <c r="C165" t="s">
        <v>1125</v>
      </c>
      <c r="D165" t="s">
        <v>194</v>
      </c>
      <c r="E165" t="s">
        <v>582</v>
      </c>
      <c r="F165" t="s">
        <v>930</v>
      </c>
      <c r="G165" t="s">
        <v>931</v>
      </c>
      <c r="H165" t="s">
        <v>932</v>
      </c>
      <c r="I165" t="s">
        <v>209</v>
      </c>
      <c r="J165" t="s">
        <v>176</v>
      </c>
      <c r="K165" s="30">
        <v>43060</v>
      </c>
      <c r="L165" s="8">
        <v>43058.922615740739</v>
      </c>
      <c r="M165" s="21">
        <f>LEN(ProjTextTable[[#This Row],[text]])</f>
        <v>2749</v>
      </c>
      <c r="N165" s="21">
        <f>LEN(TRIM(CLEAN(SUBSTITUTE(ProjTextTable[[#This Row],[text]],CHAR(10)," "))))+1 - LEN(SUBSTITUTE(CLEAN(SUBSTITUTE(ProjTextTable[[#This Row],[text]],CHAR(10)," "))," ",""))</f>
        <v>394</v>
      </c>
      <c r="O165" t="s">
        <v>253</v>
      </c>
      <c r="P165" t="s">
        <v>1129</v>
      </c>
    </row>
    <row r="166" spans="1:16">
      <c r="A166">
        <f t="shared" si="2"/>
        <v>26</v>
      </c>
      <c r="B166" t="s">
        <v>1124</v>
      </c>
      <c r="C166" t="s">
        <v>1125</v>
      </c>
      <c r="D166" t="s">
        <v>194</v>
      </c>
      <c r="E166" t="s">
        <v>582</v>
      </c>
      <c r="F166" t="s">
        <v>1072</v>
      </c>
      <c r="G166" t="s">
        <v>1073</v>
      </c>
      <c r="H166" t="s">
        <v>1074</v>
      </c>
      <c r="I166" t="s">
        <v>209</v>
      </c>
      <c r="J166" t="s">
        <v>176</v>
      </c>
      <c r="K166" s="30">
        <v>43060</v>
      </c>
      <c r="L166" s="8">
        <v>43058.974108796298</v>
      </c>
      <c r="M166" s="21">
        <f>LEN(ProjTextTable[[#This Row],[text]])</f>
        <v>3220</v>
      </c>
      <c r="N166" s="21">
        <f>LEN(TRIM(CLEAN(SUBSTITUTE(ProjTextTable[[#This Row],[text]],CHAR(10)," "))))+1 - LEN(SUBSTITUTE(CLEAN(SUBSTITUTE(ProjTextTable[[#This Row],[text]],CHAR(10)," "))," ",""))</f>
        <v>500</v>
      </c>
      <c r="O166" t="s">
        <v>198</v>
      </c>
      <c r="P166" t="s">
        <v>1130</v>
      </c>
    </row>
    <row r="167" spans="1:16">
      <c r="A167">
        <f t="shared" si="2"/>
        <v>26</v>
      </c>
      <c r="B167" t="s">
        <v>1124</v>
      </c>
      <c r="C167" t="s">
        <v>1125</v>
      </c>
      <c r="D167" t="s">
        <v>196</v>
      </c>
      <c r="E167" t="s">
        <v>582</v>
      </c>
      <c r="F167" t="s">
        <v>13</v>
      </c>
      <c r="G167" t="s">
        <v>13</v>
      </c>
      <c r="H167" t="s">
        <v>13</v>
      </c>
      <c r="K167" s="30"/>
      <c r="L167" s="8">
        <v>42936.043912037036</v>
      </c>
      <c r="M167" s="21">
        <f>LEN(ProjTextTable[[#This Row],[text]])</f>
        <v>4427</v>
      </c>
      <c r="N167" s="21">
        <f>LEN(TRIM(CLEAN(SUBSTITUTE(ProjTextTable[[#This Row],[text]],CHAR(10)," "))))+1 - LEN(SUBSTITUTE(CLEAN(SUBSTITUTE(ProjTextTable[[#This Row],[text]],CHAR(10)," "))," ",""))</f>
        <v>651</v>
      </c>
      <c r="O167" t="s">
        <v>13</v>
      </c>
      <c r="P167" t="s">
        <v>1131</v>
      </c>
    </row>
    <row r="168" spans="1:16">
      <c r="A168">
        <f t="shared" si="2"/>
        <v>27</v>
      </c>
      <c r="B168" t="s">
        <v>1132</v>
      </c>
      <c r="C168" t="s">
        <v>1133</v>
      </c>
      <c r="D168" t="s">
        <v>205</v>
      </c>
      <c r="E168" t="s">
        <v>582</v>
      </c>
      <c r="F168" t="s">
        <v>658</v>
      </c>
      <c r="G168" t="s">
        <v>659</v>
      </c>
      <c r="H168" t="s">
        <v>251</v>
      </c>
      <c r="I168" t="s">
        <v>193</v>
      </c>
      <c r="J168" t="s">
        <v>924</v>
      </c>
      <c r="K168" s="30">
        <v>43059</v>
      </c>
      <c r="L168" s="8"/>
      <c r="M168" s="21">
        <f>LEN(ProjTextTable[[#This Row],[text]])</f>
        <v>4360</v>
      </c>
      <c r="N168" s="21">
        <f>LEN(TRIM(CLEAN(SUBSTITUTE(ProjTextTable[[#This Row],[text]],CHAR(10)," "))))+1 - LEN(SUBSTITUTE(CLEAN(SUBSTITUTE(ProjTextTable[[#This Row],[text]],CHAR(10)," "))," ",""))</f>
        <v>633</v>
      </c>
      <c r="O168" t="s">
        <v>250</v>
      </c>
      <c r="P168" t="s">
        <v>1134</v>
      </c>
    </row>
    <row r="169" spans="1:16">
      <c r="A169">
        <f t="shared" si="2"/>
        <v>27</v>
      </c>
      <c r="B169" t="s">
        <v>1132</v>
      </c>
      <c r="C169" t="s">
        <v>1133</v>
      </c>
      <c r="D169" t="s">
        <v>194</v>
      </c>
      <c r="E169" t="s">
        <v>582</v>
      </c>
      <c r="F169" t="s">
        <v>930</v>
      </c>
      <c r="G169" t="s">
        <v>931</v>
      </c>
      <c r="H169" t="s">
        <v>932</v>
      </c>
      <c r="I169" t="s">
        <v>209</v>
      </c>
      <c r="J169" t="s">
        <v>176</v>
      </c>
      <c r="K169" s="30">
        <v>43060</v>
      </c>
      <c r="L169" s="8">
        <v>43059.302187499998</v>
      </c>
      <c r="M169" s="21">
        <f>LEN(ProjTextTable[[#This Row],[text]])</f>
        <v>3398</v>
      </c>
      <c r="N169" s="21">
        <f>LEN(TRIM(CLEAN(SUBSTITUTE(ProjTextTable[[#This Row],[text]],CHAR(10)," "))))+1 - LEN(SUBSTITUTE(CLEAN(SUBSTITUTE(ProjTextTable[[#This Row],[text]],CHAR(10)," "))," ",""))</f>
        <v>486</v>
      </c>
      <c r="O169" t="s">
        <v>199</v>
      </c>
      <c r="P169" t="s">
        <v>1135</v>
      </c>
    </row>
    <row r="170" spans="1:16">
      <c r="A170">
        <f t="shared" si="2"/>
        <v>27</v>
      </c>
      <c r="B170" t="s">
        <v>1132</v>
      </c>
      <c r="C170" t="s">
        <v>1133</v>
      </c>
      <c r="D170" t="s">
        <v>194</v>
      </c>
      <c r="E170" t="s">
        <v>582</v>
      </c>
      <c r="F170" t="s">
        <v>966</v>
      </c>
      <c r="G170" t="s">
        <v>967</v>
      </c>
      <c r="H170" t="s">
        <v>968</v>
      </c>
      <c r="I170" t="s">
        <v>209</v>
      </c>
      <c r="J170" t="s">
        <v>176</v>
      </c>
      <c r="K170" s="30">
        <v>43060</v>
      </c>
      <c r="L170" s="8">
        <v>43058.963819444441</v>
      </c>
      <c r="M170" s="21">
        <f>LEN(ProjTextTable[[#This Row],[text]])</f>
        <v>1074</v>
      </c>
      <c r="N170" s="21">
        <f>LEN(TRIM(CLEAN(SUBSTITUTE(ProjTextTable[[#This Row],[text]],CHAR(10)," "))))+1 - LEN(SUBSTITUTE(CLEAN(SUBSTITUTE(ProjTextTable[[#This Row],[text]],CHAR(10)," "))," ",""))</f>
        <v>154</v>
      </c>
      <c r="O170" t="s">
        <v>195</v>
      </c>
      <c r="P170" t="s">
        <v>1136</v>
      </c>
    </row>
    <row r="171" spans="1:16">
      <c r="A171">
        <f t="shared" si="2"/>
        <v>27</v>
      </c>
      <c r="B171" t="s">
        <v>1132</v>
      </c>
      <c r="C171" t="s">
        <v>1133</v>
      </c>
      <c r="D171" t="s">
        <v>194</v>
      </c>
      <c r="E171" t="s">
        <v>582</v>
      </c>
      <c r="F171" t="s">
        <v>979</v>
      </c>
      <c r="G171" t="s">
        <v>980</v>
      </c>
      <c r="H171" t="s">
        <v>981</v>
      </c>
      <c r="I171" t="s">
        <v>209</v>
      </c>
      <c r="J171" t="s">
        <v>176</v>
      </c>
      <c r="K171" s="30">
        <v>43060</v>
      </c>
      <c r="L171" s="8">
        <v>43060.010879629626</v>
      </c>
      <c r="M171" s="21">
        <f>LEN(ProjTextTable[[#This Row],[text]])</f>
        <v>2488</v>
      </c>
      <c r="N171" s="21">
        <f>LEN(TRIM(CLEAN(SUBSTITUTE(ProjTextTable[[#This Row],[text]],CHAR(10)," "))))+1 - LEN(SUBSTITUTE(CLEAN(SUBSTITUTE(ProjTextTable[[#This Row],[text]],CHAR(10)," "))," ",""))</f>
        <v>366</v>
      </c>
      <c r="O171" t="s">
        <v>195</v>
      </c>
      <c r="P171" t="s">
        <v>1137</v>
      </c>
    </row>
    <row r="172" spans="1:16">
      <c r="A172">
        <f t="shared" si="2"/>
        <v>27</v>
      </c>
      <c r="B172" t="s">
        <v>1132</v>
      </c>
      <c r="C172" t="s">
        <v>1133</v>
      </c>
      <c r="D172" t="s">
        <v>194</v>
      </c>
      <c r="E172" t="s">
        <v>582</v>
      </c>
      <c r="F172" t="s">
        <v>970</v>
      </c>
      <c r="G172" t="s">
        <v>971</v>
      </c>
      <c r="H172" t="s">
        <v>972</v>
      </c>
      <c r="I172" t="s">
        <v>209</v>
      </c>
      <c r="J172" t="s">
        <v>176</v>
      </c>
      <c r="K172" s="30">
        <v>43060</v>
      </c>
      <c r="L172" s="8">
        <v>43056.614120370374</v>
      </c>
      <c r="M172" s="21">
        <f>LEN(ProjTextTable[[#This Row],[text]])</f>
        <v>1323</v>
      </c>
      <c r="N172" s="21">
        <f>LEN(TRIM(CLEAN(SUBSTITUTE(ProjTextTable[[#This Row],[text]],CHAR(10)," "))))+1 - LEN(SUBSTITUTE(CLEAN(SUBSTITUTE(ProjTextTable[[#This Row],[text]],CHAR(10)," "))," ",""))</f>
        <v>199</v>
      </c>
      <c r="O172" t="s">
        <v>195</v>
      </c>
      <c r="P172" t="s">
        <v>1138</v>
      </c>
    </row>
    <row r="173" spans="1:16">
      <c r="A173">
        <f t="shared" si="2"/>
        <v>27</v>
      </c>
      <c r="B173" t="s">
        <v>1132</v>
      </c>
      <c r="C173" t="s">
        <v>1133</v>
      </c>
      <c r="D173" t="s">
        <v>196</v>
      </c>
      <c r="E173" t="s">
        <v>582</v>
      </c>
      <c r="F173" t="s">
        <v>13</v>
      </c>
      <c r="G173" t="s">
        <v>13</v>
      </c>
      <c r="H173" t="s">
        <v>13</v>
      </c>
      <c r="K173" s="30"/>
      <c r="L173" s="8">
        <v>42936.043935185182</v>
      </c>
      <c r="M173" s="21">
        <f>LEN(ProjTextTable[[#This Row],[text]])</f>
        <v>2872</v>
      </c>
      <c r="N173" s="21">
        <f>LEN(TRIM(CLEAN(SUBSTITUTE(ProjTextTable[[#This Row],[text]],CHAR(10)," "))))+1 - LEN(SUBSTITUTE(CLEAN(SUBSTITUTE(ProjTextTable[[#This Row],[text]],CHAR(10)," "))," ",""))</f>
        <v>426</v>
      </c>
      <c r="O173" t="s">
        <v>13</v>
      </c>
      <c r="P173" t="s">
        <v>1139</v>
      </c>
    </row>
    <row r="174" spans="1:16">
      <c r="A174">
        <f t="shared" si="2"/>
        <v>28</v>
      </c>
      <c r="B174" t="s">
        <v>1140</v>
      </c>
      <c r="C174" t="s">
        <v>1141</v>
      </c>
      <c r="D174" t="s">
        <v>205</v>
      </c>
      <c r="E174" t="s">
        <v>582</v>
      </c>
      <c r="F174" t="s">
        <v>658</v>
      </c>
      <c r="G174" t="s">
        <v>659</v>
      </c>
      <c r="H174" t="s">
        <v>247</v>
      </c>
      <c r="I174" t="s">
        <v>95</v>
      </c>
      <c r="J174" t="s">
        <v>197</v>
      </c>
      <c r="K174" s="30">
        <v>43059</v>
      </c>
      <c r="L174" s="8"/>
      <c r="M174" s="21">
        <f>LEN(ProjTextTable[[#This Row],[text]])</f>
        <v>3155</v>
      </c>
      <c r="N174" s="21">
        <f>LEN(TRIM(CLEAN(SUBSTITUTE(ProjTextTable[[#This Row],[text]],CHAR(10)," "))))+1 - LEN(SUBSTITUTE(CLEAN(SUBSTITUTE(ProjTextTable[[#This Row],[text]],CHAR(10)," "))," ",""))</f>
        <v>456</v>
      </c>
      <c r="O174" t="s">
        <v>245</v>
      </c>
      <c r="P174" t="s">
        <v>1142</v>
      </c>
    </row>
    <row r="175" spans="1:16">
      <c r="A175">
        <f t="shared" si="2"/>
        <v>28</v>
      </c>
      <c r="B175" t="s">
        <v>1140</v>
      </c>
      <c r="C175" t="s">
        <v>1141</v>
      </c>
      <c r="D175" t="s">
        <v>194</v>
      </c>
      <c r="E175" t="s">
        <v>944</v>
      </c>
      <c r="F175" t="s">
        <v>669</v>
      </c>
      <c r="G175" t="s">
        <v>670</v>
      </c>
      <c r="H175" t="s">
        <v>671</v>
      </c>
      <c r="I175" t="s">
        <v>209</v>
      </c>
      <c r="J175" t="s">
        <v>176</v>
      </c>
      <c r="K175" s="30">
        <v>43060</v>
      </c>
      <c r="L175" s="8">
        <v>43059.471666666665</v>
      </c>
      <c r="M175" s="21">
        <f>LEN(ProjTextTable[[#This Row],[text]])</f>
        <v>1800</v>
      </c>
      <c r="N175" s="21">
        <f>LEN(TRIM(CLEAN(SUBSTITUTE(ProjTextTable[[#This Row],[text]],CHAR(10)," "))))+1 - LEN(SUBSTITUTE(CLEAN(SUBSTITUTE(ProjTextTable[[#This Row],[text]],CHAR(10)," "))," ",""))</f>
        <v>267</v>
      </c>
      <c r="O175" t="s">
        <v>202</v>
      </c>
      <c r="P175" t="s">
        <v>1143</v>
      </c>
    </row>
    <row r="176" spans="1:16">
      <c r="A176">
        <f t="shared" si="2"/>
        <v>28</v>
      </c>
      <c r="B176" t="s">
        <v>1140</v>
      </c>
      <c r="C176" t="s">
        <v>1141</v>
      </c>
      <c r="D176" t="s">
        <v>194</v>
      </c>
      <c r="E176" t="s">
        <v>944</v>
      </c>
      <c r="F176" t="s">
        <v>1144</v>
      </c>
      <c r="G176" t="s">
        <v>1145</v>
      </c>
      <c r="H176" t="s">
        <v>1146</v>
      </c>
      <c r="I176" t="s">
        <v>209</v>
      </c>
      <c r="J176" t="s">
        <v>176</v>
      </c>
      <c r="K176" s="30">
        <v>43060</v>
      </c>
      <c r="L176" s="8">
        <v>43054.57371527778</v>
      </c>
      <c r="M176" s="21">
        <f>LEN(ProjTextTable[[#This Row],[text]])</f>
        <v>2065</v>
      </c>
      <c r="N176" s="21">
        <f>LEN(TRIM(CLEAN(SUBSTITUTE(ProjTextTable[[#This Row],[text]],CHAR(10)," "))))+1 - LEN(SUBSTITUTE(CLEAN(SUBSTITUTE(ProjTextTable[[#This Row],[text]],CHAR(10)," "))," ",""))</f>
        <v>297</v>
      </c>
      <c r="O176" t="s">
        <v>198</v>
      </c>
      <c r="P176" t="s">
        <v>1147</v>
      </c>
    </row>
    <row r="177" spans="1:16">
      <c r="A177">
        <f t="shared" si="2"/>
        <v>28</v>
      </c>
      <c r="B177" t="s">
        <v>1140</v>
      </c>
      <c r="C177" t="s">
        <v>1141</v>
      </c>
      <c r="D177" t="s">
        <v>194</v>
      </c>
      <c r="E177" t="s">
        <v>582</v>
      </c>
      <c r="F177" t="s">
        <v>930</v>
      </c>
      <c r="G177" t="s">
        <v>931</v>
      </c>
      <c r="H177" t="s">
        <v>932</v>
      </c>
      <c r="I177" t="s">
        <v>209</v>
      </c>
      <c r="J177" t="s">
        <v>176</v>
      </c>
      <c r="K177" s="30">
        <v>43060</v>
      </c>
      <c r="L177" s="8">
        <v>43058.888726851852</v>
      </c>
      <c r="M177" s="21">
        <f>LEN(ProjTextTable[[#This Row],[text]])</f>
        <v>3067</v>
      </c>
      <c r="N177" s="21">
        <f>LEN(TRIM(CLEAN(SUBSTITUTE(ProjTextTable[[#This Row],[text]],CHAR(10)," "))))+1 - LEN(SUBSTITUTE(CLEAN(SUBSTITUTE(ProjTextTable[[#This Row],[text]],CHAR(10)," "))," ",""))</f>
        <v>441</v>
      </c>
      <c r="O177" t="s">
        <v>253</v>
      </c>
      <c r="P177" t="s">
        <v>1148</v>
      </c>
    </row>
    <row r="178" spans="1:16">
      <c r="A178">
        <f t="shared" si="2"/>
        <v>28</v>
      </c>
      <c r="B178" t="s">
        <v>1140</v>
      </c>
      <c r="C178" t="s">
        <v>1141</v>
      </c>
      <c r="D178" t="s">
        <v>194</v>
      </c>
      <c r="E178" t="s">
        <v>582</v>
      </c>
      <c r="F178" t="s">
        <v>966</v>
      </c>
      <c r="G178" t="s">
        <v>967</v>
      </c>
      <c r="H178" t="s">
        <v>968</v>
      </c>
      <c r="I178" t="s">
        <v>209</v>
      </c>
      <c r="J178" t="s">
        <v>176</v>
      </c>
      <c r="K178" s="30">
        <v>43060</v>
      </c>
      <c r="L178" s="8">
        <v>43059.9296875</v>
      </c>
      <c r="M178" s="21">
        <f>LEN(ProjTextTable[[#This Row],[text]])</f>
        <v>1289</v>
      </c>
      <c r="N178" s="21">
        <f>LEN(TRIM(CLEAN(SUBSTITUTE(ProjTextTable[[#This Row],[text]],CHAR(10)," "))))+1 - LEN(SUBSTITUTE(CLEAN(SUBSTITUTE(ProjTextTable[[#This Row],[text]],CHAR(10)," "))," ",""))</f>
        <v>187</v>
      </c>
      <c r="O178" t="s">
        <v>199</v>
      </c>
      <c r="P178" t="s">
        <v>1149</v>
      </c>
    </row>
    <row r="179" spans="1:16">
      <c r="A179">
        <f t="shared" si="2"/>
        <v>28</v>
      </c>
      <c r="B179" t="s">
        <v>1140</v>
      </c>
      <c r="C179" t="s">
        <v>1141</v>
      </c>
      <c r="D179" t="s">
        <v>196</v>
      </c>
      <c r="E179" t="s">
        <v>944</v>
      </c>
      <c r="F179" t="s">
        <v>13</v>
      </c>
      <c r="G179" t="s">
        <v>13</v>
      </c>
      <c r="H179" t="s">
        <v>13</v>
      </c>
      <c r="K179" s="30"/>
      <c r="L179" s="8">
        <v>42936.044108796297</v>
      </c>
      <c r="M179" s="21">
        <f>LEN(ProjTextTable[[#This Row],[text]])</f>
        <v>3733</v>
      </c>
      <c r="N179" s="21">
        <f>LEN(TRIM(CLEAN(SUBSTITUTE(ProjTextTable[[#This Row],[text]],CHAR(10)," "))))+1 - LEN(SUBSTITUTE(CLEAN(SUBSTITUTE(ProjTextTable[[#This Row],[text]],CHAR(10)," "))," ",""))</f>
        <v>526</v>
      </c>
      <c r="O179" t="s">
        <v>13</v>
      </c>
      <c r="P179" t="s">
        <v>1150</v>
      </c>
    </row>
    <row r="180" spans="1:16">
      <c r="A180">
        <f t="shared" si="2"/>
        <v>29</v>
      </c>
      <c r="B180" t="s">
        <v>705</v>
      </c>
      <c r="C180" t="s">
        <v>706</v>
      </c>
      <c r="D180" t="s">
        <v>205</v>
      </c>
      <c r="E180" t="s">
        <v>582</v>
      </c>
      <c r="F180" t="s">
        <v>583</v>
      </c>
      <c r="G180" t="s">
        <v>584</v>
      </c>
      <c r="H180" t="s">
        <v>207</v>
      </c>
      <c r="I180" t="s">
        <v>197</v>
      </c>
      <c r="J180" t="s">
        <v>707</v>
      </c>
      <c r="K180" s="30">
        <v>43031</v>
      </c>
      <c r="L180" s="8"/>
      <c r="M180" s="21">
        <f>LEN(ProjTextTable[[#This Row],[text]])</f>
        <v>2012</v>
      </c>
      <c r="N180" s="21">
        <f>LEN(TRIM(CLEAN(SUBSTITUTE(ProjTextTable[[#This Row],[text]],CHAR(10)," "))))+1 - LEN(SUBSTITUTE(CLEAN(SUBSTITUTE(ProjTextTable[[#This Row],[text]],CHAR(10)," "))," ",""))</f>
        <v>277</v>
      </c>
      <c r="O180" t="s">
        <v>208</v>
      </c>
      <c r="P180" t="s">
        <v>708</v>
      </c>
    </row>
    <row r="181" spans="1:16">
      <c r="A181">
        <f t="shared" si="2"/>
        <v>29</v>
      </c>
      <c r="B181" t="s">
        <v>705</v>
      </c>
      <c r="C181" t="s">
        <v>706</v>
      </c>
      <c r="D181" t="s">
        <v>194</v>
      </c>
      <c r="E181" t="s">
        <v>582</v>
      </c>
      <c r="F181" t="s">
        <v>607</v>
      </c>
      <c r="G181" t="s">
        <v>608</v>
      </c>
      <c r="H181" t="s">
        <v>609</v>
      </c>
      <c r="I181" t="s">
        <v>209</v>
      </c>
      <c r="J181" t="s">
        <v>176</v>
      </c>
      <c r="K181" s="30">
        <v>43032</v>
      </c>
      <c r="L181" s="8">
        <v>43022.977719907409</v>
      </c>
      <c r="M181" s="21">
        <f>LEN(ProjTextTable[[#This Row],[text]])</f>
        <v>2991</v>
      </c>
      <c r="N181" s="21">
        <f>LEN(TRIM(CLEAN(SUBSTITUTE(ProjTextTable[[#This Row],[text]],CHAR(10)," "))))+1 - LEN(SUBSTITUTE(CLEAN(SUBSTITUTE(ProjTextTable[[#This Row],[text]],CHAR(10)," "))," ",""))</f>
        <v>467</v>
      </c>
      <c r="O181" t="s">
        <v>199</v>
      </c>
      <c r="P181" t="s">
        <v>709</v>
      </c>
    </row>
    <row r="182" spans="1:16">
      <c r="A182">
        <f t="shared" si="2"/>
        <v>29</v>
      </c>
      <c r="B182" t="s">
        <v>705</v>
      </c>
      <c r="C182" t="s">
        <v>706</v>
      </c>
      <c r="D182" t="s">
        <v>194</v>
      </c>
      <c r="E182" t="s">
        <v>579</v>
      </c>
      <c r="F182" t="s">
        <v>611</v>
      </c>
      <c r="G182" t="s">
        <v>612</v>
      </c>
      <c r="H182" t="s">
        <v>613</v>
      </c>
      <c r="I182" t="s">
        <v>209</v>
      </c>
      <c r="J182" t="s">
        <v>176</v>
      </c>
      <c r="K182" s="30">
        <v>43032</v>
      </c>
      <c r="L182" s="8">
        <v>43030.18167824074</v>
      </c>
      <c r="M182" s="21">
        <f>LEN(ProjTextTable[[#This Row],[text]])</f>
        <v>2066</v>
      </c>
      <c r="N182" s="21">
        <f>LEN(TRIM(CLEAN(SUBSTITUTE(ProjTextTable[[#This Row],[text]],CHAR(10)," "))))+1 - LEN(SUBSTITUTE(CLEAN(SUBSTITUTE(ProjTextTable[[#This Row],[text]],CHAR(10)," "))," ",""))</f>
        <v>295</v>
      </c>
      <c r="O182" t="s">
        <v>199</v>
      </c>
      <c r="P182" t="s">
        <v>710</v>
      </c>
    </row>
    <row r="183" spans="1:16">
      <c r="A183">
        <f t="shared" si="2"/>
        <v>29</v>
      </c>
      <c r="B183" t="s">
        <v>705</v>
      </c>
      <c r="C183" t="s">
        <v>706</v>
      </c>
      <c r="D183" t="s">
        <v>194</v>
      </c>
      <c r="E183" t="s">
        <v>582</v>
      </c>
      <c r="F183" t="s">
        <v>615</v>
      </c>
      <c r="G183" t="s">
        <v>616</v>
      </c>
      <c r="H183" t="s">
        <v>617</v>
      </c>
      <c r="I183" t="s">
        <v>209</v>
      </c>
      <c r="J183" t="s">
        <v>176</v>
      </c>
      <c r="K183" s="30">
        <v>43032</v>
      </c>
      <c r="L183" s="8">
        <v>43028.861875000002</v>
      </c>
      <c r="M183" s="21">
        <f>LEN(ProjTextTable[[#This Row],[text]])</f>
        <v>2452</v>
      </c>
      <c r="N183" s="21">
        <f>LEN(TRIM(CLEAN(SUBSTITUTE(ProjTextTable[[#This Row],[text]],CHAR(10)," "))))+1 - LEN(SUBSTITUTE(CLEAN(SUBSTITUTE(ProjTextTable[[#This Row],[text]],CHAR(10)," "))," ",""))</f>
        <v>365</v>
      </c>
      <c r="O183" t="s">
        <v>199</v>
      </c>
      <c r="P183" t="s">
        <v>711</v>
      </c>
    </row>
    <row r="184" spans="1:16">
      <c r="A184">
        <f t="shared" si="2"/>
        <v>29</v>
      </c>
      <c r="B184" t="s">
        <v>705</v>
      </c>
      <c r="C184" t="s">
        <v>706</v>
      </c>
      <c r="D184" t="s">
        <v>194</v>
      </c>
      <c r="E184" t="s">
        <v>582</v>
      </c>
      <c r="F184" t="s">
        <v>712</v>
      </c>
      <c r="G184" t="s">
        <v>713</v>
      </c>
      <c r="H184" t="s">
        <v>714</v>
      </c>
      <c r="I184" t="s">
        <v>209</v>
      </c>
      <c r="J184" t="s">
        <v>176</v>
      </c>
      <c r="K184" s="30">
        <v>43032</v>
      </c>
      <c r="L184" s="8">
        <v>43027.663506944446</v>
      </c>
      <c r="M184" s="21">
        <f>LEN(ProjTextTable[[#This Row],[text]])</f>
        <v>2625</v>
      </c>
      <c r="N184" s="21">
        <f>LEN(TRIM(CLEAN(SUBSTITUTE(ProjTextTable[[#This Row],[text]],CHAR(10)," "))))+1 - LEN(SUBSTITUTE(CLEAN(SUBSTITUTE(ProjTextTable[[#This Row],[text]],CHAR(10)," "))," ",""))</f>
        <v>399</v>
      </c>
      <c r="O184" t="s">
        <v>253</v>
      </c>
      <c r="P184" t="s">
        <v>715</v>
      </c>
    </row>
    <row r="185" spans="1:16">
      <c r="A185">
        <f t="shared" si="2"/>
        <v>29</v>
      </c>
      <c r="B185" t="s">
        <v>705</v>
      </c>
      <c r="C185" t="s">
        <v>706</v>
      </c>
      <c r="D185" t="s">
        <v>196</v>
      </c>
      <c r="E185" t="s">
        <v>579</v>
      </c>
      <c r="F185" t="s">
        <v>13</v>
      </c>
      <c r="G185" t="s">
        <v>13</v>
      </c>
      <c r="H185" t="s">
        <v>13</v>
      </c>
      <c r="K185" s="30"/>
      <c r="L185" s="8">
        <v>42936.044259259259</v>
      </c>
      <c r="M185" s="21">
        <f>LEN(ProjTextTable[[#This Row],[text]])</f>
        <v>4189</v>
      </c>
      <c r="N185" s="21">
        <f>LEN(TRIM(CLEAN(SUBSTITUTE(ProjTextTable[[#This Row],[text]],CHAR(10)," "))))+1 - LEN(SUBSTITUTE(CLEAN(SUBSTITUTE(ProjTextTable[[#This Row],[text]],CHAR(10)," "))," ",""))</f>
        <v>639</v>
      </c>
      <c r="O185" t="s">
        <v>13</v>
      </c>
      <c r="P185" t="s">
        <v>716</v>
      </c>
    </row>
    <row r="186" spans="1:16">
      <c r="A186">
        <f t="shared" si="2"/>
        <v>30</v>
      </c>
      <c r="B186" t="s">
        <v>1151</v>
      </c>
      <c r="C186" t="s">
        <v>1152</v>
      </c>
      <c r="D186" t="s">
        <v>205</v>
      </c>
      <c r="E186" t="s">
        <v>582</v>
      </c>
      <c r="F186" t="s">
        <v>658</v>
      </c>
      <c r="G186" t="s">
        <v>659</v>
      </c>
      <c r="H186" t="s">
        <v>251</v>
      </c>
      <c r="I186" t="s">
        <v>193</v>
      </c>
      <c r="J186" t="s">
        <v>924</v>
      </c>
      <c r="K186" s="30">
        <v>43059</v>
      </c>
      <c r="L186" s="8">
        <v>43075.734490740739</v>
      </c>
      <c r="M186" s="21">
        <f>LEN(ProjTextTable[[#This Row],[text]])</f>
        <v>3385</v>
      </c>
      <c r="N186" s="21">
        <f>LEN(TRIM(CLEAN(SUBSTITUTE(ProjTextTable[[#This Row],[text]],CHAR(10)," "))))+1 - LEN(SUBSTITUTE(CLEAN(SUBSTITUTE(ProjTextTable[[#This Row],[text]],CHAR(10)," "))," ",""))</f>
        <v>490</v>
      </c>
      <c r="O186" t="s">
        <v>250</v>
      </c>
      <c r="P186" t="s">
        <v>1153</v>
      </c>
    </row>
    <row r="187" spans="1:16">
      <c r="A187">
        <f t="shared" si="2"/>
        <v>30</v>
      </c>
      <c r="B187" t="s">
        <v>1151</v>
      </c>
      <c r="C187" t="s">
        <v>1152</v>
      </c>
      <c r="D187" t="s">
        <v>205</v>
      </c>
      <c r="E187" t="s">
        <v>1080</v>
      </c>
      <c r="F187" t="s">
        <v>1081</v>
      </c>
      <c r="G187" t="s">
        <v>1082</v>
      </c>
      <c r="H187" t="s">
        <v>247</v>
      </c>
      <c r="I187" t="s">
        <v>95</v>
      </c>
      <c r="J187" t="s">
        <v>95</v>
      </c>
      <c r="K187" s="30">
        <v>43045</v>
      </c>
      <c r="L187" s="8"/>
      <c r="M187" s="21">
        <f>LEN(ProjTextTable[[#This Row],[text]])</f>
        <v>2653</v>
      </c>
      <c r="N187" s="21">
        <f>LEN(TRIM(CLEAN(SUBSTITUTE(ProjTextTable[[#This Row],[text]],CHAR(10)," "))))+1 - LEN(SUBSTITUTE(CLEAN(SUBSTITUTE(ProjTextTable[[#This Row],[text]],CHAR(10)," "))," ",""))</f>
        <v>401</v>
      </c>
      <c r="O187" t="s">
        <v>245</v>
      </c>
      <c r="P187" t="s">
        <v>1154</v>
      </c>
    </row>
    <row r="188" spans="1:16">
      <c r="A188">
        <f t="shared" si="2"/>
        <v>30</v>
      </c>
      <c r="B188" t="s">
        <v>1151</v>
      </c>
      <c r="C188" t="s">
        <v>1152</v>
      </c>
      <c r="D188" t="s">
        <v>194</v>
      </c>
      <c r="E188" t="s">
        <v>582</v>
      </c>
      <c r="F188" t="s">
        <v>1084</v>
      </c>
      <c r="G188" t="s">
        <v>1085</v>
      </c>
      <c r="H188" t="s">
        <v>1086</v>
      </c>
      <c r="I188" t="s">
        <v>209</v>
      </c>
      <c r="J188" t="s">
        <v>176</v>
      </c>
      <c r="K188" s="30">
        <v>43046</v>
      </c>
      <c r="L188" s="8">
        <v>43039.372476851851</v>
      </c>
      <c r="M188" s="21">
        <f>LEN(ProjTextTable[[#This Row],[text]])</f>
        <v>3841</v>
      </c>
      <c r="N188" s="21">
        <f>LEN(TRIM(CLEAN(SUBSTITUTE(ProjTextTable[[#This Row],[text]],CHAR(10)," "))))+1 - LEN(SUBSTITUTE(CLEAN(SUBSTITUTE(ProjTextTable[[#This Row],[text]],CHAR(10)," "))," ",""))</f>
        <v>550</v>
      </c>
      <c r="O188" t="s">
        <v>253</v>
      </c>
      <c r="P188" t="s">
        <v>1155</v>
      </c>
    </row>
    <row r="189" spans="1:16">
      <c r="A189">
        <f t="shared" si="2"/>
        <v>30</v>
      </c>
      <c r="B189" t="s">
        <v>1151</v>
      </c>
      <c r="C189" t="s">
        <v>1152</v>
      </c>
      <c r="D189" t="s">
        <v>194</v>
      </c>
      <c r="E189" t="s">
        <v>944</v>
      </c>
      <c r="F189" t="s">
        <v>1144</v>
      </c>
      <c r="G189" t="s">
        <v>1145</v>
      </c>
      <c r="H189" t="s">
        <v>1146</v>
      </c>
      <c r="I189" t="s">
        <v>209</v>
      </c>
      <c r="J189" t="s">
        <v>176</v>
      </c>
      <c r="K189" s="30">
        <v>43060</v>
      </c>
      <c r="L189" s="8">
        <v>43054.596712962964</v>
      </c>
      <c r="M189" s="21">
        <f>LEN(ProjTextTable[[#This Row],[text]])</f>
        <v>1759</v>
      </c>
      <c r="N189" s="21">
        <f>LEN(TRIM(CLEAN(SUBSTITUTE(ProjTextTable[[#This Row],[text]],CHAR(10)," "))))+1 - LEN(SUBSTITUTE(CLEAN(SUBSTITUTE(ProjTextTable[[#This Row],[text]],CHAR(10)," "))," ",""))</f>
        <v>245</v>
      </c>
      <c r="O189" t="s">
        <v>198</v>
      </c>
      <c r="P189" t="s">
        <v>1156</v>
      </c>
    </row>
    <row r="190" spans="1:16">
      <c r="A190">
        <f t="shared" si="2"/>
        <v>30</v>
      </c>
      <c r="B190" t="s">
        <v>1151</v>
      </c>
      <c r="C190" t="s">
        <v>1152</v>
      </c>
      <c r="D190" t="s">
        <v>194</v>
      </c>
      <c r="E190" t="s">
        <v>582</v>
      </c>
      <c r="F190" t="s">
        <v>1088</v>
      </c>
      <c r="G190" t="s">
        <v>1089</v>
      </c>
      <c r="H190" t="s">
        <v>1090</v>
      </c>
      <c r="I190" t="s">
        <v>209</v>
      </c>
      <c r="J190" t="s">
        <v>176</v>
      </c>
      <c r="K190" s="30">
        <v>43046</v>
      </c>
      <c r="L190" s="8">
        <v>43045.369837962964</v>
      </c>
      <c r="M190" s="21">
        <f>LEN(ProjTextTable[[#This Row],[text]])</f>
        <v>2876</v>
      </c>
      <c r="N190" s="21">
        <f>LEN(TRIM(CLEAN(SUBSTITUTE(ProjTextTable[[#This Row],[text]],CHAR(10)," "))))+1 - LEN(SUBSTITUTE(CLEAN(SUBSTITUTE(ProjTextTable[[#This Row],[text]],CHAR(10)," "))," ",""))</f>
        <v>432</v>
      </c>
      <c r="O190" t="s">
        <v>199</v>
      </c>
      <c r="P190" t="s">
        <v>1157</v>
      </c>
    </row>
    <row r="191" spans="1:16">
      <c r="A191">
        <f t="shared" si="2"/>
        <v>30</v>
      </c>
      <c r="B191" t="s">
        <v>1151</v>
      </c>
      <c r="C191" t="s">
        <v>1152</v>
      </c>
      <c r="D191" t="s">
        <v>194</v>
      </c>
      <c r="E191" t="s">
        <v>582</v>
      </c>
      <c r="F191" t="s">
        <v>1092</v>
      </c>
      <c r="G191" t="s">
        <v>533</v>
      </c>
      <c r="H191" t="s">
        <v>1093</v>
      </c>
      <c r="I191" t="s">
        <v>209</v>
      </c>
      <c r="J191" t="s">
        <v>176</v>
      </c>
      <c r="K191" s="30">
        <v>43046</v>
      </c>
      <c r="L191" s="8">
        <v>43045.456018518518</v>
      </c>
      <c r="M191" s="21">
        <f>LEN(ProjTextTable[[#This Row],[text]])</f>
        <v>3520</v>
      </c>
      <c r="N191" s="21">
        <f>LEN(TRIM(CLEAN(SUBSTITUTE(ProjTextTable[[#This Row],[text]],CHAR(10)," "))))+1 - LEN(SUBSTITUTE(CLEAN(SUBSTITUTE(ProjTextTable[[#This Row],[text]],CHAR(10)," "))," ",""))</f>
        <v>524</v>
      </c>
      <c r="O191" t="s">
        <v>199</v>
      </c>
      <c r="P191" t="s">
        <v>1158</v>
      </c>
    </row>
    <row r="192" spans="1:16">
      <c r="A192">
        <f t="shared" si="2"/>
        <v>30</v>
      </c>
      <c r="B192" t="s">
        <v>1151</v>
      </c>
      <c r="C192" t="s">
        <v>1152</v>
      </c>
      <c r="D192" t="s">
        <v>194</v>
      </c>
      <c r="E192" t="s">
        <v>582</v>
      </c>
      <c r="F192" t="s">
        <v>1095</v>
      </c>
      <c r="G192" t="s">
        <v>1096</v>
      </c>
      <c r="H192" t="s">
        <v>1097</v>
      </c>
      <c r="I192" t="s">
        <v>209</v>
      </c>
      <c r="J192" t="s">
        <v>176</v>
      </c>
      <c r="K192" s="30">
        <v>43046</v>
      </c>
      <c r="L192" s="8">
        <v>43045.369942129626</v>
      </c>
      <c r="M192" s="21">
        <f>LEN(ProjTextTable[[#This Row],[text]])</f>
        <v>2671</v>
      </c>
      <c r="N192" s="21">
        <f>LEN(TRIM(CLEAN(SUBSTITUTE(ProjTextTable[[#This Row],[text]],CHAR(10)," "))))+1 - LEN(SUBSTITUTE(CLEAN(SUBSTITUTE(ProjTextTable[[#This Row],[text]],CHAR(10)," "))," ",""))</f>
        <v>392</v>
      </c>
      <c r="O192" t="s">
        <v>253</v>
      </c>
      <c r="P192" t="s">
        <v>1159</v>
      </c>
    </row>
    <row r="193" spans="1:16">
      <c r="A193">
        <f t="shared" si="2"/>
        <v>30</v>
      </c>
      <c r="B193" t="s">
        <v>1151</v>
      </c>
      <c r="C193" t="s">
        <v>1152</v>
      </c>
      <c r="D193" t="s">
        <v>194</v>
      </c>
      <c r="E193" t="s">
        <v>582</v>
      </c>
      <c r="F193" t="s">
        <v>933</v>
      </c>
      <c r="G193" t="s">
        <v>934</v>
      </c>
      <c r="H193" t="s">
        <v>935</v>
      </c>
      <c r="I193" t="s">
        <v>209</v>
      </c>
      <c r="J193" t="s">
        <v>176</v>
      </c>
      <c r="K193" s="30">
        <v>43060</v>
      </c>
      <c r="L193" s="8">
        <v>43058.706030092595</v>
      </c>
      <c r="M193" s="21">
        <f>LEN(ProjTextTable[[#This Row],[text]])</f>
        <v>2644</v>
      </c>
      <c r="N193" s="21">
        <f>LEN(TRIM(CLEAN(SUBSTITUTE(ProjTextTable[[#This Row],[text]],CHAR(10)," "))))+1 - LEN(SUBSTITUTE(CLEAN(SUBSTITUTE(ProjTextTable[[#This Row],[text]],CHAR(10)," "))," ",""))</f>
        <v>386</v>
      </c>
      <c r="O193" t="s">
        <v>195</v>
      </c>
      <c r="P193" t="s">
        <v>1160</v>
      </c>
    </row>
    <row r="194" spans="1:16">
      <c r="A194">
        <f t="shared" ref="A194:A257" si="3">A193+(B194&lt;&gt;B193)</f>
        <v>30</v>
      </c>
      <c r="B194" t="s">
        <v>1151</v>
      </c>
      <c r="C194" t="s">
        <v>1152</v>
      </c>
      <c r="D194" t="s">
        <v>194</v>
      </c>
      <c r="E194" t="s">
        <v>582</v>
      </c>
      <c r="F194" t="s">
        <v>966</v>
      </c>
      <c r="G194" t="s">
        <v>967</v>
      </c>
      <c r="H194" t="s">
        <v>968</v>
      </c>
      <c r="I194" t="s">
        <v>209</v>
      </c>
      <c r="J194" t="s">
        <v>176</v>
      </c>
      <c r="K194" s="30">
        <v>43060</v>
      </c>
      <c r="L194" s="8">
        <v>43059.921643518515</v>
      </c>
      <c r="M194" s="21">
        <f>LEN(ProjTextTable[[#This Row],[text]])</f>
        <v>1181</v>
      </c>
      <c r="N194" s="21">
        <f>LEN(TRIM(CLEAN(SUBSTITUTE(ProjTextTable[[#This Row],[text]],CHAR(10)," "))))+1 - LEN(SUBSTITUTE(CLEAN(SUBSTITUTE(ProjTextTable[[#This Row],[text]],CHAR(10)," "))," ",""))</f>
        <v>164</v>
      </c>
      <c r="O194" t="s">
        <v>253</v>
      </c>
      <c r="P194" t="s">
        <v>1161</v>
      </c>
    </row>
    <row r="195" spans="1:16">
      <c r="A195">
        <f t="shared" si="3"/>
        <v>30</v>
      </c>
      <c r="B195" t="s">
        <v>1151</v>
      </c>
      <c r="C195" t="s">
        <v>1152</v>
      </c>
      <c r="D195" t="s">
        <v>194</v>
      </c>
      <c r="E195" t="s">
        <v>582</v>
      </c>
      <c r="F195" t="s">
        <v>970</v>
      </c>
      <c r="G195" t="s">
        <v>971</v>
      </c>
      <c r="H195" t="s">
        <v>972</v>
      </c>
      <c r="I195" t="s">
        <v>209</v>
      </c>
      <c r="J195" t="s">
        <v>176</v>
      </c>
      <c r="K195" s="30">
        <v>43060</v>
      </c>
      <c r="L195" s="8">
        <v>43056.623159722221</v>
      </c>
      <c r="M195" s="21">
        <f>LEN(ProjTextTable[[#This Row],[text]])</f>
        <v>1458</v>
      </c>
      <c r="N195" s="21">
        <f>LEN(TRIM(CLEAN(SUBSTITUTE(ProjTextTable[[#This Row],[text]],CHAR(10)," "))))+1 - LEN(SUBSTITUTE(CLEAN(SUBSTITUTE(ProjTextTable[[#This Row],[text]],CHAR(10)," "))," ",""))</f>
        <v>203</v>
      </c>
      <c r="O195" t="s">
        <v>198</v>
      </c>
      <c r="P195" t="s">
        <v>1162</v>
      </c>
    </row>
    <row r="196" spans="1:16">
      <c r="A196">
        <f t="shared" si="3"/>
        <v>30</v>
      </c>
      <c r="B196" t="s">
        <v>1151</v>
      </c>
      <c r="C196" t="s">
        <v>1152</v>
      </c>
      <c r="D196" t="s">
        <v>196</v>
      </c>
      <c r="E196" t="s">
        <v>944</v>
      </c>
      <c r="F196" t="s">
        <v>13</v>
      </c>
      <c r="G196" t="s">
        <v>13</v>
      </c>
      <c r="H196" t="s">
        <v>13</v>
      </c>
      <c r="K196" s="30"/>
      <c r="L196" s="8">
        <v>42936.044328703705</v>
      </c>
      <c r="M196" s="21">
        <f>LEN(ProjTextTable[[#This Row],[text]])</f>
        <v>3427</v>
      </c>
      <c r="N196" s="21">
        <f>LEN(TRIM(CLEAN(SUBSTITUTE(ProjTextTable[[#This Row],[text]],CHAR(10)," "))))+1 - LEN(SUBSTITUTE(CLEAN(SUBSTITUTE(ProjTextTable[[#This Row],[text]],CHAR(10)," "))," ",""))</f>
        <v>475</v>
      </c>
      <c r="O196" t="s">
        <v>13</v>
      </c>
      <c r="P196" t="s">
        <v>1163</v>
      </c>
    </row>
    <row r="197" spans="1:16">
      <c r="A197">
        <f t="shared" si="3"/>
        <v>31</v>
      </c>
      <c r="B197" t="s">
        <v>1164</v>
      </c>
      <c r="C197" t="s">
        <v>534</v>
      </c>
      <c r="D197" t="s">
        <v>205</v>
      </c>
      <c r="E197" t="s">
        <v>582</v>
      </c>
      <c r="F197" t="s">
        <v>658</v>
      </c>
      <c r="G197" t="s">
        <v>659</v>
      </c>
      <c r="H197" t="s">
        <v>381</v>
      </c>
      <c r="I197" t="s">
        <v>200</v>
      </c>
      <c r="J197" t="s">
        <v>987</v>
      </c>
      <c r="K197" s="30">
        <v>43059</v>
      </c>
      <c r="L197" s="8"/>
      <c r="M197" s="21">
        <f>LEN(ProjTextTable[[#This Row],[text]])</f>
        <v>1447</v>
      </c>
      <c r="N197" s="21">
        <f>LEN(TRIM(CLEAN(SUBSTITUTE(ProjTextTable[[#This Row],[text]],CHAR(10)," "))))+1 - LEN(SUBSTITUTE(CLEAN(SUBSTITUTE(ProjTextTable[[#This Row],[text]],CHAR(10)," "))," ",""))</f>
        <v>216</v>
      </c>
      <c r="O197" t="s">
        <v>354</v>
      </c>
      <c r="P197" t="s">
        <v>1165</v>
      </c>
    </row>
    <row r="198" spans="1:16">
      <c r="A198">
        <f t="shared" si="3"/>
        <v>31</v>
      </c>
      <c r="B198" t="s">
        <v>1164</v>
      </c>
      <c r="C198" t="s">
        <v>534</v>
      </c>
      <c r="D198" t="s">
        <v>194</v>
      </c>
      <c r="E198" t="s">
        <v>582</v>
      </c>
      <c r="F198" t="s">
        <v>1166</v>
      </c>
      <c r="G198" t="s">
        <v>1167</v>
      </c>
      <c r="H198" t="s">
        <v>1168</v>
      </c>
      <c r="I198" t="s">
        <v>176</v>
      </c>
      <c r="J198" t="s">
        <v>176</v>
      </c>
      <c r="K198" s="30">
        <v>43052</v>
      </c>
      <c r="L198" s="8">
        <v>43054.683379629627</v>
      </c>
      <c r="M198" s="21">
        <f>LEN(ProjTextTable[[#This Row],[text]])</f>
        <v>4205</v>
      </c>
      <c r="N198" s="21">
        <f>LEN(TRIM(CLEAN(SUBSTITUTE(ProjTextTable[[#This Row],[text]],CHAR(10)," "))))+1 - LEN(SUBSTITUTE(CLEAN(SUBSTITUTE(ProjTextTable[[#This Row],[text]],CHAR(10)," "))," ",""))</f>
        <v>653</v>
      </c>
      <c r="O198" t="s">
        <v>201</v>
      </c>
      <c r="P198" t="s">
        <v>1169</v>
      </c>
    </row>
    <row r="199" spans="1:16">
      <c r="A199">
        <f t="shared" si="3"/>
        <v>31</v>
      </c>
      <c r="B199" t="s">
        <v>1164</v>
      </c>
      <c r="C199" t="s">
        <v>534</v>
      </c>
      <c r="D199" t="s">
        <v>194</v>
      </c>
      <c r="E199" t="s">
        <v>582</v>
      </c>
      <c r="F199" t="s">
        <v>933</v>
      </c>
      <c r="G199" t="s">
        <v>934</v>
      </c>
      <c r="H199" t="s">
        <v>935</v>
      </c>
      <c r="I199" t="s">
        <v>209</v>
      </c>
      <c r="J199" t="s">
        <v>176</v>
      </c>
      <c r="K199" s="30">
        <v>43060</v>
      </c>
      <c r="L199" s="8">
        <v>43059.477754629632</v>
      </c>
      <c r="M199" s="21">
        <f>LEN(ProjTextTable[[#This Row],[text]])</f>
        <v>1203</v>
      </c>
      <c r="N199" s="21">
        <f>LEN(TRIM(CLEAN(SUBSTITUTE(ProjTextTable[[#This Row],[text]],CHAR(10)," "))))+1 - LEN(SUBSTITUTE(CLEAN(SUBSTITUTE(ProjTextTable[[#This Row],[text]],CHAR(10)," "))," ",""))</f>
        <v>182</v>
      </c>
      <c r="O199" t="s">
        <v>201</v>
      </c>
      <c r="P199" t="s">
        <v>1170</v>
      </c>
    </row>
    <row r="200" spans="1:16">
      <c r="A200">
        <f t="shared" si="3"/>
        <v>31</v>
      </c>
      <c r="B200" t="s">
        <v>1164</v>
      </c>
      <c r="C200" t="s">
        <v>534</v>
      </c>
      <c r="D200" t="s">
        <v>194</v>
      </c>
      <c r="E200" t="s">
        <v>582</v>
      </c>
      <c r="F200" t="s">
        <v>1072</v>
      </c>
      <c r="G200" t="s">
        <v>1073</v>
      </c>
      <c r="H200" t="s">
        <v>1074</v>
      </c>
      <c r="I200" t="s">
        <v>209</v>
      </c>
      <c r="J200" t="s">
        <v>176</v>
      </c>
      <c r="K200" s="30">
        <v>43060</v>
      </c>
      <c r="L200" s="8">
        <v>43058.704224537039</v>
      </c>
      <c r="M200" s="21">
        <f>LEN(ProjTextTable[[#This Row],[text]])</f>
        <v>5019</v>
      </c>
      <c r="N200" s="21">
        <f>LEN(TRIM(CLEAN(SUBSTITUTE(ProjTextTable[[#This Row],[text]],CHAR(10)," "))))+1 - LEN(SUBSTITUTE(CLEAN(SUBSTITUTE(ProjTextTable[[#This Row],[text]],CHAR(10)," "))," ",""))</f>
        <v>779</v>
      </c>
      <c r="O200" t="s">
        <v>195</v>
      </c>
      <c r="P200" t="s">
        <v>1171</v>
      </c>
    </row>
    <row r="201" spans="1:16">
      <c r="A201">
        <f t="shared" si="3"/>
        <v>31</v>
      </c>
      <c r="B201" t="s">
        <v>1164</v>
      </c>
      <c r="C201" t="s">
        <v>534</v>
      </c>
      <c r="D201" t="s">
        <v>194</v>
      </c>
      <c r="E201" t="s">
        <v>582</v>
      </c>
      <c r="F201" t="s">
        <v>970</v>
      </c>
      <c r="G201" t="s">
        <v>971</v>
      </c>
      <c r="H201" t="s">
        <v>972</v>
      </c>
      <c r="I201" t="s">
        <v>209</v>
      </c>
      <c r="J201" t="s">
        <v>176</v>
      </c>
      <c r="K201" s="30">
        <v>43060</v>
      </c>
      <c r="L201" s="8">
        <v>43058.716354166667</v>
      </c>
      <c r="M201" s="21">
        <f>LEN(ProjTextTable[[#This Row],[text]])</f>
        <v>1478</v>
      </c>
      <c r="N201" s="21">
        <f>LEN(TRIM(CLEAN(SUBSTITUTE(ProjTextTable[[#This Row],[text]],CHAR(10)," "))))+1 - LEN(SUBSTITUTE(CLEAN(SUBSTITUTE(ProjTextTable[[#This Row],[text]],CHAR(10)," "))," ",""))</f>
        <v>222</v>
      </c>
      <c r="O201" t="s">
        <v>201</v>
      </c>
      <c r="P201" t="s">
        <v>1172</v>
      </c>
    </row>
    <row r="202" spans="1:16">
      <c r="A202">
        <f t="shared" si="3"/>
        <v>31</v>
      </c>
      <c r="B202" t="s">
        <v>1164</v>
      </c>
      <c r="C202" t="s">
        <v>534</v>
      </c>
      <c r="D202" t="s">
        <v>196</v>
      </c>
      <c r="E202" t="s">
        <v>582</v>
      </c>
      <c r="F202" t="s">
        <v>13</v>
      </c>
      <c r="G202" t="s">
        <v>13</v>
      </c>
      <c r="H202" t="s">
        <v>13</v>
      </c>
      <c r="K202" s="30"/>
      <c r="L202" s="8">
        <v>42936.044548611113</v>
      </c>
      <c r="M202" s="21">
        <f>LEN(ProjTextTable[[#This Row],[text]])</f>
        <v>3585</v>
      </c>
      <c r="N202" s="21">
        <f>LEN(TRIM(CLEAN(SUBSTITUTE(ProjTextTable[[#This Row],[text]],CHAR(10)," "))))+1 - LEN(SUBSTITUTE(CLEAN(SUBSTITUTE(ProjTextTable[[#This Row],[text]],CHAR(10)," "))," ",""))</f>
        <v>485</v>
      </c>
      <c r="O202" t="s">
        <v>13</v>
      </c>
      <c r="P202" t="s">
        <v>1173</v>
      </c>
    </row>
    <row r="203" spans="1:16">
      <c r="A203">
        <f t="shared" si="3"/>
        <v>32</v>
      </c>
      <c r="B203" t="s">
        <v>1174</v>
      </c>
      <c r="C203" t="s">
        <v>1175</v>
      </c>
      <c r="D203" t="s">
        <v>205</v>
      </c>
      <c r="E203" t="s">
        <v>582</v>
      </c>
      <c r="F203" t="s">
        <v>658</v>
      </c>
      <c r="G203" t="s">
        <v>659</v>
      </c>
      <c r="H203" t="s">
        <v>207</v>
      </c>
      <c r="I203" t="s">
        <v>197</v>
      </c>
      <c r="J203" t="s">
        <v>254</v>
      </c>
      <c r="K203" s="30">
        <v>43059</v>
      </c>
      <c r="L203" s="8"/>
      <c r="M203" s="21">
        <f>LEN(ProjTextTable[[#This Row],[text]])</f>
        <v>2333</v>
      </c>
      <c r="N203" s="21">
        <f>LEN(TRIM(CLEAN(SUBSTITUTE(ProjTextTable[[#This Row],[text]],CHAR(10)," "))))+1 - LEN(SUBSTITUTE(CLEAN(SUBSTITUTE(ProjTextTable[[#This Row],[text]],CHAR(10)," "))," ",""))</f>
        <v>329</v>
      </c>
      <c r="O203" t="s">
        <v>208</v>
      </c>
      <c r="P203" t="s">
        <v>1176</v>
      </c>
    </row>
    <row r="204" spans="1:16">
      <c r="A204">
        <f t="shared" si="3"/>
        <v>32</v>
      </c>
      <c r="B204" t="s">
        <v>1174</v>
      </c>
      <c r="C204" t="s">
        <v>1175</v>
      </c>
      <c r="D204" t="s">
        <v>194</v>
      </c>
      <c r="E204" t="s">
        <v>582</v>
      </c>
      <c r="F204" t="s">
        <v>673</v>
      </c>
      <c r="G204" t="s">
        <v>674</v>
      </c>
      <c r="H204" t="s">
        <v>675</v>
      </c>
      <c r="I204" t="s">
        <v>209</v>
      </c>
      <c r="J204" t="s">
        <v>176</v>
      </c>
      <c r="K204" s="30">
        <v>43060</v>
      </c>
      <c r="L204" s="8">
        <v>43056.704629629632</v>
      </c>
      <c r="M204" s="21">
        <f>LEN(ProjTextTable[[#This Row],[text]])</f>
        <v>5008</v>
      </c>
      <c r="N204" s="21">
        <f>LEN(TRIM(CLEAN(SUBSTITUTE(ProjTextTable[[#This Row],[text]],CHAR(10)," "))))+1 - LEN(SUBSTITUTE(CLEAN(SUBSTITUTE(ProjTextTable[[#This Row],[text]],CHAR(10)," "))," ",""))</f>
        <v>768</v>
      </c>
      <c r="O204" t="s">
        <v>199</v>
      </c>
      <c r="P204" t="s">
        <v>1177</v>
      </c>
    </row>
    <row r="205" spans="1:16">
      <c r="A205">
        <f t="shared" si="3"/>
        <v>32</v>
      </c>
      <c r="B205" t="s">
        <v>1174</v>
      </c>
      <c r="C205" t="s">
        <v>1175</v>
      </c>
      <c r="D205" t="s">
        <v>194</v>
      </c>
      <c r="E205" t="s">
        <v>582</v>
      </c>
      <c r="F205" t="s">
        <v>933</v>
      </c>
      <c r="G205" t="s">
        <v>934</v>
      </c>
      <c r="H205" t="s">
        <v>935</v>
      </c>
      <c r="I205" t="s">
        <v>209</v>
      </c>
      <c r="J205" t="s">
        <v>176</v>
      </c>
      <c r="K205" s="30">
        <v>43060</v>
      </c>
      <c r="L205" s="8">
        <v>43057.881145833337</v>
      </c>
      <c r="M205" s="21">
        <f>LEN(ProjTextTable[[#This Row],[text]])</f>
        <v>1852</v>
      </c>
      <c r="N205" s="21">
        <f>LEN(TRIM(CLEAN(SUBSTITUTE(ProjTextTable[[#This Row],[text]],CHAR(10)," "))))+1 - LEN(SUBSTITUTE(CLEAN(SUBSTITUTE(ProjTextTable[[#This Row],[text]],CHAR(10)," "))," ",""))</f>
        <v>275</v>
      </c>
      <c r="O205" t="s">
        <v>253</v>
      </c>
      <c r="P205" t="s">
        <v>1178</v>
      </c>
    </row>
    <row r="206" spans="1:16">
      <c r="A206">
        <f t="shared" si="3"/>
        <v>32</v>
      </c>
      <c r="B206" t="s">
        <v>1174</v>
      </c>
      <c r="C206" t="s">
        <v>1175</v>
      </c>
      <c r="D206" t="s">
        <v>194</v>
      </c>
      <c r="E206" t="s">
        <v>582</v>
      </c>
      <c r="F206" t="s">
        <v>966</v>
      </c>
      <c r="G206" t="s">
        <v>967</v>
      </c>
      <c r="H206" t="s">
        <v>968</v>
      </c>
      <c r="I206" t="s">
        <v>209</v>
      </c>
      <c r="J206" t="s">
        <v>176</v>
      </c>
      <c r="K206" s="30">
        <v>43060</v>
      </c>
      <c r="L206" s="8">
        <v>43060.310567129629</v>
      </c>
      <c r="M206" s="21">
        <f>LEN(ProjTextTable[[#This Row],[text]])</f>
        <v>2068</v>
      </c>
      <c r="N206" s="21">
        <f>LEN(TRIM(CLEAN(SUBSTITUTE(ProjTextTable[[#This Row],[text]],CHAR(10)," "))))+1 - LEN(SUBSTITUTE(CLEAN(SUBSTITUTE(ProjTextTable[[#This Row],[text]],CHAR(10)," "))," ",""))</f>
        <v>303</v>
      </c>
      <c r="O206" t="s">
        <v>199</v>
      </c>
      <c r="P206" t="s">
        <v>1179</v>
      </c>
    </row>
    <row r="207" spans="1:16">
      <c r="A207">
        <f t="shared" si="3"/>
        <v>32</v>
      </c>
      <c r="B207" t="s">
        <v>1174</v>
      </c>
      <c r="C207" t="s">
        <v>1175</v>
      </c>
      <c r="D207" t="s">
        <v>194</v>
      </c>
      <c r="E207" t="s">
        <v>582</v>
      </c>
      <c r="F207" t="s">
        <v>979</v>
      </c>
      <c r="G207" t="s">
        <v>980</v>
      </c>
      <c r="H207" t="s">
        <v>981</v>
      </c>
      <c r="I207" t="s">
        <v>209</v>
      </c>
      <c r="J207" t="s">
        <v>176</v>
      </c>
      <c r="K207" s="30">
        <v>43060</v>
      </c>
      <c r="L207" s="8">
        <v>43058.972141203703</v>
      </c>
      <c r="M207" s="21">
        <f>LEN(ProjTextTable[[#This Row],[text]])</f>
        <v>3250</v>
      </c>
      <c r="N207" s="21">
        <f>LEN(TRIM(CLEAN(SUBSTITUTE(ProjTextTable[[#This Row],[text]],CHAR(10)," "))))+1 - LEN(SUBSTITUTE(CLEAN(SUBSTITUTE(ProjTextTable[[#This Row],[text]],CHAR(10)," "))," ",""))</f>
        <v>478</v>
      </c>
      <c r="O207" t="s">
        <v>199</v>
      </c>
      <c r="P207" t="s">
        <v>1180</v>
      </c>
    </row>
    <row r="208" spans="1:16">
      <c r="A208">
        <f t="shared" si="3"/>
        <v>32</v>
      </c>
      <c r="B208" t="s">
        <v>1174</v>
      </c>
      <c r="C208" t="s">
        <v>1175</v>
      </c>
      <c r="D208" t="s">
        <v>196</v>
      </c>
      <c r="E208" t="s">
        <v>582</v>
      </c>
      <c r="F208" t="s">
        <v>13</v>
      </c>
      <c r="G208" t="s">
        <v>13</v>
      </c>
      <c r="H208" t="s">
        <v>13</v>
      </c>
      <c r="K208" s="30"/>
      <c r="L208" s="8">
        <v>42936.044930555552</v>
      </c>
      <c r="M208" s="21">
        <f>LEN(ProjTextTable[[#This Row],[text]])</f>
        <v>2745</v>
      </c>
      <c r="N208" s="21">
        <f>LEN(TRIM(CLEAN(SUBSTITUTE(ProjTextTable[[#This Row],[text]],CHAR(10)," "))))+1 - LEN(SUBSTITUTE(CLEAN(SUBSTITUTE(ProjTextTable[[#This Row],[text]],CHAR(10)," "))," ",""))</f>
        <v>405</v>
      </c>
      <c r="O208" t="s">
        <v>13</v>
      </c>
      <c r="P208" t="s">
        <v>1181</v>
      </c>
    </row>
    <row r="209" spans="1:16">
      <c r="A209">
        <f t="shared" si="3"/>
        <v>33</v>
      </c>
      <c r="B209" t="s">
        <v>717</v>
      </c>
      <c r="C209" t="s">
        <v>718</v>
      </c>
      <c r="D209" t="s">
        <v>205</v>
      </c>
      <c r="E209" t="s">
        <v>582</v>
      </c>
      <c r="F209" t="s">
        <v>583</v>
      </c>
      <c r="G209" t="s">
        <v>584</v>
      </c>
      <c r="H209" t="s">
        <v>251</v>
      </c>
      <c r="I209" t="s">
        <v>193</v>
      </c>
      <c r="J209" t="s">
        <v>605</v>
      </c>
      <c r="K209" s="30">
        <v>43031</v>
      </c>
      <c r="L209" s="8"/>
      <c r="M209" s="21">
        <f>LEN(ProjTextTable[[#This Row],[text]])</f>
        <v>2447</v>
      </c>
      <c r="N209" s="21">
        <f>LEN(TRIM(CLEAN(SUBSTITUTE(ProjTextTable[[#This Row],[text]],CHAR(10)," "))))+1 - LEN(SUBSTITUTE(CLEAN(SUBSTITUTE(ProjTextTable[[#This Row],[text]],CHAR(10)," "))," ",""))</f>
        <v>338</v>
      </c>
      <c r="O209" t="s">
        <v>250</v>
      </c>
      <c r="P209" t="s">
        <v>719</v>
      </c>
    </row>
    <row r="210" spans="1:16">
      <c r="A210">
        <f t="shared" si="3"/>
        <v>33</v>
      </c>
      <c r="B210" t="s">
        <v>717</v>
      </c>
      <c r="C210" t="s">
        <v>718</v>
      </c>
      <c r="D210" t="s">
        <v>194</v>
      </c>
      <c r="E210" t="s">
        <v>582</v>
      </c>
      <c r="F210" t="s">
        <v>607</v>
      </c>
      <c r="G210" t="s">
        <v>608</v>
      </c>
      <c r="H210" t="s">
        <v>609</v>
      </c>
      <c r="I210" t="s">
        <v>209</v>
      </c>
      <c r="J210" t="s">
        <v>176</v>
      </c>
      <c r="K210" s="30">
        <v>43032</v>
      </c>
      <c r="L210" s="8">
        <v>43025.748668981483</v>
      </c>
      <c r="M210" s="21">
        <f>LEN(ProjTextTable[[#This Row],[text]])</f>
        <v>2351</v>
      </c>
      <c r="N210" s="21">
        <f>LEN(TRIM(CLEAN(SUBSTITUTE(ProjTextTable[[#This Row],[text]],CHAR(10)," "))))+1 - LEN(SUBSTITUTE(CLEAN(SUBSTITUTE(ProjTextTable[[#This Row],[text]],CHAR(10)," "))," ",""))</f>
        <v>366</v>
      </c>
      <c r="O210" t="s">
        <v>203</v>
      </c>
      <c r="P210" t="s">
        <v>720</v>
      </c>
    </row>
    <row r="211" spans="1:16">
      <c r="A211">
        <f t="shared" si="3"/>
        <v>33</v>
      </c>
      <c r="B211" t="s">
        <v>717</v>
      </c>
      <c r="C211" t="s">
        <v>718</v>
      </c>
      <c r="D211" t="s">
        <v>194</v>
      </c>
      <c r="E211" t="s">
        <v>579</v>
      </c>
      <c r="F211" t="s">
        <v>611</v>
      </c>
      <c r="G211" t="s">
        <v>612</v>
      </c>
      <c r="H211" t="s">
        <v>613</v>
      </c>
      <c r="I211" t="s">
        <v>209</v>
      </c>
      <c r="J211" t="s">
        <v>176</v>
      </c>
      <c r="K211" s="30">
        <v>43032</v>
      </c>
      <c r="L211" s="8">
        <v>43030.178067129629</v>
      </c>
      <c r="M211" s="21">
        <f>LEN(ProjTextTable[[#This Row],[text]])</f>
        <v>2003</v>
      </c>
      <c r="N211" s="21">
        <f>LEN(TRIM(CLEAN(SUBSTITUTE(ProjTextTable[[#This Row],[text]],CHAR(10)," "))))+1 - LEN(SUBSTITUTE(CLEAN(SUBSTITUTE(ProjTextTable[[#This Row],[text]],CHAR(10)," "))," ",""))</f>
        <v>303</v>
      </c>
      <c r="O211" t="s">
        <v>201</v>
      </c>
      <c r="P211" t="s">
        <v>721</v>
      </c>
    </row>
    <row r="212" spans="1:16">
      <c r="A212">
        <f t="shared" si="3"/>
        <v>33</v>
      </c>
      <c r="B212" t="s">
        <v>717</v>
      </c>
      <c r="C212" t="s">
        <v>718</v>
      </c>
      <c r="D212" t="s">
        <v>194</v>
      </c>
      <c r="E212" t="s">
        <v>582</v>
      </c>
      <c r="F212" t="s">
        <v>615</v>
      </c>
      <c r="G212" t="s">
        <v>616</v>
      </c>
      <c r="H212" t="s">
        <v>617</v>
      </c>
      <c r="I212" t="s">
        <v>209</v>
      </c>
      <c r="J212" t="s">
        <v>176</v>
      </c>
      <c r="K212" s="30">
        <v>43032</v>
      </c>
      <c r="L212" s="8">
        <v>43028.861886574072</v>
      </c>
      <c r="M212" s="21">
        <f>LEN(ProjTextTable[[#This Row],[text]])</f>
        <v>2634</v>
      </c>
      <c r="N212" s="21">
        <f>LEN(TRIM(CLEAN(SUBSTITUTE(ProjTextTable[[#This Row],[text]],CHAR(10)," "))))+1 - LEN(SUBSTITUTE(CLEAN(SUBSTITUTE(ProjTextTable[[#This Row],[text]],CHAR(10)," "))," ",""))</f>
        <v>405</v>
      </c>
      <c r="O212" t="s">
        <v>195</v>
      </c>
      <c r="P212" t="s">
        <v>722</v>
      </c>
    </row>
    <row r="213" spans="1:16">
      <c r="A213">
        <f t="shared" si="3"/>
        <v>33</v>
      </c>
      <c r="B213" t="s">
        <v>717</v>
      </c>
      <c r="C213" t="s">
        <v>718</v>
      </c>
      <c r="D213" t="s">
        <v>194</v>
      </c>
      <c r="E213" t="s">
        <v>582</v>
      </c>
      <c r="F213" t="s">
        <v>712</v>
      </c>
      <c r="G213" t="s">
        <v>713</v>
      </c>
      <c r="H213" t="s">
        <v>714</v>
      </c>
      <c r="I213" t="s">
        <v>209</v>
      </c>
      <c r="J213" t="s">
        <v>176</v>
      </c>
      <c r="K213" s="30">
        <v>43032</v>
      </c>
      <c r="L213" s="8">
        <v>43027.634618055556</v>
      </c>
      <c r="M213" s="21">
        <f>LEN(ProjTextTable[[#This Row],[text]])</f>
        <v>2484</v>
      </c>
      <c r="N213" s="21">
        <f>LEN(TRIM(CLEAN(SUBSTITUTE(ProjTextTable[[#This Row],[text]],CHAR(10)," "))))+1 - LEN(SUBSTITUTE(CLEAN(SUBSTITUTE(ProjTextTable[[#This Row],[text]],CHAR(10)," "))," ",""))</f>
        <v>378</v>
      </c>
      <c r="O213" t="s">
        <v>199</v>
      </c>
      <c r="P213" t="s">
        <v>723</v>
      </c>
    </row>
    <row r="214" spans="1:16">
      <c r="A214">
        <f t="shared" si="3"/>
        <v>33</v>
      </c>
      <c r="B214" t="s">
        <v>717</v>
      </c>
      <c r="C214" t="s">
        <v>718</v>
      </c>
      <c r="D214" t="s">
        <v>196</v>
      </c>
      <c r="E214" t="s">
        <v>579</v>
      </c>
      <c r="F214" t="s">
        <v>13</v>
      </c>
      <c r="G214" t="s">
        <v>13</v>
      </c>
      <c r="H214" t="s">
        <v>13</v>
      </c>
      <c r="K214" s="30"/>
      <c r="L214" s="8">
        <v>42936.044953703706</v>
      </c>
      <c r="M214" s="21">
        <f>LEN(ProjTextTable[[#This Row],[text]])</f>
        <v>3898</v>
      </c>
      <c r="N214" s="21">
        <f>LEN(TRIM(CLEAN(SUBSTITUTE(ProjTextTable[[#This Row],[text]],CHAR(10)," "))))+1 - LEN(SUBSTITUTE(CLEAN(SUBSTITUTE(ProjTextTable[[#This Row],[text]],CHAR(10)," "))," ",""))</f>
        <v>569</v>
      </c>
      <c r="O214" t="s">
        <v>13</v>
      </c>
      <c r="P214" t="s">
        <v>724</v>
      </c>
    </row>
    <row r="215" spans="1:16">
      <c r="A215">
        <f t="shared" si="3"/>
        <v>34</v>
      </c>
      <c r="B215" t="s">
        <v>1182</v>
      </c>
      <c r="C215" t="s">
        <v>1183</v>
      </c>
      <c r="D215" t="s">
        <v>205</v>
      </c>
      <c r="E215" t="s">
        <v>582</v>
      </c>
      <c r="F215" t="s">
        <v>658</v>
      </c>
      <c r="G215" t="s">
        <v>659</v>
      </c>
      <c r="H215" t="s">
        <v>251</v>
      </c>
      <c r="I215" t="s">
        <v>193</v>
      </c>
      <c r="J215" t="s">
        <v>924</v>
      </c>
      <c r="K215" s="30">
        <v>43059</v>
      </c>
      <c r="L215" s="8"/>
      <c r="M215" s="21">
        <f>LEN(ProjTextTable[[#This Row],[text]])</f>
        <v>2566</v>
      </c>
      <c r="N215" s="21">
        <f>LEN(TRIM(CLEAN(SUBSTITUTE(ProjTextTable[[#This Row],[text]],CHAR(10)," "))))+1 - LEN(SUBSTITUTE(CLEAN(SUBSTITUTE(ProjTextTable[[#This Row],[text]],CHAR(10)," "))," ",""))</f>
        <v>369</v>
      </c>
      <c r="O215" t="s">
        <v>250</v>
      </c>
      <c r="P215" t="s">
        <v>1184</v>
      </c>
    </row>
    <row r="216" spans="1:16">
      <c r="A216">
        <f t="shared" si="3"/>
        <v>34</v>
      </c>
      <c r="B216" t="s">
        <v>1182</v>
      </c>
      <c r="C216" t="s">
        <v>1183</v>
      </c>
      <c r="D216" t="s">
        <v>194</v>
      </c>
      <c r="E216" t="s">
        <v>582</v>
      </c>
      <c r="F216" t="s">
        <v>661</v>
      </c>
      <c r="G216" t="s">
        <v>662</v>
      </c>
      <c r="H216" t="s">
        <v>663</v>
      </c>
      <c r="I216" t="s">
        <v>209</v>
      </c>
      <c r="J216" t="s">
        <v>176</v>
      </c>
      <c r="K216" s="30">
        <v>43060</v>
      </c>
      <c r="L216" s="8">
        <v>43055.992812500001</v>
      </c>
      <c r="M216" s="21">
        <f>LEN(ProjTextTable[[#This Row],[text]])</f>
        <v>1959</v>
      </c>
      <c r="N216" s="21">
        <f>LEN(TRIM(CLEAN(SUBSTITUTE(ProjTextTable[[#This Row],[text]],CHAR(10)," "))))+1 - LEN(SUBSTITUTE(CLEAN(SUBSTITUTE(ProjTextTable[[#This Row],[text]],CHAR(10)," "))," ",""))</f>
        <v>275</v>
      </c>
      <c r="O216" t="s">
        <v>201</v>
      </c>
      <c r="P216" t="s">
        <v>1185</v>
      </c>
    </row>
    <row r="217" spans="1:16">
      <c r="A217">
        <f t="shared" si="3"/>
        <v>34</v>
      </c>
      <c r="B217" t="s">
        <v>1182</v>
      </c>
      <c r="C217" t="s">
        <v>1183</v>
      </c>
      <c r="D217" t="s">
        <v>194</v>
      </c>
      <c r="E217" t="s">
        <v>582</v>
      </c>
      <c r="F217" t="s">
        <v>665</v>
      </c>
      <c r="G217" t="s">
        <v>666</v>
      </c>
      <c r="H217" t="s">
        <v>667</v>
      </c>
      <c r="I217" t="s">
        <v>209</v>
      </c>
      <c r="J217" t="s">
        <v>176</v>
      </c>
      <c r="K217" s="30">
        <v>43060</v>
      </c>
      <c r="L217" s="8">
        <v>43059.228263888886</v>
      </c>
      <c r="M217" s="21">
        <f>LEN(ProjTextTable[[#This Row],[text]])</f>
        <v>1799</v>
      </c>
      <c r="N217" s="21">
        <f>LEN(TRIM(CLEAN(SUBSTITUTE(ProjTextTable[[#This Row],[text]],CHAR(10)," "))))+1 - LEN(SUBSTITUTE(CLEAN(SUBSTITUTE(ProjTextTable[[#This Row],[text]],CHAR(10)," "))," ",""))</f>
        <v>263</v>
      </c>
      <c r="O217" t="s">
        <v>195</v>
      </c>
      <c r="P217" t="s">
        <v>1186</v>
      </c>
    </row>
    <row r="218" spans="1:16">
      <c r="A218">
        <f t="shared" si="3"/>
        <v>34</v>
      </c>
      <c r="B218" t="s">
        <v>1182</v>
      </c>
      <c r="C218" t="s">
        <v>1183</v>
      </c>
      <c r="D218" t="s">
        <v>194</v>
      </c>
      <c r="E218" t="s">
        <v>582</v>
      </c>
      <c r="F218" t="s">
        <v>669</v>
      </c>
      <c r="G218" t="s">
        <v>670</v>
      </c>
      <c r="H218" t="s">
        <v>671</v>
      </c>
      <c r="I218" t="s">
        <v>209</v>
      </c>
      <c r="J218" t="s">
        <v>176</v>
      </c>
      <c r="K218" s="30">
        <v>43060</v>
      </c>
      <c r="L218" s="8">
        <v>43054.567141203705</v>
      </c>
      <c r="M218" s="21">
        <f>LEN(ProjTextTable[[#This Row],[text]])</f>
        <v>2252</v>
      </c>
      <c r="N218" s="21">
        <f>LEN(TRIM(CLEAN(SUBSTITUTE(ProjTextTable[[#This Row],[text]],CHAR(10)," "))))+1 - LEN(SUBSTITUTE(CLEAN(SUBSTITUTE(ProjTextTable[[#This Row],[text]],CHAR(10)," "))," ",""))</f>
        <v>338</v>
      </c>
      <c r="O218" t="s">
        <v>203</v>
      </c>
      <c r="P218" t="s">
        <v>1187</v>
      </c>
    </row>
    <row r="219" spans="1:16">
      <c r="A219">
        <f t="shared" si="3"/>
        <v>34</v>
      </c>
      <c r="B219" t="s">
        <v>1182</v>
      </c>
      <c r="C219" t="s">
        <v>1183</v>
      </c>
      <c r="D219" t="s">
        <v>194</v>
      </c>
      <c r="E219" t="s">
        <v>582</v>
      </c>
      <c r="F219" t="s">
        <v>1144</v>
      </c>
      <c r="G219" t="s">
        <v>1145</v>
      </c>
      <c r="H219" t="s">
        <v>1146</v>
      </c>
      <c r="I219" t="s">
        <v>209</v>
      </c>
      <c r="J219" t="s">
        <v>176</v>
      </c>
      <c r="K219" s="30">
        <v>43060</v>
      </c>
      <c r="L219" s="8">
        <v>43054.537291666667</v>
      </c>
      <c r="M219" s="21">
        <f>LEN(ProjTextTable[[#This Row],[text]])</f>
        <v>2032</v>
      </c>
      <c r="N219" s="21">
        <f>LEN(TRIM(CLEAN(SUBSTITUTE(ProjTextTable[[#This Row],[text]],CHAR(10)," "))))+1 - LEN(SUBSTITUTE(CLEAN(SUBSTITUTE(ProjTextTable[[#This Row],[text]],CHAR(10)," "))," ",""))</f>
        <v>307</v>
      </c>
      <c r="O219" t="s">
        <v>202</v>
      </c>
      <c r="P219" t="s">
        <v>1188</v>
      </c>
    </row>
    <row r="220" spans="1:16">
      <c r="A220">
        <f t="shared" si="3"/>
        <v>34</v>
      </c>
      <c r="B220" t="s">
        <v>1182</v>
      </c>
      <c r="C220" t="s">
        <v>1183</v>
      </c>
      <c r="D220" t="s">
        <v>196</v>
      </c>
      <c r="E220" t="s">
        <v>582</v>
      </c>
      <c r="F220" t="s">
        <v>13</v>
      </c>
      <c r="G220" t="s">
        <v>13</v>
      </c>
      <c r="H220" t="s">
        <v>13</v>
      </c>
      <c r="K220" s="30"/>
      <c r="L220" s="8">
        <v>42936.044953703706</v>
      </c>
      <c r="M220" s="21">
        <f>LEN(ProjTextTable[[#This Row],[text]])</f>
        <v>3405</v>
      </c>
      <c r="N220" s="21">
        <f>LEN(TRIM(CLEAN(SUBSTITUTE(ProjTextTable[[#This Row],[text]],CHAR(10)," "))))+1 - LEN(SUBSTITUTE(CLEAN(SUBSTITUTE(ProjTextTable[[#This Row],[text]],CHAR(10)," "))," ",""))</f>
        <v>481</v>
      </c>
      <c r="O220" t="s">
        <v>13</v>
      </c>
      <c r="P220" t="s">
        <v>1189</v>
      </c>
    </row>
    <row r="221" spans="1:16">
      <c r="A221">
        <f t="shared" si="3"/>
        <v>35</v>
      </c>
      <c r="B221" t="s">
        <v>1190</v>
      </c>
      <c r="C221" t="s">
        <v>1191</v>
      </c>
      <c r="D221" t="s">
        <v>205</v>
      </c>
      <c r="E221" t="s">
        <v>582</v>
      </c>
      <c r="F221" t="s">
        <v>658</v>
      </c>
      <c r="G221" t="s">
        <v>659</v>
      </c>
      <c r="H221" t="s">
        <v>251</v>
      </c>
      <c r="I221" t="s">
        <v>193</v>
      </c>
      <c r="J221" t="s">
        <v>924</v>
      </c>
      <c r="K221" s="30">
        <v>43059</v>
      </c>
      <c r="L221" s="8"/>
      <c r="M221" s="21">
        <f>LEN(ProjTextTable[[#This Row],[text]])</f>
        <v>3123</v>
      </c>
      <c r="N221" s="21">
        <f>LEN(TRIM(CLEAN(SUBSTITUTE(ProjTextTable[[#This Row],[text]],CHAR(10)," "))))+1 - LEN(SUBSTITUTE(CLEAN(SUBSTITUTE(ProjTextTable[[#This Row],[text]],CHAR(10)," "))," ",""))</f>
        <v>476</v>
      </c>
      <c r="O221" t="s">
        <v>250</v>
      </c>
      <c r="P221" t="s">
        <v>1192</v>
      </c>
    </row>
    <row r="222" spans="1:16">
      <c r="A222">
        <f t="shared" si="3"/>
        <v>35</v>
      </c>
      <c r="B222" t="s">
        <v>1190</v>
      </c>
      <c r="C222" t="s">
        <v>1191</v>
      </c>
      <c r="D222" t="s">
        <v>194</v>
      </c>
      <c r="E222" t="s">
        <v>582</v>
      </c>
      <c r="F222" t="s">
        <v>993</v>
      </c>
      <c r="G222" t="s">
        <v>994</v>
      </c>
      <c r="H222" t="s">
        <v>995</v>
      </c>
      <c r="I222" t="s">
        <v>209</v>
      </c>
      <c r="J222" t="s">
        <v>176</v>
      </c>
      <c r="K222" s="30">
        <v>43060</v>
      </c>
      <c r="L222" s="8">
        <v>43056.606111111112</v>
      </c>
      <c r="M222" s="21">
        <f>LEN(ProjTextTable[[#This Row],[text]])</f>
        <v>3227</v>
      </c>
      <c r="N222" s="21">
        <f>LEN(TRIM(CLEAN(SUBSTITUTE(ProjTextTable[[#This Row],[text]],CHAR(10)," "))))+1 - LEN(SUBSTITUTE(CLEAN(SUBSTITUTE(ProjTextTable[[#This Row],[text]],CHAR(10)," "))," ",""))</f>
        <v>500</v>
      </c>
      <c r="O222" t="s">
        <v>199</v>
      </c>
      <c r="P222" t="s">
        <v>1193</v>
      </c>
    </row>
    <row r="223" spans="1:16">
      <c r="A223">
        <f t="shared" si="3"/>
        <v>35</v>
      </c>
      <c r="B223" t="s">
        <v>1190</v>
      </c>
      <c r="C223" t="s">
        <v>1191</v>
      </c>
      <c r="D223" t="s">
        <v>194</v>
      </c>
      <c r="E223" t="s">
        <v>582</v>
      </c>
      <c r="F223" t="s">
        <v>665</v>
      </c>
      <c r="G223" t="s">
        <v>666</v>
      </c>
      <c r="H223" t="s">
        <v>667</v>
      </c>
      <c r="I223" t="s">
        <v>209</v>
      </c>
      <c r="J223" t="s">
        <v>176</v>
      </c>
      <c r="K223" s="30">
        <v>43060</v>
      </c>
      <c r="L223" s="8">
        <v>43059.229328703703</v>
      </c>
      <c r="M223" s="21">
        <f>LEN(ProjTextTable[[#This Row],[text]])</f>
        <v>1790</v>
      </c>
      <c r="N223" s="21">
        <f>LEN(TRIM(CLEAN(SUBSTITUTE(ProjTextTable[[#This Row],[text]],CHAR(10)," "))))+1 - LEN(SUBSTITUTE(CLEAN(SUBSTITUTE(ProjTextTable[[#This Row],[text]],CHAR(10)," "))," ",""))</f>
        <v>263</v>
      </c>
      <c r="O223" t="s">
        <v>195</v>
      </c>
      <c r="P223" t="s">
        <v>1194</v>
      </c>
    </row>
    <row r="224" spans="1:16">
      <c r="A224">
        <f t="shared" si="3"/>
        <v>35</v>
      </c>
      <c r="B224" t="s">
        <v>1190</v>
      </c>
      <c r="C224" t="s">
        <v>1191</v>
      </c>
      <c r="D224" t="s">
        <v>194</v>
      </c>
      <c r="E224" t="s">
        <v>582</v>
      </c>
      <c r="F224" t="s">
        <v>673</v>
      </c>
      <c r="G224" t="s">
        <v>674</v>
      </c>
      <c r="H224" t="s">
        <v>675</v>
      </c>
      <c r="I224" t="s">
        <v>209</v>
      </c>
      <c r="J224" t="s">
        <v>176</v>
      </c>
      <c r="K224" s="30">
        <v>43060</v>
      </c>
      <c r="L224" s="8">
        <v>43056.70511574074</v>
      </c>
      <c r="M224" s="21">
        <f>LEN(ProjTextTable[[#This Row],[text]])</f>
        <v>4984</v>
      </c>
      <c r="N224" s="21">
        <f>LEN(TRIM(CLEAN(SUBSTITUTE(ProjTextTable[[#This Row],[text]],CHAR(10)," "))))+1 - LEN(SUBSTITUTE(CLEAN(SUBSTITUTE(ProjTextTable[[#This Row],[text]],CHAR(10)," "))," ",""))</f>
        <v>780</v>
      </c>
      <c r="O224" t="s">
        <v>199</v>
      </c>
      <c r="P224" t="s">
        <v>1195</v>
      </c>
    </row>
    <row r="225" spans="1:16">
      <c r="A225">
        <f t="shared" si="3"/>
        <v>35</v>
      </c>
      <c r="B225" t="s">
        <v>1190</v>
      </c>
      <c r="C225" t="s">
        <v>1191</v>
      </c>
      <c r="D225" t="s">
        <v>194</v>
      </c>
      <c r="E225" t="s">
        <v>582</v>
      </c>
      <c r="F225" t="s">
        <v>1072</v>
      </c>
      <c r="G225" t="s">
        <v>1073</v>
      </c>
      <c r="H225" t="s">
        <v>1074</v>
      </c>
      <c r="I225" t="s">
        <v>209</v>
      </c>
      <c r="J225" t="s">
        <v>176</v>
      </c>
      <c r="K225" s="30">
        <v>43060</v>
      </c>
      <c r="L225" s="8">
        <v>43058.695891203701</v>
      </c>
      <c r="M225" s="21">
        <f>LEN(ProjTextTable[[#This Row],[text]])</f>
        <v>5217</v>
      </c>
      <c r="N225" s="21">
        <f>LEN(TRIM(CLEAN(SUBSTITUTE(ProjTextTable[[#This Row],[text]],CHAR(10)," "))))+1 - LEN(SUBSTITUTE(CLEAN(SUBSTITUTE(ProjTextTable[[#This Row],[text]],CHAR(10)," "))," ",""))</f>
        <v>834</v>
      </c>
      <c r="O225" t="s">
        <v>199</v>
      </c>
      <c r="P225" t="s">
        <v>1196</v>
      </c>
    </row>
    <row r="226" spans="1:16">
      <c r="A226">
        <f t="shared" si="3"/>
        <v>35</v>
      </c>
      <c r="B226" t="s">
        <v>1190</v>
      </c>
      <c r="C226" t="s">
        <v>1191</v>
      </c>
      <c r="D226" t="s">
        <v>196</v>
      </c>
      <c r="E226" t="s">
        <v>582</v>
      </c>
      <c r="F226" t="s">
        <v>13</v>
      </c>
      <c r="G226" t="s">
        <v>13</v>
      </c>
      <c r="H226" t="s">
        <v>13</v>
      </c>
      <c r="K226" s="30"/>
      <c r="L226" s="8">
        <v>42936.045023148145</v>
      </c>
      <c r="M226" s="21">
        <f>LEN(ProjTextTable[[#This Row],[text]])</f>
        <v>3999</v>
      </c>
      <c r="N226" s="21">
        <f>LEN(TRIM(CLEAN(SUBSTITUTE(ProjTextTable[[#This Row],[text]],CHAR(10)," "))))+1 - LEN(SUBSTITUTE(CLEAN(SUBSTITUTE(ProjTextTable[[#This Row],[text]],CHAR(10)," "))," ",""))</f>
        <v>590</v>
      </c>
      <c r="O226" t="s">
        <v>13</v>
      </c>
      <c r="P226" t="s">
        <v>1197</v>
      </c>
    </row>
    <row r="227" spans="1:16">
      <c r="A227">
        <f t="shared" si="3"/>
        <v>36</v>
      </c>
      <c r="B227" t="s">
        <v>725</v>
      </c>
      <c r="C227" t="s">
        <v>726</v>
      </c>
      <c r="D227" t="s">
        <v>205</v>
      </c>
      <c r="E227" t="s">
        <v>582</v>
      </c>
      <c r="F227" t="s">
        <v>583</v>
      </c>
      <c r="G227" t="s">
        <v>584</v>
      </c>
      <c r="H227" t="s">
        <v>207</v>
      </c>
      <c r="I227" t="s">
        <v>197</v>
      </c>
      <c r="J227" t="s">
        <v>727</v>
      </c>
      <c r="K227" s="30">
        <v>43031</v>
      </c>
      <c r="L227" s="8"/>
      <c r="M227" s="21">
        <f>LEN(ProjTextTable[[#This Row],[text]])</f>
        <v>2478</v>
      </c>
      <c r="N227" s="21">
        <f>LEN(TRIM(CLEAN(SUBSTITUTE(ProjTextTable[[#This Row],[text]],CHAR(10)," "))))+1 - LEN(SUBSTITUTE(CLEAN(SUBSTITUTE(ProjTextTable[[#This Row],[text]],CHAR(10)," "))," ",""))</f>
        <v>352</v>
      </c>
      <c r="O227" t="s">
        <v>208</v>
      </c>
      <c r="P227" t="s">
        <v>728</v>
      </c>
    </row>
    <row r="228" spans="1:16">
      <c r="A228">
        <f t="shared" si="3"/>
        <v>36</v>
      </c>
      <c r="B228" t="s">
        <v>725</v>
      </c>
      <c r="C228" t="s">
        <v>726</v>
      </c>
      <c r="D228" t="s">
        <v>194</v>
      </c>
      <c r="E228" t="s">
        <v>582</v>
      </c>
      <c r="F228" t="s">
        <v>607</v>
      </c>
      <c r="G228" t="s">
        <v>608</v>
      </c>
      <c r="H228" t="s">
        <v>609</v>
      </c>
      <c r="I228" t="s">
        <v>209</v>
      </c>
      <c r="J228" t="s">
        <v>176</v>
      </c>
      <c r="K228" s="30">
        <v>43032</v>
      </c>
      <c r="L228" s="8">
        <v>43031.392627314817</v>
      </c>
      <c r="M228" s="21">
        <f>LEN(ProjTextTable[[#This Row],[text]])</f>
        <v>2470</v>
      </c>
      <c r="N228" s="21">
        <f>LEN(TRIM(CLEAN(SUBSTITUTE(ProjTextTable[[#This Row],[text]],CHAR(10)," "))))+1 - LEN(SUBSTITUTE(CLEAN(SUBSTITUTE(ProjTextTable[[#This Row],[text]],CHAR(10)," "))," ",""))</f>
        <v>379</v>
      </c>
      <c r="O228" t="s">
        <v>199</v>
      </c>
      <c r="P228" t="s">
        <v>729</v>
      </c>
    </row>
    <row r="229" spans="1:16">
      <c r="A229">
        <f t="shared" si="3"/>
        <v>36</v>
      </c>
      <c r="B229" t="s">
        <v>725</v>
      </c>
      <c r="C229" t="s">
        <v>726</v>
      </c>
      <c r="D229" t="s">
        <v>194</v>
      </c>
      <c r="E229" t="s">
        <v>582</v>
      </c>
      <c r="F229" t="s">
        <v>615</v>
      </c>
      <c r="G229" t="s">
        <v>616</v>
      </c>
      <c r="H229" t="s">
        <v>617</v>
      </c>
      <c r="I229" t="s">
        <v>209</v>
      </c>
      <c r="J229" t="s">
        <v>176</v>
      </c>
      <c r="K229" s="30">
        <v>43032</v>
      </c>
      <c r="L229" s="8">
        <v>43028.861886574072</v>
      </c>
      <c r="M229" s="21">
        <f>LEN(ProjTextTable[[#This Row],[text]])</f>
        <v>1850</v>
      </c>
      <c r="N229" s="21">
        <f>LEN(TRIM(CLEAN(SUBSTITUTE(ProjTextTable[[#This Row],[text]],CHAR(10)," "))))+1 - LEN(SUBSTITUTE(CLEAN(SUBSTITUTE(ProjTextTable[[#This Row],[text]],CHAR(10)," "))," ",""))</f>
        <v>275</v>
      </c>
      <c r="O229" t="s">
        <v>195</v>
      </c>
      <c r="P229" t="s">
        <v>730</v>
      </c>
    </row>
    <row r="230" spans="1:16">
      <c r="A230">
        <f t="shared" si="3"/>
        <v>36</v>
      </c>
      <c r="B230" t="s">
        <v>725</v>
      </c>
      <c r="C230" t="s">
        <v>726</v>
      </c>
      <c r="D230" t="s">
        <v>194</v>
      </c>
      <c r="E230" t="s">
        <v>582</v>
      </c>
      <c r="F230" t="s">
        <v>595</v>
      </c>
      <c r="G230" t="s">
        <v>596</v>
      </c>
      <c r="H230" t="s">
        <v>597</v>
      </c>
      <c r="I230" t="s">
        <v>209</v>
      </c>
      <c r="J230" t="s">
        <v>176</v>
      </c>
      <c r="K230" s="30">
        <v>43032</v>
      </c>
      <c r="L230" s="8">
        <v>43030.850983796299</v>
      </c>
      <c r="M230" s="21">
        <f>LEN(ProjTextTable[[#This Row],[text]])</f>
        <v>2602</v>
      </c>
      <c r="N230" s="21">
        <f>LEN(TRIM(CLEAN(SUBSTITUTE(ProjTextTable[[#This Row],[text]],CHAR(10)," "))))+1 - LEN(SUBSTITUTE(CLEAN(SUBSTITUTE(ProjTextTable[[#This Row],[text]],CHAR(10)," "))," ",""))</f>
        <v>415</v>
      </c>
      <c r="O230" t="s">
        <v>199</v>
      </c>
      <c r="P230" t="s">
        <v>731</v>
      </c>
    </row>
    <row r="231" spans="1:16">
      <c r="A231">
        <f t="shared" si="3"/>
        <v>36</v>
      </c>
      <c r="B231" t="s">
        <v>725</v>
      </c>
      <c r="C231" t="s">
        <v>726</v>
      </c>
      <c r="D231" t="s">
        <v>194</v>
      </c>
      <c r="E231" t="s">
        <v>579</v>
      </c>
      <c r="F231" t="s">
        <v>599</v>
      </c>
      <c r="G231" t="s">
        <v>600</v>
      </c>
      <c r="H231" t="s">
        <v>601</v>
      </c>
      <c r="I231" t="s">
        <v>209</v>
      </c>
      <c r="J231" t="s">
        <v>176</v>
      </c>
      <c r="K231" s="30">
        <v>43032</v>
      </c>
      <c r="L231" s="8">
        <v>43025.587372685186</v>
      </c>
      <c r="M231" s="21">
        <f>LEN(ProjTextTable[[#This Row],[text]])</f>
        <v>2719</v>
      </c>
      <c r="N231" s="21">
        <f>LEN(TRIM(CLEAN(SUBSTITUTE(ProjTextTable[[#This Row],[text]],CHAR(10)," "))))+1 - LEN(SUBSTITUTE(CLEAN(SUBSTITUTE(ProjTextTable[[#This Row],[text]],CHAR(10)," "))," ",""))</f>
        <v>400</v>
      </c>
      <c r="O231" t="s">
        <v>199</v>
      </c>
      <c r="P231" t="s">
        <v>732</v>
      </c>
    </row>
    <row r="232" spans="1:16">
      <c r="A232">
        <f t="shared" si="3"/>
        <v>36</v>
      </c>
      <c r="B232" t="s">
        <v>725</v>
      </c>
      <c r="C232" t="s">
        <v>726</v>
      </c>
      <c r="D232" t="s">
        <v>196</v>
      </c>
      <c r="E232" t="s">
        <v>579</v>
      </c>
      <c r="F232" t="s">
        <v>13</v>
      </c>
      <c r="G232" t="s">
        <v>13</v>
      </c>
      <c r="H232" t="s">
        <v>13</v>
      </c>
      <c r="K232" s="30"/>
      <c r="L232" s="8">
        <v>42936.045092592591</v>
      </c>
      <c r="M232" s="21">
        <f>LEN(ProjTextTable[[#This Row],[text]])</f>
        <v>3926</v>
      </c>
      <c r="N232" s="21">
        <f>LEN(TRIM(CLEAN(SUBSTITUTE(ProjTextTable[[#This Row],[text]],CHAR(10)," "))))+1 - LEN(SUBSTITUTE(CLEAN(SUBSTITUTE(ProjTextTable[[#This Row],[text]],CHAR(10)," "))," ",""))</f>
        <v>557</v>
      </c>
      <c r="O232" t="s">
        <v>13</v>
      </c>
      <c r="P232" t="s">
        <v>733</v>
      </c>
    </row>
    <row r="233" spans="1:16">
      <c r="A233">
        <f t="shared" si="3"/>
        <v>37</v>
      </c>
      <c r="B233" t="s">
        <v>734</v>
      </c>
      <c r="C233" t="s">
        <v>735</v>
      </c>
      <c r="D233" t="s">
        <v>205</v>
      </c>
      <c r="E233" t="s">
        <v>582</v>
      </c>
      <c r="F233" t="s">
        <v>583</v>
      </c>
      <c r="G233" t="s">
        <v>584</v>
      </c>
      <c r="H233" t="s">
        <v>207</v>
      </c>
      <c r="I233" t="s">
        <v>197</v>
      </c>
      <c r="J233" t="s">
        <v>417</v>
      </c>
      <c r="K233" s="30">
        <v>43031</v>
      </c>
      <c r="L233" s="8"/>
      <c r="M233" s="21">
        <f>LEN(ProjTextTable[[#This Row],[text]])</f>
        <v>2977</v>
      </c>
      <c r="N233" s="21">
        <f>LEN(TRIM(CLEAN(SUBSTITUTE(ProjTextTable[[#This Row],[text]],CHAR(10)," "))))+1 - LEN(SUBSTITUTE(CLEAN(SUBSTITUTE(ProjTextTable[[#This Row],[text]],CHAR(10)," "))," ",""))</f>
        <v>443</v>
      </c>
      <c r="O233" t="s">
        <v>208</v>
      </c>
      <c r="P233" t="s">
        <v>736</v>
      </c>
    </row>
    <row r="234" spans="1:16">
      <c r="A234">
        <f t="shared" si="3"/>
        <v>37</v>
      </c>
      <c r="B234" t="s">
        <v>734</v>
      </c>
      <c r="C234" t="s">
        <v>735</v>
      </c>
      <c r="D234" t="s">
        <v>194</v>
      </c>
      <c r="E234" t="s">
        <v>582</v>
      </c>
      <c r="F234" t="s">
        <v>607</v>
      </c>
      <c r="G234" t="s">
        <v>608</v>
      </c>
      <c r="H234" t="s">
        <v>609</v>
      </c>
      <c r="I234" t="s">
        <v>209</v>
      </c>
      <c r="J234" t="s">
        <v>176</v>
      </c>
      <c r="K234" s="30">
        <v>43032</v>
      </c>
      <c r="L234" s="8">
        <v>43025.598553240743</v>
      </c>
      <c r="M234" s="21">
        <f>LEN(ProjTextTable[[#This Row],[text]])</f>
        <v>2780</v>
      </c>
      <c r="N234" s="21">
        <f>LEN(TRIM(CLEAN(SUBSTITUTE(ProjTextTable[[#This Row],[text]],CHAR(10)," "))))+1 - LEN(SUBSTITUTE(CLEAN(SUBSTITUTE(ProjTextTable[[#This Row],[text]],CHAR(10)," "))," ",""))</f>
        <v>439</v>
      </c>
      <c r="O234" t="s">
        <v>199</v>
      </c>
      <c r="P234" t="s">
        <v>737</v>
      </c>
    </row>
    <row r="235" spans="1:16">
      <c r="A235">
        <f t="shared" si="3"/>
        <v>37</v>
      </c>
      <c r="B235" t="s">
        <v>734</v>
      </c>
      <c r="C235" t="s">
        <v>735</v>
      </c>
      <c r="D235" t="s">
        <v>194</v>
      </c>
      <c r="E235" t="s">
        <v>579</v>
      </c>
      <c r="F235" t="s">
        <v>611</v>
      </c>
      <c r="G235" t="s">
        <v>612</v>
      </c>
      <c r="H235" t="s">
        <v>613</v>
      </c>
      <c r="I235" t="s">
        <v>209</v>
      </c>
      <c r="J235" t="s">
        <v>176</v>
      </c>
      <c r="K235" s="30">
        <v>43032</v>
      </c>
      <c r="L235" s="8">
        <v>43030.184629629628</v>
      </c>
      <c r="M235" s="21">
        <f>LEN(ProjTextTable[[#This Row],[text]])</f>
        <v>2052</v>
      </c>
      <c r="N235" s="21">
        <f>LEN(TRIM(CLEAN(SUBSTITUTE(ProjTextTable[[#This Row],[text]],CHAR(10)," "))))+1 - LEN(SUBSTITUTE(CLEAN(SUBSTITUTE(ProjTextTable[[#This Row],[text]],CHAR(10)," "))," ",""))</f>
        <v>300</v>
      </c>
      <c r="O235" t="s">
        <v>199</v>
      </c>
      <c r="P235" t="s">
        <v>738</v>
      </c>
    </row>
    <row r="236" spans="1:16">
      <c r="A236">
        <f t="shared" si="3"/>
        <v>37</v>
      </c>
      <c r="B236" t="s">
        <v>734</v>
      </c>
      <c r="C236" t="s">
        <v>735</v>
      </c>
      <c r="D236" t="s">
        <v>194</v>
      </c>
      <c r="E236" t="s">
        <v>582</v>
      </c>
      <c r="F236" t="s">
        <v>712</v>
      </c>
      <c r="G236" t="s">
        <v>713</v>
      </c>
      <c r="H236" t="s">
        <v>714</v>
      </c>
      <c r="I236" t="s">
        <v>209</v>
      </c>
      <c r="J236" t="s">
        <v>176</v>
      </c>
      <c r="K236" s="30">
        <v>43032</v>
      </c>
      <c r="L236" s="8">
        <v>43028.388240740744</v>
      </c>
      <c r="M236" s="21">
        <f>LEN(ProjTextTable[[#This Row],[text]])</f>
        <v>2314</v>
      </c>
      <c r="N236" s="21">
        <f>LEN(TRIM(CLEAN(SUBSTITUTE(ProjTextTable[[#This Row],[text]],CHAR(10)," "))))+1 - LEN(SUBSTITUTE(CLEAN(SUBSTITUTE(ProjTextTable[[#This Row],[text]],CHAR(10)," "))," ",""))</f>
        <v>355</v>
      </c>
      <c r="O236" t="s">
        <v>202</v>
      </c>
      <c r="P236" t="s">
        <v>739</v>
      </c>
    </row>
    <row r="237" spans="1:16">
      <c r="A237">
        <f t="shared" si="3"/>
        <v>37</v>
      </c>
      <c r="B237" t="s">
        <v>734</v>
      </c>
      <c r="C237" t="s">
        <v>735</v>
      </c>
      <c r="D237" t="s">
        <v>194</v>
      </c>
      <c r="E237" t="s">
        <v>582</v>
      </c>
      <c r="F237" t="s">
        <v>651</v>
      </c>
      <c r="G237" t="s">
        <v>652</v>
      </c>
      <c r="H237" t="s">
        <v>653</v>
      </c>
      <c r="I237" t="s">
        <v>209</v>
      </c>
      <c r="J237" t="s">
        <v>176</v>
      </c>
      <c r="K237" s="30">
        <v>43032</v>
      </c>
      <c r="L237" s="8">
        <v>43031.690868055557</v>
      </c>
      <c r="M237" s="21">
        <f>LEN(ProjTextTable[[#This Row],[text]])</f>
        <v>3778</v>
      </c>
      <c r="N237" s="21">
        <f>LEN(TRIM(CLEAN(SUBSTITUTE(ProjTextTable[[#This Row],[text]],CHAR(10)," "))))+1 - LEN(SUBSTITUTE(CLEAN(SUBSTITUTE(ProjTextTable[[#This Row],[text]],CHAR(10)," "))," ",""))</f>
        <v>593</v>
      </c>
      <c r="O237" t="s">
        <v>199</v>
      </c>
      <c r="P237" t="s">
        <v>740</v>
      </c>
    </row>
    <row r="238" spans="1:16">
      <c r="A238">
        <f t="shared" si="3"/>
        <v>37</v>
      </c>
      <c r="B238" t="s">
        <v>734</v>
      </c>
      <c r="C238" t="s">
        <v>735</v>
      </c>
      <c r="D238" t="s">
        <v>196</v>
      </c>
      <c r="E238" t="s">
        <v>579</v>
      </c>
      <c r="F238" t="s">
        <v>13</v>
      </c>
      <c r="G238" t="s">
        <v>13</v>
      </c>
      <c r="H238" t="s">
        <v>13</v>
      </c>
      <c r="K238" s="30"/>
      <c r="L238" s="8">
        <v>42936.045185185183</v>
      </c>
      <c r="M238" s="21">
        <f>LEN(ProjTextTable[[#This Row],[text]])</f>
        <v>2855</v>
      </c>
      <c r="N238" s="21">
        <f>LEN(TRIM(CLEAN(SUBSTITUTE(ProjTextTable[[#This Row],[text]],CHAR(10)," "))))+1 - LEN(SUBSTITUTE(CLEAN(SUBSTITUTE(ProjTextTable[[#This Row],[text]],CHAR(10)," "))," ",""))</f>
        <v>407</v>
      </c>
      <c r="O238" t="s">
        <v>13</v>
      </c>
      <c r="P238" t="s">
        <v>741</v>
      </c>
    </row>
    <row r="239" spans="1:16">
      <c r="A239">
        <f t="shared" si="3"/>
        <v>38</v>
      </c>
      <c r="B239" t="s">
        <v>1198</v>
      </c>
      <c r="C239" t="s">
        <v>1199</v>
      </c>
      <c r="D239" t="s">
        <v>205</v>
      </c>
      <c r="E239" t="s">
        <v>582</v>
      </c>
      <c r="F239" t="s">
        <v>658</v>
      </c>
      <c r="G239" t="s">
        <v>659</v>
      </c>
      <c r="H239" t="s">
        <v>207</v>
      </c>
      <c r="I239" t="s">
        <v>197</v>
      </c>
      <c r="J239" t="s">
        <v>417</v>
      </c>
      <c r="K239" s="30">
        <v>43059</v>
      </c>
      <c r="L239" s="8"/>
      <c r="M239" s="21">
        <f>LEN(ProjTextTable[[#This Row],[text]])</f>
        <v>4888</v>
      </c>
      <c r="N239" s="21">
        <f>LEN(TRIM(CLEAN(SUBSTITUTE(ProjTextTable[[#This Row],[text]],CHAR(10)," "))))+1 - LEN(SUBSTITUTE(CLEAN(SUBSTITUTE(ProjTextTable[[#This Row],[text]],CHAR(10)," "))," ",""))</f>
        <v>721</v>
      </c>
      <c r="O239" t="s">
        <v>208</v>
      </c>
      <c r="P239" t="s">
        <v>1200</v>
      </c>
    </row>
    <row r="240" spans="1:16">
      <c r="A240">
        <f t="shared" si="3"/>
        <v>38</v>
      </c>
      <c r="B240" t="s">
        <v>1198</v>
      </c>
      <c r="C240" t="s">
        <v>1199</v>
      </c>
      <c r="D240" t="s">
        <v>194</v>
      </c>
      <c r="E240" t="s">
        <v>582</v>
      </c>
      <c r="F240" t="s">
        <v>665</v>
      </c>
      <c r="G240" t="s">
        <v>666</v>
      </c>
      <c r="H240" t="s">
        <v>667</v>
      </c>
      <c r="I240" t="s">
        <v>209</v>
      </c>
      <c r="J240" t="s">
        <v>176</v>
      </c>
      <c r="K240" s="30">
        <v>43060</v>
      </c>
      <c r="L240" s="8">
        <v>43059.230451388888</v>
      </c>
      <c r="M240" s="21">
        <f>LEN(ProjTextTable[[#This Row],[text]])</f>
        <v>1637</v>
      </c>
      <c r="N240" s="21">
        <f>LEN(TRIM(CLEAN(SUBSTITUTE(ProjTextTable[[#This Row],[text]],CHAR(10)," "))))+1 - LEN(SUBSTITUTE(CLEAN(SUBSTITUTE(ProjTextTable[[#This Row],[text]],CHAR(10)," "))," ",""))</f>
        <v>239</v>
      </c>
      <c r="O240" t="s">
        <v>203</v>
      </c>
      <c r="P240" t="s">
        <v>1201</v>
      </c>
    </row>
    <row r="241" spans="1:16">
      <c r="A241">
        <f t="shared" si="3"/>
        <v>38</v>
      </c>
      <c r="B241" t="s">
        <v>1198</v>
      </c>
      <c r="C241" t="s">
        <v>1199</v>
      </c>
      <c r="D241" t="s">
        <v>194</v>
      </c>
      <c r="E241" t="s">
        <v>944</v>
      </c>
      <c r="F241" t="s">
        <v>1144</v>
      </c>
      <c r="G241" t="s">
        <v>1145</v>
      </c>
      <c r="H241" t="s">
        <v>1146</v>
      </c>
      <c r="I241" t="s">
        <v>209</v>
      </c>
      <c r="J241" t="s">
        <v>176</v>
      </c>
      <c r="K241" s="30">
        <v>43060</v>
      </c>
      <c r="L241" s="8">
        <v>43054.528622685182</v>
      </c>
      <c r="M241" s="21">
        <f>LEN(ProjTextTable[[#This Row],[text]])</f>
        <v>2260</v>
      </c>
      <c r="N241" s="21">
        <f>LEN(TRIM(CLEAN(SUBSTITUTE(ProjTextTable[[#This Row],[text]],CHAR(10)," "))))+1 - LEN(SUBSTITUTE(CLEAN(SUBSTITUTE(ProjTextTable[[#This Row],[text]],CHAR(10)," "))," ",""))</f>
        <v>328</v>
      </c>
      <c r="O241" t="s">
        <v>195</v>
      </c>
      <c r="P241" t="s">
        <v>1202</v>
      </c>
    </row>
    <row r="242" spans="1:16">
      <c r="A242">
        <f t="shared" si="3"/>
        <v>38</v>
      </c>
      <c r="B242" t="s">
        <v>1198</v>
      </c>
      <c r="C242" t="s">
        <v>1199</v>
      </c>
      <c r="D242" t="s">
        <v>194</v>
      </c>
      <c r="E242" t="s">
        <v>582</v>
      </c>
      <c r="F242" t="s">
        <v>930</v>
      </c>
      <c r="G242" t="s">
        <v>931</v>
      </c>
      <c r="H242" t="s">
        <v>932</v>
      </c>
      <c r="I242" t="s">
        <v>209</v>
      </c>
      <c r="J242" t="s">
        <v>176</v>
      </c>
      <c r="K242" s="30">
        <v>43060</v>
      </c>
      <c r="L242" s="8">
        <v>43058.869027777779</v>
      </c>
      <c r="M242" s="21">
        <f>LEN(ProjTextTable[[#This Row],[text]])</f>
        <v>3271</v>
      </c>
      <c r="N242" s="21">
        <f>LEN(TRIM(CLEAN(SUBSTITUTE(ProjTextTable[[#This Row],[text]],CHAR(10)," "))))+1 - LEN(SUBSTITUTE(CLEAN(SUBSTITUTE(ProjTextTable[[#This Row],[text]],CHAR(10)," "))," ",""))</f>
        <v>467</v>
      </c>
      <c r="O242" t="s">
        <v>253</v>
      </c>
      <c r="P242" t="s">
        <v>1203</v>
      </c>
    </row>
    <row r="243" spans="1:16">
      <c r="A243">
        <f t="shared" si="3"/>
        <v>38</v>
      </c>
      <c r="B243" t="s">
        <v>1198</v>
      </c>
      <c r="C243" t="s">
        <v>1199</v>
      </c>
      <c r="D243" t="s">
        <v>194</v>
      </c>
      <c r="E243" t="s">
        <v>582</v>
      </c>
      <c r="F243" t="s">
        <v>979</v>
      </c>
      <c r="G243" t="s">
        <v>980</v>
      </c>
      <c r="H243" t="s">
        <v>981</v>
      </c>
      <c r="I243" t="s">
        <v>209</v>
      </c>
      <c r="J243" t="s">
        <v>176</v>
      </c>
      <c r="K243" s="30">
        <v>43060</v>
      </c>
      <c r="L243" s="8">
        <v>43059.013773148145</v>
      </c>
      <c r="M243" s="21">
        <f>LEN(ProjTextTable[[#This Row],[text]])</f>
        <v>1390</v>
      </c>
      <c r="N243" s="21">
        <f>LEN(TRIM(CLEAN(SUBSTITUTE(ProjTextTable[[#This Row],[text]],CHAR(10)," "))))+1 - LEN(SUBSTITUTE(CLEAN(SUBSTITUTE(ProjTextTable[[#This Row],[text]],CHAR(10)," "))," ",""))</f>
        <v>202</v>
      </c>
      <c r="O243" t="s">
        <v>195</v>
      </c>
      <c r="P243" t="s">
        <v>1204</v>
      </c>
    </row>
    <row r="244" spans="1:16">
      <c r="A244">
        <f t="shared" si="3"/>
        <v>38</v>
      </c>
      <c r="B244" t="s">
        <v>1198</v>
      </c>
      <c r="C244" t="s">
        <v>1199</v>
      </c>
      <c r="D244" t="s">
        <v>196</v>
      </c>
      <c r="E244" t="s">
        <v>944</v>
      </c>
      <c r="F244" t="s">
        <v>13</v>
      </c>
      <c r="G244" t="s">
        <v>13</v>
      </c>
      <c r="H244" t="s">
        <v>13</v>
      </c>
      <c r="K244" s="30"/>
      <c r="L244" s="8">
        <v>42936.045300925929</v>
      </c>
      <c r="M244" s="21">
        <f>LEN(ProjTextTable[[#This Row],[text]])</f>
        <v>3037</v>
      </c>
      <c r="N244" s="21">
        <f>LEN(TRIM(CLEAN(SUBSTITUTE(ProjTextTable[[#This Row],[text]],CHAR(10)," "))))+1 - LEN(SUBSTITUTE(CLEAN(SUBSTITUTE(ProjTextTable[[#This Row],[text]],CHAR(10)," "))," ",""))</f>
        <v>442</v>
      </c>
      <c r="O244" t="s">
        <v>13</v>
      </c>
      <c r="P244" t="s">
        <v>1205</v>
      </c>
    </row>
    <row r="245" spans="1:16">
      <c r="A245">
        <f t="shared" si="3"/>
        <v>39</v>
      </c>
      <c r="B245" t="s">
        <v>1206</v>
      </c>
      <c r="C245" t="s">
        <v>1207</v>
      </c>
      <c r="D245" t="s">
        <v>205</v>
      </c>
      <c r="E245" t="s">
        <v>582</v>
      </c>
      <c r="F245" t="s">
        <v>658</v>
      </c>
      <c r="G245" t="s">
        <v>659</v>
      </c>
      <c r="H245" t="s">
        <v>251</v>
      </c>
      <c r="I245" t="s">
        <v>193</v>
      </c>
      <c r="J245" t="s">
        <v>924</v>
      </c>
      <c r="K245" s="30">
        <v>43059</v>
      </c>
      <c r="L245" s="8"/>
      <c r="M245" s="21">
        <f>LEN(ProjTextTable[[#This Row],[text]])</f>
        <v>2400</v>
      </c>
      <c r="N245" s="21">
        <f>LEN(TRIM(CLEAN(SUBSTITUTE(ProjTextTable[[#This Row],[text]],CHAR(10)," "))))+1 - LEN(SUBSTITUTE(CLEAN(SUBSTITUTE(ProjTextTable[[#This Row],[text]],CHAR(10)," "))," ",""))</f>
        <v>348</v>
      </c>
      <c r="O245" t="s">
        <v>250</v>
      </c>
      <c r="P245" t="s">
        <v>1208</v>
      </c>
    </row>
    <row r="246" spans="1:16">
      <c r="A246">
        <f t="shared" si="3"/>
        <v>39</v>
      </c>
      <c r="B246" t="s">
        <v>1206</v>
      </c>
      <c r="C246" t="s">
        <v>1207</v>
      </c>
      <c r="D246" t="s">
        <v>194</v>
      </c>
      <c r="E246" t="s">
        <v>582</v>
      </c>
      <c r="F246" t="s">
        <v>661</v>
      </c>
      <c r="G246" t="s">
        <v>662</v>
      </c>
      <c r="H246" t="s">
        <v>663</v>
      </c>
      <c r="I246" t="s">
        <v>209</v>
      </c>
      <c r="J246" t="s">
        <v>176</v>
      </c>
      <c r="K246" s="30">
        <v>43060</v>
      </c>
      <c r="L246" s="8">
        <v>43055.929837962962</v>
      </c>
      <c r="M246" s="21">
        <f>LEN(ProjTextTable[[#This Row],[text]])</f>
        <v>1881</v>
      </c>
      <c r="N246" s="21">
        <f>LEN(TRIM(CLEAN(SUBSTITUTE(ProjTextTable[[#This Row],[text]],CHAR(10)," "))))+1 - LEN(SUBSTITUTE(CLEAN(SUBSTITUTE(ProjTextTable[[#This Row],[text]],CHAR(10)," "))," ",""))</f>
        <v>271</v>
      </c>
      <c r="O246" t="s">
        <v>199</v>
      </c>
      <c r="P246" t="s">
        <v>1209</v>
      </c>
    </row>
    <row r="247" spans="1:16">
      <c r="A247">
        <f t="shared" si="3"/>
        <v>39</v>
      </c>
      <c r="B247" t="s">
        <v>1206</v>
      </c>
      <c r="C247" t="s">
        <v>1207</v>
      </c>
      <c r="D247" t="s">
        <v>194</v>
      </c>
      <c r="E247" t="s">
        <v>582</v>
      </c>
      <c r="F247" t="s">
        <v>979</v>
      </c>
      <c r="G247" t="s">
        <v>980</v>
      </c>
      <c r="H247" t="s">
        <v>981</v>
      </c>
      <c r="I247" t="s">
        <v>209</v>
      </c>
      <c r="J247" t="s">
        <v>176</v>
      </c>
      <c r="K247" s="30">
        <v>43060</v>
      </c>
      <c r="L247" s="8">
        <v>43058.99627314815</v>
      </c>
      <c r="M247" s="21">
        <f>LEN(ProjTextTable[[#This Row],[text]])</f>
        <v>2482</v>
      </c>
      <c r="N247" s="21">
        <f>LEN(TRIM(CLEAN(SUBSTITUTE(ProjTextTable[[#This Row],[text]],CHAR(10)," "))))+1 - LEN(SUBSTITUTE(CLEAN(SUBSTITUTE(ProjTextTable[[#This Row],[text]],CHAR(10)," "))," ",""))</f>
        <v>372</v>
      </c>
      <c r="O247" t="s">
        <v>199</v>
      </c>
      <c r="P247" t="s">
        <v>1210</v>
      </c>
    </row>
    <row r="248" spans="1:16">
      <c r="A248">
        <f t="shared" si="3"/>
        <v>39</v>
      </c>
      <c r="B248" t="s">
        <v>1206</v>
      </c>
      <c r="C248" t="s">
        <v>1207</v>
      </c>
      <c r="D248" t="s">
        <v>194</v>
      </c>
      <c r="E248" t="s">
        <v>582</v>
      </c>
      <c r="F248" t="s">
        <v>1072</v>
      </c>
      <c r="G248" t="s">
        <v>1073</v>
      </c>
      <c r="H248" t="s">
        <v>1074</v>
      </c>
      <c r="I248" t="s">
        <v>209</v>
      </c>
      <c r="J248" t="s">
        <v>176</v>
      </c>
      <c r="K248" s="30">
        <v>43060</v>
      </c>
      <c r="L248" s="8">
        <v>43058.923993055556</v>
      </c>
      <c r="M248" s="21">
        <f>LEN(ProjTextTable[[#This Row],[text]])</f>
        <v>3470</v>
      </c>
      <c r="N248" s="21">
        <f>LEN(TRIM(CLEAN(SUBSTITUTE(ProjTextTable[[#This Row],[text]],CHAR(10)," "))))+1 - LEN(SUBSTITUTE(CLEAN(SUBSTITUTE(ProjTextTable[[#This Row],[text]],CHAR(10)," "))," ",""))</f>
        <v>527</v>
      </c>
      <c r="O248" t="s">
        <v>199</v>
      </c>
      <c r="P248" t="s">
        <v>1211</v>
      </c>
    </row>
    <row r="249" spans="1:16">
      <c r="A249">
        <f t="shared" si="3"/>
        <v>39</v>
      </c>
      <c r="B249" t="s">
        <v>1206</v>
      </c>
      <c r="C249" t="s">
        <v>1207</v>
      </c>
      <c r="D249" t="s">
        <v>194</v>
      </c>
      <c r="E249" t="s">
        <v>582</v>
      </c>
      <c r="F249" t="s">
        <v>970</v>
      </c>
      <c r="G249" t="s">
        <v>971</v>
      </c>
      <c r="H249" t="s">
        <v>972</v>
      </c>
      <c r="I249" t="s">
        <v>209</v>
      </c>
      <c r="J249" t="s">
        <v>176</v>
      </c>
      <c r="K249" s="30">
        <v>43060</v>
      </c>
      <c r="L249" s="8">
        <v>43056.743946759256</v>
      </c>
      <c r="M249" s="21">
        <f>LEN(ProjTextTable[[#This Row],[text]])</f>
        <v>1413</v>
      </c>
      <c r="N249" s="21">
        <f>LEN(TRIM(CLEAN(SUBSTITUTE(ProjTextTable[[#This Row],[text]],CHAR(10)," "))))+1 - LEN(SUBSTITUTE(CLEAN(SUBSTITUTE(ProjTextTable[[#This Row],[text]],CHAR(10)," "))," ",""))</f>
        <v>211</v>
      </c>
      <c r="O249" t="s">
        <v>195</v>
      </c>
      <c r="P249" t="s">
        <v>1212</v>
      </c>
    </row>
    <row r="250" spans="1:16">
      <c r="A250">
        <f t="shared" si="3"/>
        <v>39</v>
      </c>
      <c r="B250" t="s">
        <v>1206</v>
      </c>
      <c r="C250" t="s">
        <v>1207</v>
      </c>
      <c r="D250" t="s">
        <v>196</v>
      </c>
      <c r="E250" t="s">
        <v>582</v>
      </c>
      <c r="F250" t="s">
        <v>13</v>
      </c>
      <c r="G250" t="s">
        <v>13</v>
      </c>
      <c r="H250" t="s">
        <v>13</v>
      </c>
      <c r="K250" s="30"/>
      <c r="L250" s="8">
        <v>42936.045428240737</v>
      </c>
      <c r="M250" s="21">
        <f>LEN(ProjTextTable[[#This Row],[text]])</f>
        <v>3199</v>
      </c>
      <c r="N250" s="21">
        <f>LEN(TRIM(CLEAN(SUBSTITUTE(ProjTextTable[[#This Row],[text]],CHAR(10)," "))))+1 - LEN(SUBSTITUTE(CLEAN(SUBSTITUTE(ProjTextTable[[#This Row],[text]],CHAR(10)," "))," ",""))</f>
        <v>448</v>
      </c>
      <c r="O250" t="s">
        <v>13</v>
      </c>
      <c r="P250" t="s">
        <v>1213</v>
      </c>
    </row>
    <row r="251" spans="1:16">
      <c r="A251">
        <f t="shared" si="3"/>
        <v>40</v>
      </c>
      <c r="B251" t="s">
        <v>1214</v>
      </c>
      <c r="C251" t="s">
        <v>1215</v>
      </c>
      <c r="D251" t="s">
        <v>205</v>
      </c>
      <c r="E251" t="s">
        <v>582</v>
      </c>
      <c r="F251" t="s">
        <v>583</v>
      </c>
      <c r="G251" t="s">
        <v>584</v>
      </c>
      <c r="H251" t="s">
        <v>207</v>
      </c>
      <c r="I251" t="s">
        <v>197</v>
      </c>
      <c r="J251" t="s">
        <v>928</v>
      </c>
      <c r="K251" s="30">
        <v>43031</v>
      </c>
      <c r="L251" s="8"/>
      <c r="M251" s="21">
        <f>LEN(ProjTextTable[[#This Row],[text]])</f>
        <v>2460</v>
      </c>
      <c r="N251" s="21">
        <f>LEN(TRIM(CLEAN(SUBSTITUTE(ProjTextTable[[#This Row],[text]],CHAR(10)," "))))+1 - LEN(SUBSTITUTE(CLEAN(SUBSTITUTE(ProjTextTable[[#This Row],[text]],CHAR(10)," "))," ",""))</f>
        <v>343</v>
      </c>
      <c r="O251" t="s">
        <v>208</v>
      </c>
      <c r="P251" t="s">
        <v>1216</v>
      </c>
    </row>
    <row r="252" spans="1:16">
      <c r="A252">
        <f t="shared" si="3"/>
        <v>40</v>
      </c>
      <c r="B252" t="s">
        <v>1214</v>
      </c>
      <c r="C252" t="s">
        <v>1215</v>
      </c>
      <c r="D252" t="s">
        <v>194</v>
      </c>
      <c r="E252" t="s">
        <v>582</v>
      </c>
      <c r="F252" t="s">
        <v>607</v>
      </c>
      <c r="G252" t="s">
        <v>608</v>
      </c>
      <c r="H252" t="s">
        <v>609</v>
      </c>
      <c r="I252" t="s">
        <v>209</v>
      </c>
      <c r="J252" t="s">
        <v>176</v>
      </c>
      <c r="K252" s="30">
        <v>43032</v>
      </c>
      <c r="L252" s="8">
        <v>43031.434907407405</v>
      </c>
      <c r="M252" s="21">
        <f>LEN(ProjTextTable[[#This Row],[text]])</f>
        <v>3265</v>
      </c>
      <c r="N252" s="21">
        <f>LEN(TRIM(CLEAN(SUBSTITUTE(ProjTextTable[[#This Row],[text]],CHAR(10)," "))))+1 - LEN(SUBSTITUTE(CLEAN(SUBSTITUTE(ProjTextTable[[#This Row],[text]],CHAR(10)," "))," ",""))</f>
        <v>506</v>
      </c>
      <c r="O252" t="s">
        <v>199</v>
      </c>
      <c r="P252" t="s">
        <v>1217</v>
      </c>
    </row>
    <row r="253" spans="1:16">
      <c r="A253">
        <f t="shared" si="3"/>
        <v>40</v>
      </c>
      <c r="B253" t="s">
        <v>1214</v>
      </c>
      <c r="C253" t="s">
        <v>1215</v>
      </c>
      <c r="D253" t="s">
        <v>194</v>
      </c>
      <c r="E253" t="s">
        <v>582</v>
      </c>
      <c r="F253" t="s">
        <v>689</v>
      </c>
      <c r="G253" t="s">
        <v>690</v>
      </c>
      <c r="H253" t="s">
        <v>691</v>
      </c>
      <c r="I253" t="s">
        <v>209</v>
      </c>
      <c r="J253" t="s">
        <v>176</v>
      </c>
      <c r="K253" s="30">
        <v>43032</v>
      </c>
      <c r="L253" s="8">
        <v>43030.882361111115</v>
      </c>
      <c r="M253" s="21">
        <f>LEN(ProjTextTable[[#This Row],[text]])</f>
        <v>2182</v>
      </c>
      <c r="N253" s="21">
        <f>LEN(TRIM(CLEAN(SUBSTITUTE(ProjTextTable[[#This Row],[text]],CHAR(10)," "))))+1 - LEN(SUBSTITUTE(CLEAN(SUBSTITUTE(ProjTextTable[[#This Row],[text]],CHAR(10)," "))," ",""))</f>
        <v>333</v>
      </c>
      <c r="O253" t="s">
        <v>199</v>
      </c>
      <c r="P253" t="s">
        <v>1218</v>
      </c>
    </row>
    <row r="254" spans="1:16">
      <c r="A254">
        <f t="shared" si="3"/>
        <v>40</v>
      </c>
      <c r="B254" t="s">
        <v>1214</v>
      </c>
      <c r="C254" t="s">
        <v>1215</v>
      </c>
      <c r="D254" t="s">
        <v>194</v>
      </c>
      <c r="E254" t="s">
        <v>582</v>
      </c>
      <c r="F254" t="s">
        <v>611</v>
      </c>
      <c r="G254" t="s">
        <v>612</v>
      </c>
      <c r="H254" t="s">
        <v>613</v>
      </c>
      <c r="I254" t="s">
        <v>209</v>
      </c>
      <c r="J254" t="s">
        <v>176</v>
      </c>
      <c r="K254" s="30">
        <v>43032</v>
      </c>
      <c r="L254" s="8">
        <v>43030.173541666663</v>
      </c>
      <c r="M254" s="21">
        <f>LEN(ProjTextTable[[#This Row],[text]])</f>
        <v>1948</v>
      </c>
      <c r="N254" s="21">
        <f>LEN(TRIM(CLEAN(SUBSTITUTE(ProjTextTable[[#This Row],[text]],CHAR(10)," "))))+1 - LEN(SUBSTITUTE(CLEAN(SUBSTITUTE(ProjTextTable[[#This Row],[text]],CHAR(10)," "))," ",""))</f>
        <v>276</v>
      </c>
      <c r="O254" t="s">
        <v>195</v>
      </c>
      <c r="P254" t="s">
        <v>1219</v>
      </c>
    </row>
    <row r="255" spans="1:16">
      <c r="A255">
        <f t="shared" si="3"/>
        <v>40</v>
      </c>
      <c r="B255" t="s">
        <v>1214</v>
      </c>
      <c r="C255" t="s">
        <v>1215</v>
      </c>
      <c r="D255" t="s">
        <v>194</v>
      </c>
      <c r="E255" t="s">
        <v>582</v>
      </c>
      <c r="F255" t="s">
        <v>619</v>
      </c>
      <c r="G255" t="s">
        <v>620</v>
      </c>
      <c r="H255" t="s">
        <v>621</v>
      </c>
      <c r="I255" t="s">
        <v>209</v>
      </c>
      <c r="J255" t="s">
        <v>176</v>
      </c>
      <c r="K255" s="30">
        <v>43032</v>
      </c>
      <c r="L255" s="8">
        <v>43030.798495370371</v>
      </c>
      <c r="M255" s="21">
        <f>LEN(ProjTextTable[[#This Row],[text]])</f>
        <v>2495</v>
      </c>
      <c r="N255" s="21">
        <f>LEN(TRIM(CLEAN(SUBSTITUTE(ProjTextTable[[#This Row],[text]],CHAR(10)," "))))+1 - LEN(SUBSTITUTE(CLEAN(SUBSTITUTE(ProjTextTable[[#This Row],[text]],CHAR(10)," "))," ",""))</f>
        <v>381</v>
      </c>
      <c r="O255" t="s">
        <v>199</v>
      </c>
      <c r="P255" t="s">
        <v>1220</v>
      </c>
    </row>
    <row r="256" spans="1:16">
      <c r="A256">
        <f t="shared" si="3"/>
        <v>40</v>
      </c>
      <c r="B256" t="s">
        <v>1214</v>
      </c>
      <c r="C256" t="s">
        <v>1215</v>
      </c>
      <c r="D256" t="s">
        <v>196</v>
      </c>
      <c r="E256" t="s">
        <v>582</v>
      </c>
      <c r="F256" t="s">
        <v>13</v>
      </c>
      <c r="G256" t="s">
        <v>13</v>
      </c>
      <c r="H256" t="s">
        <v>13</v>
      </c>
      <c r="K256" s="30"/>
      <c r="L256" s="8">
        <v>42936.045486111114</v>
      </c>
      <c r="M256" s="21">
        <f>LEN(ProjTextTable[[#This Row],[text]])</f>
        <v>3779</v>
      </c>
      <c r="N256" s="21">
        <f>LEN(TRIM(CLEAN(SUBSTITUTE(ProjTextTable[[#This Row],[text]],CHAR(10)," "))))+1 - LEN(SUBSTITUTE(CLEAN(SUBSTITUTE(ProjTextTable[[#This Row],[text]],CHAR(10)," "))," ",""))</f>
        <v>548</v>
      </c>
      <c r="O256" t="s">
        <v>13</v>
      </c>
      <c r="P256" t="s">
        <v>1221</v>
      </c>
    </row>
    <row r="257" spans="1:16">
      <c r="A257">
        <f t="shared" si="3"/>
        <v>41</v>
      </c>
      <c r="B257" t="s">
        <v>1222</v>
      </c>
      <c r="C257" t="s">
        <v>1223</v>
      </c>
      <c r="D257" t="s">
        <v>205</v>
      </c>
      <c r="E257" t="s">
        <v>582</v>
      </c>
      <c r="F257" t="s">
        <v>583</v>
      </c>
      <c r="G257" t="s">
        <v>584</v>
      </c>
      <c r="H257" t="s">
        <v>251</v>
      </c>
      <c r="I257" t="s">
        <v>193</v>
      </c>
      <c r="J257" t="s">
        <v>605</v>
      </c>
      <c r="K257" s="30">
        <v>43031</v>
      </c>
      <c r="L257" s="8">
        <v>43075.705046296294</v>
      </c>
      <c r="M257" s="21">
        <f>LEN(ProjTextTable[[#This Row],[text]])</f>
        <v>2769</v>
      </c>
      <c r="N257" s="21">
        <f>LEN(TRIM(CLEAN(SUBSTITUTE(ProjTextTable[[#This Row],[text]],CHAR(10)," "))))+1 - LEN(SUBSTITUTE(CLEAN(SUBSTITUTE(ProjTextTable[[#This Row],[text]],CHAR(10)," "))," ",""))</f>
        <v>402</v>
      </c>
      <c r="O257" t="s">
        <v>250</v>
      </c>
      <c r="P257" t="s">
        <v>1224</v>
      </c>
    </row>
    <row r="258" spans="1:16">
      <c r="A258">
        <f t="shared" ref="A258:A321" si="4">A257+(B258&lt;&gt;B257)</f>
        <v>41</v>
      </c>
      <c r="B258" t="s">
        <v>1222</v>
      </c>
      <c r="C258" t="s">
        <v>1223</v>
      </c>
      <c r="D258" t="s">
        <v>194</v>
      </c>
      <c r="E258" t="s">
        <v>582</v>
      </c>
      <c r="F258" t="s">
        <v>689</v>
      </c>
      <c r="G258" t="s">
        <v>690</v>
      </c>
      <c r="H258" t="s">
        <v>691</v>
      </c>
      <c r="I258" t="s">
        <v>209</v>
      </c>
      <c r="J258" t="s">
        <v>176</v>
      </c>
      <c r="K258" s="30">
        <v>43032</v>
      </c>
      <c r="L258" s="8">
        <v>43030.883020833331</v>
      </c>
      <c r="M258" s="21">
        <f>LEN(ProjTextTable[[#This Row],[text]])</f>
        <v>4197</v>
      </c>
      <c r="N258" s="21">
        <f>LEN(TRIM(CLEAN(SUBSTITUTE(ProjTextTable[[#This Row],[text]],CHAR(10)," "))))+1 - LEN(SUBSTITUTE(CLEAN(SUBSTITUTE(ProjTextTable[[#This Row],[text]],CHAR(10)," "))," ",""))</f>
        <v>668</v>
      </c>
      <c r="O258" t="s">
        <v>199</v>
      </c>
      <c r="P258" t="s">
        <v>1225</v>
      </c>
    </row>
    <row r="259" spans="1:16">
      <c r="A259">
        <f t="shared" si="4"/>
        <v>41</v>
      </c>
      <c r="B259" t="s">
        <v>1222</v>
      </c>
      <c r="C259" t="s">
        <v>1223</v>
      </c>
      <c r="D259" t="s">
        <v>194</v>
      </c>
      <c r="E259" t="s">
        <v>582</v>
      </c>
      <c r="F259" t="s">
        <v>611</v>
      </c>
      <c r="G259" t="s">
        <v>612</v>
      </c>
      <c r="H259" t="s">
        <v>613</v>
      </c>
      <c r="I259" t="s">
        <v>209</v>
      </c>
      <c r="J259" t="s">
        <v>176</v>
      </c>
      <c r="K259" s="30">
        <v>43032</v>
      </c>
      <c r="L259" s="8">
        <v>43030.171967592592</v>
      </c>
      <c r="M259" s="21">
        <f>LEN(ProjTextTable[[#This Row],[text]])</f>
        <v>1906</v>
      </c>
      <c r="N259" s="21">
        <f>LEN(TRIM(CLEAN(SUBSTITUTE(ProjTextTable[[#This Row],[text]],CHAR(10)," "))))+1 - LEN(SUBSTITUTE(CLEAN(SUBSTITUTE(ProjTextTable[[#This Row],[text]],CHAR(10)," "))," ",""))</f>
        <v>276</v>
      </c>
      <c r="O259" t="s">
        <v>195</v>
      </c>
      <c r="P259" t="s">
        <v>1226</v>
      </c>
    </row>
    <row r="260" spans="1:16">
      <c r="A260">
        <f t="shared" si="4"/>
        <v>41</v>
      </c>
      <c r="B260" t="s">
        <v>1222</v>
      </c>
      <c r="C260" t="s">
        <v>1223</v>
      </c>
      <c r="D260" t="s">
        <v>194</v>
      </c>
      <c r="E260" t="s">
        <v>582</v>
      </c>
      <c r="F260" t="s">
        <v>591</v>
      </c>
      <c r="G260" t="s">
        <v>592</v>
      </c>
      <c r="H260" t="s">
        <v>593</v>
      </c>
      <c r="I260" t="s">
        <v>209</v>
      </c>
      <c r="J260" t="s">
        <v>176</v>
      </c>
      <c r="K260" s="30">
        <v>43032</v>
      </c>
      <c r="L260" s="8">
        <v>43031.362187500003</v>
      </c>
      <c r="M260" s="21">
        <f>LEN(ProjTextTable[[#This Row],[text]])</f>
        <v>2284</v>
      </c>
      <c r="N260" s="21">
        <f>LEN(TRIM(CLEAN(SUBSTITUTE(ProjTextTable[[#This Row],[text]],CHAR(10)," "))))+1 - LEN(SUBSTITUTE(CLEAN(SUBSTITUTE(ProjTextTable[[#This Row],[text]],CHAR(10)," "))," ",""))</f>
        <v>353</v>
      </c>
      <c r="O260" t="s">
        <v>202</v>
      </c>
      <c r="P260" t="s">
        <v>1227</v>
      </c>
    </row>
    <row r="261" spans="1:16">
      <c r="A261">
        <f t="shared" si="4"/>
        <v>41</v>
      </c>
      <c r="B261" t="s">
        <v>1222</v>
      </c>
      <c r="C261" t="s">
        <v>1223</v>
      </c>
      <c r="D261" t="s">
        <v>194</v>
      </c>
      <c r="E261" t="s">
        <v>582</v>
      </c>
      <c r="F261" t="s">
        <v>712</v>
      </c>
      <c r="G261" t="s">
        <v>713</v>
      </c>
      <c r="H261" t="s">
        <v>714</v>
      </c>
      <c r="I261" t="s">
        <v>209</v>
      </c>
      <c r="J261" t="s">
        <v>176</v>
      </c>
      <c r="K261" s="30">
        <v>43032</v>
      </c>
      <c r="L261" s="8">
        <v>43031.703900462962</v>
      </c>
      <c r="M261" s="21">
        <f>LEN(ProjTextTable[[#This Row],[text]])</f>
        <v>2598</v>
      </c>
      <c r="N261" s="21">
        <f>LEN(TRIM(CLEAN(SUBSTITUTE(ProjTextTable[[#This Row],[text]],CHAR(10)," "))))+1 - LEN(SUBSTITUTE(CLEAN(SUBSTITUTE(ProjTextTable[[#This Row],[text]],CHAR(10)," "))," ",""))</f>
        <v>394</v>
      </c>
      <c r="O261" t="s">
        <v>203</v>
      </c>
      <c r="P261" t="s">
        <v>1228</v>
      </c>
    </row>
    <row r="262" spans="1:16">
      <c r="A262">
        <f t="shared" si="4"/>
        <v>41</v>
      </c>
      <c r="B262" t="s">
        <v>1222</v>
      </c>
      <c r="C262" t="s">
        <v>1223</v>
      </c>
      <c r="D262" t="s">
        <v>196</v>
      </c>
      <c r="E262" t="s">
        <v>944</v>
      </c>
      <c r="F262" t="s">
        <v>13</v>
      </c>
      <c r="G262" t="s">
        <v>13</v>
      </c>
      <c r="H262" t="s">
        <v>13</v>
      </c>
      <c r="K262" s="30"/>
      <c r="L262" s="8">
        <v>42936.045902777776</v>
      </c>
      <c r="M262" s="21">
        <f>LEN(ProjTextTable[[#This Row],[text]])</f>
        <v>3366</v>
      </c>
      <c r="N262" s="21">
        <f>LEN(TRIM(CLEAN(SUBSTITUTE(ProjTextTable[[#This Row],[text]],CHAR(10)," "))))+1 - LEN(SUBSTITUTE(CLEAN(SUBSTITUTE(ProjTextTable[[#This Row],[text]],CHAR(10)," "))," ",""))</f>
        <v>485</v>
      </c>
      <c r="O262" t="s">
        <v>13</v>
      </c>
      <c r="P262" t="s">
        <v>1229</v>
      </c>
    </row>
    <row r="263" spans="1:16">
      <c r="A263">
        <f t="shared" si="4"/>
        <v>42</v>
      </c>
      <c r="B263" t="s">
        <v>1230</v>
      </c>
      <c r="C263" t="s">
        <v>1231</v>
      </c>
      <c r="D263" t="s">
        <v>205</v>
      </c>
      <c r="E263" t="s">
        <v>582</v>
      </c>
      <c r="F263" t="s">
        <v>658</v>
      </c>
      <c r="G263" t="s">
        <v>659</v>
      </c>
      <c r="H263" t="s">
        <v>381</v>
      </c>
      <c r="I263" t="s">
        <v>200</v>
      </c>
      <c r="J263" t="s">
        <v>928</v>
      </c>
      <c r="K263" s="30">
        <v>43059</v>
      </c>
      <c r="L263" s="8"/>
      <c r="M263" s="21">
        <f>LEN(ProjTextTable[[#This Row],[text]])</f>
        <v>2674</v>
      </c>
      <c r="N263" s="21">
        <f>LEN(TRIM(CLEAN(SUBSTITUTE(ProjTextTable[[#This Row],[text]],CHAR(10)," "))))+1 - LEN(SUBSTITUTE(CLEAN(SUBSTITUTE(ProjTextTable[[#This Row],[text]],CHAR(10)," "))," ",""))</f>
        <v>394</v>
      </c>
      <c r="O263" t="s">
        <v>354</v>
      </c>
      <c r="P263" t="s">
        <v>1232</v>
      </c>
    </row>
    <row r="264" spans="1:16">
      <c r="A264">
        <f t="shared" si="4"/>
        <v>42</v>
      </c>
      <c r="B264" t="s">
        <v>1230</v>
      </c>
      <c r="C264" t="s">
        <v>1231</v>
      </c>
      <c r="D264" t="s">
        <v>205</v>
      </c>
      <c r="E264" t="s">
        <v>1233</v>
      </c>
      <c r="F264" t="s">
        <v>1234</v>
      </c>
      <c r="G264" t="s">
        <v>1235</v>
      </c>
      <c r="H264" t="s">
        <v>247</v>
      </c>
      <c r="I264" t="s">
        <v>95</v>
      </c>
      <c r="J264" t="s">
        <v>95</v>
      </c>
      <c r="K264" s="30">
        <v>43073</v>
      </c>
      <c r="L264" s="8"/>
      <c r="M264" s="21">
        <f>LEN(ProjTextTable[[#This Row],[text]])</f>
        <v>4180</v>
      </c>
      <c r="N264" s="21">
        <f>LEN(TRIM(CLEAN(SUBSTITUTE(ProjTextTable[[#This Row],[text]],CHAR(10)," "))))+1 - LEN(SUBSTITUTE(CLEAN(SUBSTITUTE(ProjTextTable[[#This Row],[text]],CHAR(10)," "))," ",""))</f>
        <v>594</v>
      </c>
      <c r="O264" t="s">
        <v>245</v>
      </c>
      <c r="P264" t="s">
        <v>1236</v>
      </c>
    </row>
    <row r="265" spans="1:16">
      <c r="A265">
        <f t="shared" si="4"/>
        <v>42</v>
      </c>
      <c r="B265" t="s">
        <v>1230</v>
      </c>
      <c r="C265" t="s">
        <v>1231</v>
      </c>
      <c r="D265" t="s">
        <v>194</v>
      </c>
      <c r="E265" t="s">
        <v>1233</v>
      </c>
      <c r="F265" t="s">
        <v>993</v>
      </c>
      <c r="G265" t="s">
        <v>994</v>
      </c>
      <c r="H265" t="s">
        <v>995</v>
      </c>
      <c r="I265" t="s">
        <v>209</v>
      </c>
      <c r="J265" t="s">
        <v>176</v>
      </c>
      <c r="K265" s="30">
        <v>43060</v>
      </c>
      <c r="L265" s="8">
        <v>43056.609085648146</v>
      </c>
      <c r="M265" s="21">
        <f>LEN(ProjTextTable[[#This Row],[text]])</f>
        <v>3303</v>
      </c>
      <c r="N265" s="21">
        <f>LEN(TRIM(CLEAN(SUBSTITUTE(ProjTextTable[[#This Row],[text]],CHAR(10)," "))))+1 - LEN(SUBSTITUTE(CLEAN(SUBSTITUTE(ProjTextTable[[#This Row],[text]],CHAR(10)," "))," ",""))</f>
        <v>519</v>
      </c>
      <c r="O265" t="s">
        <v>201</v>
      </c>
      <c r="P265" t="s">
        <v>1237</v>
      </c>
    </row>
    <row r="266" spans="1:16">
      <c r="A266">
        <f t="shared" si="4"/>
        <v>42</v>
      </c>
      <c r="B266" t="s">
        <v>1230</v>
      </c>
      <c r="C266" t="s">
        <v>1231</v>
      </c>
      <c r="D266" t="s">
        <v>194</v>
      </c>
      <c r="E266" t="s">
        <v>1233</v>
      </c>
      <c r="F266" t="s">
        <v>661</v>
      </c>
      <c r="G266" t="s">
        <v>662</v>
      </c>
      <c r="H266" t="s">
        <v>663</v>
      </c>
      <c r="I266" t="s">
        <v>209</v>
      </c>
      <c r="J266" t="s">
        <v>176</v>
      </c>
      <c r="K266" s="30">
        <v>43060</v>
      </c>
      <c r="L266" s="8">
        <v>43057.831296296295</v>
      </c>
      <c r="M266" s="21">
        <f>LEN(ProjTextTable[[#This Row],[text]])</f>
        <v>2328</v>
      </c>
      <c r="N266" s="21">
        <f>LEN(TRIM(CLEAN(SUBSTITUTE(ProjTextTable[[#This Row],[text]],CHAR(10)," "))))+1 - LEN(SUBSTITUTE(CLEAN(SUBSTITUTE(ProjTextTable[[#This Row],[text]],CHAR(10)," "))," ",""))</f>
        <v>349</v>
      </c>
      <c r="O266" t="s">
        <v>203</v>
      </c>
      <c r="P266" t="s">
        <v>1238</v>
      </c>
    </row>
    <row r="267" spans="1:16">
      <c r="A267">
        <f t="shared" si="4"/>
        <v>42</v>
      </c>
      <c r="B267" t="s">
        <v>1230</v>
      </c>
      <c r="C267" t="s">
        <v>1231</v>
      </c>
      <c r="D267" t="s">
        <v>194</v>
      </c>
      <c r="E267" t="s">
        <v>1233</v>
      </c>
      <c r="F267" t="s">
        <v>1239</v>
      </c>
      <c r="G267" t="s">
        <v>535</v>
      </c>
      <c r="H267" t="s">
        <v>1240</v>
      </c>
      <c r="I267" t="s">
        <v>209</v>
      </c>
      <c r="J267" t="s">
        <v>176</v>
      </c>
      <c r="K267" s="30">
        <v>43074</v>
      </c>
      <c r="L267" s="8">
        <v>43072.524259259262</v>
      </c>
      <c r="M267" s="21">
        <f>LEN(ProjTextTable[[#This Row],[text]])</f>
        <v>4364</v>
      </c>
      <c r="N267" s="21">
        <f>LEN(TRIM(CLEAN(SUBSTITUTE(ProjTextTable[[#This Row],[text]],CHAR(10)," "))))+1 - LEN(SUBSTITUTE(CLEAN(SUBSTITUTE(ProjTextTable[[#This Row],[text]],CHAR(10)," "))," ",""))</f>
        <v>684</v>
      </c>
      <c r="O267" t="s">
        <v>198</v>
      </c>
      <c r="P267" t="s">
        <v>1241</v>
      </c>
    </row>
    <row r="268" spans="1:16">
      <c r="A268">
        <f t="shared" si="4"/>
        <v>42</v>
      </c>
      <c r="B268" t="s">
        <v>1230</v>
      </c>
      <c r="C268" t="s">
        <v>1231</v>
      </c>
      <c r="D268" t="s">
        <v>194</v>
      </c>
      <c r="E268" t="s">
        <v>1233</v>
      </c>
      <c r="F268" t="s">
        <v>1144</v>
      </c>
      <c r="G268" t="s">
        <v>1145</v>
      </c>
      <c r="H268" t="s">
        <v>1146</v>
      </c>
      <c r="I268" t="s">
        <v>209</v>
      </c>
      <c r="J268" t="s">
        <v>176</v>
      </c>
      <c r="K268" s="30">
        <v>43060</v>
      </c>
      <c r="L268" s="8">
        <v>43059.316354166665</v>
      </c>
      <c r="M268" s="21">
        <f>LEN(ProjTextTable[[#This Row],[text]])</f>
        <v>1896</v>
      </c>
      <c r="N268" s="21">
        <f>LEN(TRIM(CLEAN(SUBSTITUTE(ProjTextTable[[#This Row],[text]],CHAR(10)," "))))+1 - LEN(SUBSTITUTE(CLEAN(SUBSTITUTE(ProjTextTable[[#This Row],[text]],CHAR(10)," "))," ",""))</f>
        <v>276</v>
      </c>
      <c r="O268" t="s">
        <v>195</v>
      </c>
      <c r="P268" t="s">
        <v>1242</v>
      </c>
    </row>
    <row r="269" spans="1:16">
      <c r="A269">
        <f t="shared" si="4"/>
        <v>42</v>
      </c>
      <c r="B269" t="s">
        <v>1230</v>
      </c>
      <c r="C269" t="s">
        <v>1231</v>
      </c>
      <c r="D269" t="s">
        <v>194</v>
      </c>
      <c r="E269" t="s">
        <v>1233</v>
      </c>
      <c r="F269" t="s">
        <v>1243</v>
      </c>
      <c r="G269" t="s">
        <v>1244</v>
      </c>
      <c r="H269" t="s">
        <v>1245</v>
      </c>
      <c r="I269" t="s">
        <v>209</v>
      </c>
      <c r="J269" t="s">
        <v>176</v>
      </c>
      <c r="K269" s="30">
        <v>43074</v>
      </c>
      <c r="L269" s="8">
        <v>43072.654861111114</v>
      </c>
      <c r="M269" s="21">
        <f>LEN(ProjTextTable[[#This Row],[text]])</f>
        <v>4756</v>
      </c>
      <c r="N269" s="21">
        <f>LEN(TRIM(CLEAN(SUBSTITUTE(ProjTextTable[[#This Row],[text]],CHAR(10)," "))))+1 - LEN(SUBSTITUTE(CLEAN(SUBSTITUTE(ProjTextTable[[#This Row],[text]],CHAR(10)," "))," ",""))</f>
        <v>728</v>
      </c>
      <c r="O269" t="s">
        <v>198</v>
      </c>
      <c r="P269" t="s">
        <v>1246</v>
      </c>
    </row>
    <row r="270" spans="1:16">
      <c r="A270">
        <f t="shared" si="4"/>
        <v>42</v>
      </c>
      <c r="B270" t="s">
        <v>1230</v>
      </c>
      <c r="C270" t="s">
        <v>1231</v>
      </c>
      <c r="D270" t="s">
        <v>194</v>
      </c>
      <c r="E270" t="s">
        <v>1233</v>
      </c>
      <c r="F270" t="s">
        <v>1247</v>
      </c>
      <c r="G270" t="s">
        <v>1248</v>
      </c>
      <c r="H270" t="s">
        <v>1249</v>
      </c>
      <c r="I270" t="s">
        <v>209</v>
      </c>
      <c r="J270" t="s">
        <v>176</v>
      </c>
      <c r="K270" s="30">
        <v>43074</v>
      </c>
      <c r="L270" s="8">
        <v>43072.91814814815</v>
      </c>
      <c r="M270" s="21">
        <f>LEN(ProjTextTable[[#This Row],[text]])</f>
        <v>3560</v>
      </c>
      <c r="N270" s="21">
        <f>LEN(TRIM(CLEAN(SUBSTITUTE(ProjTextTable[[#This Row],[text]],CHAR(10)," "))))+1 - LEN(SUBSTITUTE(CLEAN(SUBSTITUTE(ProjTextTable[[#This Row],[text]],CHAR(10)," "))," ",""))</f>
        <v>531</v>
      </c>
      <c r="O270" t="s">
        <v>198</v>
      </c>
      <c r="P270" t="s">
        <v>1250</v>
      </c>
    </row>
    <row r="271" spans="1:16">
      <c r="A271">
        <f t="shared" si="4"/>
        <v>42</v>
      </c>
      <c r="B271" t="s">
        <v>1230</v>
      </c>
      <c r="C271" t="s">
        <v>1231</v>
      </c>
      <c r="D271" t="s">
        <v>194</v>
      </c>
      <c r="E271" t="s">
        <v>1233</v>
      </c>
      <c r="F271" t="s">
        <v>1251</v>
      </c>
      <c r="G271" t="s">
        <v>1252</v>
      </c>
      <c r="H271" t="s">
        <v>1253</v>
      </c>
      <c r="I271" t="s">
        <v>209</v>
      </c>
      <c r="J271" t="s">
        <v>176</v>
      </c>
      <c r="K271" s="30">
        <v>43074</v>
      </c>
      <c r="L271" s="8">
        <v>43073.748368055552</v>
      </c>
      <c r="M271" s="21">
        <f>LEN(ProjTextTable[[#This Row],[text]])</f>
        <v>2982</v>
      </c>
      <c r="N271" s="21">
        <f>LEN(TRIM(CLEAN(SUBSTITUTE(ProjTextTable[[#This Row],[text]],CHAR(10)," "))))+1 - LEN(SUBSTITUTE(CLEAN(SUBSTITUTE(ProjTextTable[[#This Row],[text]],CHAR(10)," "))," ",""))</f>
        <v>457</v>
      </c>
      <c r="O271" t="s">
        <v>195</v>
      </c>
      <c r="P271" t="s">
        <v>1254</v>
      </c>
    </row>
    <row r="272" spans="1:16">
      <c r="A272">
        <f t="shared" si="4"/>
        <v>42</v>
      </c>
      <c r="B272" t="s">
        <v>1230</v>
      </c>
      <c r="C272" t="s">
        <v>1231</v>
      </c>
      <c r="D272" t="s">
        <v>196</v>
      </c>
      <c r="E272" t="s">
        <v>1233</v>
      </c>
      <c r="F272" t="s">
        <v>13</v>
      </c>
      <c r="G272" t="s">
        <v>13</v>
      </c>
      <c r="H272" t="s">
        <v>13</v>
      </c>
      <c r="K272" s="30"/>
      <c r="L272" s="8">
        <v>42951.042847222219</v>
      </c>
      <c r="M272" s="21">
        <f>LEN(ProjTextTable[[#This Row],[text]])</f>
        <v>4320</v>
      </c>
      <c r="N272" s="21">
        <f>LEN(TRIM(CLEAN(SUBSTITUTE(ProjTextTable[[#This Row],[text]],CHAR(10)," "))))+1 - LEN(SUBSTITUTE(CLEAN(SUBSTITUTE(ProjTextTable[[#This Row],[text]],CHAR(10)," "))," ",""))</f>
        <v>613</v>
      </c>
      <c r="O272" t="s">
        <v>13</v>
      </c>
      <c r="P272" t="s">
        <v>1255</v>
      </c>
    </row>
    <row r="273" spans="1:16">
      <c r="A273">
        <f t="shared" si="4"/>
        <v>43</v>
      </c>
      <c r="B273" t="s">
        <v>1256</v>
      </c>
      <c r="C273" t="s">
        <v>1257</v>
      </c>
      <c r="D273" t="s">
        <v>205</v>
      </c>
      <c r="E273" t="s">
        <v>582</v>
      </c>
      <c r="F273" t="s">
        <v>658</v>
      </c>
      <c r="G273" t="s">
        <v>659</v>
      </c>
      <c r="H273" t="s">
        <v>251</v>
      </c>
      <c r="I273" t="s">
        <v>193</v>
      </c>
      <c r="J273" t="s">
        <v>255</v>
      </c>
      <c r="K273" s="30">
        <v>43059</v>
      </c>
      <c r="L273" s="8"/>
      <c r="M273" s="21">
        <f>LEN(ProjTextTable[[#This Row],[text]])</f>
        <v>3445</v>
      </c>
      <c r="N273" s="21">
        <f>LEN(TRIM(CLEAN(SUBSTITUTE(ProjTextTable[[#This Row],[text]],CHAR(10)," "))))+1 - LEN(SUBSTITUTE(CLEAN(SUBSTITUTE(ProjTextTable[[#This Row],[text]],CHAR(10)," "))," ",""))</f>
        <v>509</v>
      </c>
      <c r="O273" t="s">
        <v>250</v>
      </c>
      <c r="P273" t="s">
        <v>1258</v>
      </c>
    </row>
    <row r="274" spans="1:16">
      <c r="A274">
        <f t="shared" si="4"/>
        <v>43</v>
      </c>
      <c r="B274" t="s">
        <v>1256</v>
      </c>
      <c r="C274" t="s">
        <v>1257</v>
      </c>
      <c r="D274" t="s">
        <v>194</v>
      </c>
      <c r="E274" t="s">
        <v>582</v>
      </c>
      <c r="F274" t="s">
        <v>993</v>
      </c>
      <c r="G274" t="s">
        <v>994</v>
      </c>
      <c r="H274" t="s">
        <v>995</v>
      </c>
      <c r="I274" t="s">
        <v>209</v>
      </c>
      <c r="J274" t="s">
        <v>176</v>
      </c>
      <c r="K274" s="30">
        <v>43060</v>
      </c>
      <c r="L274" s="8">
        <v>43056.617256944446</v>
      </c>
      <c r="M274" s="21">
        <f>LEN(ProjTextTable[[#This Row],[text]])</f>
        <v>2679</v>
      </c>
      <c r="N274" s="21">
        <f>LEN(TRIM(CLEAN(SUBSTITUTE(ProjTextTable[[#This Row],[text]],CHAR(10)," "))))+1 - LEN(SUBSTITUTE(CLEAN(SUBSTITUTE(ProjTextTable[[#This Row],[text]],CHAR(10)," "))," ",""))</f>
        <v>403</v>
      </c>
      <c r="O274" t="s">
        <v>203</v>
      </c>
      <c r="P274" t="s">
        <v>1259</v>
      </c>
    </row>
    <row r="275" spans="1:16">
      <c r="A275">
        <f t="shared" si="4"/>
        <v>43</v>
      </c>
      <c r="B275" t="s">
        <v>1256</v>
      </c>
      <c r="C275" t="s">
        <v>1257</v>
      </c>
      <c r="D275" t="s">
        <v>194</v>
      </c>
      <c r="E275" t="s">
        <v>582</v>
      </c>
      <c r="F275" t="s">
        <v>661</v>
      </c>
      <c r="G275" t="s">
        <v>662</v>
      </c>
      <c r="H275" t="s">
        <v>663</v>
      </c>
      <c r="I275" t="s">
        <v>209</v>
      </c>
      <c r="J275" t="s">
        <v>176</v>
      </c>
      <c r="K275" s="30">
        <v>43060</v>
      </c>
      <c r="L275" s="8">
        <v>43057.974942129629</v>
      </c>
      <c r="M275" s="21">
        <f>LEN(ProjTextTable[[#This Row],[text]])</f>
        <v>2862</v>
      </c>
      <c r="N275" s="21">
        <f>LEN(TRIM(CLEAN(SUBSTITUTE(ProjTextTable[[#This Row],[text]],CHAR(10)," "))))+1 - LEN(SUBSTITUTE(CLEAN(SUBSTITUTE(ProjTextTable[[#This Row],[text]],CHAR(10)," "))," ",""))</f>
        <v>415</v>
      </c>
      <c r="O275" t="s">
        <v>201</v>
      </c>
      <c r="P275" t="s">
        <v>1260</v>
      </c>
    </row>
    <row r="276" spans="1:16">
      <c r="A276">
        <f t="shared" si="4"/>
        <v>43</v>
      </c>
      <c r="B276" t="s">
        <v>1256</v>
      </c>
      <c r="C276" t="s">
        <v>1257</v>
      </c>
      <c r="D276" t="s">
        <v>194</v>
      </c>
      <c r="E276" t="s">
        <v>582</v>
      </c>
      <c r="F276" t="s">
        <v>673</v>
      </c>
      <c r="G276" t="s">
        <v>674</v>
      </c>
      <c r="H276" t="s">
        <v>675</v>
      </c>
      <c r="I276" t="s">
        <v>209</v>
      </c>
      <c r="J276" t="s">
        <v>176</v>
      </c>
      <c r="K276" s="30">
        <v>43060</v>
      </c>
      <c r="L276" s="8">
        <v>43060.386817129627</v>
      </c>
      <c r="M276" s="21">
        <f>LEN(ProjTextTable[[#This Row],[text]])</f>
        <v>4923</v>
      </c>
      <c r="N276" s="21">
        <f>LEN(TRIM(CLEAN(SUBSTITUTE(ProjTextTable[[#This Row],[text]],CHAR(10)," "))))+1 - LEN(SUBSTITUTE(CLEAN(SUBSTITUTE(ProjTextTable[[#This Row],[text]],CHAR(10)," "))," ",""))</f>
        <v>752</v>
      </c>
      <c r="O276" t="s">
        <v>195</v>
      </c>
      <c r="P276" t="s">
        <v>1261</v>
      </c>
    </row>
    <row r="277" spans="1:16">
      <c r="A277">
        <f t="shared" si="4"/>
        <v>43</v>
      </c>
      <c r="B277" t="s">
        <v>1256</v>
      </c>
      <c r="C277" t="s">
        <v>1257</v>
      </c>
      <c r="D277" t="s">
        <v>196</v>
      </c>
      <c r="E277" t="s">
        <v>582</v>
      </c>
      <c r="F277" t="s">
        <v>13</v>
      </c>
      <c r="G277" t="s">
        <v>13</v>
      </c>
      <c r="H277" t="s">
        <v>13</v>
      </c>
      <c r="K277" s="30"/>
      <c r="L277" s="8">
        <v>42955.042557870373</v>
      </c>
      <c r="M277" s="21">
        <f>LEN(ProjTextTable[[#This Row],[text]])</f>
        <v>4167</v>
      </c>
      <c r="N277" s="21">
        <f>LEN(TRIM(CLEAN(SUBSTITUTE(ProjTextTable[[#This Row],[text]],CHAR(10)," "))))+1 - LEN(SUBSTITUTE(CLEAN(SUBSTITUTE(ProjTextTable[[#This Row],[text]],CHAR(10)," "))," ",""))</f>
        <v>598</v>
      </c>
      <c r="O277" t="s">
        <v>13</v>
      </c>
      <c r="P277" t="s">
        <v>1262</v>
      </c>
    </row>
    <row r="278" spans="1:16">
      <c r="A278">
        <f t="shared" si="4"/>
        <v>44</v>
      </c>
      <c r="B278" t="s">
        <v>1263</v>
      </c>
      <c r="C278" t="s">
        <v>342</v>
      </c>
      <c r="D278" t="s">
        <v>205</v>
      </c>
      <c r="E278" t="s">
        <v>582</v>
      </c>
      <c r="F278" t="s">
        <v>583</v>
      </c>
      <c r="G278" t="s">
        <v>584</v>
      </c>
      <c r="H278" t="s">
        <v>381</v>
      </c>
      <c r="I278" t="s">
        <v>200</v>
      </c>
      <c r="J278" t="s">
        <v>255</v>
      </c>
      <c r="K278" s="30">
        <v>43031</v>
      </c>
      <c r="L278" s="8">
        <v>43075.684641203705</v>
      </c>
      <c r="M278" s="21">
        <f>LEN(ProjTextTable[[#This Row],[text]])</f>
        <v>2162</v>
      </c>
      <c r="N278" s="21">
        <f>LEN(TRIM(CLEAN(SUBSTITUTE(ProjTextTable[[#This Row],[text]],CHAR(10)," "))))+1 - LEN(SUBSTITUTE(CLEAN(SUBSTITUTE(ProjTextTable[[#This Row],[text]],CHAR(10)," "))," ",""))</f>
        <v>303</v>
      </c>
      <c r="O278" t="s">
        <v>354</v>
      </c>
      <c r="P278" t="s">
        <v>1264</v>
      </c>
    </row>
    <row r="279" spans="1:16">
      <c r="A279">
        <f t="shared" si="4"/>
        <v>44</v>
      </c>
      <c r="B279" t="s">
        <v>1263</v>
      </c>
      <c r="C279" t="s">
        <v>342</v>
      </c>
      <c r="D279" t="s">
        <v>194</v>
      </c>
      <c r="E279" t="s">
        <v>582</v>
      </c>
      <c r="F279" t="s">
        <v>607</v>
      </c>
      <c r="G279" t="s">
        <v>608</v>
      </c>
      <c r="H279" t="s">
        <v>609</v>
      </c>
      <c r="I279" t="s">
        <v>209</v>
      </c>
      <c r="J279" t="s">
        <v>176</v>
      </c>
      <c r="K279" s="30">
        <v>43032</v>
      </c>
      <c r="L279" s="8">
        <v>43026.986875000002</v>
      </c>
      <c r="M279" s="21">
        <f>LEN(ProjTextTable[[#This Row],[text]])</f>
        <v>1796</v>
      </c>
      <c r="N279" s="21">
        <f>LEN(TRIM(CLEAN(SUBSTITUTE(ProjTextTable[[#This Row],[text]],CHAR(10)," "))))+1 - LEN(SUBSTITUTE(CLEAN(SUBSTITUTE(ProjTextTable[[#This Row],[text]],CHAR(10)," "))," ",""))</f>
        <v>279</v>
      </c>
      <c r="O279" t="s">
        <v>201</v>
      </c>
      <c r="P279" t="s">
        <v>1265</v>
      </c>
    </row>
    <row r="280" spans="1:16">
      <c r="A280">
        <f t="shared" si="4"/>
        <v>44</v>
      </c>
      <c r="B280" t="s">
        <v>1263</v>
      </c>
      <c r="C280" t="s">
        <v>342</v>
      </c>
      <c r="D280" t="s">
        <v>194</v>
      </c>
      <c r="E280" t="s">
        <v>582</v>
      </c>
      <c r="F280" t="s">
        <v>712</v>
      </c>
      <c r="G280" t="s">
        <v>713</v>
      </c>
      <c r="H280" t="s">
        <v>714</v>
      </c>
      <c r="I280" t="s">
        <v>209</v>
      </c>
      <c r="J280" t="s">
        <v>176</v>
      </c>
      <c r="K280" s="30">
        <v>43032</v>
      </c>
      <c r="L280" s="8">
        <v>43027.924050925925</v>
      </c>
      <c r="M280" s="21">
        <f>LEN(ProjTextTable[[#This Row],[text]])</f>
        <v>2309</v>
      </c>
      <c r="N280" s="21">
        <f>LEN(TRIM(CLEAN(SUBSTITUTE(ProjTextTable[[#This Row],[text]],CHAR(10)," "))))+1 - LEN(SUBSTITUTE(CLEAN(SUBSTITUTE(ProjTextTable[[#This Row],[text]],CHAR(10)," "))," ",""))</f>
        <v>353</v>
      </c>
      <c r="O280" t="s">
        <v>203</v>
      </c>
      <c r="P280" t="s">
        <v>1266</v>
      </c>
    </row>
    <row r="281" spans="1:16">
      <c r="A281">
        <f t="shared" si="4"/>
        <v>44</v>
      </c>
      <c r="B281" t="s">
        <v>1263</v>
      </c>
      <c r="C281" t="s">
        <v>342</v>
      </c>
      <c r="D281" t="s">
        <v>194</v>
      </c>
      <c r="E281" t="s">
        <v>582</v>
      </c>
      <c r="F281" t="s">
        <v>595</v>
      </c>
      <c r="G281" t="s">
        <v>596</v>
      </c>
      <c r="H281" t="s">
        <v>597</v>
      </c>
      <c r="I281" t="s">
        <v>209</v>
      </c>
      <c r="J281" t="s">
        <v>176</v>
      </c>
      <c r="K281" s="30">
        <v>43032</v>
      </c>
      <c r="L281" s="8">
        <v>43030.984317129631</v>
      </c>
      <c r="M281" s="21">
        <f>LEN(ProjTextTable[[#This Row],[text]])</f>
        <v>1903</v>
      </c>
      <c r="N281" s="21">
        <f>LEN(TRIM(CLEAN(SUBSTITUTE(ProjTextTable[[#This Row],[text]],CHAR(10)," "))))+1 - LEN(SUBSTITUTE(CLEAN(SUBSTITUTE(ProjTextTable[[#This Row],[text]],CHAR(10)," "))," ",""))</f>
        <v>283</v>
      </c>
      <c r="O281" t="s">
        <v>201</v>
      </c>
      <c r="P281" t="s">
        <v>1267</v>
      </c>
    </row>
    <row r="282" spans="1:16">
      <c r="A282">
        <f t="shared" si="4"/>
        <v>44</v>
      </c>
      <c r="B282" t="s">
        <v>1263</v>
      </c>
      <c r="C282" t="s">
        <v>342</v>
      </c>
      <c r="D282" t="s">
        <v>194</v>
      </c>
      <c r="E282" t="s">
        <v>582</v>
      </c>
      <c r="F282" t="s">
        <v>630</v>
      </c>
      <c r="G282" t="s">
        <v>631</v>
      </c>
      <c r="H282" t="s">
        <v>632</v>
      </c>
      <c r="I282" t="s">
        <v>209</v>
      </c>
      <c r="J282" t="s">
        <v>176</v>
      </c>
      <c r="K282" s="30">
        <v>43032</v>
      </c>
      <c r="L282" s="8">
        <v>43031.775856481479</v>
      </c>
      <c r="M282" s="21">
        <f>LEN(ProjTextTable[[#This Row],[text]])</f>
        <v>1055</v>
      </c>
      <c r="N282" s="21">
        <f>LEN(TRIM(CLEAN(SUBSTITUTE(ProjTextTable[[#This Row],[text]],CHAR(10)," "))))+1 - LEN(SUBSTITUTE(CLEAN(SUBSTITUTE(ProjTextTable[[#This Row],[text]],CHAR(10)," "))," ",""))</f>
        <v>153</v>
      </c>
      <c r="O282" t="s">
        <v>201</v>
      </c>
      <c r="P282" t="s">
        <v>1268</v>
      </c>
    </row>
    <row r="283" spans="1:16">
      <c r="A283">
        <f t="shared" si="4"/>
        <v>45</v>
      </c>
      <c r="B283" t="s">
        <v>1269</v>
      </c>
      <c r="C283" t="s">
        <v>1270</v>
      </c>
      <c r="D283" t="s">
        <v>205</v>
      </c>
      <c r="E283" t="s">
        <v>582</v>
      </c>
      <c r="F283" t="s">
        <v>658</v>
      </c>
      <c r="G283" t="s">
        <v>659</v>
      </c>
      <c r="H283" t="s">
        <v>207</v>
      </c>
      <c r="I283" t="s">
        <v>197</v>
      </c>
      <c r="J283" t="s">
        <v>200</v>
      </c>
      <c r="K283" s="30">
        <v>43059</v>
      </c>
      <c r="L283" s="8"/>
      <c r="M283" s="21">
        <f>LEN(ProjTextTable[[#This Row],[text]])</f>
        <v>3096</v>
      </c>
      <c r="N283" s="21">
        <f>LEN(TRIM(CLEAN(SUBSTITUTE(ProjTextTable[[#This Row],[text]],CHAR(10)," "))))+1 - LEN(SUBSTITUTE(CLEAN(SUBSTITUTE(ProjTextTable[[#This Row],[text]],CHAR(10)," "))," ",""))</f>
        <v>454</v>
      </c>
      <c r="O283" t="s">
        <v>208</v>
      </c>
      <c r="P283" t="s">
        <v>1271</v>
      </c>
    </row>
    <row r="284" spans="1:16">
      <c r="A284">
        <f t="shared" si="4"/>
        <v>45</v>
      </c>
      <c r="B284" t="s">
        <v>1269</v>
      </c>
      <c r="C284" t="s">
        <v>1270</v>
      </c>
      <c r="D284" t="s">
        <v>194</v>
      </c>
      <c r="E284" t="s">
        <v>944</v>
      </c>
      <c r="F284" t="s">
        <v>661</v>
      </c>
      <c r="G284" t="s">
        <v>662</v>
      </c>
      <c r="H284" t="s">
        <v>663</v>
      </c>
      <c r="I284" t="s">
        <v>209</v>
      </c>
      <c r="J284" t="s">
        <v>176</v>
      </c>
      <c r="K284" s="30">
        <v>43060</v>
      </c>
      <c r="L284" s="8">
        <v>43059.033379629633</v>
      </c>
      <c r="M284" s="21">
        <f>LEN(ProjTextTable[[#This Row],[text]])</f>
        <v>1750</v>
      </c>
      <c r="N284" s="21">
        <f>LEN(TRIM(CLEAN(SUBSTITUTE(ProjTextTable[[#This Row],[text]],CHAR(10)," "))))+1 - LEN(SUBSTITUTE(CLEAN(SUBSTITUTE(ProjTextTable[[#This Row],[text]],CHAR(10)," "))," ",""))</f>
        <v>248</v>
      </c>
      <c r="O284" t="s">
        <v>199</v>
      </c>
      <c r="P284" t="s">
        <v>1272</v>
      </c>
    </row>
    <row r="285" spans="1:16">
      <c r="A285">
        <f t="shared" si="4"/>
        <v>45</v>
      </c>
      <c r="B285" t="s">
        <v>1269</v>
      </c>
      <c r="C285" t="s">
        <v>1270</v>
      </c>
      <c r="D285" t="s">
        <v>194</v>
      </c>
      <c r="E285" t="s">
        <v>582</v>
      </c>
      <c r="F285" t="s">
        <v>665</v>
      </c>
      <c r="G285" t="s">
        <v>666</v>
      </c>
      <c r="H285" t="s">
        <v>667</v>
      </c>
      <c r="I285" t="s">
        <v>209</v>
      </c>
      <c r="J285" t="s">
        <v>176</v>
      </c>
      <c r="K285" s="30">
        <v>43060</v>
      </c>
      <c r="L285" s="8">
        <v>43060.398402777777</v>
      </c>
      <c r="M285" s="21">
        <f>LEN(ProjTextTable[[#This Row],[text]])</f>
        <v>1643</v>
      </c>
      <c r="N285" s="21">
        <f>LEN(TRIM(CLEAN(SUBSTITUTE(ProjTextTable[[#This Row],[text]],CHAR(10)," "))))+1 - LEN(SUBSTITUTE(CLEAN(SUBSTITUTE(ProjTextTable[[#This Row],[text]],CHAR(10)," "))," ",""))</f>
        <v>240</v>
      </c>
      <c r="O285" t="s">
        <v>202</v>
      </c>
      <c r="P285" t="s">
        <v>1273</v>
      </c>
    </row>
    <row r="286" spans="1:16">
      <c r="A286">
        <f t="shared" si="4"/>
        <v>45</v>
      </c>
      <c r="B286" t="s">
        <v>1269</v>
      </c>
      <c r="C286" t="s">
        <v>1270</v>
      </c>
      <c r="D286" t="s">
        <v>194</v>
      </c>
      <c r="E286" t="s">
        <v>582</v>
      </c>
      <c r="F286" t="s">
        <v>930</v>
      </c>
      <c r="G286" t="s">
        <v>931</v>
      </c>
      <c r="H286" t="s">
        <v>932</v>
      </c>
      <c r="I286" t="s">
        <v>209</v>
      </c>
      <c r="J286" t="s">
        <v>176</v>
      </c>
      <c r="K286" s="30">
        <v>43060</v>
      </c>
      <c r="L286" s="8">
        <v>43058.877210648148</v>
      </c>
      <c r="M286" s="21">
        <f>LEN(ProjTextTable[[#This Row],[text]])</f>
        <v>3453</v>
      </c>
      <c r="N286" s="21">
        <f>LEN(TRIM(CLEAN(SUBSTITUTE(ProjTextTable[[#This Row],[text]],CHAR(10)," "))))+1 - LEN(SUBSTITUTE(CLEAN(SUBSTITUTE(ProjTextTable[[#This Row],[text]],CHAR(10)," "))," ",""))</f>
        <v>511</v>
      </c>
      <c r="O286" t="s">
        <v>195</v>
      </c>
      <c r="P286" t="s">
        <v>1274</v>
      </c>
    </row>
    <row r="287" spans="1:16">
      <c r="A287">
        <f t="shared" si="4"/>
        <v>45</v>
      </c>
      <c r="B287" t="s">
        <v>1269</v>
      </c>
      <c r="C287" t="s">
        <v>1270</v>
      </c>
      <c r="D287" t="s">
        <v>194</v>
      </c>
      <c r="E287" t="s">
        <v>582</v>
      </c>
      <c r="F287" t="s">
        <v>933</v>
      </c>
      <c r="G287" t="s">
        <v>934</v>
      </c>
      <c r="H287" t="s">
        <v>935</v>
      </c>
      <c r="I287" t="s">
        <v>209</v>
      </c>
      <c r="J287" t="s">
        <v>176</v>
      </c>
      <c r="K287" s="30">
        <v>43060</v>
      </c>
      <c r="L287" s="8">
        <v>43059.06417824074</v>
      </c>
      <c r="M287" s="21">
        <f>LEN(ProjTextTable[[#This Row],[text]])</f>
        <v>817</v>
      </c>
      <c r="N287" s="21">
        <f>LEN(TRIM(CLEAN(SUBSTITUTE(ProjTextTable[[#This Row],[text]],CHAR(10)," "))))+1 - LEN(SUBSTITUTE(CLEAN(SUBSTITUTE(ProjTextTable[[#This Row],[text]],CHAR(10)," "))," ",""))</f>
        <v>129</v>
      </c>
      <c r="O287" t="s">
        <v>176</v>
      </c>
      <c r="P287" t="s">
        <v>1275</v>
      </c>
    </row>
    <row r="288" spans="1:16">
      <c r="A288">
        <f t="shared" si="4"/>
        <v>45</v>
      </c>
      <c r="B288" t="s">
        <v>1269</v>
      </c>
      <c r="C288" t="s">
        <v>1270</v>
      </c>
      <c r="D288" t="s">
        <v>196</v>
      </c>
      <c r="E288" t="s">
        <v>944</v>
      </c>
      <c r="F288" t="s">
        <v>13</v>
      </c>
      <c r="G288" t="s">
        <v>13</v>
      </c>
      <c r="H288" t="s">
        <v>13</v>
      </c>
      <c r="K288" s="30"/>
      <c r="L288" s="8">
        <v>42956.042430555557</v>
      </c>
      <c r="M288" s="21">
        <f>LEN(ProjTextTable[[#This Row],[text]])</f>
        <v>3167</v>
      </c>
      <c r="N288" s="21">
        <f>LEN(TRIM(CLEAN(SUBSTITUTE(ProjTextTable[[#This Row],[text]],CHAR(10)," "))))+1 - LEN(SUBSTITUTE(CLEAN(SUBSTITUTE(ProjTextTable[[#This Row],[text]],CHAR(10)," "))," ",""))</f>
        <v>430</v>
      </c>
      <c r="O288" t="s">
        <v>13</v>
      </c>
      <c r="P288" t="s">
        <v>1276</v>
      </c>
    </row>
    <row r="289" spans="1:16">
      <c r="A289">
        <f t="shared" si="4"/>
        <v>46</v>
      </c>
      <c r="B289" t="s">
        <v>1277</v>
      </c>
      <c r="C289" t="s">
        <v>1145</v>
      </c>
      <c r="D289" t="s">
        <v>205</v>
      </c>
      <c r="E289" t="s">
        <v>582</v>
      </c>
      <c r="F289" t="s">
        <v>658</v>
      </c>
      <c r="G289" t="s">
        <v>659</v>
      </c>
      <c r="H289" t="s">
        <v>247</v>
      </c>
      <c r="I289" t="s">
        <v>95</v>
      </c>
      <c r="J289" t="s">
        <v>197</v>
      </c>
      <c r="K289" s="30">
        <v>43059</v>
      </c>
      <c r="L289" s="8"/>
      <c r="M289" s="21">
        <f>LEN(ProjTextTable[[#This Row],[text]])</f>
        <v>4255</v>
      </c>
      <c r="N289" s="21">
        <f>LEN(TRIM(CLEAN(SUBSTITUTE(ProjTextTable[[#This Row],[text]],CHAR(10)," "))))+1 - LEN(SUBSTITUTE(CLEAN(SUBSTITUTE(ProjTextTable[[#This Row],[text]],CHAR(10)," "))," ",""))</f>
        <v>654</v>
      </c>
      <c r="O289" t="s">
        <v>245</v>
      </c>
      <c r="P289" t="s">
        <v>1278</v>
      </c>
    </row>
    <row r="290" spans="1:16">
      <c r="A290">
        <f t="shared" si="4"/>
        <v>46</v>
      </c>
      <c r="B290" t="s">
        <v>1277</v>
      </c>
      <c r="C290" t="s">
        <v>1145</v>
      </c>
      <c r="D290" t="s">
        <v>194</v>
      </c>
      <c r="E290" t="s">
        <v>582</v>
      </c>
      <c r="F290" t="s">
        <v>993</v>
      </c>
      <c r="G290" t="s">
        <v>994</v>
      </c>
      <c r="H290" t="s">
        <v>995</v>
      </c>
      <c r="I290" t="s">
        <v>209</v>
      </c>
      <c r="J290" t="s">
        <v>176</v>
      </c>
      <c r="K290" s="30">
        <v>43060</v>
      </c>
      <c r="L290" s="8">
        <v>43056.619537037041</v>
      </c>
      <c r="M290" s="21">
        <f>LEN(ProjTextTable[[#This Row],[text]])</f>
        <v>2478</v>
      </c>
      <c r="N290" s="21">
        <f>LEN(TRIM(CLEAN(SUBSTITUTE(ProjTextTable[[#This Row],[text]],CHAR(10)," "))))+1 - LEN(SUBSTITUTE(CLEAN(SUBSTITUTE(ProjTextTable[[#This Row],[text]],CHAR(10)," "))," ",""))</f>
        <v>375</v>
      </c>
      <c r="O290" t="s">
        <v>199</v>
      </c>
      <c r="P290" t="s">
        <v>1279</v>
      </c>
    </row>
    <row r="291" spans="1:16">
      <c r="A291">
        <f t="shared" si="4"/>
        <v>46</v>
      </c>
      <c r="B291" t="s">
        <v>1277</v>
      </c>
      <c r="C291" t="s">
        <v>1145</v>
      </c>
      <c r="D291" t="s">
        <v>194</v>
      </c>
      <c r="E291" t="s">
        <v>582</v>
      </c>
      <c r="F291" t="s">
        <v>661</v>
      </c>
      <c r="G291" t="s">
        <v>662</v>
      </c>
      <c r="H291" t="s">
        <v>663</v>
      </c>
      <c r="I291" t="s">
        <v>209</v>
      </c>
      <c r="J291" t="s">
        <v>176</v>
      </c>
      <c r="K291" s="30">
        <v>43060</v>
      </c>
      <c r="L291" s="8">
        <v>43059.53533564815</v>
      </c>
      <c r="M291" s="21">
        <f>LEN(ProjTextTable[[#This Row],[text]])</f>
        <v>2255</v>
      </c>
      <c r="N291" s="21">
        <f>LEN(TRIM(CLEAN(SUBSTITUTE(ProjTextTable[[#This Row],[text]],CHAR(10)," "))))+1 - LEN(SUBSTITUTE(CLEAN(SUBSTITUTE(ProjTextTable[[#This Row],[text]],CHAR(10)," "))," ",""))</f>
        <v>328</v>
      </c>
      <c r="O291" t="s">
        <v>199</v>
      </c>
      <c r="P291" t="s">
        <v>1280</v>
      </c>
    </row>
    <row r="292" spans="1:16">
      <c r="A292">
        <f t="shared" si="4"/>
        <v>46</v>
      </c>
      <c r="B292" t="s">
        <v>1277</v>
      </c>
      <c r="C292" t="s">
        <v>1145</v>
      </c>
      <c r="D292" t="s">
        <v>194</v>
      </c>
      <c r="E292" t="s">
        <v>582</v>
      </c>
      <c r="F292" t="s">
        <v>1144</v>
      </c>
      <c r="G292" t="s">
        <v>1145</v>
      </c>
      <c r="H292" t="s">
        <v>1146</v>
      </c>
      <c r="I292" t="s">
        <v>209</v>
      </c>
      <c r="J292" t="s">
        <v>176</v>
      </c>
      <c r="K292" s="30">
        <v>43060</v>
      </c>
      <c r="L292" s="8">
        <v>43054.505729166667</v>
      </c>
      <c r="M292" s="21">
        <f>LEN(ProjTextTable[[#This Row],[text]])</f>
        <v>1579</v>
      </c>
      <c r="N292" s="21">
        <f>LEN(TRIM(CLEAN(SUBSTITUTE(ProjTextTable[[#This Row],[text]],CHAR(10)," "))))+1 - LEN(SUBSTITUTE(CLEAN(SUBSTITUTE(ProjTextTable[[#This Row],[text]],CHAR(10)," "))," ",""))</f>
        <v>230</v>
      </c>
      <c r="O292" t="s">
        <v>198</v>
      </c>
      <c r="P292" t="s">
        <v>1281</v>
      </c>
    </row>
    <row r="293" spans="1:16">
      <c r="A293">
        <f t="shared" si="4"/>
        <v>46</v>
      </c>
      <c r="B293" t="s">
        <v>1277</v>
      </c>
      <c r="C293" t="s">
        <v>1145</v>
      </c>
      <c r="D293" t="s">
        <v>196</v>
      </c>
      <c r="E293" t="s">
        <v>582</v>
      </c>
      <c r="F293" t="s">
        <v>13</v>
      </c>
      <c r="G293" t="s">
        <v>13</v>
      </c>
      <c r="H293" t="s">
        <v>13</v>
      </c>
      <c r="K293" s="30"/>
      <c r="L293" s="8">
        <v>42956.042557870373</v>
      </c>
      <c r="M293" s="21">
        <f>LEN(ProjTextTable[[#This Row],[text]])</f>
        <v>3157</v>
      </c>
      <c r="N293" s="21">
        <f>LEN(TRIM(CLEAN(SUBSTITUTE(ProjTextTable[[#This Row],[text]],CHAR(10)," "))))+1 - LEN(SUBSTITUTE(CLEAN(SUBSTITUTE(ProjTextTable[[#This Row],[text]],CHAR(10)," "))," ",""))</f>
        <v>462</v>
      </c>
      <c r="O293" t="s">
        <v>13</v>
      </c>
      <c r="P293" t="s">
        <v>1282</v>
      </c>
    </row>
    <row r="294" spans="1:16">
      <c r="A294">
        <f t="shared" si="4"/>
        <v>47</v>
      </c>
      <c r="B294" t="s">
        <v>742</v>
      </c>
      <c r="C294" t="s">
        <v>743</v>
      </c>
      <c r="D294" t="s">
        <v>205</v>
      </c>
      <c r="E294" t="s">
        <v>582</v>
      </c>
      <c r="F294" t="s">
        <v>583</v>
      </c>
      <c r="G294" t="s">
        <v>584</v>
      </c>
      <c r="H294" t="s">
        <v>251</v>
      </c>
      <c r="I294" t="s">
        <v>193</v>
      </c>
      <c r="J294" t="s">
        <v>200</v>
      </c>
      <c r="K294" s="30">
        <v>43031</v>
      </c>
      <c r="L294" s="8"/>
      <c r="M294" s="21">
        <f>LEN(ProjTextTable[[#This Row],[text]])</f>
        <v>2426</v>
      </c>
      <c r="N294" s="21">
        <f>LEN(TRIM(CLEAN(SUBSTITUTE(ProjTextTable[[#This Row],[text]],CHAR(10)," "))))+1 - LEN(SUBSTITUTE(CLEAN(SUBSTITUTE(ProjTextTable[[#This Row],[text]],CHAR(10)," "))," ",""))</f>
        <v>361</v>
      </c>
      <c r="O294" t="s">
        <v>250</v>
      </c>
      <c r="P294" t="s">
        <v>744</v>
      </c>
    </row>
    <row r="295" spans="1:16">
      <c r="A295">
        <f t="shared" si="4"/>
        <v>47</v>
      </c>
      <c r="B295" t="s">
        <v>742</v>
      </c>
      <c r="C295" t="s">
        <v>743</v>
      </c>
      <c r="D295" t="s">
        <v>194</v>
      </c>
      <c r="E295" t="s">
        <v>582</v>
      </c>
      <c r="F295" t="s">
        <v>595</v>
      </c>
      <c r="G295" t="s">
        <v>596</v>
      </c>
      <c r="H295" t="s">
        <v>597</v>
      </c>
      <c r="I295" t="s">
        <v>209</v>
      </c>
      <c r="J295" t="s">
        <v>176</v>
      </c>
      <c r="K295" s="30">
        <v>43032</v>
      </c>
      <c r="L295" s="8">
        <v>43029.952604166669</v>
      </c>
      <c r="M295" s="21">
        <f>LEN(ProjTextTable[[#This Row],[text]])</f>
        <v>2564</v>
      </c>
      <c r="N295" s="21">
        <f>LEN(TRIM(CLEAN(SUBSTITUTE(ProjTextTable[[#This Row],[text]],CHAR(10)," "))))+1 - LEN(SUBSTITUTE(CLEAN(SUBSTITUTE(ProjTextTable[[#This Row],[text]],CHAR(10)," "))," ",""))</f>
        <v>374</v>
      </c>
      <c r="O295" t="s">
        <v>195</v>
      </c>
      <c r="P295" t="s">
        <v>745</v>
      </c>
    </row>
    <row r="296" spans="1:16">
      <c r="A296">
        <f t="shared" si="4"/>
        <v>47</v>
      </c>
      <c r="B296" t="s">
        <v>742</v>
      </c>
      <c r="C296" t="s">
        <v>743</v>
      </c>
      <c r="D296" t="s">
        <v>194</v>
      </c>
      <c r="E296" t="s">
        <v>582</v>
      </c>
      <c r="F296" t="s">
        <v>645</v>
      </c>
      <c r="G296" t="s">
        <v>646</v>
      </c>
      <c r="H296" t="s">
        <v>647</v>
      </c>
      <c r="I296" t="s">
        <v>209</v>
      </c>
      <c r="J296" t="s">
        <v>176</v>
      </c>
      <c r="K296" s="30">
        <v>43032</v>
      </c>
      <c r="L296" s="8">
        <v>43031.107453703706</v>
      </c>
      <c r="M296" s="21">
        <f>LEN(ProjTextTable[[#This Row],[text]])</f>
        <v>2410</v>
      </c>
      <c r="N296" s="21">
        <f>LEN(TRIM(CLEAN(SUBSTITUTE(ProjTextTable[[#This Row],[text]],CHAR(10)," "))))+1 - LEN(SUBSTITUTE(CLEAN(SUBSTITUTE(ProjTextTable[[#This Row],[text]],CHAR(10)," "))," ",""))</f>
        <v>358</v>
      </c>
      <c r="O296" t="s">
        <v>195</v>
      </c>
      <c r="P296" t="s">
        <v>746</v>
      </c>
    </row>
    <row r="297" spans="1:16">
      <c r="A297">
        <f t="shared" si="4"/>
        <v>47</v>
      </c>
      <c r="B297" t="s">
        <v>742</v>
      </c>
      <c r="C297" t="s">
        <v>743</v>
      </c>
      <c r="D297" t="s">
        <v>194</v>
      </c>
      <c r="E297" t="s">
        <v>582</v>
      </c>
      <c r="F297" t="s">
        <v>630</v>
      </c>
      <c r="G297" t="s">
        <v>631</v>
      </c>
      <c r="H297" t="s">
        <v>632</v>
      </c>
      <c r="I297" t="s">
        <v>209</v>
      </c>
      <c r="J297" t="s">
        <v>176</v>
      </c>
      <c r="K297" s="30">
        <v>43032</v>
      </c>
      <c r="L297" s="8">
        <v>43031.771365740744</v>
      </c>
      <c r="M297" s="21">
        <f>LEN(ProjTextTable[[#This Row],[text]])</f>
        <v>2018</v>
      </c>
      <c r="N297" s="21">
        <f>LEN(TRIM(CLEAN(SUBSTITUTE(ProjTextTable[[#This Row],[text]],CHAR(10)," "))))+1 - LEN(SUBSTITUTE(CLEAN(SUBSTITUTE(ProjTextTable[[#This Row],[text]],CHAR(10)," "))," ",""))</f>
        <v>300</v>
      </c>
      <c r="O297" t="s">
        <v>195</v>
      </c>
      <c r="P297" t="s">
        <v>747</v>
      </c>
    </row>
    <row r="298" spans="1:16">
      <c r="A298">
        <f t="shared" si="4"/>
        <v>47</v>
      </c>
      <c r="B298" t="s">
        <v>742</v>
      </c>
      <c r="C298" t="s">
        <v>743</v>
      </c>
      <c r="D298" t="s">
        <v>196</v>
      </c>
      <c r="E298" t="s">
        <v>579</v>
      </c>
      <c r="F298" t="s">
        <v>13</v>
      </c>
      <c r="G298" t="s">
        <v>13</v>
      </c>
      <c r="H298" t="s">
        <v>13</v>
      </c>
      <c r="K298" s="30"/>
      <c r="L298" s="8">
        <v>42957.042546296296</v>
      </c>
      <c r="M298" s="21">
        <f>LEN(ProjTextTable[[#This Row],[text]])</f>
        <v>4631</v>
      </c>
      <c r="N298" s="21">
        <f>LEN(TRIM(CLEAN(SUBSTITUTE(ProjTextTable[[#This Row],[text]],CHAR(10)," "))))+1 - LEN(SUBSTITUTE(CLEAN(SUBSTITUTE(ProjTextTable[[#This Row],[text]],CHAR(10)," "))," ",""))</f>
        <v>656</v>
      </c>
      <c r="O298" t="s">
        <v>13</v>
      </c>
      <c r="P298" t="s">
        <v>748</v>
      </c>
    </row>
    <row r="299" spans="1:16">
      <c r="A299">
        <f t="shared" si="4"/>
        <v>48</v>
      </c>
      <c r="B299" t="s">
        <v>1283</v>
      </c>
      <c r="C299" t="s">
        <v>1284</v>
      </c>
      <c r="D299" t="s">
        <v>205</v>
      </c>
      <c r="E299" t="s">
        <v>582</v>
      </c>
      <c r="F299" t="s">
        <v>583</v>
      </c>
      <c r="G299" t="s">
        <v>584</v>
      </c>
      <c r="H299" t="s">
        <v>247</v>
      </c>
      <c r="I299" t="s">
        <v>95</v>
      </c>
      <c r="J299" t="s">
        <v>95</v>
      </c>
      <c r="K299" s="30">
        <v>43031</v>
      </c>
      <c r="L299" s="8"/>
      <c r="M299" s="21">
        <f>LEN(ProjTextTable[[#This Row],[text]])</f>
        <v>3383</v>
      </c>
      <c r="N299" s="21">
        <f>LEN(TRIM(CLEAN(SUBSTITUTE(ProjTextTable[[#This Row],[text]],CHAR(10)," "))))+1 - LEN(SUBSTITUTE(CLEAN(SUBSTITUTE(ProjTextTable[[#This Row],[text]],CHAR(10)," "))," ",""))</f>
        <v>505</v>
      </c>
      <c r="O299" t="s">
        <v>245</v>
      </c>
      <c r="P299" t="s">
        <v>1285</v>
      </c>
    </row>
    <row r="300" spans="1:16">
      <c r="A300">
        <f t="shared" si="4"/>
        <v>48</v>
      </c>
      <c r="B300" t="s">
        <v>1283</v>
      </c>
      <c r="C300" t="s">
        <v>1284</v>
      </c>
      <c r="D300" t="s">
        <v>418</v>
      </c>
      <c r="E300" t="s">
        <v>944</v>
      </c>
      <c r="F300" t="s">
        <v>13</v>
      </c>
      <c r="G300" t="s">
        <v>1286</v>
      </c>
      <c r="H300" t="s">
        <v>13</v>
      </c>
      <c r="I300" t="s">
        <v>13</v>
      </c>
      <c r="K300" s="30"/>
      <c r="L300" s="8">
        <v>43069.566967592589</v>
      </c>
      <c r="M300" s="21">
        <f>LEN(ProjTextTable[[#This Row],[text]])</f>
        <v>3750</v>
      </c>
      <c r="N300" s="21">
        <f>LEN(TRIM(CLEAN(SUBSTITUTE(ProjTextTable[[#This Row],[text]],CHAR(10)," "))))+1 - LEN(SUBSTITUTE(CLEAN(SUBSTITUTE(ProjTextTable[[#This Row],[text]],CHAR(10)," "))," ",""))</f>
        <v>588</v>
      </c>
      <c r="O300" t="s">
        <v>13</v>
      </c>
      <c r="P300" t="s">
        <v>1287</v>
      </c>
    </row>
    <row r="301" spans="1:16">
      <c r="A301">
        <f t="shared" si="4"/>
        <v>48</v>
      </c>
      <c r="B301" t="s">
        <v>1283</v>
      </c>
      <c r="C301" t="s">
        <v>1284</v>
      </c>
      <c r="D301" t="s">
        <v>194</v>
      </c>
      <c r="E301" t="s">
        <v>582</v>
      </c>
      <c r="F301" t="s">
        <v>611</v>
      </c>
      <c r="G301" t="s">
        <v>612</v>
      </c>
      <c r="H301" t="s">
        <v>613</v>
      </c>
      <c r="I301" t="s">
        <v>209</v>
      </c>
      <c r="J301" t="s">
        <v>176</v>
      </c>
      <c r="K301" s="30">
        <v>43032</v>
      </c>
      <c r="L301" s="8">
        <v>43030.168969907405</v>
      </c>
      <c r="M301" s="21">
        <f>LEN(ProjTextTable[[#This Row],[text]])</f>
        <v>1663</v>
      </c>
      <c r="N301" s="21">
        <f>LEN(TRIM(CLEAN(SUBSTITUTE(ProjTextTable[[#This Row],[text]],CHAR(10)," "))))+1 - LEN(SUBSTITUTE(CLEAN(SUBSTITUTE(ProjTextTable[[#This Row],[text]],CHAR(10)," "))," ",""))</f>
        <v>245</v>
      </c>
      <c r="O301" t="s">
        <v>199</v>
      </c>
      <c r="P301" t="s">
        <v>1288</v>
      </c>
    </row>
    <row r="302" spans="1:16">
      <c r="A302">
        <f t="shared" si="4"/>
        <v>48</v>
      </c>
      <c r="B302" t="s">
        <v>1283</v>
      </c>
      <c r="C302" t="s">
        <v>1284</v>
      </c>
      <c r="D302" t="s">
        <v>194</v>
      </c>
      <c r="E302" t="s">
        <v>582</v>
      </c>
      <c r="F302" t="s">
        <v>591</v>
      </c>
      <c r="G302" t="s">
        <v>592</v>
      </c>
      <c r="H302" t="s">
        <v>593</v>
      </c>
      <c r="I302" t="s">
        <v>209</v>
      </c>
      <c r="J302" t="s">
        <v>176</v>
      </c>
      <c r="K302" s="30">
        <v>43032</v>
      </c>
      <c r="L302" s="8">
        <v>43031.369733796295</v>
      </c>
      <c r="M302" s="21">
        <f>LEN(ProjTextTable[[#This Row],[text]])</f>
        <v>1591</v>
      </c>
      <c r="N302" s="21">
        <f>LEN(TRIM(CLEAN(SUBSTITUTE(ProjTextTable[[#This Row],[text]],CHAR(10)," "))))+1 - LEN(SUBSTITUTE(CLEAN(SUBSTITUTE(ProjTextTable[[#This Row],[text]],CHAR(10)," "))," ",""))</f>
        <v>257</v>
      </c>
      <c r="O302" t="s">
        <v>199</v>
      </c>
      <c r="P302" t="s">
        <v>1289</v>
      </c>
    </row>
    <row r="303" spans="1:16">
      <c r="A303">
        <f t="shared" si="4"/>
        <v>48</v>
      </c>
      <c r="B303" t="s">
        <v>1283</v>
      </c>
      <c r="C303" t="s">
        <v>1284</v>
      </c>
      <c r="D303" t="s">
        <v>194</v>
      </c>
      <c r="E303" t="s">
        <v>582</v>
      </c>
      <c r="F303" t="s">
        <v>651</v>
      </c>
      <c r="G303" t="s">
        <v>652</v>
      </c>
      <c r="H303" t="s">
        <v>653</v>
      </c>
      <c r="I303" t="s">
        <v>209</v>
      </c>
      <c r="J303" t="s">
        <v>176</v>
      </c>
      <c r="K303" s="30">
        <v>43032</v>
      </c>
      <c r="L303" s="8">
        <v>43030.807129629633</v>
      </c>
      <c r="M303" s="21">
        <f>LEN(ProjTextTable[[#This Row],[text]])</f>
        <v>1135</v>
      </c>
      <c r="N303" s="21">
        <f>LEN(TRIM(CLEAN(SUBSTITUTE(ProjTextTable[[#This Row],[text]],CHAR(10)," "))))+1 - LEN(SUBSTITUTE(CLEAN(SUBSTITUTE(ProjTextTable[[#This Row],[text]],CHAR(10)," "))," ",""))</f>
        <v>169</v>
      </c>
      <c r="O303" t="s">
        <v>199</v>
      </c>
      <c r="P303" t="s">
        <v>1290</v>
      </c>
    </row>
    <row r="304" spans="1:16">
      <c r="A304">
        <f t="shared" si="4"/>
        <v>49</v>
      </c>
      <c r="B304" t="s">
        <v>1291</v>
      </c>
      <c r="C304" t="s">
        <v>1292</v>
      </c>
      <c r="D304" t="s">
        <v>205</v>
      </c>
      <c r="E304" t="s">
        <v>582</v>
      </c>
      <c r="F304" t="s">
        <v>658</v>
      </c>
      <c r="G304" t="s">
        <v>659</v>
      </c>
      <c r="H304" t="s">
        <v>251</v>
      </c>
      <c r="I304" t="s">
        <v>193</v>
      </c>
      <c r="J304" t="s">
        <v>255</v>
      </c>
      <c r="K304" s="30">
        <v>43059</v>
      </c>
      <c r="L304" s="8"/>
      <c r="M304" s="21">
        <f>LEN(ProjTextTable[[#This Row],[text]])</f>
        <v>3491</v>
      </c>
      <c r="N304" s="21">
        <f>LEN(TRIM(CLEAN(SUBSTITUTE(ProjTextTable[[#This Row],[text]],CHAR(10)," "))))+1 - LEN(SUBSTITUTE(CLEAN(SUBSTITUTE(ProjTextTable[[#This Row],[text]],CHAR(10)," "))," ",""))</f>
        <v>510</v>
      </c>
      <c r="O304" t="s">
        <v>250</v>
      </c>
      <c r="P304" t="s">
        <v>1293</v>
      </c>
    </row>
    <row r="305" spans="1:16">
      <c r="A305">
        <f t="shared" si="4"/>
        <v>49</v>
      </c>
      <c r="B305" t="s">
        <v>1291</v>
      </c>
      <c r="C305" t="s">
        <v>1292</v>
      </c>
      <c r="D305" t="s">
        <v>205</v>
      </c>
      <c r="E305" t="s">
        <v>929</v>
      </c>
      <c r="F305" t="s">
        <v>1294</v>
      </c>
      <c r="G305" t="s">
        <v>1295</v>
      </c>
      <c r="H305" t="s">
        <v>207</v>
      </c>
      <c r="I305" t="s">
        <v>197</v>
      </c>
      <c r="J305" t="s">
        <v>197</v>
      </c>
      <c r="K305" s="30">
        <v>43055</v>
      </c>
      <c r="L305" s="8"/>
      <c r="M305" s="21">
        <f>LEN(ProjTextTable[[#This Row],[text]])</f>
        <v>8224</v>
      </c>
      <c r="N305" s="21">
        <f>LEN(TRIM(CLEAN(SUBSTITUTE(ProjTextTable[[#This Row],[text]],CHAR(10)," "))))+1 - LEN(SUBSTITUTE(CLEAN(SUBSTITUTE(ProjTextTable[[#This Row],[text]],CHAR(10)," "))," ",""))</f>
        <v>1258</v>
      </c>
      <c r="O305" t="s">
        <v>208</v>
      </c>
      <c r="P305" t="s">
        <v>1296</v>
      </c>
    </row>
    <row r="306" spans="1:16">
      <c r="A306">
        <f t="shared" si="4"/>
        <v>49</v>
      </c>
      <c r="B306" t="s">
        <v>1291</v>
      </c>
      <c r="C306" t="s">
        <v>1292</v>
      </c>
      <c r="D306" t="s">
        <v>194</v>
      </c>
      <c r="E306" t="s">
        <v>929</v>
      </c>
      <c r="F306" t="s">
        <v>665</v>
      </c>
      <c r="G306" t="s">
        <v>666</v>
      </c>
      <c r="H306" t="s">
        <v>667</v>
      </c>
      <c r="I306" t="s">
        <v>209</v>
      </c>
      <c r="J306" t="s">
        <v>1297</v>
      </c>
      <c r="K306" s="30">
        <v>43060</v>
      </c>
      <c r="L306" s="8">
        <v>43060.397789351853</v>
      </c>
      <c r="M306" s="21">
        <f>LEN(ProjTextTable[[#This Row],[text]])</f>
        <v>531</v>
      </c>
      <c r="N306" s="21">
        <f>LEN(TRIM(CLEAN(SUBSTITUTE(ProjTextTable[[#This Row],[text]],CHAR(10)," "))))+1 - LEN(SUBSTITUTE(CLEAN(SUBSTITUTE(ProjTextTable[[#This Row],[text]],CHAR(10)," "))," ",""))</f>
        <v>72</v>
      </c>
      <c r="O306" t="s">
        <v>176</v>
      </c>
      <c r="P306" t="s">
        <v>1298</v>
      </c>
    </row>
    <row r="307" spans="1:16">
      <c r="A307">
        <f t="shared" si="4"/>
        <v>49</v>
      </c>
      <c r="B307" t="s">
        <v>1291</v>
      </c>
      <c r="C307" t="s">
        <v>1292</v>
      </c>
      <c r="D307" t="s">
        <v>194</v>
      </c>
      <c r="E307" t="s">
        <v>929</v>
      </c>
      <c r="F307" t="s">
        <v>669</v>
      </c>
      <c r="G307" t="s">
        <v>670</v>
      </c>
      <c r="H307" t="s">
        <v>671</v>
      </c>
      <c r="I307" t="s">
        <v>209</v>
      </c>
      <c r="J307" t="s">
        <v>176</v>
      </c>
      <c r="K307" s="30">
        <v>43060</v>
      </c>
      <c r="L307" s="8">
        <v>43054.827337962961</v>
      </c>
      <c r="M307" s="21">
        <f>LEN(ProjTextTable[[#This Row],[text]])</f>
        <v>2608</v>
      </c>
      <c r="N307" s="21">
        <f>LEN(TRIM(CLEAN(SUBSTITUTE(ProjTextTable[[#This Row],[text]],CHAR(10)," "))))+1 - LEN(SUBSTITUTE(CLEAN(SUBSTITUTE(ProjTextTable[[#This Row],[text]],CHAR(10)," "))," ",""))</f>
        <v>407</v>
      </c>
      <c r="O307" t="s">
        <v>195</v>
      </c>
      <c r="P307" t="s">
        <v>1299</v>
      </c>
    </row>
    <row r="308" spans="1:16">
      <c r="A308">
        <f t="shared" si="4"/>
        <v>49</v>
      </c>
      <c r="B308" t="s">
        <v>1291</v>
      </c>
      <c r="C308" t="s">
        <v>1292</v>
      </c>
      <c r="D308" t="s">
        <v>194</v>
      </c>
      <c r="E308" t="s">
        <v>929</v>
      </c>
      <c r="F308" t="s">
        <v>1300</v>
      </c>
      <c r="G308" t="s">
        <v>1301</v>
      </c>
      <c r="H308" t="s">
        <v>1302</v>
      </c>
      <c r="I308" t="s">
        <v>209</v>
      </c>
      <c r="J308" t="s">
        <v>176</v>
      </c>
      <c r="K308" s="30">
        <v>43056</v>
      </c>
      <c r="L308" s="8">
        <v>43055.891493055555</v>
      </c>
      <c r="M308" s="21">
        <f>LEN(ProjTextTable[[#This Row],[text]])</f>
        <v>2468</v>
      </c>
      <c r="N308" s="21">
        <f>LEN(TRIM(CLEAN(SUBSTITUTE(ProjTextTable[[#This Row],[text]],CHAR(10)," "))))+1 - LEN(SUBSTITUTE(CLEAN(SUBSTITUTE(ProjTextTable[[#This Row],[text]],CHAR(10)," "))," ",""))</f>
        <v>370</v>
      </c>
      <c r="O308" t="s">
        <v>195</v>
      </c>
      <c r="P308" t="s">
        <v>1303</v>
      </c>
    </row>
    <row r="309" spans="1:16">
      <c r="A309">
        <f t="shared" si="4"/>
        <v>49</v>
      </c>
      <c r="B309" t="s">
        <v>1291</v>
      </c>
      <c r="C309" t="s">
        <v>1292</v>
      </c>
      <c r="D309" t="s">
        <v>194</v>
      </c>
      <c r="E309" t="s">
        <v>929</v>
      </c>
      <c r="F309" t="s">
        <v>1304</v>
      </c>
      <c r="G309" t="s">
        <v>1305</v>
      </c>
      <c r="H309" t="s">
        <v>1306</v>
      </c>
      <c r="I309" t="s">
        <v>209</v>
      </c>
      <c r="J309" t="s">
        <v>176</v>
      </c>
      <c r="K309" s="30">
        <v>43056</v>
      </c>
      <c r="L309" s="8">
        <v>43056.450486111113</v>
      </c>
      <c r="M309" s="21">
        <f>LEN(ProjTextTable[[#This Row],[text]])</f>
        <v>2741</v>
      </c>
      <c r="N309" s="21">
        <f>LEN(TRIM(CLEAN(SUBSTITUTE(ProjTextTable[[#This Row],[text]],CHAR(10)," "))))+1 - LEN(SUBSTITUTE(CLEAN(SUBSTITUTE(ProjTextTable[[#This Row],[text]],CHAR(10)," "))," ",""))</f>
        <v>390</v>
      </c>
      <c r="O309" t="s">
        <v>199</v>
      </c>
      <c r="P309" t="s">
        <v>1307</v>
      </c>
    </row>
    <row r="310" spans="1:16">
      <c r="A310">
        <f t="shared" si="4"/>
        <v>49</v>
      </c>
      <c r="B310" t="s">
        <v>1291</v>
      </c>
      <c r="C310" t="s">
        <v>1292</v>
      </c>
      <c r="D310" t="s">
        <v>194</v>
      </c>
      <c r="E310" t="s">
        <v>929</v>
      </c>
      <c r="F310" t="s">
        <v>933</v>
      </c>
      <c r="G310" t="s">
        <v>934</v>
      </c>
      <c r="H310" t="s">
        <v>935</v>
      </c>
      <c r="I310" t="s">
        <v>209</v>
      </c>
      <c r="J310" t="s">
        <v>176</v>
      </c>
      <c r="K310" s="30">
        <v>43060</v>
      </c>
      <c r="L310" s="8">
        <v>43059.398784722223</v>
      </c>
      <c r="M310" s="21">
        <f>LEN(ProjTextTable[[#This Row],[text]])</f>
        <v>1038</v>
      </c>
      <c r="N310" s="21">
        <f>LEN(TRIM(CLEAN(SUBSTITUTE(ProjTextTable[[#This Row],[text]],CHAR(10)," "))))+1 - LEN(SUBSTITUTE(CLEAN(SUBSTITUTE(ProjTextTable[[#This Row],[text]],CHAR(10)," "))," ",""))</f>
        <v>160</v>
      </c>
      <c r="O310" t="s">
        <v>176</v>
      </c>
      <c r="P310" t="s">
        <v>1308</v>
      </c>
    </row>
    <row r="311" spans="1:16">
      <c r="A311">
        <f t="shared" si="4"/>
        <v>49</v>
      </c>
      <c r="B311" t="s">
        <v>1291</v>
      </c>
      <c r="C311" t="s">
        <v>1292</v>
      </c>
      <c r="D311" t="s">
        <v>194</v>
      </c>
      <c r="E311" t="s">
        <v>929</v>
      </c>
      <c r="F311" t="s">
        <v>1309</v>
      </c>
      <c r="G311" t="s">
        <v>1310</v>
      </c>
      <c r="H311" t="s">
        <v>1311</v>
      </c>
      <c r="I311" t="s">
        <v>209</v>
      </c>
      <c r="J311" t="s">
        <v>176</v>
      </c>
      <c r="K311" s="30">
        <v>43056</v>
      </c>
      <c r="L311" s="8">
        <v>43055.670520833337</v>
      </c>
      <c r="M311" s="21">
        <f>LEN(ProjTextTable[[#This Row],[text]])</f>
        <v>4016</v>
      </c>
      <c r="N311" s="21">
        <f>LEN(TRIM(CLEAN(SUBSTITUTE(ProjTextTable[[#This Row],[text]],CHAR(10)," "))))+1 - LEN(SUBSTITUTE(CLEAN(SUBSTITUTE(ProjTextTable[[#This Row],[text]],CHAR(10)," "))," ",""))</f>
        <v>607</v>
      </c>
      <c r="O311" t="s">
        <v>201</v>
      </c>
      <c r="P311" t="s">
        <v>1312</v>
      </c>
    </row>
    <row r="312" spans="1:16">
      <c r="A312">
        <f t="shared" si="4"/>
        <v>49</v>
      </c>
      <c r="B312" t="s">
        <v>1291</v>
      </c>
      <c r="C312" t="s">
        <v>1292</v>
      </c>
      <c r="D312" t="s">
        <v>194</v>
      </c>
      <c r="E312" t="s">
        <v>929</v>
      </c>
      <c r="F312" t="s">
        <v>979</v>
      </c>
      <c r="G312" t="s">
        <v>980</v>
      </c>
      <c r="H312" t="s">
        <v>981</v>
      </c>
      <c r="I312" t="s">
        <v>209</v>
      </c>
      <c r="J312" t="s">
        <v>176</v>
      </c>
      <c r="K312" s="30">
        <v>43060</v>
      </c>
      <c r="L312" s="8">
        <v>43058.943298611113</v>
      </c>
      <c r="M312" s="21">
        <f>LEN(ProjTextTable[[#This Row],[text]])</f>
        <v>2545</v>
      </c>
      <c r="N312" s="21">
        <f>LEN(TRIM(CLEAN(SUBSTITUTE(ProjTextTable[[#This Row],[text]],CHAR(10)," "))))+1 - LEN(SUBSTITUTE(CLEAN(SUBSTITUTE(ProjTextTable[[#This Row],[text]],CHAR(10)," "))," ",""))</f>
        <v>377</v>
      </c>
      <c r="O312" t="s">
        <v>195</v>
      </c>
      <c r="P312" t="s">
        <v>1313</v>
      </c>
    </row>
    <row r="313" spans="1:16">
      <c r="A313">
        <f t="shared" si="4"/>
        <v>49</v>
      </c>
      <c r="B313" t="s">
        <v>1291</v>
      </c>
      <c r="C313" t="s">
        <v>1292</v>
      </c>
      <c r="D313" t="s">
        <v>194</v>
      </c>
      <c r="E313" t="s">
        <v>929</v>
      </c>
      <c r="F313" t="s">
        <v>1314</v>
      </c>
      <c r="G313" t="s">
        <v>927</v>
      </c>
      <c r="H313" t="s">
        <v>1315</v>
      </c>
      <c r="I313" t="s">
        <v>176</v>
      </c>
      <c r="J313" t="s">
        <v>176</v>
      </c>
      <c r="K313" s="30">
        <v>43053</v>
      </c>
      <c r="L313" s="8">
        <v>43054.411898148152</v>
      </c>
      <c r="M313" s="21">
        <f>LEN(ProjTextTable[[#This Row],[text]])</f>
        <v>3944</v>
      </c>
      <c r="N313" s="21">
        <f>LEN(TRIM(CLEAN(SUBSTITUTE(ProjTextTable[[#This Row],[text]],CHAR(10)," "))))+1 - LEN(SUBSTITUTE(CLEAN(SUBSTITUTE(ProjTextTable[[#This Row],[text]],CHAR(10)," "))," ",""))</f>
        <v>625</v>
      </c>
      <c r="O313" t="s">
        <v>195</v>
      </c>
      <c r="P313" t="s">
        <v>1316</v>
      </c>
    </row>
    <row r="314" spans="1:16">
      <c r="A314">
        <f t="shared" si="4"/>
        <v>49</v>
      </c>
      <c r="B314" t="s">
        <v>1291</v>
      </c>
      <c r="C314" t="s">
        <v>1292</v>
      </c>
      <c r="D314" t="s">
        <v>194</v>
      </c>
      <c r="E314" t="s">
        <v>929</v>
      </c>
      <c r="F314" t="s">
        <v>1072</v>
      </c>
      <c r="G314" t="s">
        <v>1073</v>
      </c>
      <c r="H314" t="s">
        <v>1074</v>
      </c>
      <c r="I314" t="s">
        <v>209</v>
      </c>
      <c r="J314" t="s">
        <v>176</v>
      </c>
      <c r="K314" s="30">
        <v>43060</v>
      </c>
      <c r="L314" s="8">
        <v>43058.966643518521</v>
      </c>
      <c r="M314" s="21">
        <f>LEN(ProjTextTable[[#This Row],[text]])</f>
        <v>2873</v>
      </c>
      <c r="N314" s="21">
        <f>LEN(TRIM(CLEAN(SUBSTITUTE(ProjTextTable[[#This Row],[text]],CHAR(10)," "))))+1 - LEN(SUBSTITUTE(CLEAN(SUBSTITUTE(ProjTextTable[[#This Row],[text]],CHAR(10)," "))," ",""))</f>
        <v>429</v>
      </c>
      <c r="O314" t="s">
        <v>195</v>
      </c>
      <c r="P314" t="s">
        <v>1317</v>
      </c>
    </row>
    <row r="315" spans="1:16">
      <c r="A315">
        <f t="shared" si="4"/>
        <v>49</v>
      </c>
      <c r="B315" t="s">
        <v>1291</v>
      </c>
      <c r="C315" t="s">
        <v>1292</v>
      </c>
      <c r="D315" t="s">
        <v>196</v>
      </c>
      <c r="E315" t="s">
        <v>929</v>
      </c>
      <c r="F315" t="s">
        <v>13</v>
      </c>
      <c r="G315" t="s">
        <v>13</v>
      </c>
      <c r="H315" t="s">
        <v>13</v>
      </c>
      <c r="K315" s="30"/>
      <c r="L315" s="8">
        <v>42957.042731481481</v>
      </c>
      <c r="M315" s="21">
        <f>LEN(ProjTextTable[[#This Row],[text]])</f>
        <v>2775</v>
      </c>
      <c r="N315" s="21">
        <f>LEN(TRIM(CLEAN(SUBSTITUTE(ProjTextTable[[#This Row],[text]],CHAR(10)," "))))+1 - LEN(SUBSTITUTE(CLEAN(SUBSTITUTE(ProjTextTable[[#This Row],[text]],CHAR(10)," "))," ",""))</f>
        <v>375</v>
      </c>
      <c r="O315" t="s">
        <v>13</v>
      </c>
      <c r="P315" t="s">
        <v>1318</v>
      </c>
    </row>
    <row r="316" spans="1:16">
      <c r="A316">
        <f t="shared" si="4"/>
        <v>50</v>
      </c>
      <c r="B316" t="s">
        <v>749</v>
      </c>
      <c r="C316" t="s">
        <v>364</v>
      </c>
      <c r="D316" t="s">
        <v>205</v>
      </c>
      <c r="E316" t="s">
        <v>582</v>
      </c>
      <c r="F316" t="s">
        <v>583</v>
      </c>
      <c r="G316" t="s">
        <v>584</v>
      </c>
      <c r="H316" t="s">
        <v>207</v>
      </c>
      <c r="I316" t="s">
        <v>197</v>
      </c>
      <c r="J316" t="s">
        <v>197</v>
      </c>
      <c r="K316" s="30">
        <v>43031</v>
      </c>
      <c r="L316" s="8"/>
      <c r="M316" s="21">
        <f>LEN(ProjTextTable[[#This Row],[text]])</f>
        <v>2371</v>
      </c>
      <c r="N316" s="21">
        <f>LEN(TRIM(CLEAN(SUBSTITUTE(ProjTextTable[[#This Row],[text]],CHAR(10)," "))))+1 - LEN(SUBSTITUTE(CLEAN(SUBSTITUTE(ProjTextTable[[#This Row],[text]],CHAR(10)," "))," ",""))</f>
        <v>361</v>
      </c>
      <c r="O316" t="s">
        <v>208</v>
      </c>
      <c r="P316" t="s">
        <v>750</v>
      </c>
    </row>
    <row r="317" spans="1:16">
      <c r="A317">
        <f t="shared" si="4"/>
        <v>50</v>
      </c>
      <c r="B317" t="s">
        <v>749</v>
      </c>
      <c r="C317" t="s">
        <v>364</v>
      </c>
      <c r="D317" t="s">
        <v>194</v>
      </c>
      <c r="E317" t="s">
        <v>582</v>
      </c>
      <c r="F317" t="s">
        <v>587</v>
      </c>
      <c r="G317" t="s">
        <v>588</v>
      </c>
      <c r="H317" t="s">
        <v>589</v>
      </c>
      <c r="I317" t="s">
        <v>209</v>
      </c>
      <c r="J317" t="s">
        <v>176</v>
      </c>
      <c r="K317" s="30">
        <v>43032</v>
      </c>
      <c r="L317" s="8">
        <v>43031.767731481479</v>
      </c>
      <c r="M317" s="21">
        <f>LEN(ProjTextTable[[#This Row],[text]])</f>
        <v>3988</v>
      </c>
      <c r="N317" s="21">
        <f>LEN(TRIM(CLEAN(SUBSTITUTE(ProjTextTable[[#This Row],[text]],CHAR(10)," "))))+1 - LEN(SUBSTITUTE(CLEAN(SUBSTITUTE(ProjTextTable[[#This Row],[text]],CHAR(10)," "))," ",""))</f>
        <v>620</v>
      </c>
      <c r="O317" t="s">
        <v>202</v>
      </c>
      <c r="P317" t="s">
        <v>751</v>
      </c>
    </row>
    <row r="318" spans="1:16">
      <c r="A318">
        <f t="shared" si="4"/>
        <v>50</v>
      </c>
      <c r="B318" t="s">
        <v>749</v>
      </c>
      <c r="C318" t="s">
        <v>364</v>
      </c>
      <c r="D318" t="s">
        <v>194</v>
      </c>
      <c r="E318" t="s">
        <v>582</v>
      </c>
      <c r="F318" t="s">
        <v>645</v>
      </c>
      <c r="G318" t="s">
        <v>646</v>
      </c>
      <c r="H318" t="s">
        <v>647</v>
      </c>
      <c r="I318" t="s">
        <v>209</v>
      </c>
      <c r="J318" t="s">
        <v>176</v>
      </c>
      <c r="K318" s="30">
        <v>43032</v>
      </c>
      <c r="L318" s="8">
        <v>43031.147233796299</v>
      </c>
      <c r="M318" s="21">
        <f>LEN(ProjTextTable[[#This Row],[text]])</f>
        <v>1088</v>
      </c>
      <c r="N318" s="21">
        <f>LEN(TRIM(CLEAN(SUBSTITUTE(ProjTextTable[[#This Row],[text]],CHAR(10)," "))))+1 - LEN(SUBSTITUTE(CLEAN(SUBSTITUTE(ProjTextTable[[#This Row],[text]],CHAR(10)," "))," ",""))</f>
        <v>154</v>
      </c>
      <c r="O318" t="s">
        <v>199</v>
      </c>
      <c r="P318" t="s">
        <v>752</v>
      </c>
    </row>
    <row r="319" spans="1:16">
      <c r="A319">
        <f t="shared" si="4"/>
        <v>50</v>
      </c>
      <c r="B319" t="s">
        <v>749</v>
      </c>
      <c r="C319" t="s">
        <v>364</v>
      </c>
      <c r="D319" t="s">
        <v>194</v>
      </c>
      <c r="E319" t="s">
        <v>582</v>
      </c>
      <c r="F319" t="s">
        <v>619</v>
      </c>
      <c r="G319" t="s">
        <v>620</v>
      </c>
      <c r="H319" t="s">
        <v>621</v>
      </c>
      <c r="I319" t="s">
        <v>209</v>
      </c>
      <c r="J319" t="s">
        <v>176</v>
      </c>
      <c r="K319" s="30">
        <v>43032</v>
      </c>
      <c r="L319" s="8">
        <v>43031.020694444444</v>
      </c>
      <c r="M319" s="21">
        <f>LEN(ProjTextTable[[#This Row],[text]])</f>
        <v>2238</v>
      </c>
      <c r="N319" s="21">
        <f>LEN(TRIM(CLEAN(SUBSTITUTE(ProjTextTable[[#This Row],[text]],CHAR(10)," "))))+1 - LEN(SUBSTITUTE(CLEAN(SUBSTITUTE(ProjTextTable[[#This Row],[text]],CHAR(10)," "))," ",""))</f>
        <v>333</v>
      </c>
      <c r="O319" t="s">
        <v>202</v>
      </c>
      <c r="P319" t="s">
        <v>753</v>
      </c>
    </row>
    <row r="320" spans="1:16">
      <c r="A320">
        <f t="shared" si="4"/>
        <v>50</v>
      </c>
      <c r="B320" t="s">
        <v>749</v>
      </c>
      <c r="C320" t="s">
        <v>364</v>
      </c>
      <c r="D320" t="s">
        <v>196</v>
      </c>
      <c r="E320" t="s">
        <v>582</v>
      </c>
      <c r="F320" t="s">
        <v>13</v>
      </c>
      <c r="G320" t="s">
        <v>13</v>
      </c>
      <c r="H320" t="s">
        <v>13</v>
      </c>
      <c r="K320" s="30"/>
      <c r="L320" s="8">
        <v>42957.042812500003</v>
      </c>
      <c r="M320" s="21">
        <f>LEN(ProjTextTable[[#This Row],[text]])</f>
        <v>2797</v>
      </c>
      <c r="N320" s="21">
        <f>LEN(TRIM(CLEAN(SUBSTITUTE(ProjTextTable[[#This Row],[text]],CHAR(10)," "))))+1 - LEN(SUBSTITUTE(CLEAN(SUBSTITUTE(ProjTextTable[[#This Row],[text]],CHAR(10)," "))," ",""))</f>
        <v>393</v>
      </c>
      <c r="O320" t="s">
        <v>13</v>
      </c>
      <c r="P320" t="s">
        <v>754</v>
      </c>
    </row>
    <row r="321" spans="1:16">
      <c r="A321">
        <f t="shared" si="4"/>
        <v>51</v>
      </c>
      <c r="B321" t="s">
        <v>755</v>
      </c>
      <c r="C321" t="s">
        <v>756</v>
      </c>
      <c r="D321" t="s">
        <v>205</v>
      </c>
      <c r="E321" t="s">
        <v>582</v>
      </c>
      <c r="F321" t="s">
        <v>583</v>
      </c>
      <c r="G321" t="s">
        <v>584</v>
      </c>
      <c r="H321" t="s">
        <v>381</v>
      </c>
      <c r="I321" t="s">
        <v>200</v>
      </c>
      <c r="J321" t="s">
        <v>255</v>
      </c>
      <c r="K321" s="30">
        <v>43031</v>
      </c>
      <c r="L321" s="8"/>
      <c r="M321" s="21">
        <f>LEN(ProjTextTable[[#This Row],[text]])</f>
        <v>3554</v>
      </c>
      <c r="N321" s="21">
        <f>LEN(TRIM(CLEAN(SUBSTITUTE(ProjTextTable[[#This Row],[text]],CHAR(10)," "))))+1 - LEN(SUBSTITUTE(CLEAN(SUBSTITUTE(ProjTextTable[[#This Row],[text]],CHAR(10)," "))," ",""))</f>
        <v>563</v>
      </c>
      <c r="O321" t="s">
        <v>354</v>
      </c>
      <c r="P321" t="s">
        <v>757</v>
      </c>
    </row>
    <row r="322" spans="1:16">
      <c r="A322">
        <f t="shared" ref="A322:A385" si="5">A321+(B322&lt;&gt;B321)</f>
        <v>51</v>
      </c>
      <c r="B322" t="s">
        <v>755</v>
      </c>
      <c r="C322" t="s">
        <v>756</v>
      </c>
      <c r="D322" t="s">
        <v>194</v>
      </c>
      <c r="E322" t="s">
        <v>582</v>
      </c>
      <c r="F322" t="s">
        <v>689</v>
      </c>
      <c r="G322" t="s">
        <v>690</v>
      </c>
      <c r="H322" t="s">
        <v>691</v>
      </c>
      <c r="I322" t="s">
        <v>209</v>
      </c>
      <c r="J322" t="s">
        <v>176</v>
      </c>
      <c r="K322" s="30">
        <v>43032</v>
      </c>
      <c r="L322" s="8">
        <v>43030.886724537035</v>
      </c>
      <c r="M322" s="21">
        <f>LEN(ProjTextTable[[#This Row],[text]])</f>
        <v>2250</v>
      </c>
      <c r="N322" s="21">
        <f>LEN(TRIM(CLEAN(SUBSTITUTE(ProjTextTable[[#This Row],[text]],CHAR(10)," "))))+1 - LEN(SUBSTITUTE(CLEAN(SUBSTITUTE(ProjTextTable[[#This Row],[text]],CHAR(10)," "))," ",""))</f>
        <v>331</v>
      </c>
      <c r="O322" t="s">
        <v>195</v>
      </c>
      <c r="P322" t="s">
        <v>758</v>
      </c>
    </row>
    <row r="323" spans="1:16">
      <c r="A323">
        <f t="shared" si="5"/>
        <v>51</v>
      </c>
      <c r="B323" t="s">
        <v>755</v>
      </c>
      <c r="C323" t="s">
        <v>756</v>
      </c>
      <c r="D323" t="s">
        <v>194</v>
      </c>
      <c r="E323" t="s">
        <v>582</v>
      </c>
      <c r="F323" t="s">
        <v>587</v>
      </c>
      <c r="G323" t="s">
        <v>588</v>
      </c>
      <c r="H323" t="s">
        <v>589</v>
      </c>
      <c r="I323" t="s">
        <v>209</v>
      </c>
      <c r="J323" t="s">
        <v>176</v>
      </c>
      <c r="K323" s="30">
        <v>43032</v>
      </c>
      <c r="L323" s="8">
        <v>43025.633287037039</v>
      </c>
      <c r="M323" s="21">
        <f>LEN(ProjTextTable[[#This Row],[text]])</f>
        <v>2071</v>
      </c>
      <c r="N323" s="21">
        <f>LEN(TRIM(CLEAN(SUBSTITUTE(ProjTextTable[[#This Row],[text]],CHAR(10)," "))))+1 - LEN(SUBSTITUTE(CLEAN(SUBSTITUTE(ProjTextTable[[#This Row],[text]],CHAR(10)," "))," ",""))</f>
        <v>314</v>
      </c>
      <c r="O323" t="s">
        <v>198</v>
      </c>
      <c r="P323" t="s">
        <v>759</v>
      </c>
    </row>
    <row r="324" spans="1:16">
      <c r="A324">
        <f t="shared" si="5"/>
        <v>51</v>
      </c>
      <c r="B324" t="s">
        <v>755</v>
      </c>
      <c r="C324" t="s">
        <v>756</v>
      </c>
      <c r="D324" t="s">
        <v>194</v>
      </c>
      <c r="E324" t="s">
        <v>582</v>
      </c>
      <c r="F324" t="s">
        <v>615</v>
      </c>
      <c r="G324" t="s">
        <v>616</v>
      </c>
      <c r="H324" t="s">
        <v>617</v>
      </c>
      <c r="I324" t="s">
        <v>209</v>
      </c>
      <c r="J324" t="s">
        <v>176</v>
      </c>
      <c r="K324" s="30">
        <v>43032</v>
      </c>
      <c r="L324" s="8">
        <v>43031.742314814815</v>
      </c>
      <c r="M324" s="21">
        <f>LEN(ProjTextTable[[#This Row],[text]])</f>
        <v>1610</v>
      </c>
      <c r="N324" s="21">
        <f>LEN(TRIM(CLEAN(SUBSTITUTE(ProjTextTable[[#This Row],[text]],CHAR(10)," "))))+1 - LEN(SUBSTITUTE(CLEAN(SUBSTITUTE(ProjTextTable[[#This Row],[text]],CHAR(10)," "))," ",""))</f>
        <v>237</v>
      </c>
      <c r="O324" t="s">
        <v>201</v>
      </c>
      <c r="P324" t="s">
        <v>760</v>
      </c>
    </row>
    <row r="325" spans="1:16">
      <c r="A325">
        <f t="shared" si="5"/>
        <v>51</v>
      </c>
      <c r="B325" t="s">
        <v>755</v>
      </c>
      <c r="C325" t="s">
        <v>756</v>
      </c>
      <c r="D325" t="s">
        <v>196</v>
      </c>
      <c r="E325" t="s">
        <v>579</v>
      </c>
      <c r="F325" t="s">
        <v>13</v>
      </c>
      <c r="G325" t="s">
        <v>13</v>
      </c>
      <c r="H325" t="s">
        <v>13</v>
      </c>
      <c r="K325" s="30"/>
      <c r="L325" s="8">
        <v>42957.042870370373</v>
      </c>
      <c r="M325" s="21">
        <f>LEN(ProjTextTable[[#This Row],[text]])</f>
        <v>4426</v>
      </c>
      <c r="N325" s="21">
        <f>LEN(TRIM(CLEAN(SUBSTITUTE(ProjTextTable[[#This Row],[text]],CHAR(10)," "))))+1 - LEN(SUBSTITUTE(CLEAN(SUBSTITUTE(ProjTextTable[[#This Row],[text]],CHAR(10)," "))," ",""))</f>
        <v>577</v>
      </c>
      <c r="O325" t="s">
        <v>13</v>
      </c>
      <c r="P325" t="s">
        <v>761</v>
      </c>
    </row>
    <row r="326" spans="1:16">
      <c r="A326">
        <f t="shared" si="5"/>
        <v>52</v>
      </c>
      <c r="B326" t="s">
        <v>1319</v>
      </c>
      <c r="C326" t="s">
        <v>1320</v>
      </c>
      <c r="D326" t="s">
        <v>205</v>
      </c>
      <c r="E326" t="s">
        <v>582</v>
      </c>
      <c r="F326" t="s">
        <v>658</v>
      </c>
      <c r="G326" t="s">
        <v>659</v>
      </c>
      <c r="H326" t="s">
        <v>251</v>
      </c>
      <c r="I326" t="s">
        <v>193</v>
      </c>
      <c r="J326" t="s">
        <v>255</v>
      </c>
      <c r="K326" s="30">
        <v>43059</v>
      </c>
      <c r="L326" s="8"/>
      <c r="M326" s="21">
        <f>LEN(ProjTextTable[[#This Row],[text]])</f>
        <v>1859</v>
      </c>
      <c r="N326" s="21">
        <f>LEN(TRIM(CLEAN(SUBSTITUTE(ProjTextTable[[#This Row],[text]],CHAR(10)," "))))+1 - LEN(SUBSTITUTE(CLEAN(SUBSTITUTE(ProjTextTable[[#This Row],[text]],CHAR(10)," "))," ",""))</f>
        <v>279</v>
      </c>
      <c r="O326" t="s">
        <v>250</v>
      </c>
      <c r="P326" t="s">
        <v>1321</v>
      </c>
    </row>
    <row r="327" spans="1:16">
      <c r="A327">
        <f t="shared" si="5"/>
        <v>52</v>
      </c>
      <c r="B327" t="s">
        <v>1319</v>
      </c>
      <c r="C327" t="s">
        <v>1320</v>
      </c>
      <c r="D327" t="s">
        <v>194</v>
      </c>
      <c r="E327" t="s">
        <v>582</v>
      </c>
      <c r="F327" t="s">
        <v>993</v>
      </c>
      <c r="G327" t="s">
        <v>994</v>
      </c>
      <c r="H327" t="s">
        <v>995</v>
      </c>
      <c r="I327" t="s">
        <v>209</v>
      </c>
      <c r="J327" t="s">
        <v>176</v>
      </c>
      <c r="K327" s="30">
        <v>43060</v>
      </c>
      <c r="L327" s="8">
        <v>43056.633599537039</v>
      </c>
      <c r="M327" s="21">
        <f>LEN(ProjTextTable[[#This Row],[text]])</f>
        <v>3570</v>
      </c>
      <c r="N327" s="21">
        <f>LEN(TRIM(CLEAN(SUBSTITUTE(ProjTextTable[[#This Row],[text]],CHAR(10)," "))))+1 - LEN(SUBSTITUTE(CLEAN(SUBSTITUTE(ProjTextTable[[#This Row],[text]],CHAR(10)," "))," ",""))</f>
        <v>569</v>
      </c>
      <c r="O327" t="s">
        <v>195</v>
      </c>
      <c r="P327" t="s">
        <v>1322</v>
      </c>
    </row>
    <row r="328" spans="1:16">
      <c r="A328">
        <f t="shared" si="5"/>
        <v>52</v>
      </c>
      <c r="B328" t="s">
        <v>1319</v>
      </c>
      <c r="C328" t="s">
        <v>1320</v>
      </c>
      <c r="D328" t="s">
        <v>194</v>
      </c>
      <c r="E328" t="s">
        <v>582</v>
      </c>
      <c r="F328" t="s">
        <v>665</v>
      </c>
      <c r="G328" t="s">
        <v>666</v>
      </c>
      <c r="H328" t="s">
        <v>667</v>
      </c>
      <c r="I328" t="s">
        <v>209</v>
      </c>
      <c r="J328" t="s">
        <v>176</v>
      </c>
      <c r="K328" s="30">
        <v>43060</v>
      </c>
      <c r="L328" s="8">
        <v>43059.231377314813</v>
      </c>
      <c r="M328" s="21">
        <f>LEN(ProjTextTable[[#This Row],[text]])</f>
        <v>1366</v>
      </c>
      <c r="N328" s="21">
        <f>LEN(TRIM(CLEAN(SUBSTITUTE(ProjTextTable[[#This Row],[text]],CHAR(10)," "))))+1 - LEN(SUBSTITUTE(CLEAN(SUBSTITUTE(ProjTextTable[[#This Row],[text]],CHAR(10)," "))," ",""))</f>
        <v>195</v>
      </c>
      <c r="O328" t="s">
        <v>199</v>
      </c>
      <c r="P328" t="s">
        <v>1323</v>
      </c>
    </row>
    <row r="329" spans="1:16">
      <c r="A329">
        <f t="shared" si="5"/>
        <v>52</v>
      </c>
      <c r="B329" t="s">
        <v>1319</v>
      </c>
      <c r="C329" t="s">
        <v>1320</v>
      </c>
      <c r="D329" t="s">
        <v>194</v>
      </c>
      <c r="E329" t="s">
        <v>582</v>
      </c>
      <c r="F329" t="s">
        <v>1144</v>
      </c>
      <c r="G329" t="s">
        <v>1145</v>
      </c>
      <c r="H329" t="s">
        <v>1146</v>
      </c>
      <c r="I329" t="s">
        <v>209</v>
      </c>
      <c r="J329" t="s">
        <v>176</v>
      </c>
      <c r="K329" s="30">
        <v>43060</v>
      </c>
      <c r="L329" s="8">
        <v>43058.043298611112</v>
      </c>
      <c r="M329" s="21">
        <f>LEN(ProjTextTable[[#This Row],[text]])</f>
        <v>2059</v>
      </c>
      <c r="N329" s="21">
        <f>LEN(TRIM(CLEAN(SUBSTITUTE(ProjTextTable[[#This Row],[text]],CHAR(10)," "))))+1 - LEN(SUBSTITUTE(CLEAN(SUBSTITUTE(ProjTextTable[[#This Row],[text]],CHAR(10)," "))," ",""))</f>
        <v>304</v>
      </c>
      <c r="O329" t="s">
        <v>195</v>
      </c>
      <c r="P329" t="s">
        <v>1324</v>
      </c>
    </row>
    <row r="330" spans="1:16">
      <c r="A330">
        <f t="shared" si="5"/>
        <v>52</v>
      </c>
      <c r="B330" t="s">
        <v>1319</v>
      </c>
      <c r="C330" t="s">
        <v>1320</v>
      </c>
      <c r="D330" t="s">
        <v>196</v>
      </c>
      <c r="E330" t="s">
        <v>582</v>
      </c>
      <c r="F330" t="s">
        <v>13</v>
      </c>
      <c r="G330" t="s">
        <v>13</v>
      </c>
      <c r="H330" t="s">
        <v>13</v>
      </c>
      <c r="K330" s="30"/>
      <c r="L330" s="8">
        <v>42957.042881944442</v>
      </c>
      <c r="M330" s="21">
        <f>LEN(ProjTextTable[[#This Row],[text]])</f>
        <v>3662</v>
      </c>
      <c r="N330" s="21">
        <f>LEN(TRIM(CLEAN(SUBSTITUTE(ProjTextTable[[#This Row],[text]],CHAR(10)," "))))+1 - LEN(SUBSTITUTE(CLEAN(SUBSTITUTE(ProjTextTable[[#This Row],[text]],CHAR(10)," "))," ",""))</f>
        <v>510</v>
      </c>
      <c r="O330" t="s">
        <v>13</v>
      </c>
      <c r="P330" t="s">
        <v>1325</v>
      </c>
    </row>
    <row r="331" spans="1:16">
      <c r="A331">
        <f t="shared" si="5"/>
        <v>53</v>
      </c>
      <c r="B331" t="s">
        <v>1326</v>
      </c>
      <c r="C331" t="s">
        <v>1327</v>
      </c>
      <c r="D331" t="s">
        <v>205</v>
      </c>
      <c r="E331" t="s">
        <v>582</v>
      </c>
      <c r="F331" t="s">
        <v>658</v>
      </c>
      <c r="G331" t="s">
        <v>659</v>
      </c>
      <c r="H331" t="s">
        <v>247</v>
      </c>
      <c r="I331" t="s">
        <v>95</v>
      </c>
      <c r="J331" t="s">
        <v>95</v>
      </c>
      <c r="K331" s="30">
        <v>43059</v>
      </c>
      <c r="L331" s="8"/>
      <c r="M331" s="21">
        <f>LEN(ProjTextTable[[#This Row],[text]])</f>
        <v>1408</v>
      </c>
      <c r="N331" s="21">
        <f>LEN(TRIM(CLEAN(SUBSTITUTE(ProjTextTable[[#This Row],[text]],CHAR(10)," "))))+1 - LEN(SUBSTITUTE(CLEAN(SUBSTITUTE(ProjTextTable[[#This Row],[text]],CHAR(10)," "))," ",""))</f>
        <v>207</v>
      </c>
      <c r="O331" t="s">
        <v>245</v>
      </c>
      <c r="P331" t="s">
        <v>1328</v>
      </c>
    </row>
    <row r="332" spans="1:16">
      <c r="A332">
        <f t="shared" si="5"/>
        <v>53</v>
      </c>
      <c r="B332" t="s">
        <v>1326</v>
      </c>
      <c r="C332" t="s">
        <v>1327</v>
      </c>
      <c r="D332" t="s">
        <v>194</v>
      </c>
      <c r="E332" t="s">
        <v>582</v>
      </c>
      <c r="F332" t="s">
        <v>966</v>
      </c>
      <c r="G332" t="s">
        <v>967</v>
      </c>
      <c r="H332" t="s">
        <v>968</v>
      </c>
      <c r="I332" t="s">
        <v>209</v>
      </c>
      <c r="J332" t="s">
        <v>176</v>
      </c>
      <c r="K332" s="30">
        <v>43060</v>
      </c>
      <c r="L332" s="8">
        <v>43060.396203703705</v>
      </c>
      <c r="M332" s="21">
        <f>LEN(ProjTextTable[[#This Row],[text]])</f>
        <v>1508</v>
      </c>
      <c r="N332" s="21">
        <f>LEN(TRIM(CLEAN(SUBSTITUTE(ProjTextTable[[#This Row],[text]],CHAR(10)," "))))+1 - LEN(SUBSTITUTE(CLEAN(SUBSTITUTE(ProjTextTable[[#This Row],[text]],CHAR(10)," "))," ",""))</f>
        <v>224</v>
      </c>
      <c r="O332" t="s">
        <v>253</v>
      </c>
      <c r="P332" t="s">
        <v>1329</v>
      </c>
    </row>
    <row r="333" spans="1:16">
      <c r="A333">
        <f t="shared" si="5"/>
        <v>53</v>
      </c>
      <c r="B333" t="s">
        <v>1326</v>
      </c>
      <c r="C333" t="s">
        <v>1327</v>
      </c>
      <c r="D333" t="s">
        <v>194</v>
      </c>
      <c r="E333" t="s">
        <v>582</v>
      </c>
      <c r="F333" t="s">
        <v>979</v>
      </c>
      <c r="G333" t="s">
        <v>980</v>
      </c>
      <c r="H333" t="s">
        <v>981</v>
      </c>
      <c r="I333" t="s">
        <v>209</v>
      </c>
      <c r="J333" t="s">
        <v>176</v>
      </c>
      <c r="K333" s="30">
        <v>43060</v>
      </c>
      <c r="L333" s="8">
        <v>43058.906793981485</v>
      </c>
      <c r="M333" s="21">
        <f>LEN(ProjTextTable[[#This Row],[text]])</f>
        <v>1783</v>
      </c>
      <c r="N333" s="21">
        <f>LEN(TRIM(CLEAN(SUBSTITUTE(ProjTextTable[[#This Row],[text]],CHAR(10)," "))))+1 - LEN(SUBSTITUTE(CLEAN(SUBSTITUTE(ProjTextTable[[#This Row],[text]],CHAR(10)," "))," ",""))</f>
        <v>248</v>
      </c>
      <c r="O333" t="s">
        <v>253</v>
      </c>
      <c r="P333" t="s">
        <v>1330</v>
      </c>
    </row>
    <row r="334" spans="1:16">
      <c r="A334">
        <f t="shared" si="5"/>
        <v>53</v>
      </c>
      <c r="B334" t="s">
        <v>1326</v>
      </c>
      <c r="C334" t="s">
        <v>1327</v>
      </c>
      <c r="D334" t="s">
        <v>194</v>
      </c>
      <c r="E334" t="s">
        <v>582</v>
      </c>
      <c r="F334" t="s">
        <v>970</v>
      </c>
      <c r="G334" t="s">
        <v>971</v>
      </c>
      <c r="H334" t="s">
        <v>972</v>
      </c>
      <c r="I334" t="s">
        <v>209</v>
      </c>
      <c r="J334" t="s">
        <v>176</v>
      </c>
      <c r="K334" s="30">
        <v>43060</v>
      </c>
      <c r="L334" s="8">
        <v>43057.490289351852</v>
      </c>
      <c r="M334" s="21">
        <f>LEN(ProjTextTable[[#This Row],[text]])</f>
        <v>1538</v>
      </c>
      <c r="N334" s="21">
        <f>LEN(TRIM(CLEAN(SUBSTITUTE(ProjTextTable[[#This Row],[text]],CHAR(10)," "))))+1 - LEN(SUBSTITUTE(CLEAN(SUBSTITUTE(ProjTextTable[[#This Row],[text]],CHAR(10)," "))," ",""))</f>
        <v>224</v>
      </c>
      <c r="O334" t="s">
        <v>198</v>
      </c>
      <c r="P334" t="s">
        <v>1331</v>
      </c>
    </row>
    <row r="335" spans="1:16">
      <c r="A335">
        <f t="shared" si="5"/>
        <v>53</v>
      </c>
      <c r="B335" t="s">
        <v>1326</v>
      </c>
      <c r="C335" t="s">
        <v>1327</v>
      </c>
      <c r="D335" t="s">
        <v>196</v>
      </c>
      <c r="E335" t="s">
        <v>582</v>
      </c>
      <c r="F335" t="s">
        <v>13</v>
      </c>
      <c r="G335" t="s">
        <v>13</v>
      </c>
      <c r="H335" t="s">
        <v>13</v>
      </c>
      <c r="K335" s="30"/>
      <c r="L335" s="8">
        <v>42957.042951388888</v>
      </c>
      <c r="M335" s="21">
        <f>LEN(ProjTextTable[[#This Row],[text]])</f>
        <v>3667</v>
      </c>
      <c r="N335" s="21">
        <f>LEN(TRIM(CLEAN(SUBSTITUTE(ProjTextTable[[#This Row],[text]],CHAR(10)," "))))+1 - LEN(SUBSTITUTE(CLEAN(SUBSTITUTE(ProjTextTable[[#This Row],[text]],CHAR(10)," "))," ",""))</f>
        <v>501</v>
      </c>
      <c r="O335" t="s">
        <v>13</v>
      </c>
      <c r="P335" t="s">
        <v>1332</v>
      </c>
    </row>
    <row r="336" spans="1:16">
      <c r="A336">
        <f t="shared" si="5"/>
        <v>54</v>
      </c>
      <c r="B336" t="s">
        <v>1333</v>
      </c>
      <c r="C336" t="s">
        <v>1334</v>
      </c>
      <c r="D336" t="s">
        <v>205</v>
      </c>
      <c r="E336" t="s">
        <v>582</v>
      </c>
      <c r="F336" t="s">
        <v>658</v>
      </c>
      <c r="G336" t="s">
        <v>659</v>
      </c>
      <c r="H336" t="s">
        <v>251</v>
      </c>
      <c r="I336" t="s">
        <v>193</v>
      </c>
      <c r="J336" t="s">
        <v>255</v>
      </c>
      <c r="K336" s="30">
        <v>43059</v>
      </c>
      <c r="L336" s="8"/>
      <c r="M336" s="21">
        <f>LEN(ProjTextTable[[#This Row],[text]])</f>
        <v>3012</v>
      </c>
      <c r="N336" s="21">
        <f>LEN(TRIM(CLEAN(SUBSTITUTE(ProjTextTable[[#This Row],[text]],CHAR(10)," "))))+1 - LEN(SUBSTITUTE(CLEAN(SUBSTITUTE(ProjTextTable[[#This Row],[text]],CHAR(10)," "))," ",""))</f>
        <v>439</v>
      </c>
      <c r="O336" t="s">
        <v>250</v>
      </c>
      <c r="P336" t="s">
        <v>1335</v>
      </c>
    </row>
    <row r="337" spans="1:16">
      <c r="A337">
        <f t="shared" si="5"/>
        <v>54</v>
      </c>
      <c r="B337" t="s">
        <v>1333</v>
      </c>
      <c r="C337" t="s">
        <v>1334</v>
      </c>
      <c r="D337" t="s">
        <v>194</v>
      </c>
      <c r="E337" t="s">
        <v>582</v>
      </c>
      <c r="F337" t="s">
        <v>1144</v>
      </c>
      <c r="G337" t="s">
        <v>1145</v>
      </c>
      <c r="H337" t="s">
        <v>1146</v>
      </c>
      <c r="I337" t="s">
        <v>209</v>
      </c>
      <c r="J337" t="s">
        <v>176</v>
      </c>
      <c r="K337" s="30">
        <v>43060</v>
      </c>
      <c r="L337" s="8">
        <v>43054.490324074075</v>
      </c>
      <c r="M337" s="21">
        <f>LEN(ProjTextTable[[#This Row],[text]])</f>
        <v>1664</v>
      </c>
      <c r="N337" s="21">
        <f>LEN(TRIM(CLEAN(SUBSTITUTE(ProjTextTable[[#This Row],[text]],CHAR(10)," "))))+1 - LEN(SUBSTITUTE(CLEAN(SUBSTITUTE(ProjTextTable[[#This Row],[text]],CHAR(10)," "))," ",""))</f>
        <v>250</v>
      </c>
      <c r="O337" t="s">
        <v>203</v>
      </c>
      <c r="P337" t="s">
        <v>1336</v>
      </c>
    </row>
    <row r="338" spans="1:16">
      <c r="A338">
        <f t="shared" si="5"/>
        <v>54</v>
      </c>
      <c r="B338" t="s">
        <v>1333</v>
      </c>
      <c r="C338" t="s">
        <v>1334</v>
      </c>
      <c r="D338" t="s">
        <v>194</v>
      </c>
      <c r="E338" t="s">
        <v>582</v>
      </c>
      <c r="F338" t="s">
        <v>673</v>
      </c>
      <c r="G338" t="s">
        <v>674</v>
      </c>
      <c r="H338" t="s">
        <v>675</v>
      </c>
      <c r="I338" t="s">
        <v>209</v>
      </c>
      <c r="J338" t="s">
        <v>176</v>
      </c>
      <c r="K338" s="30">
        <v>43060</v>
      </c>
      <c r="L338" s="8">
        <v>43057.351238425923</v>
      </c>
      <c r="M338" s="21">
        <f>LEN(ProjTextTable[[#This Row],[text]])</f>
        <v>4714</v>
      </c>
      <c r="N338" s="21">
        <f>LEN(TRIM(CLEAN(SUBSTITUTE(ProjTextTable[[#This Row],[text]],CHAR(10)," "))))+1 - LEN(SUBSTITUTE(CLEAN(SUBSTITUTE(ProjTextTable[[#This Row],[text]],CHAR(10)," "))," ",""))</f>
        <v>704</v>
      </c>
      <c r="O338" t="s">
        <v>195</v>
      </c>
      <c r="P338" t="s">
        <v>1337</v>
      </c>
    </row>
    <row r="339" spans="1:16">
      <c r="A339">
        <f t="shared" si="5"/>
        <v>54</v>
      </c>
      <c r="B339" t="s">
        <v>1333</v>
      </c>
      <c r="C339" t="s">
        <v>1334</v>
      </c>
      <c r="D339" t="s">
        <v>194</v>
      </c>
      <c r="E339" t="s">
        <v>582</v>
      </c>
      <c r="F339" t="s">
        <v>1072</v>
      </c>
      <c r="G339" t="s">
        <v>1073</v>
      </c>
      <c r="H339" t="s">
        <v>1074</v>
      </c>
      <c r="I339" t="s">
        <v>209</v>
      </c>
      <c r="J339" t="s">
        <v>176</v>
      </c>
      <c r="K339" s="30">
        <v>43060</v>
      </c>
      <c r="L339" s="8">
        <v>43058.973240740743</v>
      </c>
      <c r="M339" s="21">
        <f>LEN(ProjTextTable[[#This Row],[text]])</f>
        <v>3655</v>
      </c>
      <c r="N339" s="21">
        <f>LEN(TRIM(CLEAN(SUBSTITUTE(ProjTextTable[[#This Row],[text]],CHAR(10)," "))))+1 - LEN(SUBSTITUTE(CLEAN(SUBSTITUTE(ProjTextTable[[#This Row],[text]],CHAR(10)," "))," ",""))</f>
        <v>581</v>
      </c>
      <c r="O339" t="s">
        <v>202</v>
      </c>
      <c r="P339" t="s">
        <v>1338</v>
      </c>
    </row>
    <row r="340" spans="1:16">
      <c r="A340">
        <f t="shared" si="5"/>
        <v>54</v>
      </c>
      <c r="B340" t="s">
        <v>1333</v>
      </c>
      <c r="C340" t="s">
        <v>1334</v>
      </c>
      <c r="D340" t="s">
        <v>196</v>
      </c>
      <c r="E340" t="s">
        <v>582</v>
      </c>
      <c r="F340" t="s">
        <v>13</v>
      </c>
      <c r="G340" t="s">
        <v>13</v>
      </c>
      <c r="H340" t="s">
        <v>13</v>
      </c>
      <c r="K340" s="30"/>
      <c r="L340" s="8">
        <v>42957.043009259258</v>
      </c>
      <c r="M340" s="21">
        <f>LEN(ProjTextTable[[#This Row],[text]])</f>
        <v>4616</v>
      </c>
      <c r="N340" s="21">
        <f>LEN(TRIM(CLEAN(SUBSTITUTE(ProjTextTable[[#This Row],[text]],CHAR(10)," "))))+1 - LEN(SUBSTITUTE(CLEAN(SUBSTITUTE(ProjTextTable[[#This Row],[text]],CHAR(10)," "))," ",""))</f>
        <v>624</v>
      </c>
      <c r="O340" t="s">
        <v>13</v>
      </c>
      <c r="P340" t="s">
        <v>1339</v>
      </c>
    </row>
    <row r="341" spans="1:16">
      <c r="A341">
        <f t="shared" si="5"/>
        <v>55</v>
      </c>
      <c r="B341" t="s">
        <v>762</v>
      </c>
      <c r="C341" t="s">
        <v>763</v>
      </c>
      <c r="D341" t="s">
        <v>205</v>
      </c>
      <c r="E341" t="s">
        <v>582</v>
      </c>
      <c r="F341" t="s">
        <v>764</v>
      </c>
      <c r="G341" t="s">
        <v>584</v>
      </c>
      <c r="H341" t="s">
        <v>381</v>
      </c>
      <c r="I341" t="s">
        <v>200</v>
      </c>
      <c r="J341" t="s">
        <v>255</v>
      </c>
      <c r="K341" s="30">
        <v>43031</v>
      </c>
      <c r="L341" s="8"/>
      <c r="M341" s="21">
        <f>LEN(ProjTextTable[[#This Row],[text]])</f>
        <v>1785</v>
      </c>
      <c r="N341" s="21">
        <f>LEN(TRIM(CLEAN(SUBSTITUTE(ProjTextTable[[#This Row],[text]],CHAR(10)," "))))+1 - LEN(SUBSTITUTE(CLEAN(SUBSTITUTE(ProjTextTable[[#This Row],[text]],CHAR(10)," "))," ",""))</f>
        <v>268</v>
      </c>
      <c r="O341" t="s">
        <v>354</v>
      </c>
      <c r="P341" t="s">
        <v>765</v>
      </c>
    </row>
    <row r="342" spans="1:16">
      <c r="A342">
        <f t="shared" si="5"/>
        <v>55</v>
      </c>
      <c r="B342" t="s">
        <v>762</v>
      </c>
      <c r="C342" t="s">
        <v>763</v>
      </c>
      <c r="D342" t="s">
        <v>194</v>
      </c>
      <c r="E342" t="s">
        <v>582</v>
      </c>
      <c r="F342" t="s">
        <v>591</v>
      </c>
      <c r="G342" t="s">
        <v>592</v>
      </c>
      <c r="H342" t="s">
        <v>593</v>
      </c>
      <c r="I342" t="s">
        <v>209</v>
      </c>
      <c r="J342" t="s">
        <v>176</v>
      </c>
      <c r="K342" s="30">
        <v>43032</v>
      </c>
      <c r="L342" s="8">
        <v>43030.825844907406</v>
      </c>
      <c r="M342" s="21">
        <f>LEN(ProjTextTable[[#This Row],[text]])</f>
        <v>1433</v>
      </c>
      <c r="N342" s="21">
        <f>LEN(TRIM(CLEAN(SUBSTITUTE(ProjTextTable[[#This Row],[text]],CHAR(10)," "))))+1 - LEN(SUBSTITUTE(CLEAN(SUBSTITUTE(ProjTextTable[[#This Row],[text]],CHAR(10)," "))," ",""))</f>
        <v>209</v>
      </c>
      <c r="O342" t="s">
        <v>195</v>
      </c>
      <c r="P342" t="s">
        <v>766</v>
      </c>
    </row>
    <row r="343" spans="1:16">
      <c r="A343">
        <f t="shared" si="5"/>
        <v>55</v>
      </c>
      <c r="B343" t="s">
        <v>762</v>
      </c>
      <c r="C343" t="s">
        <v>763</v>
      </c>
      <c r="D343" t="s">
        <v>194</v>
      </c>
      <c r="E343" t="s">
        <v>579</v>
      </c>
      <c r="F343" t="s">
        <v>599</v>
      </c>
      <c r="G343" t="s">
        <v>600</v>
      </c>
      <c r="H343" t="s">
        <v>601</v>
      </c>
      <c r="I343" t="s">
        <v>209</v>
      </c>
      <c r="J343" t="s">
        <v>176</v>
      </c>
      <c r="K343" s="30">
        <v>43032</v>
      </c>
      <c r="L343" s="8">
        <v>43032.675833333335</v>
      </c>
      <c r="M343" s="21">
        <f>LEN(ProjTextTable[[#This Row],[text]])</f>
        <v>2823</v>
      </c>
      <c r="N343" s="21">
        <f>LEN(TRIM(CLEAN(SUBSTITUTE(ProjTextTable[[#This Row],[text]],CHAR(10)," "))))+1 - LEN(SUBSTITUTE(CLEAN(SUBSTITUTE(ProjTextTable[[#This Row],[text]],CHAR(10)," "))," ",""))</f>
        <v>475</v>
      </c>
      <c r="O343" t="s">
        <v>203</v>
      </c>
      <c r="P343" t="s">
        <v>767</v>
      </c>
    </row>
    <row r="344" spans="1:16">
      <c r="A344">
        <f t="shared" si="5"/>
        <v>55</v>
      </c>
      <c r="B344" t="s">
        <v>762</v>
      </c>
      <c r="C344" t="s">
        <v>763</v>
      </c>
      <c r="D344" t="s">
        <v>194</v>
      </c>
      <c r="E344" t="s">
        <v>582</v>
      </c>
      <c r="F344" t="s">
        <v>768</v>
      </c>
      <c r="G344" t="s">
        <v>769</v>
      </c>
      <c r="H344" t="s">
        <v>770</v>
      </c>
      <c r="I344" t="s">
        <v>209</v>
      </c>
      <c r="J344" t="s">
        <v>176</v>
      </c>
      <c r="K344" s="30">
        <v>43032</v>
      </c>
      <c r="L344" s="8">
        <v>43032.53087962963</v>
      </c>
      <c r="M344" s="21">
        <f>LEN(ProjTextTable[[#This Row],[text]])</f>
        <v>5656</v>
      </c>
      <c r="N344" s="21">
        <f>LEN(TRIM(CLEAN(SUBSTITUTE(ProjTextTable[[#This Row],[text]],CHAR(10)," "))))+1 - LEN(SUBSTITUTE(CLEAN(SUBSTITUTE(ProjTextTable[[#This Row],[text]],CHAR(10)," "))," ",""))</f>
        <v>946</v>
      </c>
      <c r="O344" t="s">
        <v>199</v>
      </c>
      <c r="P344" t="s">
        <v>771</v>
      </c>
    </row>
    <row r="345" spans="1:16">
      <c r="A345">
        <f t="shared" si="5"/>
        <v>55</v>
      </c>
      <c r="B345" t="s">
        <v>762</v>
      </c>
      <c r="C345" t="s">
        <v>763</v>
      </c>
      <c r="D345" t="s">
        <v>196</v>
      </c>
      <c r="E345" t="s">
        <v>579</v>
      </c>
      <c r="F345" t="s">
        <v>13</v>
      </c>
      <c r="G345" t="s">
        <v>13</v>
      </c>
      <c r="H345" t="s">
        <v>13</v>
      </c>
      <c r="K345" s="30"/>
      <c r="L345" s="8">
        <v>42957.043009259258</v>
      </c>
      <c r="M345" s="21">
        <f>LEN(ProjTextTable[[#This Row],[text]])</f>
        <v>4368</v>
      </c>
      <c r="N345" s="21">
        <f>LEN(TRIM(CLEAN(SUBSTITUTE(ProjTextTable[[#This Row],[text]],CHAR(10)," "))))+1 - LEN(SUBSTITUTE(CLEAN(SUBSTITUTE(ProjTextTable[[#This Row],[text]],CHAR(10)," "))," ",""))</f>
        <v>604</v>
      </c>
      <c r="O345" t="s">
        <v>13</v>
      </c>
      <c r="P345" t="s">
        <v>772</v>
      </c>
    </row>
    <row r="346" spans="1:16">
      <c r="A346">
        <f t="shared" si="5"/>
        <v>56</v>
      </c>
      <c r="B346" t="s">
        <v>1340</v>
      </c>
      <c r="C346" t="s">
        <v>1191</v>
      </c>
      <c r="D346" t="s">
        <v>205</v>
      </c>
      <c r="E346" t="s">
        <v>582</v>
      </c>
      <c r="F346" t="s">
        <v>658</v>
      </c>
      <c r="G346" t="s">
        <v>659</v>
      </c>
      <c r="H346" t="s">
        <v>207</v>
      </c>
      <c r="I346" t="s">
        <v>197</v>
      </c>
      <c r="J346" t="s">
        <v>193</v>
      </c>
      <c r="K346" s="30">
        <v>43059</v>
      </c>
      <c r="L346" s="8"/>
      <c r="M346" s="21">
        <f>LEN(ProjTextTable[[#This Row],[text]])</f>
        <v>3676</v>
      </c>
      <c r="N346" s="21">
        <f>LEN(TRIM(CLEAN(SUBSTITUTE(ProjTextTable[[#This Row],[text]],CHAR(10)," "))))+1 - LEN(SUBSTITUTE(CLEAN(SUBSTITUTE(ProjTextTable[[#This Row],[text]],CHAR(10)," "))," ",""))</f>
        <v>552</v>
      </c>
      <c r="O346" t="s">
        <v>208</v>
      </c>
      <c r="P346" t="s">
        <v>1341</v>
      </c>
    </row>
    <row r="347" spans="1:16">
      <c r="A347">
        <f t="shared" si="5"/>
        <v>56</v>
      </c>
      <c r="B347" t="s">
        <v>1340</v>
      </c>
      <c r="C347" t="s">
        <v>1191</v>
      </c>
      <c r="D347" t="s">
        <v>194</v>
      </c>
      <c r="E347" t="s">
        <v>582</v>
      </c>
      <c r="F347" t="s">
        <v>993</v>
      </c>
      <c r="G347" t="s">
        <v>994</v>
      </c>
      <c r="H347" t="s">
        <v>995</v>
      </c>
      <c r="I347" t="s">
        <v>209</v>
      </c>
      <c r="J347" t="s">
        <v>176</v>
      </c>
      <c r="K347" s="30">
        <v>43060</v>
      </c>
      <c r="L347" s="8">
        <v>43056.613564814812</v>
      </c>
      <c r="M347" s="21">
        <f>LEN(ProjTextTable[[#This Row],[text]])</f>
        <v>2469</v>
      </c>
      <c r="N347" s="21">
        <f>LEN(TRIM(CLEAN(SUBSTITUTE(ProjTextTable[[#This Row],[text]],CHAR(10)," "))))+1 - LEN(SUBSTITUTE(CLEAN(SUBSTITUTE(ProjTextTable[[#This Row],[text]],CHAR(10)," "))," ",""))</f>
        <v>386</v>
      </c>
      <c r="O347" t="s">
        <v>199</v>
      </c>
      <c r="P347" t="s">
        <v>1342</v>
      </c>
    </row>
    <row r="348" spans="1:16">
      <c r="A348">
        <f t="shared" si="5"/>
        <v>56</v>
      </c>
      <c r="B348" t="s">
        <v>1340</v>
      </c>
      <c r="C348" t="s">
        <v>1191</v>
      </c>
      <c r="D348" t="s">
        <v>194</v>
      </c>
      <c r="E348" t="s">
        <v>582</v>
      </c>
      <c r="F348" t="s">
        <v>665</v>
      </c>
      <c r="G348" t="s">
        <v>666</v>
      </c>
      <c r="H348" t="s">
        <v>667</v>
      </c>
      <c r="I348" t="s">
        <v>209</v>
      </c>
      <c r="J348" t="s">
        <v>176</v>
      </c>
      <c r="K348" s="30">
        <v>43060</v>
      </c>
      <c r="L348" s="8">
        <v>43059.232060185182</v>
      </c>
      <c r="M348" s="21">
        <f>LEN(ProjTextTable[[#This Row],[text]])</f>
        <v>1235</v>
      </c>
      <c r="N348" s="21">
        <f>LEN(TRIM(CLEAN(SUBSTITUTE(ProjTextTable[[#This Row],[text]],CHAR(10)," "))))+1 - LEN(SUBSTITUTE(CLEAN(SUBSTITUTE(ProjTextTable[[#This Row],[text]],CHAR(10)," "))," ",""))</f>
        <v>175</v>
      </c>
      <c r="O348" t="s">
        <v>199</v>
      </c>
      <c r="P348" t="s">
        <v>1343</v>
      </c>
    </row>
    <row r="349" spans="1:16">
      <c r="A349">
        <f t="shared" si="5"/>
        <v>56</v>
      </c>
      <c r="B349" t="s">
        <v>1340</v>
      </c>
      <c r="C349" t="s">
        <v>1191</v>
      </c>
      <c r="D349" t="s">
        <v>194</v>
      </c>
      <c r="E349" t="s">
        <v>582</v>
      </c>
      <c r="F349" t="s">
        <v>673</v>
      </c>
      <c r="G349" t="s">
        <v>674</v>
      </c>
      <c r="H349" t="s">
        <v>675</v>
      </c>
      <c r="I349" t="s">
        <v>209</v>
      </c>
      <c r="J349" t="s">
        <v>176</v>
      </c>
      <c r="K349" s="30">
        <v>43060</v>
      </c>
      <c r="L349" s="8">
        <v>43060.398576388892</v>
      </c>
      <c r="M349" s="21">
        <f>LEN(ProjTextTable[[#This Row],[text]])</f>
        <v>4632</v>
      </c>
      <c r="N349" s="21">
        <f>LEN(TRIM(CLEAN(SUBSTITUTE(ProjTextTable[[#This Row],[text]],CHAR(10)," "))))+1 - LEN(SUBSTITUTE(CLEAN(SUBSTITUTE(ProjTextTable[[#This Row],[text]],CHAR(10)," "))," ",""))</f>
        <v>693</v>
      </c>
      <c r="O349" t="s">
        <v>199</v>
      </c>
      <c r="P349" t="s">
        <v>1344</v>
      </c>
    </row>
    <row r="350" spans="1:16">
      <c r="A350">
        <f t="shared" si="5"/>
        <v>56</v>
      </c>
      <c r="B350" t="s">
        <v>1340</v>
      </c>
      <c r="C350" t="s">
        <v>1191</v>
      </c>
      <c r="D350" t="s">
        <v>196</v>
      </c>
      <c r="E350" t="s">
        <v>582</v>
      </c>
      <c r="F350" t="s">
        <v>13</v>
      </c>
      <c r="G350" t="s">
        <v>13</v>
      </c>
      <c r="H350" t="s">
        <v>13</v>
      </c>
      <c r="K350" s="30"/>
      <c r="L350" s="8">
        <v>42957.043020833335</v>
      </c>
      <c r="M350" s="21">
        <f>LEN(ProjTextTable[[#This Row],[text]])</f>
        <v>3793</v>
      </c>
      <c r="N350" s="21">
        <f>LEN(TRIM(CLEAN(SUBSTITUTE(ProjTextTable[[#This Row],[text]],CHAR(10)," "))))+1 - LEN(SUBSTITUTE(CLEAN(SUBSTITUTE(ProjTextTable[[#This Row],[text]],CHAR(10)," "))," ",""))</f>
        <v>556</v>
      </c>
      <c r="O350" t="s">
        <v>13</v>
      </c>
      <c r="P350" t="s">
        <v>1345</v>
      </c>
    </row>
    <row r="351" spans="1:16">
      <c r="A351">
        <f t="shared" si="5"/>
        <v>57</v>
      </c>
      <c r="B351" t="s">
        <v>773</v>
      </c>
      <c r="C351" t="s">
        <v>774</v>
      </c>
      <c r="D351" t="s">
        <v>205</v>
      </c>
      <c r="E351" t="s">
        <v>582</v>
      </c>
      <c r="F351" t="s">
        <v>583</v>
      </c>
      <c r="G351" t="s">
        <v>584</v>
      </c>
      <c r="H351" t="s">
        <v>381</v>
      </c>
      <c r="I351" t="s">
        <v>200</v>
      </c>
      <c r="J351" t="s">
        <v>255</v>
      </c>
      <c r="K351" s="30">
        <v>43031</v>
      </c>
      <c r="L351" s="8"/>
      <c r="M351" s="21">
        <f>LEN(ProjTextTable[[#This Row],[text]])</f>
        <v>2340</v>
      </c>
      <c r="N351" s="21">
        <f>LEN(TRIM(CLEAN(SUBSTITUTE(ProjTextTable[[#This Row],[text]],CHAR(10)," "))))+1 - LEN(SUBSTITUTE(CLEAN(SUBSTITUTE(ProjTextTable[[#This Row],[text]],CHAR(10)," "))," ",""))</f>
        <v>356</v>
      </c>
      <c r="O351" t="s">
        <v>354</v>
      </c>
      <c r="P351" t="s">
        <v>775</v>
      </c>
    </row>
    <row r="352" spans="1:16">
      <c r="A352">
        <f t="shared" si="5"/>
        <v>57</v>
      </c>
      <c r="B352" t="s">
        <v>773</v>
      </c>
      <c r="C352" t="s">
        <v>774</v>
      </c>
      <c r="D352" t="s">
        <v>194</v>
      </c>
      <c r="E352" t="s">
        <v>582</v>
      </c>
      <c r="F352" t="s">
        <v>587</v>
      </c>
      <c r="G352" t="s">
        <v>588</v>
      </c>
      <c r="H352" t="s">
        <v>589</v>
      </c>
      <c r="I352" t="s">
        <v>209</v>
      </c>
      <c r="J352" t="s">
        <v>176</v>
      </c>
      <c r="K352" s="30">
        <v>43032</v>
      </c>
      <c r="L352" s="8">
        <v>43031.750081018516</v>
      </c>
      <c r="M352" s="21">
        <f>LEN(ProjTextTable[[#This Row],[text]])</f>
        <v>3285</v>
      </c>
      <c r="N352" s="21">
        <f>LEN(TRIM(CLEAN(SUBSTITUTE(ProjTextTable[[#This Row],[text]],CHAR(10)," "))))+1 - LEN(SUBSTITUTE(CLEAN(SUBSTITUTE(ProjTextTable[[#This Row],[text]],CHAR(10)," "))," ",""))</f>
        <v>514</v>
      </c>
      <c r="O352" t="s">
        <v>202</v>
      </c>
      <c r="P352" t="s">
        <v>776</v>
      </c>
    </row>
    <row r="353" spans="1:16">
      <c r="A353">
        <f t="shared" si="5"/>
        <v>57</v>
      </c>
      <c r="B353" t="s">
        <v>773</v>
      </c>
      <c r="C353" t="s">
        <v>774</v>
      </c>
      <c r="D353" t="s">
        <v>194</v>
      </c>
      <c r="E353" t="s">
        <v>582</v>
      </c>
      <c r="F353" t="s">
        <v>712</v>
      </c>
      <c r="G353" t="s">
        <v>713</v>
      </c>
      <c r="H353" t="s">
        <v>714</v>
      </c>
      <c r="I353" t="s">
        <v>209</v>
      </c>
      <c r="J353" t="s">
        <v>176</v>
      </c>
      <c r="K353" s="30">
        <v>43032</v>
      </c>
      <c r="L353" s="8">
        <v>43027.933842592596</v>
      </c>
      <c r="M353" s="21">
        <f>LEN(ProjTextTable[[#This Row],[text]])</f>
        <v>2177</v>
      </c>
      <c r="N353" s="21">
        <f>LEN(TRIM(CLEAN(SUBSTITUTE(ProjTextTable[[#This Row],[text]],CHAR(10)," "))))+1 - LEN(SUBSTITUTE(CLEAN(SUBSTITUTE(ProjTextTable[[#This Row],[text]],CHAR(10)," "))," ",""))</f>
        <v>316</v>
      </c>
      <c r="O353" t="s">
        <v>195</v>
      </c>
      <c r="P353" t="s">
        <v>777</v>
      </c>
    </row>
    <row r="354" spans="1:16">
      <c r="A354">
        <f t="shared" si="5"/>
        <v>57</v>
      </c>
      <c r="B354" t="s">
        <v>773</v>
      </c>
      <c r="C354" t="s">
        <v>774</v>
      </c>
      <c r="D354" t="s">
        <v>194</v>
      </c>
      <c r="E354" t="s">
        <v>579</v>
      </c>
      <c r="F354" t="s">
        <v>599</v>
      </c>
      <c r="G354" t="s">
        <v>600</v>
      </c>
      <c r="H354" t="s">
        <v>601</v>
      </c>
      <c r="I354" t="s">
        <v>209</v>
      </c>
      <c r="J354" t="s">
        <v>176</v>
      </c>
      <c r="K354" s="30">
        <v>43032</v>
      </c>
      <c r="L354" s="8">
        <v>43030.934814814813</v>
      </c>
      <c r="M354" s="21">
        <f>LEN(ProjTextTable[[#This Row],[text]])</f>
        <v>1966</v>
      </c>
      <c r="N354" s="21">
        <f>LEN(TRIM(CLEAN(SUBSTITUTE(ProjTextTable[[#This Row],[text]],CHAR(10)," "))))+1 - LEN(SUBSTITUTE(CLEAN(SUBSTITUTE(ProjTextTable[[#This Row],[text]],CHAR(10)," "))," ",""))</f>
        <v>299</v>
      </c>
      <c r="O354" t="s">
        <v>201</v>
      </c>
      <c r="P354" t="s">
        <v>778</v>
      </c>
    </row>
    <row r="355" spans="1:16">
      <c r="A355">
        <f t="shared" si="5"/>
        <v>57</v>
      </c>
      <c r="B355" t="s">
        <v>773</v>
      </c>
      <c r="C355" t="s">
        <v>774</v>
      </c>
      <c r="D355" t="s">
        <v>196</v>
      </c>
      <c r="E355" t="s">
        <v>579</v>
      </c>
      <c r="F355" t="s">
        <v>13</v>
      </c>
      <c r="G355" t="s">
        <v>13</v>
      </c>
      <c r="H355" t="s">
        <v>13</v>
      </c>
      <c r="K355" s="30"/>
      <c r="L355" s="8">
        <v>42957.043055555558</v>
      </c>
      <c r="M355" s="21">
        <f>LEN(ProjTextTable[[#This Row],[text]])</f>
        <v>3067</v>
      </c>
      <c r="N355" s="21">
        <f>LEN(TRIM(CLEAN(SUBSTITUTE(ProjTextTable[[#This Row],[text]],CHAR(10)," "))))+1 - LEN(SUBSTITUTE(CLEAN(SUBSTITUTE(ProjTextTable[[#This Row],[text]],CHAR(10)," "))," ",""))</f>
        <v>414</v>
      </c>
      <c r="O355" t="s">
        <v>13</v>
      </c>
      <c r="P355" t="s">
        <v>779</v>
      </c>
    </row>
    <row r="356" spans="1:16">
      <c r="A356">
        <f t="shared" si="5"/>
        <v>58</v>
      </c>
      <c r="B356" t="s">
        <v>1346</v>
      </c>
      <c r="C356" t="s">
        <v>666</v>
      </c>
      <c r="D356" t="s">
        <v>205</v>
      </c>
      <c r="E356" t="s">
        <v>582</v>
      </c>
      <c r="F356" t="s">
        <v>583</v>
      </c>
      <c r="G356" t="s">
        <v>584</v>
      </c>
      <c r="H356" t="s">
        <v>207</v>
      </c>
      <c r="I356" t="s">
        <v>197</v>
      </c>
      <c r="J356" t="s">
        <v>193</v>
      </c>
      <c r="K356" s="30">
        <v>43031</v>
      </c>
      <c r="L356" s="8"/>
      <c r="M356" s="21">
        <f>LEN(ProjTextTable[[#This Row],[text]])</f>
        <v>3360</v>
      </c>
      <c r="N356" s="21">
        <f>LEN(TRIM(CLEAN(SUBSTITUTE(ProjTextTable[[#This Row],[text]],CHAR(10)," "))))+1 - LEN(SUBSTITUTE(CLEAN(SUBSTITUTE(ProjTextTable[[#This Row],[text]],CHAR(10)," "))," ",""))</f>
        <v>522</v>
      </c>
      <c r="O356" t="s">
        <v>208</v>
      </c>
      <c r="P356" t="s">
        <v>1347</v>
      </c>
    </row>
    <row r="357" spans="1:16">
      <c r="A357">
        <f t="shared" si="5"/>
        <v>58</v>
      </c>
      <c r="B357" t="s">
        <v>1346</v>
      </c>
      <c r="C357" t="s">
        <v>666</v>
      </c>
      <c r="D357" t="s">
        <v>194</v>
      </c>
      <c r="E357" t="s">
        <v>582</v>
      </c>
      <c r="F357" t="s">
        <v>611</v>
      </c>
      <c r="G357" t="s">
        <v>612</v>
      </c>
      <c r="H357" t="s">
        <v>613</v>
      </c>
      <c r="I357" t="s">
        <v>209</v>
      </c>
      <c r="J357" t="s">
        <v>176</v>
      </c>
      <c r="K357" s="30">
        <v>43032</v>
      </c>
      <c r="L357" s="8">
        <v>43030.166759259257</v>
      </c>
      <c r="M357" s="21">
        <f>LEN(ProjTextTable[[#This Row],[text]])</f>
        <v>1615</v>
      </c>
      <c r="N357" s="21">
        <f>LEN(TRIM(CLEAN(SUBSTITUTE(ProjTextTable[[#This Row],[text]],CHAR(10)," "))))+1 - LEN(SUBSTITUTE(CLEAN(SUBSTITUTE(ProjTextTable[[#This Row],[text]],CHAR(10)," "))," ",""))</f>
        <v>241</v>
      </c>
      <c r="O357" t="s">
        <v>195</v>
      </c>
      <c r="P357" t="s">
        <v>1348</v>
      </c>
    </row>
    <row r="358" spans="1:16">
      <c r="A358">
        <f t="shared" si="5"/>
        <v>58</v>
      </c>
      <c r="B358" t="s">
        <v>1346</v>
      </c>
      <c r="C358" t="s">
        <v>666</v>
      </c>
      <c r="D358" t="s">
        <v>194</v>
      </c>
      <c r="E358" t="s">
        <v>582</v>
      </c>
      <c r="F358" t="s">
        <v>615</v>
      </c>
      <c r="G358" t="s">
        <v>616</v>
      </c>
      <c r="H358" t="s">
        <v>617</v>
      </c>
      <c r="I358" t="s">
        <v>209</v>
      </c>
      <c r="J358" t="s">
        <v>176</v>
      </c>
      <c r="K358" s="30">
        <v>43032</v>
      </c>
      <c r="L358" s="8">
        <v>43031.734490740739</v>
      </c>
      <c r="M358" s="21">
        <f>LEN(ProjTextTable[[#This Row],[text]])</f>
        <v>2978</v>
      </c>
      <c r="N358" s="21">
        <f>LEN(TRIM(CLEAN(SUBSTITUTE(ProjTextTable[[#This Row],[text]],CHAR(10)," "))))+1 - LEN(SUBSTITUTE(CLEAN(SUBSTITUTE(ProjTextTable[[#This Row],[text]],CHAR(10)," "))," ",""))</f>
        <v>447</v>
      </c>
      <c r="O358" t="s">
        <v>202</v>
      </c>
      <c r="P358" t="s">
        <v>1349</v>
      </c>
    </row>
    <row r="359" spans="1:16">
      <c r="A359">
        <f t="shared" si="5"/>
        <v>58</v>
      </c>
      <c r="B359" t="s">
        <v>1346</v>
      </c>
      <c r="C359" t="s">
        <v>666</v>
      </c>
      <c r="D359" t="s">
        <v>194</v>
      </c>
      <c r="E359" t="s">
        <v>582</v>
      </c>
      <c r="F359" t="s">
        <v>630</v>
      </c>
      <c r="G359" t="s">
        <v>631</v>
      </c>
      <c r="H359" t="s">
        <v>632</v>
      </c>
      <c r="I359" t="s">
        <v>209</v>
      </c>
      <c r="J359" t="s">
        <v>176</v>
      </c>
      <c r="K359" s="30">
        <v>43032</v>
      </c>
      <c r="L359" s="8">
        <v>43028.558368055557</v>
      </c>
      <c r="M359" s="21">
        <f>LEN(ProjTextTable[[#This Row],[text]])</f>
        <v>1434</v>
      </c>
      <c r="N359" s="21">
        <f>LEN(TRIM(CLEAN(SUBSTITUTE(ProjTextTable[[#This Row],[text]],CHAR(10)," "))))+1 - LEN(SUBSTITUTE(CLEAN(SUBSTITUTE(ProjTextTable[[#This Row],[text]],CHAR(10)," "))," ",""))</f>
        <v>212</v>
      </c>
      <c r="O359" t="s">
        <v>199</v>
      </c>
      <c r="P359" t="s">
        <v>1350</v>
      </c>
    </row>
    <row r="360" spans="1:16">
      <c r="B360" t="s">
        <v>204</v>
      </c>
      <c r="K360" s="30"/>
      <c r="M360"/>
      <c r="N360"/>
      <c r="P360">
        <f>SUBTOTAL(103,ProjTextTable[text])</f>
        <v>358</v>
      </c>
    </row>
  </sheetData>
  <conditionalFormatting sqref="A2:P359">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E14" sqref="A14:E14"/>
    </sheetView>
  </sheetViews>
  <sheetFormatPr defaultColWidth="9.3046875" defaultRowHeight="14.6"/>
  <cols>
    <col min="1" max="1" width="16.69140625" style="64" customWidth="1"/>
    <col min="2" max="2" width="16.53515625" style="64" customWidth="1"/>
    <col min="3" max="3" width="98.53515625" style="83" customWidth="1"/>
    <col min="4" max="4" width="23.3828125" style="62" bestFit="1" customWidth="1"/>
    <col min="5" max="5" width="12" style="62" bestFit="1" customWidth="1"/>
    <col min="6" max="16384" width="9.3046875" style="62"/>
  </cols>
  <sheetData>
    <row r="1" spans="1:5">
      <c r="A1" s="64" t="s">
        <v>296</v>
      </c>
    </row>
    <row r="2" spans="1:5">
      <c r="A2" s="65" t="s">
        <v>297</v>
      </c>
      <c r="B2" s="66" t="s">
        <v>298</v>
      </c>
    </row>
    <row r="3" spans="1:5">
      <c r="A3" s="65" t="s">
        <v>299</v>
      </c>
      <c r="B3" s="67" t="s">
        <v>317</v>
      </c>
    </row>
    <row r="4" spans="1:5">
      <c r="A4" s="64" t="s">
        <v>300</v>
      </c>
      <c r="B4" s="66" t="s">
        <v>301</v>
      </c>
    </row>
    <row r="5" spans="1:5">
      <c r="A5" s="64" t="s">
        <v>302</v>
      </c>
      <c r="B5" s="66" t="s">
        <v>303</v>
      </c>
    </row>
    <row r="6" spans="1:5">
      <c r="D6" s="62" t="s">
        <v>553</v>
      </c>
      <c r="E6" s="62">
        <v>2</v>
      </c>
    </row>
    <row r="7" spans="1:5" ht="15.9">
      <c r="A7" s="68" t="s">
        <v>283</v>
      </c>
      <c r="B7" s="69" t="s">
        <v>284</v>
      </c>
      <c r="D7" s="117" t="s">
        <v>558</v>
      </c>
      <c r="E7" s="115" t="s">
        <v>556</v>
      </c>
    </row>
    <row r="8" spans="1:5" ht="15.9">
      <c r="A8" s="70" t="s">
        <v>288</v>
      </c>
      <c r="B8" s="71"/>
      <c r="D8" s="117" t="s">
        <v>559</v>
      </c>
      <c r="E8" s="116" t="s">
        <v>554</v>
      </c>
    </row>
    <row r="9" spans="1:5" ht="15.9">
      <c r="A9" s="70" t="s">
        <v>273</v>
      </c>
      <c r="B9" s="71"/>
      <c r="D9" s="117" t="s">
        <v>560</v>
      </c>
      <c r="E9" s="116" t="s">
        <v>555</v>
      </c>
    </row>
    <row r="10" spans="1:5" ht="15.9">
      <c r="A10" s="70" t="s">
        <v>287</v>
      </c>
      <c r="B10" s="71"/>
      <c r="D10" s="117" t="s">
        <v>561</v>
      </c>
      <c r="E10" s="116" t="s">
        <v>557</v>
      </c>
    </row>
    <row r="11" spans="1:5" ht="15.9">
      <c r="A11" s="70" t="s">
        <v>286</v>
      </c>
      <c r="B11" s="71"/>
      <c r="D11" s="117" t="s">
        <v>562</v>
      </c>
      <c r="E11" s="116" t="s">
        <v>552</v>
      </c>
    </row>
    <row r="12" spans="1:5">
      <c r="A12" s="70" t="s">
        <v>285</v>
      </c>
      <c r="B12" s="71"/>
    </row>
    <row r="13" spans="1:5">
      <c r="A13" s="70" t="s">
        <v>289</v>
      </c>
      <c r="B13" s="71"/>
    </row>
    <row r="14" spans="1:5">
      <c r="A14" s="70" t="s">
        <v>290</v>
      </c>
      <c r="B14" s="71"/>
    </row>
    <row r="15" spans="1:5">
      <c r="A15" s="70" t="s">
        <v>277</v>
      </c>
      <c r="B15" s="71"/>
    </row>
    <row r="16" spans="1:5">
      <c r="A16" s="70" t="s">
        <v>280</v>
      </c>
      <c r="B16" s="71"/>
    </row>
    <row r="17" spans="1:5">
      <c r="A17" s="72" t="s">
        <v>282</v>
      </c>
      <c r="B17" s="73"/>
      <c r="D17" s="88" t="s">
        <v>479</v>
      </c>
      <c r="E17" t="s">
        <v>520</v>
      </c>
    </row>
    <row r="18" spans="1:5">
      <c r="D18" s="25" t="s">
        <v>13</v>
      </c>
      <c r="E18" s="21">
        <v>45</v>
      </c>
    </row>
    <row r="19" spans="1:5">
      <c r="D19" s="25" t="s">
        <v>174</v>
      </c>
      <c r="E19" s="21">
        <v>2</v>
      </c>
    </row>
    <row r="20" spans="1:5">
      <c r="D20" s="25" t="s">
        <v>175</v>
      </c>
      <c r="E20" s="21">
        <v>3</v>
      </c>
    </row>
    <row r="21" spans="1:5">
      <c r="D21" s="25" t="s">
        <v>177</v>
      </c>
      <c r="E21" s="21">
        <v>1</v>
      </c>
    </row>
    <row r="22" spans="1:5">
      <c r="D22" s="25" t="s">
        <v>527</v>
      </c>
      <c r="E22" s="21">
        <v>1</v>
      </c>
    </row>
    <row r="23" spans="1:5">
      <c r="A23" s="74" t="s">
        <v>183</v>
      </c>
      <c r="B23" s="75" t="s">
        <v>304</v>
      </c>
      <c r="C23" s="84" t="s">
        <v>305</v>
      </c>
      <c r="D23" s="25" t="s">
        <v>477</v>
      </c>
      <c r="E23" s="21">
        <v>52</v>
      </c>
    </row>
    <row r="24" spans="1:5" ht="29.6" customHeight="1">
      <c r="A24" s="64" t="s">
        <v>306</v>
      </c>
      <c r="B24" s="76">
        <v>43076.559108796297</v>
      </c>
      <c r="C24" s="85" t="s">
        <v>414</v>
      </c>
    </row>
    <row r="25" spans="1:5" ht="35.700000000000003" customHeight="1">
      <c r="A25" s="64" t="s">
        <v>307</v>
      </c>
      <c r="B25" s="76">
        <v>43076.559108796297</v>
      </c>
      <c r="C25" s="85" t="s">
        <v>454</v>
      </c>
    </row>
    <row r="26" spans="1:5" ht="35.700000000000003" customHeight="1">
      <c r="A26" s="64" t="s">
        <v>308</v>
      </c>
      <c r="B26" s="76">
        <v>43076.559108796297</v>
      </c>
      <c r="C26" s="85" t="s">
        <v>455</v>
      </c>
    </row>
    <row r="27" spans="1:5" ht="35.700000000000003" customHeight="1">
      <c r="A27" s="64" t="s">
        <v>309</v>
      </c>
      <c r="B27" s="76">
        <v>43076.559108796297</v>
      </c>
      <c r="C27" s="85" t="s">
        <v>456</v>
      </c>
    </row>
    <row r="28" spans="1:5" ht="35.700000000000003" customHeight="1">
      <c r="A28" s="64" t="s">
        <v>310</v>
      </c>
      <c r="B28" s="76">
        <v>43076.559108796297</v>
      </c>
      <c r="C28" s="85" t="s">
        <v>457</v>
      </c>
    </row>
    <row r="29" spans="1:5" ht="35.700000000000003" customHeight="1">
      <c r="A29" s="64" t="s">
        <v>311</v>
      </c>
      <c r="B29" s="76">
        <v>43076.559108796297</v>
      </c>
      <c r="C29" s="85" t="s">
        <v>413</v>
      </c>
    </row>
    <row r="30" spans="1:5" ht="35.700000000000003" customHeight="1">
      <c r="A30" s="64" t="s">
        <v>312</v>
      </c>
      <c r="B30" s="76">
        <v>43076.559108796297</v>
      </c>
      <c r="C30" s="85" t="s">
        <v>521</v>
      </c>
    </row>
    <row r="31" spans="1:5" ht="35.700000000000003" customHeight="1">
      <c r="A31" s="64" t="s">
        <v>313</v>
      </c>
      <c r="B31" s="76">
        <v>43076.559108796297</v>
      </c>
      <c r="C31" s="85" t="s">
        <v>415</v>
      </c>
    </row>
    <row r="32" spans="1:5" ht="35.700000000000003" customHeight="1">
      <c r="A32" s="64" t="s">
        <v>314</v>
      </c>
      <c r="B32" s="76">
        <v>43076.559108796297</v>
      </c>
      <c r="C32" s="85" t="s">
        <v>461</v>
      </c>
    </row>
    <row r="33" spans="1:3" ht="35.700000000000003" customHeight="1">
      <c r="A33" s="64" t="s">
        <v>315</v>
      </c>
      <c r="B33" s="76">
        <v>43076.559108796297</v>
      </c>
      <c r="C33" s="85" t="s">
        <v>460</v>
      </c>
    </row>
    <row r="34" spans="1:3" ht="35.700000000000003" customHeight="1">
      <c r="A34" s="64" t="s">
        <v>410</v>
      </c>
      <c r="B34" s="76">
        <v>43076.559108796297</v>
      </c>
      <c r="C34" s="85" t="s">
        <v>458</v>
      </c>
    </row>
    <row r="35" spans="1:3" ht="35.700000000000003" customHeight="1">
      <c r="A35" s="64" t="s">
        <v>412</v>
      </c>
      <c r="B35" s="76">
        <v>43076.559108796297</v>
      </c>
      <c r="C35" s="85" t="s">
        <v>522</v>
      </c>
    </row>
    <row r="36" spans="1:3" ht="35.700000000000003" customHeight="1">
      <c r="A36" s="64" t="s">
        <v>411</v>
      </c>
      <c r="B36" s="76">
        <v>43076.559108796297</v>
      </c>
      <c r="C36" s="85" t="s">
        <v>474</v>
      </c>
    </row>
    <row r="37" spans="1:3" ht="36" customHeight="1">
      <c r="A37" s="64" t="s">
        <v>459</v>
      </c>
      <c r="B37" s="76">
        <v>43076.559108796297</v>
      </c>
      <c r="C37" s="85" t="s">
        <v>550</v>
      </c>
    </row>
    <row r="38" spans="1:3" ht="36" customHeight="1">
      <c r="A38" s="64" t="s">
        <v>416</v>
      </c>
      <c r="B38" s="76">
        <v>43076.559108796297</v>
      </c>
      <c r="C38" s="85" t="s">
        <v>1612</v>
      </c>
    </row>
    <row r="39" spans="1:3" ht="24.45" customHeight="1">
      <c r="A39" s="64" t="s">
        <v>548</v>
      </c>
      <c r="B39" s="76">
        <v>43076.559108796297</v>
      </c>
      <c r="C39" s="85" t="s">
        <v>549</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48</vt:i4>
      </vt:variant>
    </vt:vector>
  </HeadingPairs>
  <TitlesOfParts>
    <vt:vector size="58"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2017-12-07T18:40:27Z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ies>
</file>