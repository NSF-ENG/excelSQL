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tables/table6.xml" ContentType="application/vnd.openxmlformats-officedocument.spreadsheetml.table+xml"/>
  <Override PartName="/xl/queryTables/queryTable1.xml" ContentType="application/vnd.openxmlformats-officedocument.spreadsheetml.queryTable+xml"/>
  <Override PartName="/xl/comments2.xml" ContentType="application/vnd.openxmlformats-officedocument.spreadsheetml.comments+xml"/>
  <Override PartName="/xl/drawings/drawing3.xml" ContentType="application/vnd.openxmlformats-officedocument.drawing+xml"/>
  <Override PartName="/xl/tables/table7.xml" ContentType="application/vnd.openxmlformats-officedocument.spreadsheetml.table+xml"/>
  <Override PartName="/xl/queryTables/queryTable2.xml" ContentType="application/vnd.openxmlformats-officedocument.spreadsheetml.queryTable+xml"/>
  <Override PartName="/xl/comments3.xml" ContentType="application/vnd.openxmlformats-officedocument.spreadsheetml.comments+xml"/>
  <Override PartName="/xl/drawings/drawing4.xml" ContentType="application/vnd.openxmlformats-officedocument.drawing+xml"/>
  <Override PartName="/xl/tables/table8.xml" ContentType="application/vnd.openxmlformats-officedocument.spreadsheetml.table+xml"/>
  <Override PartName="/xl/queryTables/queryTable3.xml" ContentType="application/vnd.openxmlformats-officedocument.spreadsheetml.queryTable+xml"/>
  <Override PartName="/xl/comments4.xml" ContentType="application/vnd.openxmlformats-officedocument.spreadsheetml.comments+xml"/>
  <Override PartName="/xl/drawings/drawing5.xml" ContentType="application/vnd.openxmlformats-officedocument.drawing+xml"/>
  <Override PartName="/xl/ctrlProps/ctrlProp12.xml" ContentType="application/vnd.ms-excel.controlproperties+xml"/>
  <Override PartName="/xl/tables/table9.xml" ContentType="application/vnd.openxmlformats-officedocument.spreadsheetml.table+xml"/>
  <Override PartName="/xl/queryTables/queryTable4.xml" ContentType="application/vnd.openxmlformats-officedocument.spreadsheetml.queryTable+xml"/>
  <Override PartName="/xl/comments5.xml" ContentType="application/vnd.openxmlformats-officedocument.spreadsheetml.comments+xml"/>
  <Override PartName="/xl/drawings/drawing6.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tables/table10.xml" ContentType="application/vnd.openxmlformats-officedocument.spreadsheetml.table+xml"/>
  <Override PartName="/xl/tables/table11.xml" ContentType="application/vnd.openxmlformats-officedocument.spreadsheetml.table+xml"/>
  <Override PartName="/xl/comments6.xml" ContentType="application/vnd.openxmlformats-officedocument.spreadsheetml.comments+xml"/>
  <Override PartName="/xl/drawings/drawing7.xml" ContentType="application/vnd.openxmlformats-officedocument.drawing+xml"/>
  <Override PartName="/xl/tables/table12.xml" ContentType="application/vnd.openxmlformats-officedocument.spreadsheetml.table+xml"/>
  <Override PartName="/xl/queryTables/queryTable5.xml" ContentType="application/vnd.openxmlformats-officedocument.spreadsheetml.queryTable+xml"/>
  <Override PartName="/xl/drawings/drawing8.xml" ContentType="application/vnd.openxmlformats-officedocument.drawing+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pivotTables/pivotTable1.xml" ContentType="application/vnd.openxmlformats-officedocument.spreadsheetml.pivotTable+xml"/>
  <Override PartName="/xl/drawings/drawing9.xml" ContentType="application/vnd.openxmlformats-officedocument.drawing+xml"/>
  <Override PartName="/xl/tables/table15.xml" ContentType="application/vnd.openxmlformats-officedocument.spreadsheetml.table+xml"/>
  <Override PartName="/xl/queryTables/queryTable8.xml" ContentType="application/vnd.openxmlformats-officedocument.spreadsheetml.queryTable+xml"/>
  <Override PartName="/xl/comments7.xml" ContentType="application/vnd.openxmlformats-officedocument.spreadsheetml.comments+xml"/>
  <Override PartName="/xl/drawings/drawing10.xml" ContentType="application/vnd.openxmlformats-officedocument.drawing+xml"/>
  <Override PartName="/xl/ctrlProps/ctrlProp16.xml" ContentType="application/vnd.ms-excel.controlproperties+xml"/>
  <Override PartName="/xl/tables/table16.xml" ContentType="application/vnd.openxmlformats-officedocument.spreadsheetml.table+xml"/>
  <Override PartName="/xl/queryTables/queryTable9.xml" ContentType="application/vnd.openxmlformats-officedocument.spreadsheetml.queryTable+xml"/>
  <Override PartName="/xl/pivotTables/pivotTable2.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201" codeName="{21656B06-1B9B-AA78-C99D-37B55691406E}"/>
  <workbookPr codeName="ThisWorkbook"/>
  <mc:AlternateContent xmlns:mc="http://schemas.openxmlformats.org/markup-compatibility/2006">
    <mc:Choice Requires="x15">
      <x15ac:absPath xmlns:x15ac="http://schemas.microsoft.com/office/spreadsheetml/2010/11/ac" url="C:\Users\JSNOEYIN\excelSQL\RoboRA\"/>
    </mc:Choice>
  </mc:AlternateContent>
  <bookViews>
    <workbookView xWindow="0" yWindow="0" windowWidth="7337" windowHeight="5194"/>
  </bookViews>
  <sheets>
    <sheet name="RoboRA" sheetId="7" r:id="rId1"/>
    <sheet name="ckCoding" sheetId="3" r:id="rId2"/>
    <sheet name="ckAwd" sheetId="10" r:id="rId3"/>
    <sheet name="Budgets" sheetId="13" r:id="rId4"/>
    <sheet name="RAData" sheetId="2" r:id="rId5"/>
    <sheet name="Advanced" sheetId="1" r:id="rId6"/>
    <sheet name="Conflict" sheetId="15" r:id="rId7"/>
    <sheet name="PRCs" sheetId="11" r:id="rId8"/>
    <sheet name="ckSplits" sheetId="12" r:id="rId9"/>
    <sheet name="ProjText" sheetId="6" r:id="rId10"/>
    <sheet name="HiddenSettings" sheetId="9" state="hidden" r:id="rId11"/>
  </sheets>
  <functionGroups builtInGroupCount="18"/>
  <definedNames>
    <definedName name="AwdTemplate">RoboRA!$B$14</definedName>
    <definedName name="codes_prop_stts">HiddenSettings!$E$7:$E$11</definedName>
    <definedName name="DeclTemplate">RoboRA!$E$14</definedName>
    <definedName name="delaytime">RoboRA!$M$12</definedName>
    <definedName name="dir_div_abbr">Advanced!$E$17</definedName>
    <definedName name="dirRAoutput">RoboRA!$N$3</definedName>
    <definedName name="dirRAtemplate">Advanced!$J$6</definedName>
    <definedName name="fiscalyear" localSheetId="3">Budgets!$L$2</definedName>
    <definedName name="from_date">Advanced!$E$12</definedName>
    <definedName name="Mac_connect_string" localSheetId="10">HiddenSettings!$B$5</definedName>
    <definedName name="menu_prop_stts">HiddenSettings!$D$7:$D$11</definedName>
    <definedName name="natr_rqst_abbr">Advanced!$E$19</definedName>
    <definedName name="obj_clas_code">Advanced!$E$20</definedName>
    <definedName name="org_code">Advanced!$E$16</definedName>
    <definedName name="overwrite_option">RoboRA!$J$2</definedName>
    <definedName name="panl_id">Advanced!$E$13</definedName>
    <definedName name="PC_connect_string" localSheetId="10">HiddenSettings!$B$4</definedName>
    <definedName name="pgm_annc_id">Advanced!$E$15</definedName>
    <definedName name="pgm_ele_code">Advanced!$E$18</definedName>
    <definedName name="pm_ibm_logn_id">Advanced!$E$14</definedName>
    <definedName name="prop_atr_code">Advanced!$E$22</definedName>
    <definedName name="prop_stts_code" localSheetId="5">Advanced!$E$23</definedName>
    <definedName name="prop_titl_txt">Advanced!$E$21</definedName>
    <definedName name="Query_from_RPTSERVER" localSheetId="3" hidden="1">Budgets!$A$3:$AC$4</definedName>
    <definedName name="Query_from_RPTSERVER" localSheetId="2" hidden="1">ckAwd!$A$1:$AX$2</definedName>
    <definedName name="Query_from_RPTSERVER" localSheetId="1" hidden="1">ckCoding!$A$1:$BL$2</definedName>
    <definedName name="Query_from_RPTSERVER" localSheetId="8" hidden="1">ckSplits!$A$1:$AH$2</definedName>
    <definedName name="Query_from_RPTSERVER" localSheetId="6" hidden="1">Conflict!$A$2:$C$3</definedName>
    <definedName name="Query_from_RPTSERVER" localSheetId="7" hidden="1">PRCs!$A$2:$B$3</definedName>
    <definedName name="Query_from_RPTSERVER" localSheetId="9" hidden="1">ProjText!$B$1:$P$2</definedName>
    <definedName name="Query_from_RPTSERVER" localSheetId="4" hidden="1">RAData!$A$1:$EF$2</definedName>
    <definedName name="Query_from_RPTSERVER_1" localSheetId="7" hidden="1">PRCs!$D$2:$E$3</definedName>
    <definedName name="query_params" localSheetId="5">Advanced!$E$12:$F$22</definedName>
    <definedName name="query_params" localSheetId="10">HiddenSettings!$A$8:$B$18</definedName>
    <definedName name="RA_allRAdata" localSheetId="10">HiddenSettings!$C$29</definedName>
    <definedName name="RA_allRAdata2" localSheetId="10">HiddenSettings!$C$41</definedName>
    <definedName name="RA_awdCheck" localSheetId="10">HiddenSettings!$C$31</definedName>
    <definedName name="RA_budgBlocks" localSheetId="10">HiddenSettings!$C$34</definedName>
    <definedName name="RA_ckConfRevrInst" localSheetId="10">HiddenSettings!$C$39</definedName>
    <definedName name="RA_confl" localSheetId="10">HiddenSettings!$C$40</definedName>
    <definedName name="RA_leads" localSheetId="10">HiddenSettings!$C$24</definedName>
    <definedName name="RA_panl" localSheetId="10">HiddenSettings!$C$28</definedName>
    <definedName name="RA_PECglossary" localSheetId="10">HiddenSettings!$C$38</definedName>
    <definedName name="RA_pidCreate" localSheetId="10">HiddenSettings!$C$36</definedName>
    <definedName name="RA_pidSelect" localSheetId="10">HiddenSettings!$C$37</definedName>
    <definedName name="RA_PRCglossary" localSheetId="10">HiddenSettings!$C$30</definedName>
    <definedName name="RA_projText" localSheetId="10">HiddenSettings!$C$33</definedName>
    <definedName name="RA_prop" localSheetId="10">HiddenSettings!$C$26</definedName>
    <definedName name="RA_propCheck" localSheetId="10">HiddenSettings!$C$32</definedName>
    <definedName name="RA_propPRCs" localSheetId="10">HiddenSettings!$C$25</definedName>
    <definedName name="RA_revs" localSheetId="10">HiddenSettings!$C$27</definedName>
    <definedName name="RA_splits" localSheetId="10">HiddenSettings!$C$35</definedName>
    <definedName name="revtable" localSheetId="10">HiddenSettings!$C$23</definedName>
    <definedName name="RoboRAFolder">HiddenSettings!$B$6</definedName>
    <definedName name="rpt_pwd" comment="reportserver password" localSheetId="10">HiddenSettings!$B$3</definedName>
    <definedName name="select_prop_stts">HiddenSettings!$E$6</definedName>
    <definedName name="SharedRAtemplate">Advanced!$J$4</definedName>
    <definedName name="signer1">RoboRA!$N$6</definedName>
    <definedName name="signer2">RoboRA!$N$7</definedName>
    <definedName name="StdDeclTemplate">RoboRA!$H$14</definedName>
    <definedName name="StdNDPDeclTemplate" localSheetId="0">RoboRA!$K$14</definedName>
    <definedName name="to_date">Advanced!$F$12</definedName>
    <definedName name="user_id" comment="reportserver user_id" localSheetId="10">HiddenSettings!$B$2</definedName>
  </definedNames>
  <calcPr calcId="171027" concurrentCalc="0"/>
  <pivotCaches>
    <pivotCache cacheId="63" r:id="rId12"/>
    <pivotCache cacheId="66" r:id="rId13"/>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J8" i="1" l="1"/>
  <c r="L2" i="13"/>
  <c r="P3" i="6"/>
  <c r="N30" i="1"/>
  <c r="E23" i="1"/>
</calcChain>
</file>

<file path=xl/comments1.xml><?xml version="1.0" encoding="utf-8"?>
<comments xmlns="http://schemas.openxmlformats.org/spreadsheetml/2006/main">
  <authors>
    <author>Jack Snoeyink</author>
  </authors>
  <commentList>
    <comment ref="H15" authorId="0" shapeId="0">
      <text>
        <r>
          <rPr>
            <sz val="9"/>
            <color indexed="81"/>
            <rFont val="Tahoma"/>
            <family val="2"/>
          </rPr>
          <t xml:space="preserve">Std templates are automatically put into eJacket. </t>
        </r>
      </text>
    </comment>
    <comment ref="K15" authorId="0" shapeId="0">
      <text>
        <r>
          <rPr>
            <sz val="9"/>
            <color indexed="81"/>
            <rFont val="Tahoma"/>
            <family val="2"/>
          </rPr>
          <t>Optional, just in case you have more than one type of Std Decline, e.g., for Not Discussed proposals that did not pass triage.</t>
        </r>
      </text>
    </comment>
  </commentList>
</comments>
</file>

<file path=xl/comments2.xml><?xml version="1.0" encoding="utf-8"?>
<comments xmlns="http://schemas.openxmlformats.org/spreadsheetml/2006/main">
  <authors>
    <author>Snoeyink, Jack S.</author>
  </authors>
  <commentList>
    <comment ref="B1" authorId="0" shapeId="0">
      <text>
        <r>
          <rPr>
            <b/>
            <sz val="9"/>
            <color indexed="81"/>
            <rFont val="Tahoma"/>
            <family val="2"/>
          </rPr>
          <t>Snoeyink, Jack S.:</t>
        </r>
        <r>
          <rPr>
            <sz val="9"/>
            <color indexed="81"/>
            <rFont val="Tahoma"/>
            <family val="2"/>
          </rPr>
          <t xml:space="preserve">
Note: any highlighting in this area indicates non-leads coded differently than leads. </t>
        </r>
      </text>
    </comment>
    <comment ref="H1" authorId="0" shapeId="0">
      <text>
        <r>
          <rPr>
            <b/>
            <sz val="9"/>
            <color indexed="81"/>
            <rFont val="Tahoma"/>
            <family val="2"/>
          </rPr>
          <t>Snoeyink, Jack S.:</t>
        </r>
        <r>
          <rPr>
            <sz val="9"/>
            <color indexed="81"/>
            <rFont val="Tahoma"/>
            <family val="2"/>
          </rPr>
          <t xml:space="preserve">
Basic research percentage, usually set to 100%</t>
        </r>
      </text>
    </comment>
    <comment ref="Q1" authorId="0" shapeId="0">
      <text>
        <r>
          <rPr>
            <b/>
            <sz val="9"/>
            <color indexed="81"/>
            <rFont val="Tahoma"/>
            <family val="2"/>
          </rPr>
          <t>Snoeyink, Jack S.:</t>
        </r>
        <r>
          <rPr>
            <sz val="9"/>
            <color indexed="81"/>
            <rFont val="Tahoma"/>
            <family val="2"/>
          </rPr>
          <t xml:space="preserve">
State is red if EPSCoR code 9150 is not properly applied.</t>
        </r>
      </text>
    </comment>
    <comment ref="U1" authorId="0" shapeId="0">
      <text>
        <r>
          <rPr>
            <b/>
            <sz val="9"/>
            <color indexed="81"/>
            <rFont val="Tahoma"/>
            <family val="2"/>
          </rPr>
          <t>Snoeyink, Jack S.:</t>
        </r>
        <r>
          <rPr>
            <sz val="9"/>
            <color indexed="81"/>
            <rFont val="Tahoma"/>
            <family val="2"/>
          </rPr>
          <t xml:space="preserve">
WMD = project has female, minority, or disabled PI or co-PI; orange if PRC 9102 is not properly applied.</t>
        </r>
      </text>
    </comment>
    <comment ref="Z1" authorId="0" shapeId="0">
      <text>
        <r>
          <rPr>
            <b/>
            <sz val="9"/>
            <color indexed="81"/>
            <rFont val="Tahoma"/>
            <family val="2"/>
          </rPr>
          <t>Snoeyink, Jack S.:</t>
        </r>
        <r>
          <rPr>
            <sz val="9"/>
            <color indexed="81"/>
            <rFont val="Tahoma"/>
            <family val="2"/>
          </rPr>
          <t xml:space="preserve">
Click link to visit proposal in eJacket</t>
        </r>
      </text>
    </comment>
    <comment ref="AF1" authorId="0" shapeId="0">
      <text>
        <r>
          <rPr>
            <sz val="9"/>
            <color indexed="81"/>
            <rFont val="Tahoma"/>
            <family val="2"/>
          </rPr>
          <t xml:space="preserve"># Panels, # Panel summaries marked unreleasable, # summaries unmarked.  (All should be marked released or unreleasable.)
</t>
        </r>
      </text>
    </comment>
    <comment ref="AH1" authorId="0" shapeId="0">
      <text>
        <r>
          <rPr>
            <sz val="9"/>
            <color indexed="81"/>
            <rFont val="Tahoma"/>
            <family val="2"/>
          </rPr>
          <t>Total reviews - marked unreleasable should be &gt; 3.
No reviews should remain unmarked.</t>
        </r>
      </text>
    </comment>
    <comment ref="AN1" authorId="0" shapeId="0">
      <text>
        <r>
          <rPr>
            <sz val="9"/>
            <color indexed="81"/>
            <rFont val="Tahoma"/>
            <family val="2"/>
          </rPr>
          <t>All reviews should be released or marked unreleasable.</t>
        </r>
      </text>
    </comment>
  </commentList>
</comments>
</file>

<file path=xl/comments3.xml><?xml version="1.0" encoding="utf-8"?>
<comments xmlns="http://schemas.openxmlformats.org/spreadsheetml/2006/main">
  <authors>
    <author>Snoeyink, Jack S.</author>
  </authors>
  <commentList>
    <comment ref="P1" authorId="0" shapeId="0">
      <text>
        <r>
          <rPr>
            <b/>
            <sz val="9"/>
            <color indexed="81"/>
            <rFont val="Tahoma"/>
            <family val="2"/>
          </rPr>
          <t>Snoeyink, Jack S.:</t>
        </r>
        <r>
          <rPr>
            <sz val="9"/>
            <color indexed="81"/>
            <rFont val="Tahoma"/>
            <family val="2"/>
          </rPr>
          <t xml:space="preserve">
Click link to visit proposal in eJacket</t>
        </r>
      </text>
    </comment>
    <comment ref="W1" authorId="0" shapeId="0">
      <text>
        <r>
          <rPr>
            <sz val="9"/>
            <color indexed="81"/>
            <rFont val="Tahoma"/>
            <family val="2"/>
          </rPr>
          <t xml:space="preserve">Click link to send email to project lead PI
</t>
        </r>
      </text>
    </comment>
    <comment ref="AE1" authorId="0" shapeId="0">
      <text>
        <r>
          <rPr>
            <b/>
            <sz val="9"/>
            <color indexed="81"/>
            <rFont val="Tahoma"/>
            <family val="2"/>
          </rPr>
          <t>Snoeyink, Jack S.:</t>
        </r>
        <r>
          <rPr>
            <sz val="9"/>
            <color indexed="81"/>
            <rFont val="Tahoma"/>
            <family val="2"/>
          </rPr>
          <t xml:space="preserve">
Highlighted differences may just be differences between null and spacing. </t>
        </r>
      </text>
    </comment>
    <comment ref="AV1" authorId="0" shapeId="0">
      <text>
        <r>
          <rPr>
            <b/>
            <sz val="9"/>
            <color indexed="81"/>
            <rFont val="Tahoma"/>
            <family val="2"/>
          </rPr>
          <t>Snoeyink, Jack S.:</t>
        </r>
        <r>
          <rPr>
            <sz val="9"/>
            <color indexed="81"/>
            <rFont val="Tahoma"/>
            <family val="2"/>
          </rPr>
          <t xml:space="preserve">
Highlighted differences on title may just be spacing, which can be ignored. </t>
        </r>
      </text>
    </comment>
  </commentList>
</comments>
</file>

<file path=xl/comments4.xml><?xml version="1.0" encoding="utf-8"?>
<comments xmlns="http://schemas.openxmlformats.org/spreadsheetml/2006/main">
  <authors>
    <author>Snoeyink, Jack S.</author>
  </authors>
  <commentList>
    <comment ref="K2" authorId="0" shapeId="0">
      <text>
        <r>
          <rPr>
            <b/>
            <sz val="9"/>
            <color indexed="81"/>
            <rFont val="Tahoma"/>
            <family val="2"/>
          </rPr>
          <t>Snoeyink, Jack S.:</t>
        </r>
        <r>
          <rPr>
            <sz val="9"/>
            <color indexed="81"/>
            <rFont val="Tahoma"/>
            <family val="2"/>
          </rPr>
          <t xml:space="preserve">
By defalult, assumes starting fiscal year is year of today's date.  Can be overridden by typing in the last two digits of the fiscal year. Original formula is
-YEAR(NOW())+(MONTH(NOW())&gt;9)-2000
</t>
        </r>
      </text>
    </comment>
  </commentList>
</comments>
</file>

<file path=xl/comments5.xml><?xml version="1.0" encoding="utf-8"?>
<comments xmlns="http://schemas.openxmlformats.org/spreadsheetml/2006/main">
  <authors>
    <author>Snoeyink, Jack S.</author>
    <author>Jack Snoeyink</author>
  </authors>
  <commentList>
    <comment ref="M1" authorId="0" shapeId="0">
      <text>
        <r>
          <rPr>
            <b/>
            <sz val="9"/>
            <color indexed="81"/>
            <rFont val="Tahoma"/>
            <family val="2"/>
          </rPr>
          <t>Snoeyink, Jack S.:</t>
        </r>
        <r>
          <rPr>
            <sz val="9"/>
            <color indexed="81"/>
            <rFont val="Tahoma"/>
            <family val="2"/>
          </rPr>
          <t xml:space="preserve">
Recommendation. Rank for sorting.  9=null.  Important that dummy, -1, comes first for mail merge formats</t>
        </r>
      </text>
    </comment>
    <comment ref="N1" authorId="0" shapeId="0">
      <text>
        <r>
          <rPr>
            <b/>
            <sz val="9"/>
            <color indexed="81"/>
            <rFont val="Tahoma"/>
            <family val="2"/>
          </rPr>
          <t>Snoeyink, Jack S.:</t>
        </r>
        <r>
          <rPr>
            <sz val="9"/>
            <color indexed="81"/>
            <rFont val="Tahoma"/>
            <family val="2"/>
          </rPr>
          <t xml:space="preserve">
Avg review score using
 9=E, 7=V, 5=G, 3=F, 1=P</t>
        </r>
      </text>
    </comment>
    <comment ref="O1" authorId="0" shapeId="0">
      <text>
        <r>
          <rPr>
            <b/>
            <sz val="9"/>
            <color indexed="81"/>
            <rFont val="Tahoma"/>
            <family val="2"/>
          </rPr>
          <t>Snoeyink, Jack S.:</t>
        </r>
        <r>
          <rPr>
            <sz val="9"/>
            <color indexed="81"/>
            <rFont val="Tahoma"/>
            <family val="2"/>
          </rPr>
          <t xml:space="preserve">
Choose an RA template from those available. Refresh on the Dashboard if you make more available. </t>
        </r>
      </text>
    </comment>
    <comment ref="P1" authorId="1" shapeId="0">
      <text>
        <r>
          <rPr>
            <b/>
            <sz val="9"/>
            <color indexed="81"/>
            <rFont val="Tahoma"/>
            <family val="2"/>
          </rPr>
          <t>Jack Snoeyink:</t>
        </r>
        <r>
          <rPr>
            <sz val="9"/>
            <color indexed="81"/>
            <rFont val="Tahoma"/>
            <family val="2"/>
          </rPr>
          <t xml:space="preserve">
By default the name for the RA concatenates the template name, the prop_id, and the pi_last_name, but you can change that formula if you like.</t>
        </r>
      </text>
    </comment>
    <comment ref="Q1" authorId="0" shapeId="0">
      <text>
        <r>
          <rPr>
            <b/>
            <sz val="9"/>
            <color indexed="81"/>
            <rFont val="Tahoma"/>
            <family val="2"/>
          </rPr>
          <t>Snoeyink, Jack S.:</t>
        </r>
        <r>
          <rPr>
            <sz val="9"/>
            <color indexed="81"/>
            <rFont val="Tahoma"/>
            <family val="2"/>
          </rPr>
          <t xml:space="preserve">
By default the RA is signed with the NSF version of the name of the PD who owns the jacket, but you can customize that.</t>
        </r>
      </text>
    </comment>
    <comment ref="S1" authorId="1" shapeId="0">
      <text>
        <r>
          <rPr>
            <sz val="9"/>
            <color indexed="81"/>
            <rFont val="Tahoma"/>
            <family val="2"/>
          </rPr>
          <t xml:space="preserve">Any note here will be included just after the data block and before the RA text.  Good place to explain Es for Declines, which is why they are highlighted. (Note: to stop highlighting E/Vs, too, change conditional formatting formula to =left($AG2,2)= "E,")
</t>
        </r>
      </text>
    </comment>
    <comment ref="T1" authorId="1" shapeId="0">
      <text>
        <r>
          <rPr>
            <sz val="9"/>
            <color indexed="81"/>
            <rFont val="Tahoma"/>
            <family val="2"/>
          </rPr>
          <t>Postscript after the signature is a good place for a DGA note if you don't want to modify the template.</t>
        </r>
      </text>
    </comment>
  </commentList>
</comments>
</file>

<file path=xl/comments6.xml><?xml version="1.0" encoding="utf-8"?>
<comments xmlns="http://schemas.openxmlformats.org/spreadsheetml/2006/main">
  <authors>
    <author>Jack Snoeyink</author>
  </authors>
  <commentList>
    <comment ref="C11" authorId="0" shapeId="0">
      <text>
        <r>
          <rPr>
            <b/>
            <sz val="10"/>
            <color indexed="9"/>
            <rFont val="Corbel"/>
            <family val="2"/>
          </rPr>
          <t>The chosen proposals are the AND of all entered restrictions.</t>
        </r>
      </text>
    </comment>
    <comment ref="E11" authorId="0" shapeId="0">
      <text>
        <r>
          <rPr>
            <b/>
            <sz val="10"/>
            <color indexed="9"/>
            <rFont val="Corbel"/>
            <family val="2"/>
          </rPr>
          <t>Any parameter can be omitted; ANDs all given restrictions.
Non-date parameters can be:
1. a single value (SQL EQUALS)
2. a list of values separated by commas (SQL IN)
3. two values separated by :: double colons (SQL BETWEEN)
4. an expression with SQL wildcards (SQL LIKE)
   % match all, _ match 1 character, [125] match char  from set.
5. Precede the above by ~ to negate. (NOT EQUALS/IN/LIKE)</t>
        </r>
      </text>
    </comment>
    <comment ref="C12" authorId="0" shapeId="0">
      <text>
        <r>
          <rPr>
            <b/>
            <sz val="10"/>
            <color indexed="9"/>
            <rFont val="Corbel"/>
            <family val="2"/>
          </rPr>
          <t xml:space="preserve">Enter date range proposals were received by NSF.  
Either specify a time, or remember that days begin at midnight and add a day to end dates. 
Use narrow date ranges for faster queries.
</t>
        </r>
      </text>
    </comment>
    <comment ref="C13" authorId="0" shapeId="0">
      <text>
        <r>
          <rPr>
            <b/>
            <sz val="10"/>
            <color indexed="9"/>
            <rFont val="Corbel"/>
            <family val="2"/>
          </rPr>
          <t xml:space="preserve">My most common query:  list panel IDs and skip the dates.
Panel ID is letter+6-digit id: Letter can be upper or lower case.
   p=panel, v=site visit, c=committee of visitors.
</t>
        </r>
      </text>
    </comment>
    <comment ref="C14" authorId="0" shapeId="0">
      <text>
        <r>
          <rPr>
            <b/>
            <sz val="10"/>
            <color indexed="9"/>
            <rFont val="Corbel"/>
            <family val="2"/>
          </rPr>
          <t>Another common query: all the RAs a PD must write
7-letter ibm login id, not the 8-letter lan id.</t>
        </r>
      </text>
    </comment>
    <comment ref="C15" authorId="0" shapeId="0">
      <text>
        <r>
          <rPr>
            <b/>
            <sz val="10"/>
            <color indexed="9"/>
            <rFont val="Corbel"/>
            <family val="2"/>
          </rPr>
          <t xml:space="preserve">Include the NSF or PD that is part of the id for solicitations or program descriptions. Google can help you find ids.
You can list ids separated by commas; Extra spaces will be removed.
</t>
        </r>
      </text>
    </comment>
    <comment ref="C16" authorId="0" shapeId="0">
      <text>
        <r>
          <rPr>
            <b/>
            <sz val="10"/>
            <color indexed="9"/>
            <rFont val="Corbel"/>
            <family val="2"/>
          </rPr>
          <t>8-digit org code, but you can use wildcards to restrict to directorate (05% for CISE) or divisions (050[125]0000 is CCF, IIS, &amp; CNS)</t>
        </r>
      </text>
    </comment>
    <comment ref="C17" authorId="0" shapeId="0">
      <text>
        <r>
          <rPr>
            <b/>
            <sz val="10"/>
            <color indexed="9"/>
            <rFont val="Corbel"/>
            <family val="2"/>
          </rPr>
          <t>Can restrict proposals by division abbreviation instead of numeric org code.</t>
        </r>
      </text>
    </comment>
    <comment ref="C18" authorId="0" shapeId="0">
      <text>
        <r>
          <rPr>
            <b/>
            <sz val="10"/>
            <color indexed="9"/>
            <rFont val="Corbel"/>
            <family val="2"/>
          </rPr>
          <t>4-digit program element code.</t>
        </r>
      </text>
    </comment>
    <comment ref="C19" authorId="0" shapeId="0">
      <text>
        <r>
          <rPr>
            <b/>
            <sz val="10"/>
            <color indexed="9"/>
            <rFont val="Corbel"/>
            <family val="2"/>
          </rPr>
          <t>There are 14 types possible here
 NEW,RNEW,ABR: new, renew, or accomplishment-based renewal
 SUPP,INCR,FRWD: supplement / increment / forward fund
 TRSF: PI transfer 
 EXT,GEXT,CREX: no cost, grantee, or creativity extension
 RDCT,CNCL: reduction, cancelation
 BOA,OTHR: basic ordering agreement, other admin action</t>
        </r>
      </text>
    </comment>
    <comment ref="C20" authorId="0" shapeId="0">
      <text>
        <r>
          <rPr>
            <b/>
            <sz val="10"/>
            <color indexed="9"/>
            <rFont val="Corbel"/>
            <family val="2"/>
          </rPr>
          <t>4-digit object class.  Common possibilities
 4101 - Personnel Mobility
 4110 - Research Grants
 4118 - SBIR Grant
 4144 - Equipment Grant
 4160 - Conference</t>
        </r>
      </text>
    </comment>
    <comment ref="C21" authorId="0" shapeId="0">
      <text>
        <r>
          <rPr>
            <b/>
            <sz val="10"/>
            <color indexed="9"/>
            <rFont val="Corbel"/>
            <family val="2"/>
          </rPr>
          <t>%Medium%  or %GOALI% can be used to restrict proposals to those that follow title conventions; ~%GOALI% to exclude.</t>
        </r>
      </text>
    </comment>
    <comment ref="C22" authorId="0" shapeId="0">
      <text>
        <r>
          <rPr>
            <b/>
            <sz val="10"/>
            <color indexed="9"/>
            <rFont val="Corbel"/>
            <family val="2"/>
          </rPr>
          <t>4-digit PRCs. The PRC table doesn't have an index, so this query slow; use a narrow date range</t>
        </r>
      </text>
    </comment>
    <comment ref="C23" authorId="0" shapeId="0">
      <text>
        <r>
          <rPr>
            <sz val="9"/>
            <color indexed="81"/>
            <rFont val="Tahoma"/>
            <family val="2"/>
          </rPr>
          <t>Please select status codes range from menu.</t>
        </r>
      </text>
    </comment>
  </commentList>
</comments>
</file>

<file path=xl/comments7.xml><?xml version="1.0" encoding="utf-8"?>
<comments xmlns="http://schemas.openxmlformats.org/spreadsheetml/2006/main">
  <authors>
    <author>Snoeyink, Jack S.</author>
  </authors>
  <commentList>
    <comment ref="B1" authorId="0" shapeId="0">
      <text>
        <r>
          <rPr>
            <b/>
            <sz val="9"/>
            <color indexed="81"/>
            <rFont val="Tahoma"/>
            <family val="2"/>
          </rPr>
          <t>Snoeyink, Jack S.:</t>
        </r>
        <r>
          <rPr>
            <sz val="9"/>
            <color indexed="81"/>
            <rFont val="Tahoma"/>
            <family val="2"/>
          </rPr>
          <t xml:space="preserve">
Note: any highlighting in this area indicates non-leads coded differently than leads. </t>
        </r>
      </text>
    </comment>
    <comment ref="I1" authorId="0" shapeId="0">
      <text>
        <r>
          <rPr>
            <b/>
            <sz val="9"/>
            <color indexed="81"/>
            <rFont val="Tahoma"/>
            <family val="2"/>
          </rPr>
          <t>Snoeyink, Jack S.:</t>
        </r>
        <r>
          <rPr>
            <sz val="9"/>
            <color indexed="81"/>
            <rFont val="Tahoma"/>
            <family val="2"/>
          </rPr>
          <t xml:space="preserve">
Click link to visit proposal in eJacket</t>
        </r>
      </text>
    </comment>
    <comment ref="M1" authorId="0" shapeId="0">
      <text>
        <r>
          <rPr>
            <b/>
            <sz val="9"/>
            <color indexed="81"/>
            <rFont val="Tahoma"/>
            <family val="2"/>
          </rPr>
          <t>Snoeyink, Jack S.:</t>
        </r>
        <r>
          <rPr>
            <sz val="9"/>
            <color indexed="81"/>
            <rFont val="Tahoma"/>
            <family val="2"/>
          </rPr>
          <t xml:space="preserve">
Highlighted differences on title may just be spacing, which can be ignored. </t>
        </r>
      </text>
    </comment>
  </commentList>
</comments>
</file>

<file path=xl/connections.xml><?xml version="1.0" encoding="utf-8"?>
<connections xmlns="http://schemas.openxmlformats.org/spreadsheetml/2006/main">
  <connection id="1" name="AwdQuery" type="1" refreshedVersion="6" background="1" saveData="1">
    <dbPr connection="dsn=RPTSERVER;database=rptdb;server=RPTSQL.nsf.gov;port=5000;UID=ccfuser;" command="SET NOCOUNT ON_x000d__x000a_SELECT DISTINCT prop.prop_id, prop.lead_prop_id, prop.pi_id, prop.inst_id, prop.pm_ibm_logn_id as PO, _x000d__x000a_convert(varchar(63),'') as RAtemplate _x000d__x000a_INTO #myPid FROM csd.prop prop_x000d__x000a_JOIN csd.panl_prop panl_prop ON prop.prop_id = panl_prop.prop_id_x000a_JOIN csd.natr_rqst natr_rqst ON prop.natr_rqst_code = natr_rqst.natr_rqst_code_x000a_WHERE (1=1) AND prop.nsf_rcvd_date &gt;= {ts '2016-10-01 00:00:00'} _x000d__x000a_ AND (prop.org_code LIKE '0702%' )_x000a_ AND (panl_prop.panl_id LIKE 'P1%' )_x000a_ AND (prop.prop_stts_code = '02' )_x000a_ AND (natr_rqst.natr_rqst_abbr IN ('NEW','RNEW','ABR') )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R_x000d__x000a_INTO #myPRCs_x000d__x000a_FROM #myPRCdata pa _x000d__x000a_GROUP BY prop_id_x000d__x000a_DROP TABLE #myPRCStart_x000d__x000a_CREATE INDEX myPRCs_ix ON #myPRCs(prop_id)_x000d__x000a_-- Needs: RA_lead(#myProp), RA_propPRCs(#myPRCs)_x000d__x000a_--DROP TABLE #myPropBudg, #myPropInfo_x000d__x000a_SELECT p.prop_id, eb.revn_num as RN, SUM(eb.budg_tot_dol) as T,_x000d__x000a_ nullif(SUM(sub_ctr_dol),0) AS sub_ctr_tot, nullif(SUM(frgn_trav_dol),0) AS frgn_trav_tot, nullif(SUM(pdoc_grnt_dol),0) AS pdoc_tot,nullif(SUM( part_dol),0) AS part_tot_dol, nullif(SUM(grad_pers_tot_cnt),0) AS grad_tot_cnt,_x000d__x000a_ nullif(SUM(sr_pers_cnt),0) AS sr_tot_cnt, nullif(SUM(sr_summ_mnth_cnt),0) AS sr_sumr_mnths, nullif(SUM(sr_acad_mnth_cnt),0) AS sr_acad_mnths, nullif(SUM(sr_cal_mnth_cnt),0) AS sr_cal_mnths_x000d__x000a_INTO #myPropBudg FROM #myProp p_x000d__x000a_JOIN csd.eps_blip eb ON p.prop_id = eb.prop_id _x000d__x000a_AND NOT EXISTS (SELECT eb1.revn_num FROM csd.eps_blip eb1 WHERE eb.prop_id = eb1.prop_id AND eb.revn_num &lt; eb1.revn_num)_x000d__x000a_GROUP BY p.prop_id, eb.revn_num_x000d__x000a_ORDER BY p.prop_id -- eb.revn_num, eb.budg_seq_yr_x000d__x000a_CREATE INDEX myPropBudg_ix ON #myPropBudg(prop_id)_x000d__x000a_-- per-proposal data _x000d__x000a_SELECT pid.*, rqst_dol as D, prc.R, b.T, b.RN, id=identity(18), 0 as seq _x000d__x000a_INTO #myPropInfo FROM #myProp pid_x000d__x000a_JOIN csd.prop p ON p.prop_id = pid.prop_id_x000d__x000a_LEFT JOIN #myPRCs prc ON prc.prop_id = pid.prop_id_x000d__x000a_LEFT JOIN #myPropBudg b ON b.prop_id = p.prop_id_x000d__x000a_ORDER BY lead, ILN, pid.prop_id_x000d__x000a_CREATE INDEX myProp_idx ON #myPropInfo(prop_id)_x000d__x000a_SELECT lead, MIN(id) as start INTO #myPropStart FROM #myPropInfo GROUP BY lead_x000d__x000a_UPDATE #myPropInfo SET seq = id-M.start FROM #myPropInfo r, #myPropStart M WHERE r.lead = M.lead_x000d__x000a_DROP TABLE #myPropStart_x000d__x000a_CREATE INDEX myProp_ix ON #myPropInfo(lead)_x000d__x000a_-- Needs: RA_lead(#myProp),RA_prop(#myPropInfo,#myPropBudg),RA_revs(#myRevs, #myRevMarks, #myRevPanl), RA_panl(#myPanl, #myProjPanl, #myProjPanlSumm)_x000d__x000a_--DROP TABLE #myCtry, #myCovrInfo _x000d__x000a_SELECT p.prop_id, ctry.ctry_name, id=identity(18), 0 as 'seq' _x000d__x000a_INTO #myCtry FROM #myProp p_x000d__x000a_JOIN csd.prop_subm_ctl_vw psc ON psc.prop_id = p.prop_id_x000d__x000a_JOIN csd.prop_spcl_item_vw sp1 ON sp1.TEMP_PROP_ID = psc.TEMP_PROP_ID_x000d__x000a_JOIN csd.ctry ctry ON sp1.SPCL_ITEM_CODE = ctry.ctry_code_x000d__x000a_WHERE end_date Is Null_x000d__x000a_ORDER BY p.prop_id, ctry.ctry_name_x000d__x000a_CREATE INDEX myCtry_idx ON #myCtry(prop_id) _x000d__x000a_SELECT prop_id, MIN(id) as 'start' INTO #myStCtry FROM #myCtry GROUP BY prop_id_x000d__x000a_UPDATE #myCtry set seq = id-M.start FROM #myCtry r, #myStCtry M WHERE r.prop_id = M.prop_id_x000d__x000a_DROP TABLE #myStCtry_x000d__x000a__x000d__x000a_SELECT p.prop_id,OTH_AGCY_SUBM_FLAG,_x000d__x000a_CASE WHEN PC.HUM_DATE is not NULL THEN convert(varchar(10),PC.HUM_DATE,1) WHEN PC.humn_date_pend_flag='Y' THEN 'Pend' END AS humn_date,_x000d__x000a_humn_subj_asur_num AS hum_asur, HUM_EXPT,_x000d__x000a_CASE WHEN PC.VERT_DATE is not NULL THEN convert(varchar(10),PC.VERT_DATE,1) WHEN PC.vrtb_date_pend_flag='Y' THEN 'Pend' END AS vrtb_date,_x000d__x000a_vrtb_wlfr_asur_num AS vrtb_asur_x000d__x000a_INTO #myCovrInfo FROM #myProp p_x000d__x000a_JOIN csd.prop_subm_ctl_vw psc ON psc.prop_id = p.prop_id_x000d__x000a_JOIN FLflpdb.flp.PROP_COVR PC ON PC.TEMP_PROP_ID = psc.TEMP_PROP_ID_x000d__x000a_CREATE INDEX myCovrInfo_ix ON #myCovrInfo(prop_id)_x000d__x000a__x000d__x000a_-- checking those recommended for award_x000d__x000a_SELECT nullif(dd_rcom_date,'1900-01-01') AS dd_rcom_date, nsf_rcvd_date, _x000d__x000a_prop.pgm_annc_id, prop.org_code, prop.pgm_ele_code, _x000d__x000a_prop_stts_abbr,natr_rqst.natr_rqst_abbr,prop.obj_clas_code,ai.awd_istr_abbr as rcom_istr_abbr,_x000d__x000a_cntx_stmt_id, p.PO, ra.RAupdate, p.lead, p.ILN, --eJ link_x000d__x000a_org.dir_div_abbr as Div, p.prop_id, _x000d__x000a_p.L AS pi_last_name, p.F AS pi_frst_name, p.I AS inst, p.st_code, _x000d__x000a_c.humn_date, c.hum_asur, c.HUM_EXPT, c.vrtb_date, c.vrtb_asur, c.OTH_AGCY_SUBM_FLAG, _x000d__x000a_(SELECT MAX(CASE y.seq WHEN 1 THEN y.ctry_name ELSE '' END)+_x000d__x000a_    MAX(CASE y.seq WHEN 2 THEN '; '+y.ctry_name ELSE '' END)+_x000d__x000a_    MAX(CASE y.seq WHEN 3 THEN '; '+y.ctry_name ELSE '' END)+_x000d__x000a_    MAX(CASE y.seq WHEN 4 THEN '; '+y.ctry_name ELSE '' END)+_x000d__x000a_    MAX(CASE y.seq WHEN 5 THEN '; '+y.ctry_name ELSE '' END)+_x000d__x000a_    MAX(CASE y.seq WHEN 6 THEN '; '+y.ctry_name ELSE '' END)+_x000d__x000a_    MAX(CASE y.seq WHEN 7 THEN '; '+y.ctry_name ELSE '' END)+_x000d__x000a_    MAX(CASE y.seq WHEN 8 THEN '; '+y.ctry_name ELSE '' END) _x000d__x000a_    FROM #myCtry y WHERE y.prop_id = p.prop_id) AS Country,_x000d__x000a_a.abst_narr_txt, prop_stts_txt, prop.prop_titl_txt,_x000d__x000a_prop.rqst_eff_date,prop.rqst_mnth_cnt,_x000d__x000a_b.RN as brevn,p.D AS rqst_tot, b.T as budg_tot, _x000d__x000a_b.sub_ctr_tot, b.frgn_trav_tot, b.pdoc_tot,b.part_tot_dol, b.grad_tot_cnt, _x000d__x000a_b.sr_tot_cnt, b.sr_sumr_mnths, b.sr_acad_mnths, b.sr_cal_mnths, _x000d__x000a_p.M as email_x000d__x000a_FROM #myPropInfo p_x000d__x000a_JOIN csd.prop prop ON prop.prop_id = p.prop_id_x000d__x000a_JOIN csd.org org ON org.org_code = prop.org_code_x000d__x000a_JOIN csd.prop_stts prop_stts ON prop_stts.prop_stts_code = prop.prop_stts_code_x000d__x000a_JOIN csd.natr_rqst natr_rqst ON natr_rqst.natr_rqst_code = prop.natr_rqst_code_x000d__x000a_LEFT JOIN csd.awd_istr ai on prop.rcom_awd_istr = ai.awd_istr_code_x000d__x000a_LEFT JOIN #myRA ra ON ra.lead = p.lead_x000d__x000a_LEFT JOIN csd.abst a ON a.awd_id = p.prop_id_x000d__x000a_LEFT JOIN #myPropBudg b ON b.prop_id = p.prop_id_x000d__x000a_LEFT JOIN #myCovrInfo c ON c.prop_id = p.prop_id_x000d__x000a_ORDER BY p.lead, p.ILN, p.prop_id_x000d__x000a_DROP TABLE #myPid, #myLead, #myRA, #myPRCs, #myPRCdata DROP TABLE #myProp, #myPropBudg DROP TABLE #myCtry, #myCovrInfo, #myBudgPRC "/>
    <extLst>
      <ext xmlns:x15="http://schemas.microsoft.com/office/spreadsheetml/2010/11/main" uri="{DE250136-89BD-433C-8126-D09CA5730AF9}">
        <x15:connection id="" excludeFromRefreshAll="1"/>
      </ext>
    </extLst>
  </connection>
  <connection id="2" name="BudgetBlocksQuery" type="1" refreshedVersion="6" background="1" saveData="1">
    <dbPr connection="dsn=RPTSERVER;database=rptdb;server=RPTSQL.nsf.gov;port=5000;UID=ccfuser;" command="SET NOCOUNT ON_x000d__x000a_SELECT DISTINCT prop.prop_id, prop.lead_prop_id, prop.pi_id, prop.inst_id, prop.pm_ibm_logn_id as PO, _x000d__x000a_convert(varchar(63),'') as RAtemplate _x000d__x000a_INTO #myPid FROM csd.prop prop_x000d__x000a_JOIN csd.panl_prop panl_prop ON prop.prop_id = panl_prop.prop_id_x000a_JOIN csd.natr_rqst natr_rqst ON prop.natr_rqst_code = natr_rqst.natr_rqst_code_x000a_WHERE (1=1) AND prop.nsf_rcvd_date &gt;= {ts '2016-10-01 00:00:00'} _x000d__x000a_ AND (prop.org_code LIKE '0702%' )_x000a_ AND (panl_prop.panl_id LIKE 'P1%' )_x000a_ AND (prop.prop_stts_code = '02' )_x000a_ AND (natr_rqst.natr_rqst_abbr IN ('NEW','RNEW','ABR') )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R_x000d__x000a_INTO #myPRCs_x000d__x000a_FROM #myPRCdata pa _x000d__x000a_GROUP BY prop_id_x000d__x000a_DROP TABLE #myPRCStart_x000d__x000a_CREATE INDEX myPRCs_ix ON #myPRCs(prop_id)_x000d__x000a_--Needs: RA_lead(#myProp), RA_propPRCs(#myPRCs)_x000d__x000a_--DROP TABLE #myBudg_x000d__x000a_SELECT p.lead, p.prop_id, eb.revn_num, eb.budg_seq_yr, eb.budg_tot_dol, _x000d__x000a_eb.sr_pers_cnt, eb.sr_summ_mnth_cnt, eb.pdoc_grnt_dol, eb.frgn_trav_dol, eb.part_dol_x000d__x000a_INTO #myBudg FROM #myProp p_x000d__x000a_JOIN csd.eps_blip eb ON eb.prop_id = p.prop_id _x000d__x000a_    AND NOT EXISTS (SELECT eb1.revn_num FROM csd.eps_blip eb1 WHERE eb.prop_id = eb1.prop_id AND eb.revn_num &lt; eb1.revn_num)_x000d__x000a_ORDER BY prop_id,budg_seq_yr_x000d__x000a_CREATE INDEX myBudg_idx ON #myBudg(prop_id, budg_seq_yr)_x000d__x000a_SELECT p.nsf_rcvd_date, p.pgm_annc_id, p.org_code, p.pgm_ele_code, _x000d__x000a_pid.PO, pid.lead, pid.ILN, pid.prop_id, '' as pi_last_name, '' as inst_name, '' as pi_email, _x000d__x000a_eb.sr_pers_cnt, eb.sr_summ_mnth_cnt, eb.pdoc_grnt_dol, eb.frgn_trav_dol, eb.part_dol, eb.budg_tot_dol, _x000d__x000a_eb.revn_num, eb.budg_seq_yr, eb.budg_tot_dol AS dol, p.org_code, p.pgm_ele_code as PEC, p.obj_clas_code as Obj, prc.R as PRCs_x000d__x000a_FROM #myProp pid_x000d__x000a_JOIN csd.prop p ON p.prop_id = pid.prop_id_x000d__x000a_LEFT OUTER JOIN #myPRCs prc ON prc.prop_id = pid.prop_id_x000d__x000a_LEFT OUTER JOIN #myBudg eb ON eb.prop_id = pid.prop_id _x000d__x000a_UNION ALL SELECT p.nsf_rcvd_date, p.pgm_annc_id, p.org_code, p.pgm_ele_code, _x000d__x000a_pid.PO, pid.lead, pid.ILN, pid.prop_id, pid.L as pi_last_name, pid.I as inst_name, pid.M as pi_email, _x000d__x000a_null, null, null, null, null, null, (SELECT MAX(revn_num) from #myBudg b WHERE b.prop_id = pid.prop_id),_x000d__x000a_null, (SELECT SUM(budg_tot_dol) from #myBudg b WHERE b.prop_id = pid.prop_id), p.org_code, p.pgm_ele_code, p.obj_clas_code, prc.R _x000d__x000a_FROM #myProp pid_x000d__x000a_JOIN csd.prop p ON p.prop_id = pid.prop_id_x000d__x000a_LEFT OUTER JOIN #myPRCs prc ON prc.prop_id = pid.prop_id_x000d__x000a_ORDER BY pid.lead, pid.ILN, pid.prop_id, eb.budg_seq_yr _x000d__x000a_DROP TABLE #myPid, #myLead, #myRA, #myPRCs, #myPRCdata DROP TABLE #myBudg"/>
  </connection>
  <connection id="3" name="CodingQuery" type="1" refreshedVersion="6" background="1" saveData="1">
    <dbPr connection="dsn=RPTSERVER;database=rptdb;server=RPTSQL.nsf.gov;port=5000;UID=ccfuser;" command="SET NOCOUNT ON_x000d__x000a_SELECT DISTINCT prop.prop_id, prop.lead_prop_id, prop.pi_id, prop.inst_id, prop.pm_ibm_logn_id as PO, _x000d__x000a_convert(varchar(63),'') as RAtemplate _x000d__x000a_INTO #myPid FROM csd.prop prop_x000d__x000a_JOIN csd.panl_prop panl_prop ON prop.prop_id = panl_prop.prop_id_x000a_JOIN csd.natr_rqst natr_rqst ON prop.natr_rqst_code = natr_rqst.natr_rqst_code_x000a_WHERE (1=1) AND prop.nsf_rcvd_date &gt;= {ts '2016-10-01 00:00:00'} _x000d__x000a_ AND (prop.org_code LIKE '0702%' )_x000a_ AND (panl_prop.panl_id LIKE 'P1%' )_x000a_ AND (prop.prop_stts_code = '02' )_x000a_ AND (natr_rqst.natr_rqst_abbr IN ('NEW','RNEW','ABR') )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R_x000d__x000a_INTO #myPRCs_x000d__x000a_FROM #myPRCdata pa _x000d__x000a_GROUP BY prop_id_x000d__x000a_DROP TABLE #myPRCStart_x000d__x000a_CREATE INDEX myPRCs_ix ON #myPRCs(prop_id)_x000d__x000a_-- Needs: RA_lead(#myLead),_x000d__x000a_--DROP TABLE #myRevs, #myRevMarks, #myRevSumm, #myRevPanl_x000d__x000a_declare @adhoc char(7), @olddate datetime_x000d__x000a_SELECT @adhoc = '.ad hoc ',  @olddate = '1/1/2000' -- for formatting dates_x000d__x000a_SELECT isnull((SELECT MIN(pp.panl_id) FROM csd.panl_prop pp _x000d__x000a_    JOIN csd.panl_revr pr ON pr.panl_id = pp.panl_id AND pp.panl_id like 'P%'_x000d__x000a_    WHERE pp.prop_id = p.lead AND pr.revr_id = rp.revr_id),  @adhoc) as panl_id, p.lead, rp.revr_id, rp.rev_rtrn_date, _x000d__x000a_ CASE WHEN rs.score IS NOT NULL THEN rs.string ELSE rp.rev_prop_rtng_code END as string,_x000d__x000a_ CASE WHEN rs.score IS NOT NULL THEN rs.score ELSE CASE rp.rev_prop_rtng_code WHEN 'E' THEN 9 WHEN 'V' THEN 7 _x000d__x000a_    WHEN 'G' THEN 5 WHEN 'F' THEN 3 WHEN 'P' THEN 1 ELSE NULL END END AS score,_x000d__x000a_ CASE WHEN rp.rev_stts_code = 'C' THEN 1 ELSE 0 END as confl,_x000d__x000a_ CASE WHEN rp.rev_stts_code IN ('P','S') THEN 1 ELSE 0 END as pendSlct,_x000d__x000a_ CASE WHEN rpv.rev_prop_unrl_flag = 'Y' THEN 1 ELSE 0 END as unrlsbl,_x000d__x000a_ CASE WHEN rpv.rev_prop_rtng_ind IS NULL OR rpv.rev_rlse_flag = 'Y' OR rpv.rev_prop_unrl_flag = 'Y' THEN 0 ELSE 1 END as unmkd,_x000d__x000a_ CASE WHEN rpv.rev_rlse_flag = 'Y' AND rp.rev_stts_code IN ('C','D','N','P','S') THEN 1 ELSE 0 END as rlsdCDNPS,_x000d__x000a_ CASE WHEN rp.rev_stts_code IN ('C','D','N','R') OR rp.rev_prop_rtng_code = nullif(rs.string,' ') THEN 0 ELSE 1 END as diffFLeJ,_x000d__x000a_ id=identity(18), 0 as seq_x000d__x000a_INTO #myRevs FROM #myLead p_x000d__x000a_JOIN csd.rev_prop rp ON rp.prop_id = p.lead_x000d__x000a_LEFT JOIN csd.rev_prop_vw rpv ON rpv.revr_id = rp.revr_id AND rpv.prop_id = rp.prop_id  _x000d__x000a_LEFT JOIN tempdb.guest.revScores rs ON rs.yn = rpv.rev_prop_rtng_ind -- this table uses the same 1-9 scale above, but handles split scores_x000d__x000a_WHERE (rpv.rev_rlse_flag = 'Y' OR rp.rev_stts_code = 'C' OR rp.rev_prop_rtng_code IN ('E','V','G','F','P') -- has eJ review_x000d__x000a_       OR rpv.rev_prop_rtng_ind &gt; 'NNNNN') -- has FL review.  checked: no stts N or D come in.  R,S,P do, all good._x000d__x000a_  AND isnull(rpv.rev_subm_flag,'U') &lt;&gt; 'D' -- ignore reviews deleted on FL, even if that takes overnight to propagate to eJ._x000d__x000a_ORDER BY lead, confl, score DESC, revr_id -- move C last_x000d__x000a_CREATE INDEX myRevs_ix0 ON #myRevs(lead)_x000d__x000a_CREATE INDEX myRevs_ix1 ON #myRevs(lead, confl)_x000d__x000a_CREATE INDEX myRevs_ix2 ON #myRevs(panl_id, lead, confl)_x000d__x000a_SELECT lead, MIN(id) as 'start' INTO #myStarts FROM #myRevs GROUP BY lead_x000d__x000a_UPDATE #myRevs SET seq = id-M.start FROM #myRevs r, #myStarts M WHERE r.lead = M.lead _x000d__x000a_DROP TABLE #myStarts_x000d__x000a__x000d__x000a_SELECT lead,  nullif(sum(confl),0) as Nconfl,_x000d__x000a_nullif(sum(unrlsbl),0) as Nunrlsbl,nullif(sum(rlsdCDNPS),0) as NrlsdCDNPS, _x000d__x000a_nullif(sum(pendSlct),0) as NpendSlct, nullif(sum(diffFLeJ),0) as NdiffFLeJ_x000d__x000a_INTO #myRevMarks FROM #myRevs_x000d__x000a_GROUP BY lead_x000d__x000a_CREATE INDEX myRevMarks_ix ON #myRevMarks(lead)_x000d__x000a__x000d__x000a_SELECT lead, count(DISTINCT revr_id) as Nrev, nullif(sum(unmkd),0) as Nunmkd,_x000d__x000a_MIN(r.score) AS minScore, AVG(r.score) AS avg_score,MAX(r.score) AS maxScore,_x000d__x000a_convert(varchar(50), MAX(CASE r.seq WHEN  0 THEN     r.string ELSE '' END)+_x000d__x000a_ MAX(CASE r.seq WHEN  1 THEN ','+r.string ELSE '' END)+_x000d__x000a_ MAX(CASE r.seq WHEN  2 THEN ','+r.string ELSE '' END)+_x000d__x000a_ MAX(CASE r.seq WHEN  3 THEN ','+r.string ELSE '' END)+_x000d__x000a_ MAX(CASE r.seq WHEN  4 THEN ','+r.string ELSE '' END)+_x000d__x000a_ MAX(CASE r.seq WHEN  5 THEN ','+r.string ELSE '' END)+_x000d__x000a_ MAX(CASE r.seq WHEN  6 THEN ','+r.string ELSE '' END)+_x000d__x000a_ MAX(CASE r.seq WHEN  7 THEN ','+r.string ELSE '' END)+_x000d__x000a_ MAX(CASE r.seq WHEN  8 THEN ','+r.string ELSE '' END)+_x000d__x000a_ MAX(CASE r.seq WHEN  9 THEN ','+r.string ELSE '' END)+_x000d__x000a_ MAX(CASE r.seq WHEN 10 THEN ','+r.string ELSE '' END)+_x000d__x000a_ MAX(CASE r.seq WHEN 11 THEN ','+r.string ELSE '' END)+_x000d__x000a_ MAX(CASE r.seq WHEN 12 THEN ','+r.string ELSE '' END)) AS allReviews, _x000d__x000a_MAX(r.rev_rtrn_date) AS last_rev_date_x000d__x000a_INTO #myRevSumm FROM #myRevs r WHERE confl = 0_x000d__x000a_GROUP BY r.lead_x000d__x000a_CREATE INDEX myRevSumm_ix ON #myRevSumm(lead)_x000d__x000a__x000d__x000a_SELECT lead, panl_id, count(revr_id) as N, convert(varchar(50), STUFF(LTRIM(_x000d__x000a_ MAX(CASE r.seq WHEN  0 THEN ','+r.string ELSE '' END)+_x000d__x000a_ MAX(CASE r.seq WHEN  1 THEN ','+r.string ELSE '' END)+_x000d__x000a_ MAX(CASE r.seq WHEN  2 THEN ','+r.string ELSE '' END)+_x000d__x000a_ MAX(CASE r.seq WHEN  3 THEN ','+r.string ELSE '' END)+_x000d__x000a_ MAX(CASE r.seq WHEN  4 THEN ','+r.string ELSE '' END)+_x000d__x000a_ MAX(CASE r.seq WHEN  5 THEN ','+r.string ELSE '' END)+_x000d__x000a_ MAX(CASE r.seq WHEN  6 THEN ','+r.string ELSE '' END)+_x000d__x000a_ MAX(CASE r.seq WHEN  7 THEN ','+r.string ELSE '' END)+_x000d__x000a_ MAX(CASE r.seq WHEN  8 THEN ','+r.string ELSE '' END)+_x000d__x000a_ MAX(CASE r.seq WHEN  9 THEN ','+r.string ELSE '' END)+_x000d__x000a_ MAX(CASE r.seq WHEN 10 THEN ','+r.string ELSE '' END)+_x000d__x000a_ MAX(CASE r.seq WHEN 11 THEN ','+r.string ELSE '' END)+_x000d__x000a_ MAX(CASE r.seq WHEN 12 THEN ','+r.string ELSE '' END)),1,1,'')) AS V, _x000d__x000a_MAX(r.rev_rtrn_date) AS last_rev_date_x000d__x000a_INTO #myRevPanl FROM #myRevs r WHERE confl = 0_x000d__x000a_GROUP BY lead, panl_id_x000d__x000a_CREATE INDEX myRevPanl_ix ON #myRevPanl(lead, panl_id)_x000d__x000a_-- Needs: RA_lead(#myProp), RA_propPRCs(#myPRCs)_x000d__x000a_--DROP TABLE #myPropBudg, #myPropInfo_x000d__x000a_SELECT p.prop_id, eb.revn_num as RN, SUM(eb.budg_tot_dol) as T,_x000d__x000a_ nullif(SUM(sub_ctr_dol),0) AS sub_ctr_tot, nullif(SUM(frgn_trav_dol),0) AS frgn_trav_tot, nullif(SUM(pdoc_grnt_dol),0) AS pdoc_tot,nullif(SUM( part_dol),0) AS part_tot_dol, nullif(SUM(grad_pers_tot_cnt),0) AS grad_tot_cnt,_x000d__x000a_ nullif(SUM(sr_pers_cnt),0) AS sr_tot_cnt, nullif(SUM(sr_summ_mnth_cnt),0) AS sr_sumr_mnths, nullif(SUM(sr_acad_mnth_cnt),0) AS sr_acad_mnths, nullif(SUM(sr_cal_mnth_cnt),0) AS sr_cal_mnths_x000d__x000a_INTO #myPropBudg FROM #myProp p_x000d__x000a_JOIN csd.eps_blip eb ON p.prop_id = eb.prop_id _x000d__x000a_AND NOT EXISTS (SELECT eb1.revn_num FROM csd.eps_blip eb1 WHERE eb.prop_id = eb1.prop_id AND eb.revn_num &lt; eb1.revn_num)_x000d__x000a_GROUP BY p.prop_id, eb.revn_num_x000d__x000a_ORDER BY p.prop_id -- eb.revn_num, eb.budg_seq_yr_x000d__x000a_CREATE INDEX myPropBudg_ix ON #myPropBudg(prop_id)_x000d__x000a_-- per-proposal data _x000d__x000a_SELECT pid.*, rqst_dol as D, prc.R, b.T, b.RN, id=identity(18), 0 as seq _x000d__x000a_INTO #myPropInfo FROM #myProp pid_x000d__x000a_JOIN csd.prop p ON p.prop_id = pid.prop_id_x000d__x000a_LEFT JOIN #myPRCs prc ON prc.prop_id = pid.prop_id_x000d__x000a_LEFT JOIN #myPropBudg b ON b.prop_id = p.prop_id_x000d__x000a_ORDER BY lead, ILN, pid.prop_id_x000d__x000a_CREATE INDEX myProp_idx ON #myPropInfo(prop_id)_x000d__x000a_SELECT lead, MIN(id) as start INTO #myPropStart FROM #myPropInfo GROUP BY lead_x000d__x000a_UPDATE #myPropInfo SET seq = id-M.start FROM #myPropInfo r, #myPropStart M WHERE r.lead = M.lead_x000d__x000a_DROP TABLE #myPropStart_x000d__x000a_CREATE INDEX myProp_ix ON #myPropInfo(lead)_x000d__x000a_--Needs: #myRevs, #myRevPanl_x000d__x000a_--DROP TABLE #myPPConfl_x000d__x000a_select rp.lead, rp.panl_id, rtrim(r.revr_frst_name) + ' ' + rtrim(r.revr_last_name) +', ' + rtrim(i.inst_shrt_name) as confl,_x000d__x000a_--c.revr_id, r.revr_last_name, r.revr_frst_name, i.inst_shrt_name, _x000d__x000a_id=identity(18), 0 as seq_x000d__x000a_INTO #myPConfl FROM #myRevPanl rp_x000d__x000a_JOIN #myRevs c ON c.panl_id = rp.panl_id and c.lead = rp.lead and c.confl=1_x000d__x000a_JOIN csd.revr r ON r.revr_id = c.revr_id_x000d__x000a_LEFT JOIN csd.inst i ON i.inst_id = r.inst_id_x000d__x000a_ORDER BY rp.lead, rp.panl_id, r.revr_last_name_x000d__x000a__x000d__x000a_SELECT lead, panl_id, MIN(id) as start INTO #myCStarts FROM #myPConfl GROUP BY lead, panl_id_x000d__x000a_UPDATE #myPConfl SET seq = id-M.start FROM #myPConfl r, #myCStarts M  WHERE r.lead = M.lead and r.panl_id = M.panl_id_x000d__x000a_DROP TABLE #myCStarts_x000d__x000a__x000d__x000a_SELECT lead, panl_id, count(confl) as C,  _x000d__x000a_ MAX(CASE r.seq WHEN  0 THEN r.confl ELSE '' END)+_x000d__x000a_ MAX(CASE r.seq WHEN  1 THEN '; '+r.confl ELSE '' END)+_x000d__x000a_ MAX(CASE r.seq WHEN  2 THEN ','+r.confl ELSE '' END)+_x000d__x000a_ MAX(CASE r.seq WHEN  3 THEN ','+r.confl ELSE '' END)+_x000d__x000a_ MAX(CASE r.seq WHEN  4 THEN ','+r.confl ELSE '' END)+_x000d__x000a_ MAX(CASE r.seq WHEN  5 THEN ','+r.confl ELSE '' END)+_x000d__x000a_ MAX(CASE r.seq WHEN  6 THEN ','+r.confl ELSE '' END) AS CR_x000d__x000a_INTO #myPPConfl  FROM #myPConfl r _x000d__x000a_GROUP BY lead, panl_id_x000d__x000a_CREATE INDEX myPPConfl_ix ON #myPPConfl(lead, panl_id)_x000d__x000a_DROP TABLE #myPConfl_x000d__x000a_-- Needs: RA_lead(#myLead),RA_revs(#myRevs, #myRevPanl)_x000d__x000a_--DROP TABLE #myPanl, #myProjPanl, #myProjPanlSumm_x000d__x000a_SELECT pn.panl_id AS I, panl_name AS PN, panl_end_date AS E, _x000d__x000a_  (SELECT COUNT(DISTINCT revr_id) FROM csd.panl_revr r WHERE r.panl_id = pn.panl_id) AS P,_x000d__x000a_  convert(varchar(126),NULL) AS S _x000d__x000a_INTO #myPanl FROM (SELECT DISTINCT panl_id FROM #myLead pid JOIN csd.panl_prop pp ON pp.prop_id = pid.lead) pn_x000d__x000a_JOIN csd.panl panl ON panl.panl_id = pn.panl_id_x000d__x000a_CREATE INDEX myPanl_ix ON #myPanl(I)_x000d__x000a_SELECT pp.panl_id, s.RCOM_SEQ_NUM, RCOM_ABBR, Count(s.PROP_ID) AS rtCount_x000d__x000a_INTO #myPanlOutcomes FROM #myPanl pl_x000d__x000a_JOIN csd.panl_prop pp ON pp.panl_id = pl.I -- for all lead props on my panls_x000d__x000a_JOIN csd.prop p ON p.prop_id = pp.prop_id AND isnull(lead_prop_id,p.prop_id) = p.prop_id_x000d__x000a_JOIN FLflpdb.flp.panl_prop_summ s ON s.PANL_ID = pl.I AND s.PROP_ID = pp.prop_id_x000d__x000a_LEFT JOIN FLflpdb.flp.panl_rcom_def d ON d.PANL_ID = pl.I AND d.RCOM_SEQ_NUM = s.RCOM_SEQ_NUM_x000d__x000a_GROUP BY pp.panl_id, s.RCOM_SEQ_NUM, RCOM_ABBR_x000d__x000a_ORDER BY pp.panl_id, s.RCOM_SEQ_NUM_x000d__x000a_UPDATE #myPanl SET S = (SELECT isnull(convert(varchar,SUM(ps.rtCount)),'No') + ' rated projects' +_x000d__x000a_    MAX( CASE ps.RCOM_SEQ_NUM WHEN 1 THEN ': ' + convert(varchar,ps.rtCount) + ' ' +  ps.RCOM_ABBR ELSE '' END ) +_x000d__x000a_    MAX( CASE ps.RCOM_SEQ_NUM WHEN 2 THEN ', ' + convert(varchar,ps.rtCount) + ' ' +  ps.RCOM_ABBR ELSE '' END ) +_x000d__x000a_    MAX( CASE ps.RCOM_SEQ_NUM WHEN 3 THEN ', ' + convert(varchar,ps.rtCount) + ' ' +  ps.RCOM_ABBR ELSE '' END ) +_x000d__x000a_    MAX( CASE ps.RCOM_SEQ_NUM WHEN 4 THEN ', ' + convert(varchar,ps.rtCount) + ' ' +  ps.RCOM_ABBR ELSE '' END ) +_x000d__x000a_    MAX( CASE ps.RCOM_SEQ_NUM WHEN 5 THEN ', ' + convert(varchar,ps.rtCount) + ' ' +  ps.RCOM_ABBR ELSE '' END ) +_x000d__x000a_    MAX( CASE ps.RCOM_SEQ_NUM WHEN 6 THEN ', ' + convert(varchar,ps.rtCount) + ' ' +  ps.RCOM_ABBR ELSE '' END )_x000d__x000a_    FROM #myPanlOutcomes ps WHERE ps.panl_id = pl.I) _x000d__x000a_FROM #myPanl pl DROP TABLE #myPanlOutcomes_x000d__x000a__x000d__x000a_--per project panel summary _x000d__x000a_SELECT rp.lead, ps.*, rp.N, rp.V, s.RCOM_SEQ_NUM AS RS, d.RCOM_ABBR as RA, d.RCOM_TXT as RT, s.PROP_ORDR as RK,_x000d__x000a_c.C, C.CR,_x000d__x000a_--nullif((SELECT count(*) FROM #myRevs c WHERE confl=1 AND c.panl_id = rp.panl_id AND c.lead = rp.lead ),0) as C2,_x000d__x000a_CASE WHEN panl_summ_unrl_flag = 'Y' THEN 1 ELSE 0 END as summ_unrls, _x000d__x000a_CASE WHEN panl_summ_unrl_flag = 'Y' OR panl_summ_rlse_flag = 'Y'  THEN 0 ELSE 1 END as summ_unmrkd, id=identity(18), 0 as seq_x000d__x000a_INTO #myProjPanl FROM #myRevPanl rp_x000d__x000a_JOIN #myPanl ps ON ps.I = rp.panl_id_x000d__x000a_LEFT JOIN #myPPConfl c ON c.lead = rp.lead AND c.panl_id = rp.panl_id_x000d__x000a_LEFT JOIN FLflpdb.flp.panl_prop_summ s ON s.panl_id = rp.panl_id AND s.prop_id = rp.lead_x000d__x000a_LEFT JOIN FLflpdb.flp.panl_rcom_def d ON d.panl_id = rp.panl_id  AND d.RCOM_SEQ_NUM = s.RCOM_SEQ_NUM_x000d__x000a_ORDER BY lead, ps.E_x000d__x000a_CREATE INDEX myProjPanl_ix ON #myProjPanl(lead)_x000d__x000a_SELECT lead, MIN(id) as start INTO #myPStarts FROM #myProjPanl GROUP BY lead_x000d__x000a_UPDATE #myProjPanl SET seq = id-M.start FROM #myProjPanl r, #myPStarts M  WHERE r.lead = M.lead_x000d__x000a_DROP TABLE #myPStarts_x000d__x000a_SELECT lead, count(I) AS nPanl, min(RS)+isnull(min(RK),0)/100.0 AS RecRkMin, nullif(sum(summ_unrls),0) as nPSunrls, _x000d__x000a_    nullif(sum(summ_unmrkd),0) as nPSunmrkd _x000d__x000a_INTO #myProjPanlSumm FROM #myProjPanl GROUP BY lead_x000d__x000a_-- Needs: RA_lead(#myProp,#myRA),RA_prop(#myPropInfo,#myPropBudg),RA_revs(#myRevMarks, #myRevPanlSumm), RA_panl(#myProjPanlSumm)_x000d__x000a_-- DROP TABLE #myDmog_x000d__x000a_SELECT prop_id, _x000d__x000a_SUM(CASE WHEN pi_gend_code = 'F'THEN 1 ELSE 0 END) AS NfmlPIs,_x000d__x000a_SUM(CASE WHEN pi_ethn_code = 'H'THEN 1 ELSE 0 END) AS NhispPIs,_x000d__x000a_SUM(CASE WHEN dmog_tbl_code = 'H'AND dmog_code &lt;&gt; 'N' THEN 1 ELSE 0 END) AS NhndcpPIs,_x000d__x000a_SUM(CASE WHEN dmog_tbl_code = 'R'AND dmog_code NOT IN ('U','W','B3') THEN 1 ELSE 0 END) AS NnonWhtAsnPIs_x000d__x000a_INTO #myDmog FROM (SELECT p.prop_id, pi_id FROM #myProp p _x000d__x000a_      UNION ALL SELECT p.prop_id, a.pi_id FROM #myProp p JOIN csd.addl_pi_invl a ON a.prop_id = p.prop_id) PIs_x000d__x000a_LEFT JOIN csd.pi_vw pi ON pi.pi_id = PIs.pi_id_x000d__x000a_LEFT JOIN csd.PI_dmog d ON d.pi_id = PIs.pi_id_x000d__x000a_GROUP BY prop_id_x000d__x000a_ORDER BY prop_id_x000d__x000a_CREATE INDEX myDmog_idx ON #myDmog(prop_id)_x000d__x000a__x000d__x000a_-- props: get codes to check if they match leads_x000d__x000a_SELECT nullif(dd_rcom_date,'1900-01-01') AS dd_rcom_date, nsf_rcvd_date,_x000d__x000a_prop.pgm_annc_id, prop.org_code, prop.pgm_ele_code,_x000d__x000a_prop_stts_abbr,natr_rqst.natr_rqst_abbr,prop.obj_clas_code,_x000d__x000a_bas_rsch_pct, apld_rsch_pct+educ_trng_pct+land_buld_fix_equp_pct+mjr_equp_pct+non_invt_pct AS other_pct,  _x000d__x000a_cntx_stmt_id, p.PO, p.R as propPRCs, p.st_code, ra.RAupdate,_x000d__x000a_p.lead, p.ILN, --eJ link_x000d__x000a_org.dir_div_abbr as Div, p.prop_id,_x000d__x000a_p.L AS pi_last_name, p.F AS pi_frst_name, p.I AS inst, --mailto:_x000d__x000a_prop.rqst_eff_date,prop.rqst_mnth_cnt,_x000d__x000a_nPanl, nPSunmrkd, nPSunrls, RecRkMin, _x000d__x000a_rs.nRev, rs.allReviews, rs.avg_score, rs.last_rev_date,_x000d__x000a_Nunmkd, Nconfl, Nunrlsbl, NrlsdCDNPS, NpendSlct, NdiffFLeJ,_x000d__x000a_ prop_stts_txt, prop.prop_titl_txt,_x000d__x000a_b.RN as brevn, p.D AS rqst_tot, b.T as budg_tot,  _x000d__x000a_b.sub_ctr_tot, b.frgn_trav_tot, b.pdoc_tot, b.part_tot_dol, _x000d__x000a_b.grad_tot_cnt, b.sr_tot_cnt, b.sr_sumr_mnths, b.sr_acad_mnths, b.sr_cal_mnths,_x000d__x000a_NfmlPIs,NhispPIs,NhndcpPIs,NnonWhtAsnPIs,_x000d__x000a_p.M as email_x000d__x000a_FROM #myPropInfo p_x000d__x000a_JOIN csd.prop prop ON prop.prop_id = p.prop_id_x000d__x000a_JOIN csd.org org ON org.org_code = prop.org_code_x000d__x000a_JOIN csd.prop_stts prop_stts ON prop_stts.prop_stts_code = prop.prop_stts_code_x000d__x000a_JOIN csd.natr_rqst natr_rqst ON natr_rqst.natr_rqst_code = prop.natr_rqst_code_x000d__x000a_LEFT JOIN #myRA ra ON ra.lead = p.lead_x000d__x000a_LEFT JOIN #myDmog d ON d.prop_id = p.prop_id_x000d__x000a_LEFT JOIN #myPropBudg b ON b.prop_id = p.prop_id_x000d__x000a_LEFT JOIN #myRevSumm rs ON rs.lead = p.prop_id_x000d__x000a_LEFT JOIN #myRevMarks rv ON rv.lead = p.prop_id_x000d__x000a_LEFT JOIN #myProjPanlSumm pl ON pl.lead = p.prop_id_x000d__x000a_ORDER BY p.lead, p.ILN, p.prop_id_x000d__x000a_DROP TABLE #myPid, #myLead, #myRA, #myPRCs, #myPRCdata DROP TABLE #myRevs, #myRevPanl, #myRevMarks, #myRevSumm DROP TABLE #myPropBudg, #myProp DROP TABLE #myPPConfl, #myPanl, #myProjPanl, #myProjPanlSumm"/>
  </connection>
  <connection id="4" name="PECGlossaryQuery" type="1" refreshedVersion="6" background="1" saveData="1">
    <dbPr connection="dsn=RPTSERVER;database=rptdb;server=RPTSQL.nsf.gov;port=5000;UID=ccfuser;" command="SET NOCOUNT ON_x000d__x000a_SELECT DISTINCT prop.prop_id, prop.lead_prop_id, prop.pi_id, prop.inst_id, prop.pm_ibm_logn_id as PO, _x000d__x000a_convert(varchar(63),'') as RAtemplate _x000d__x000a_INTO #myPid FROM csd.prop prop_x000d__x000a_JOIN csd.panl_prop panl_prop ON prop.prop_id = panl_prop.prop_id_x000a_JOIN csd.natr_rqst natr_rqst ON prop.natr_rqst_code = natr_rqst.natr_rqst_code_x000a_WHERE (1=1) AND prop.nsf_rcvd_date &gt;= {ts '2016-10-01 00:00:00'} _x000d__x000a_ AND (prop.org_code LIKE '0702%' )_x000a_ AND (panl_prop.panl_id LIKE 'P1%' )_x000a_ AND (prop.prop_stts_code = '02' )_x000a_ AND (natr_rqst.natr_rqst_abbr IN ('NEW','RNEW','ABR') )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Needs: RA_lead(#myProp) _x000d__x000a_SELECT p.pgm_ele_code AS PEC, pec.pgm_ele_name AS PEC_Description_x000d__x000a_FROM (SELECT DISTINCT pgm_ele_code FROM #myProp pid _x000d__x000a_JOIN csd.prop p ON p.prop_id = pid.prop_id) p_x000d__x000a_JOIN csd.pgm_ele pec ON pec.pgm_ele_code = p.pgm_ele_code_x000d__x000a_ORDER BY PEC_x000d__x000a_--NB: Should complete before queries that need table revScores to handle split review scores in subsequent queries._x000d__x000a_if object_id('tempdb.guest.revScores') is null _x000d__x000a_  exec('create table tempdb.guest.revScores(yn char(5) primary key, string varchar(10), score real null) insert into tempdb.guest.revScores_x000d__x000a_select ''NNNNN'', ''R'',  null  union all select ''NNNNY'', ''P'', 1 union all _x000d__x000a_select ''NNNYN'', ''F'',    3   union all select ''NNNYY'', ''F/P'', 2 union all_x000d__x000a_select ''NNYNN'', ''G'',    5   union all select ''NNYNY'', ''G/P'', 2.98 union all_x000d__x000a_select ''NNYYN'', ''G/F'',  4   union all select ''NNYYY'', ''G/F/P'', 2.99 union all_x000d__x000a_select ''NYNNN'', ''V'',    7   union all select ''NYNNY'', ''V/P'', 3.98 union all_x000d__x000a_select ''NYNYN'', ''V/F'', 4.98 union all select ''NYNYY'', ''V/F/P'', 3.65 union all_x000d__x000a_select ''NYYNN'', ''V/G'',  6   union all select ''NYYNY'', ''V/G/P'', 4.32 union all_x000d__x000a_select ''NYYYN'',''V/G/F'',4.99 union all select ''NYYYY'', ''V/G/F/P'', 3.97 union all_x000d__x000a_select ''YNNNN'', ''E'',    9   union all select ''YNNNY'', ''E/P'', 4.992 union all_x000d__x000a_select ''YNNYN'', ''E/F'', 5.98 union all select ''YNNYY'', ''E/F/P'', 4.325 union all_x000d__x000a_select ''YNYNN'', ''E/G'', 6.98 union all select ''YNYNY'', ''E/G/P'', 4.995 union all_x000d__x000a_select ''YNYYN'',''E/G/F'',5.66 union all select ''YNYYY'', ''E/G/F/P'', 4.5 union all_x000d__x000a_select ''YYNNN'', ''E/V'',  8   union all select ''YYNNY'', ''E/V/P'', 5.666 union all_x000d__x000a_select ''YYNYN'',''E/V/F'',6.33 union all select ''YYNYY'', ''E/V/F/P'', 4.996 union all_x000d__x000a_select ''YYYNN'',''E/V/G'',6.99 union all select ''YYYNY'', ''E/V/G/P'', 5.5 union all_x000d__x000a_select ''YYYYN'', ''E/V/G/F'', 5.99 union all select ''YYYYY'', ''E/V/G/F/P'', 4.997')_x000d__x000a_DROP TABLE #myProp, #myLead, #myRA"/>
  </connection>
  <connection id="5" name="PRCGlossaryQuery" type="1" refreshedVersion="6" background="1" saveData="1">
    <dbPr connection="dsn=RPTSERVER;database=rptdb;server=RPTSQL.nsf.gov;port=5000;UID=ccfuser;" command="SET NOCOUNT ON_x000d__x000a_SELECT DISTINCT prop.prop_id, prop.lead_prop_id, prop.pi_id, prop.inst_id, prop.pm_ibm_logn_id as PO, _x000d__x000a_convert(varchar(63),'') as RAtemplate _x000d__x000a_INTO #myPid FROM csd.prop prop_x000d__x000a_JOIN csd.panl_prop panl_prop ON prop.prop_id = panl_prop.prop_id_x000a_JOIN csd.natr_rqst natr_rqst ON prop.natr_rqst_code = natr_rqst.natr_rqst_code_x000a_WHERE (1=1) AND prop.nsf_rcvd_date &gt;= {ts '2016-10-01 00:00:00'} _x000d__x000a_ AND (prop.org_code LIKE '0702%' )_x000a_ AND (panl_prop.panl_id LIKE 'P1%' )_x000a_ AND (prop.prop_stts_code = '02' )_x000a_ AND (natr_rqst.natr_rqst_abbr IN ('NEW','RNEW','ABR') )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R_x000d__x000a_INTO #myPRCs_x000d__x000a_FROM #myPRCdata pa _x000d__x000a_GROUP BY prop_id_x000d__x000a_DROP TABLE #myPRCStart_x000d__x000a_CREATE INDEX myPRCs_ix ON #myPRCs(prop_id)_x000d__x000a_--Needs: RA_lead, RA_propPRCs(#myPRCdata)_x000d__x000a_SELECT p.prop_atr_code AS PRC, prc.pgm_ref_txt AS PRC_Description_x000d__x000a_FROM (SELECT DISTINCT prop_atr_code FROM #myPRCdata) p_x000d__x000a_JOIN csd.pgm_ref prc ON prc.pgm_ref_code = p.prop_atr_code_x000d__x000a_ORDER BY PRC_x000d__x000a_DROP TABLE #myPid, #myLead, #myRA DROP TABLE #myPRCs, #myPRCdata"/>
  </connection>
  <connection id="6" name="PRCGlossaryQuery1" type="1" refreshedVersion="6" background="1" saveData="1">
    <dbPr connection="dsn=RPTSERVER;database=rptdb;server=RPTSQL.nsf.gov;port=5000;UID=ccfuser;" command="SET NOCOUNT ON_x000d__x000a_SELECT DISTINCT prop.prop_id, prop.lead_prop_id, prop.pi_id, prop.inst_id, prop.pm_ibm_logn_id as PO, _x000d__x000a_convert(varchar(63),'') as RAtemplate _x000d__x000a_INTO #myPid FROM csd.prop prop_x000d__x000a_JOIN csd.panl_prop panl_prop ON prop.prop_id = panl_prop.prop_id_x000a_JOIN csd.natr_rqst natr_rqst ON prop.natr_rqst_code = natr_rqst.natr_rqst_code_x000a_WHERE (1=1) AND prop.nsf_rcvd_date &gt;= {ts '2016-10-01 00:00:00'} _x000d__x000a_ AND (prop.org_code LIKE '0702%' )_x000a_ AND (panl_prop.panl_id LIKE 'P1%' )_x000a_ AND (prop.prop_stts_code = '02' )_x000a_ AND (natr_rqst.natr_rqst_abbr IN ('NEW','RNEW','ABR') )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Needs: RA_lead(#myLead)_x000d__x000a_SELECT r.revr_id, i.inst_shrt_name, rtrim(revr.revr_last_name) + ', ' + rtrim(revr.revr_frst_name) AS Panelist_x000d__x000a_FROM (SELECT DISTINCT rp.revr_id FROM #myLead p_x000d__x000a_     JOIN csd.rev_prop rp ON rp.prop_id = p.lead AND rp.rev_stts_code = 'C') as r_x000d__x000a_JOIN csd.revr revr ON revr.revr_id = r.revr_id_x000d__x000a_LEFT JOIN csd.inst i ON i.inst_id = revr.inst_id_x000d__x000a_ORDER BY i.inst_shrt_name, Panelist_x000d__x000a_DROP TABLE #myProp, #myLead, #myRA"/>
  </connection>
  <connection id="7" name="ProjTextQuery" type="1" refreshedVersion="6" saveData="1">
    <dbPr connection="dsn=RPTSERVER;database=rptdb;server=RPTSQL.nsf.gov;port=5000;UID=ccfuser;" command="SET NOCOUNT ON_x000d__x000a_SELECT DISTINCT prop.prop_id, prop.lead_prop_id, prop.pi_id, prop.inst_id, prop.pm_ibm_logn_id as PO, _x000d__x000a_convert(varchar(63),'') as RAtemplate _x000d__x000a_INTO #myPid FROM csd.prop prop_x000d__x000a_JOIN csd.panl_prop panl_prop ON prop.prop_id = panl_prop.prop_id_x000a_JOIN csd.natr_rqst natr_rqst ON prop.natr_rqst_code = natr_rqst.natr_rqst_code_x000a_WHERE (1=1) AND prop.nsf_rcvd_date &gt;= {ts '2016-10-01 00:00:00'} _x000d__x000a_ AND (prop.org_code LIKE '0702%' )_x000a_ AND (panl_prop.panl_id LIKE 'P1%' )_x000a_ AND (prop.prop_stts_code = '02' )_x000a_ AND (natr_rqst.natr_rqst_abbr IN ('NEW','RNEW','ABR') )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Needs: RA_lead(#myProp,#myLead), RA_revs(#myRevInfo)_x000d__x000a_--DROP TABLE #myRevInfo, #mySumm_x000d__x000a_SELECT lead, upld_date, convert(text, convert(varchar(16384),js.PROJ_SUMM_TXT) + convert(varchar(16384),js.INTUL_MERT) + convert(varchar(16384),js.BRODR_IMPT)) as summ_x000d__x000a_INTO #mySumm FROM #myLead p _x000d__x000a_JOIN csd.prop_subm_ctl_vw psc ON psc.prop_id = p.lead_x000d__x000a_JOIN FLflpdb.flp.proj_summ js ON js.SPCL_CHAR_PDF &lt;&gt; 'Y' AND js.TEMP_PROP_ID = psc.TEMP_PROP_ID_x000d__x000a__x000d__x000a_SELECT p.lead, p.L, rs.string, rs.score, rp.revr_id, rp.rev_rtrn_date, id=identity(18), 0 as 'seq'_x000d__x000a_INTO #myRevInfo FROM #myLead p_x000d__x000a_JOIN csd.rev_prop_vw rp ON rp.prop_id = p.lead_x000d__x000a_JOIN tempdb.guest.revScores rs ON rs.yn = rp.rev_prop_rtng_ind _x000d__x000a_ORDER BY lead, score DESC_x000d__x000a_SELECT lead, MIN(id) as 'start' INTO #myRISt FROM #myRevInfo GROUP BY lead_x000d__x000a_UPDATE #myRevInfo set seq = id-M.start FROM #myRevInfo r, #myRISt M WHERE r.lead = M.lead_x000d__x000a_DROP TABLE #myRISt_x000d__x000a__x000d__x000a_SELECT rv.lead, rv.L as pi_last_name, 'Review' as docType, rev_prop.pm_logn_id, rv.revr_id as panl_revr_id,  revr.revr_last_name as 'name', revr_opt_addr_line.revr_addr_txt as 'info',_x000d__x000a_convert(varchar,rev_prop.rev_type_code) AS type, convert(varchar,rev_prop.rev_stts_code) as stts, rev_prop.rev_due_date as due, rv.rev_rtrn_date as returned,_x000d__x000a_ rv.string as score, rev_txt.REV_PROP_TXT_FLDS as 'text'_x000d__x000a_FROM #myRevInfo rv, csd.revr revr, csd.rev_prop rev_prop, csd.revr_opt_addr_line revr_opt_addr_line, csd.rev_prop_txt_flds_vw rev_txt_x000d__x000a_WHERE rv.lead = rev_prop.prop_id AND rv.lead = rev_txt.PROP_ID AND rv.revr_id = rev_prop.revr_id AND rv.revr_id = revr.revr_id AND rv.revr_id = revr_opt_addr_line.revr_id_x000d__x000a_  AND rv.revr_id = rev_txt.REVR_ID AND ((revr_opt_addr_line.addr_lne_type_code='E'))_x000d__x000a_UNION ALL SELECT p.lead, p.L, ' PanlSumm' as docType, p.PO, panl_prop_summ.PANL_ID,  ' '+panl.panl_name, panl_rcom_def.RCOM_TXT,_x000d__x000a_convert(varchar,panl_prop_summ.RCOM_SEQ_NUM), convert(varchar,panl_prop_summ.PROP_ORDR), panl.panl_bgn_date, panl_prop_summ.last_updt_tmsp,_x000d__x000a_panl_rcom_def.RCOM_ABBR, panl_prop_summ.PANL_SUMM_TXT_x000d__x000a_    FROM #myLead p _x000d__x000a_    JOIN FLflpdb.flp.panl_prop_summ panl_prop_summ ON panl_prop_summ.PROP_ID = p.lead_x000d__x000a_    JOIN csd.panl panl ON panl.panl_id = panl_prop_summ.PANL_ID_x000d__x000a_    LEFT JOIN FLflpdb.flp.panl_rcom_def panl_rcom_def ON panl_rcom_def.RCOM_SEQ_NUM = panl_prop_summ.RCOM_SEQ_NUM AND panl_rcom_def.PANL_ID = panl_prop_summ.PANL_ID_x000d__x000a__x000d__x000a_UNION ALL SELECT p.lead, p.L, 'POCmnt', p.PO, p.prop_id, cmt.cmnt_cre_id, '', '', convert(varchar,cmt.cmnt_prop_stts_code), cmt.beg_eff_date, cmt.end_eff_date,'', cmt.cmnt_x000d__x000a_FROM #myProp p, FLflpdb.flp.cmnt_prop cmt WHERE p.prop_id = cmt.prop_id AND (p.ILN &lt; 'M' OR LEN(cmt.cmnt) &lt;&gt; (SELECT LEN(l.cmnt) FROM FLflpdb.flp.cmnt_prop l WHERE p.lead = l.prop_id))_x000d__x000a_UNION ALL SELECT p.lead, p.L, 'RA' as docType, p.PO, '', ra.last_updt_user, '', '', null, null, ra.last_updt_tmsp, '', ra.prop_rev_anly_txt_x000d__x000a_FROM #myLead p, csd.prop_rev_anly_vw ra WHERE p.lead = ra.prop_id_x000d__x000a_UNION ALL SELECT p.lead, p.L, 'Abstr', p.PO, '', a.last_updt_user, a.cent_mrkr_prop, a.cent_mrkr_awd, null, null, a.last_updt_tmsp,'', a.abst_narr_txt_x000d__x000a_FROM #myProp p, csd.abst a WHERE p.prop_id = a.awd_id AND (p.ILN &lt; 'M' OR LEN(a.abst_narr_txt) &lt;&gt;  (SELECT LEN(l.abst_narr_txt) FROM csd.abst l WHERE p.lead = l.awd_id))_x000d__x000a_UNION ALL SELECT p.lead, p.L, 'SummProj',p.PO, '', '', '', null, null, null, s.upld_date,'', s.summ_x000d__x000a_FROM #myLead p, #mySumm s WHERE s.lead = p.lead_x000d__x000a_UNION ALL SELECT p.lead, p.L, 'xDiaryNt',p.PO, p.prop_id, crtd_by_user, ej_diry_note_kywd, null, null, null, crtd_date,'', ej_diry_note_txt_x000d__x000a_FROM #myProp p, FLflpdb.flp.ej_diry_note d WHERE d.prop_id = p.prop_id_x000d__x000a_ORDER BY lead, docType, revr_last_name, revr_id_x000d__x000a_DROP TABLE #myPid, #myLead, #myRA DROP TABLE #myRevInfo, #mySumm"/>
  </connection>
  <connection id="8" name="RAMailMerge" type="1" refreshedVersion="6" background="1" saveData="1">
    <dbPr connection="dsn=RPTSERVER;database=rptdb;server=RPTSQL.nsf.gov;port=5000;UID=ccfuser;" command="SET NOCOUNT ON_x000d__x000a_SELECT DISTINCT prop.prop_id, prop.lead_prop_id, prop.pi_id, prop.inst_id, prop.pm_ibm_logn_id as PO, _x000d__x000a_convert(varchar(63),'') as RAtemplate _x000d__x000a_INTO #myPid FROM csd.prop prop_x000d__x000a_JOIN csd.panl_prop panl_prop ON prop.prop_id = panl_prop.prop_id_x000a_JOIN csd.natr_rqst natr_rqst ON prop.natr_rqst_code = natr_rqst.natr_rqst_code_x000a_WHERE (1=1) AND prop.nsf_rcvd_date &gt;= {ts '2016-10-01 00:00:00'} _x000d__x000a_ AND (prop.org_code LIKE '0702%' )_x000a_ AND (panl_prop.panl_id LIKE 'P1%' )_x000a_ AND (prop.prop_stts_code = '02' )_x000a_ AND (natr_rqst.natr_rqst_abbr IN ('NEW','RNEW','ABR') )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R_x000d__x000a_INTO #myPRCs_x000d__x000a_FROM #myPRCdata pa _x000d__x000a_GROUP BY prop_id_x000d__x000a_DROP TABLE #myPRCStart_x000d__x000a_CREATE INDEX myPRCs_ix ON #myPRCs(prop_id)_x000d__x000a_-- Needs: RA_lead(#myLead),_x000d__x000a_--DROP TABLE #myRevs, #myRevMarks, #myRevSumm, #myRevPanl_x000d__x000a_declare @adhoc char(7), @olddate datetime_x000d__x000a_SELECT @adhoc = '.ad hoc ',  @olddate = '1/1/2000' -- for formatting dates_x000d__x000a_SELECT isnull((SELECT MIN(pp.panl_id) FROM csd.panl_prop pp _x000d__x000a_    JOIN csd.panl_revr pr ON pr.panl_id = pp.panl_id AND pp.panl_id like 'P%'_x000d__x000a_    WHERE pp.prop_id = p.lead AND pr.revr_id = rp.revr_id),  @adhoc) as panl_id, p.lead, rp.revr_id, rp.rev_rtrn_date, _x000d__x000a_ CASE WHEN rs.score IS NOT NULL THEN rs.string ELSE rp.rev_prop_rtng_code END as string,_x000d__x000a_ CASE WHEN rs.score IS NOT NULL THEN rs.score ELSE CASE rp.rev_prop_rtng_code WHEN 'E' THEN 9 WHEN 'V' THEN 7 _x000d__x000a_    WHEN 'G' THEN 5 WHEN 'F' THEN 3 WHEN 'P' THEN 1 ELSE NULL END END AS score,_x000d__x000a_ CASE WHEN rp.rev_stts_code = 'C' THEN 1 ELSE 0 END as confl,_x000d__x000a_ CASE WHEN rp.rev_stts_code IN ('P','S') THEN 1 ELSE 0 END as pendSlct,_x000d__x000a_ CASE WHEN rpv.rev_prop_unrl_flag = 'Y' THEN 1 ELSE 0 END as unrlsbl,_x000d__x000a_ CASE WHEN rpv.rev_prop_rtng_ind IS NULL OR rpv.rev_rlse_flag = 'Y' OR rpv.rev_prop_unrl_flag = 'Y' THEN 0 ELSE 1 END as unmkd,_x000d__x000a_ CASE WHEN rpv.rev_rlse_flag = 'Y' AND rp.rev_stts_code IN ('C','D','N','P','S') THEN 1 ELSE 0 END as rlsdCDNPS,_x000d__x000a_ CASE WHEN rp.rev_stts_code IN ('C','D','N','R') OR rp.rev_prop_rtng_code = nullif(rs.string,' ') THEN 0 ELSE 1 END as diffFLeJ,_x000d__x000a_ id=identity(18), 0 as seq_x000d__x000a_INTO #myRevs FROM #myLead p_x000d__x000a_JOIN csd.rev_prop rp ON rp.prop_id = p.lead_x000d__x000a_LEFT JOIN csd.rev_prop_vw rpv ON rpv.revr_id = rp.revr_id AND rpv.prop_id = rp.prop_id  _x000d__x000a_LEFT JOIN tempdb.guest.revScores rs ON rs.yn = rpv.rev_prop_rtng_ind -- this table uses the same 1-9 scale above, but handles split scores_x000d__x000a_WHERE (rpv.rev_rlse_flag = 'Y' OR rp.rev_stts_code = 'C' OR rp.rev_prop_rtng_code IN ('E','V','G','F','P') -- has eJ review_x000d__x000a_       OR rpv.rev_prop_rtng_ind &gt; 'NNNNN') -- has FL review.  checked: no stts N or D come in.  R,S,P do, all good._x000d__x000a_  AND isnull(rpv.rev_subm_flag,'U') &lt;&gt; 'D' -- ignore reviews deleted on FL, even if that takes overnight to propagate to eJ._x000d__x000a_ORDER BY lead, confl, score DESC, revr_id -- move C last_x000d__x000a_CREATE INDEX myRevs_ix0 ON #myRevs(lead)_x000d__x000a_CREATE INDEX myRevs_ix1 ON #myRevs(lead, confl)_x000d__x000a_CREATE INDEX myRevs_ix2 ON #myRevs(panl_id, lead, confl)_x000d__x000a_SELECT lead, MIN(id) as 'start' INTO #myStarts FROM #myRevs GROUP BY lead_x000d__x000a_UPDATE #myRevs SET seq = id-M.start FROM #myRevs r, #myStarts M WHERE r.lead = M.lead _x000d__x000a_DROP TABLE #myStarts_x000d__x000a__x000d__x000a_SELECT lead,  nullif(sum(confl),0) as Nconfl,_x000d__x000a_nullif(sum(unrlsbl),0) as Nunrlsbl,nullif(sum(rlsdCDNPS),0) as NrlsdCDNPS, _x000d__x000a_nullif(sum(pendSlct),0) as NpendSlct, nullif(sum(diffFLeJ),0) as NdiffFLeJ_x000d__x000a_INTO #myRevMarks FROM #myRevs_x000d__x000a_GROUP BY lead_x000d__x000a_CREATE INDEX myRevMarks_ix ON #myRevMarks(lead)_x000d__x000a__x000d__x000a_SELECT lead, count(DISTINCT revr_id) as Nrev, nullif(sum(unmkd),0) as Nunmkd,_x000d__x000a_MIN(r.score) AS minScore, AVG(r.score) AS avg_score,MAX(r.score) AS maxScore,_x000d__x000a_convert(varchar(50), MAX(CASE r.seq WHEN  0 THEN     r.string ELSE '' END)+_x000d__x000a_ MAX(CASE r.seq WHEN  1 THEN ','+r.string ELSE '' END)+_x000d__x000a_ MAX(CASE r.seq WHEN  2 THEN ','+r.string ELSE '' END)+_x000d__x000a_ MAX(CASE r.seq WHEN  3 THEN ','+r.string ELSE '' END)+_x000d__x000a_ MAX(CASE r.seq WHEN  4 THEN ','+r.string ELSE '' END)+_x000d__x000a_ MAX(CASE r.seq WHEN  5 THEN ','+r.string ELSE '' END)+_x000d__x000a_ MAX(CASE r.seq WHEN  6 THEN ','+r.string ELSE '' END)+_x000d__x000a_ MAX(CASE r.seq WHEN  7 THEN ','+r.string ELSE '' END)+_x000d__x000a_ MAX(CASE r.seq WHEN  8 THEN ','+r.string ELSE '' END)+_x000d__x000a_ MAX(CASE r.seq WHEN  9 THEN ','+r.string ELSE '' END)+_x000d__x000a_ MAX(CASE r.seq WHEN 10 THEN ','+r.string ELSE '' END)+_x000d__x000a_ MAX(CASE r.seq WHEN 11 THEN ','+r.string ELSE '' END)+_x000d__x000a_ MAX(CASE r.seq WHEN 12 THEN ','+r.string ELSE '' END)) AS allReviews, _x000d__x000a_MAX(r.rev_rtrn_date) AS last_rev_date_x000d__x000a_INTO #myRevSumm FROM #myRevs r WHERE confl = 0_x000d__x000a_GROUP BY r.lead_x000d__x000a_CREATE INDEX myRevSumm_ix ON #myRevSumm(lead)_x000d__x000a__x000d__x000a_SELECT lead, panl_id, count(revr_id) as N, convert(varchar(50), STUFF(LTRIM(_x000d__x000a_ MAX(CASE r.seq WHEN  0 THEN ','+r.string ELSE '' END)+_x000d__x000a_ MAX(CASE r.seq WHEN  1 THEN ','+r.string ELSE '' END)+_x000d__x000a_ MAX(CASE r.seq WHEN  2 THEN ','+r.string ELSE '' END)+_x000d__x000a_ MAX(CASE r.seq WHEN  3 THEN ','+r.string ELSE '' END)+_x000d__x000a_ MAX(CASE r.seq WHEN  4 THEN ','+r.string ELSE '' END)+_x000d__x000a_ MAX(CASE r.seq WHEN  5 THEN ','+r.string ELSE '' END)+_x000d__x000a_ MAX(CASE r.seq WHEN  6 THEN ','+r.string ELSE '' END)+_x000d__x000a_ MAX(CASE r.seq WHEN  7 THEN ','+r.string ELSE '' END)+_x000d__x000a_ MAX(CASE r.seq WHEN  8 THEN ','+r.string ELSE '' END)+_x000d__x000a_ MAX(CASE r.seq WHEN  9 THEN ','+r.string ELSE '' END)+_x000d__x000a_ MAX(CASE r.seq WHEN 10 THEN ','+r.string ELSE '' END)+_x000d__x000a_ MAX(CASE r.seq WHEN 11 THEN ','+r.string ELSE '' END)+_x000d__x000a_ MAX(CASE r.seq WHEN 12 THEN ','+r.string ELSE '' END)),1,1,'')) AS V, _x000d__x000a_MAX(r.rev_rtrn_date) AS last_rev_date_x000d__x000a_INTO #myRevPanl FROM #myRevs r WHERE confl = 0_x000d__x000a_GROUP BY lead, panl_id_x000d__x000a_CREATE INDEX myRevPanl_ix ON #myRevPanl(lead, panl_id)_x000d__x000a_-- Needs: RA_lead(#myProp), RA_propPRCs(#myPRCs)_x000d__x000a_--DROP TABLE #myPropBudg, #myPropInfo_x000d__x000a_SELECT p.prop_id, eb.revn_num as RN, SUM(eb.budg_tot_dol) as T,_x000d__x000a_ nullif(SUM(sub_ctr_dol),0) AS sub_ctr_tot, nullif(SUM(frgn_trav_dol),0) AS frgn_trav_tot, nullif(SUM(pdoc_grnt_dol),0) AS pdoc_tot,nullif(SUM( part_dol),0) AS part_tot_dol, nullif(SUM(grad_pers_tot_cnt),0) AS grad_tot_cnt,_x000d__x000a_ nullif(SUM(sr_pers_cnt),0) AS sr_tot_cnt, nullif(SUM(sr_summ_mnth_cnt),0) AS sr_sumr_mnths, nullif(SUM(sr_acad_mnth_cnt),0) AS sr_acad_mnths, nullif(SUM(sr_cal_mnth_cnt),0) AS sr_cal_mnths_x000d__x000a_INTO #myPropBudg FROM #myProp p_x000d__x000a_JOIN csd.eps_blip eb ON p.prop_id = eb.prop_id _x000d__x000a_AND NOT EXISTS (SELECT eb1.revn_num FROM csd.eps_blip eb1 WHERE eb.prop_id = eb1.prop_id AND eb.revn_num &lt; eb1.revn_num)_x000d__x000a_GROUP BY p.prop_id, eb.revn_num_x000d__x000a_ORDER BY p.prop_id -- eb.revn_num, eb.budg_seq_yr_x000d__x000a_CREATE INDEX myPropBudg_ix ON #myPropBudg(prop_id)_x000d__x000a_-- per-proposal data _x000d__x000a_SELECT pid.*, rqst_dol as D, prc.R, b.T, b.RN, id=identity(18), 0 as seq _x000d__x000a_INTO #myPropInfo FROM #myProp pid_x000d__x000a_JOIN csd.prop p ON p.prop_id = pid.prop_id_x000d__x000a_LEFT JOIN #myPRCs prc ON prc.prop_id = pid.prop_id_x000d__x000a_LEFT JOIN #myPropBudg b ON b.prop_id = p.prop_id_x000d__x000a_ORDER BY lead, ILN, pid.prop_id_x000d__x000a_CREATE INDEX myProp_idx ON #myPropInfo(prop_id)_x000d__x000a_SELECT lead, MIN(id) as start INTO #myPropStart FROM #myPropInfo GROUP BY lead_x000d__x000a_UPDATE #myPropInfo SET seq = id-M.start FROM #myPropInfo r, #myPropStart M WHERE r.lead = M.lead_x000d__x000a_DROP TABLE #myPropStart_x000d__x000a_CREATE INDEX myProp_ix ON #myPropInfo(lead)_x000d__x000a_--Needs: #myRevs, #myRevPanl_x000d__x000a_--DROP TABLE #myPPConfl_x000d__x000a_select rp.lead, rp.panl_id, rtrim(r.revr_frst_name) + ' ' + rtrim(r.revr_last_name) +', ' + rtrim(i.inst_shrt_name) as confl,_x000d__x000a_--c.revr_id, r.revr_last_name, r.revr_frst_name, i.inst_shrt_name, _x000d__x000a_id=identity(18), 0 as seq_x000d__x000a_INTO #myPConfl FROM #myRevPanl rp_x000d__x000a_JOIN #myRevs c ON c.panl_id = rp.panl_id and c.lead = rp.lead and c.confl=1_x000d__x000a_JOIN csd.revr r ON r.revr_id = c.revr_id_x000d__x000a_LEFT JOIN csd.inst i ON i.inst_id = r.inst_id_x000d__x000a_ORDER BY rp.lead, rp.panl_id, r.revr_last_name_x000d__x000a__x000d__x000a_SELECT lead, panl_id, MIN(id) as start INTO #myCStarts FROM #myPConfl GROUP BY lead, panl_id_x000d__x000a_UPDATE #myPConfl SET seq = id-M.start FROM #myPConfl r, #myCStarts M  WHERE r.lead = M.lead and r.panl_id = M.panl_id_x000d__x000a_DROP TABLE #myCStarts_x000d__x000a__x000d__x000a_SELECT lead, panl_id, count(confl) as C,  _x000d__x000a_ MAX(CASE r.seq WHEN  0 THEN r.confl ELSE '' END)+_x000d__x000a_ MAX(CASE r.seq WHEN  1 THEN '; '+r.confl ELSE '' END)+_x000d__x000a_ MAX(CASE r.seq WHEN  2 THEN ','+r.confl ELSE '' END)+_x000d__x000a_ MAX(CASE r.seq WHEN  3 THEN ','+r.confl ELSE '' END)+_x000d__x000a_ MAX(CASE r.seq WHEN  4 THEN ','+r.confl ELSE '' END)+_x000d__x000a_ MAX(CASE r.seq WHEN  5 THEN ','+r.confl ELSE '' END)+_x000d__x000a_ MAX(CASE r.seq WHEN  6 THEN ','+r.confl ELSE '' END) AS CR_x000d__x000a_INTO #myPPConfl  FROM #myPConfl r _x000d__x000a_GROUP BY lead, panl_id_x000d__x000a_CREATE INDEX myPPConfl_ix ON #myPPConfl(lead, panl_id)_x000d__x000a_DROP TABLE #myPConfl_x000d__x000a_-- Needs: RA_lead(#myLead),RA_revs(#myRevs, #myRevPanl)_x000d__x000a_--DROP TABLE #myPanl, #myProjPanl, #myProjPanlSumm_x000d__x000a_SELECT pn.panl_id AS I, panl_name AS PN, panl_end_date AS E, _x000d__x000a_  (SELECT COUNT(DISTINCT revr_id) FROM csd.panl_revr r WHERE r.panl_id = pn.panl_id) AS P,_x000d__x000a_  convert(varchar(126),NULL) AS S _x000d__x000a_INTO #myPanl FROM (SELECT DISTINCT panl_id FROM #myLead pid JOIN csd.panl_prop pp ON pp.prop_id = pid.lead) pn_x000d__x000a_JOIN csd.panl panl ON panl.panl_id = pn.panl_id_x000d__x000a_CREATE INDEX myPanl_ix ON #myPanl(I)_x000d__x000a_SELECT pp.panl_id, s.RCOM_SEQ_NUM, RCOM_ABBR, Count(s.PROP_ID) AS rtCount_x000d__x000a_INTO #myPanlOutcomes FROM #myPanl pl_x000d__x000a_JOIN csd.panl_prop pp ON pp.panl_id = pl.I -- for all lead props on my panls_x000d__x000a_JOIN csd.prop p ON p.prop_id = pp.prop_id AND isnull(lead_prop_id,p.prop_id) = p.prop_id_x000d__x000a_JOIN FLflpdb.flp.panl_prop_summ s ON s.PANL_ID = pl.I AND s.PROP_ID = pp.prop_id_x000d__x000a_LEFT JOIN FLflpdb.flp.panl_rcom_def d ON d.PANL_ID = pl.I AND d.RCOM_SEQ_NUM = s.RCOM_SEQ_NUM_x000d__x000a_GROUP BY pp.panl_id, s.RCOM_SEQ_NUM, RCOM_ABBR_x000d__x000a_ORDER BY pp.panl_id, s.RCOM_SEQ_NUM_x000d__x000a_UPDATE #myPanl SET S = (SELECT isnull(convert(varchar,SUM(ps.rtCount)),'No') + ' rated projects' +_x000d__x000a_    MAX( CASE ps.RCOM_SEQ_NUM WHEN 1 THEN ': ' + convert(varchar,ps.rtCount) + ' ' +  ps.RCOM_ABBR ELSE '' END ) +_x000d__x000a_    MAX( CASE ps.RCOM_SEQ_NUM WHEN 2 THEN ', ' + convert(varchar,ps.rtCount) + ' ' +  ps.RCOM_ABBR ELSE '' END ) +_x000d__x000a_    MAX( CASE ps.RCOM_SEQ_NUM WHEN 3 THEN ', ' + convert(varchar,ps.rtCount) + ' ' +  ps.RCOM_ABBR ELSE '' END ) +_x000d__x000a_    MAX( CASE ps.RCOM_SEQ_NUM WHEN 4 THEN ', ' + convert(varchar,ps.rtCount) + ' ' +  ps.RCOM_ABBR ELSE '' END ) +_x000d__x000a_    MAX( CASE ps.RCOM_SEQ_NUM WHEN 5 THEN ', ' + convert(varchar,ps.rtCount) + ' ' +  ps.RCOM_ABBR ELSE '' END ) +_x000d__x000a_    MAX( CASE ps.RCOM_SEQ_NUM WHEN 6 THEN ', ' + convert(varchar,ps.rtCount) + ' ' +  ps.RCOM_ABBR ELSE '' END )_x000d__x000a_    FROM #myPanlOutcomes ps WHERE ps.panl_id = pl.I) _x000d__x000a_FROM #myPanl pl DROP TABLE #myPanlOutcomes_x000d__x000a__x000d__x000a_--per project panel summary _x000d__x000a_SELECT rp.lead, ps.*, rp.N, rp.V, s.RCOM_SEQ_NUM AS RS, d.RCOM_ABBR as RA, d.RCOM_TXT as RT, s.PROP_ORDR as RK,_x000d__x000a_c.C, C.CR,_x000d__x000a_--nullif((SELECT count(*) FROM #myRevs c WHERE confl=1 AND c.panl_id = rp.panl_id AND c.lead = rp.lead ),0) as C2,_x000d__x000a_CASE WHEN panl_summ_unrl_flag = 'Y' THEN 1 ELSE 0 END as summ_unrls, _x000d__x000a_CASE WHEN panl_summ_unrl_flag = 'Y' OR panl_summ_rlse_flag = 'Y'  THEN 0 ELSE 1 END as summ_unmrkd, id=identity(18), 0 as seq_x000d__x000a_INTO #myProjPanl FROM #myRevPanl rp_x000d__x000a_JOIN #myPanl ps ON ps.I = rp.panl_id_x000d__x000a_LEFT JOIN #myPPConfl c ON c.lead = rp.lead AND c.panl_id = rp.panl_id_x000d__x000a_LEFT JOIN FLflpdb.flp.panl_prop_summ s ON s.panl_id = rp.panl_id AND s.prop_id = rp.lead_x000d__x000a_LEFT JOIN FLflpdb.flp.panl_rcom_def d ON d.panl_id = rp.panl_id  AND d.RCOM_SEQ_NUM = s.RCOM_SEQ_NUM_x000d__x000a_ORDER BY lead, ps.E_x000d__x000a_CREATE INDEX myProjPanl_ix ON #myProjPanl(lead)_x000d__x000a_SELECT lead, MIN(id) as start INTO #myPStarts FROM #myProjPanl GROUP BY lead_x000d__x000a_UPDATE #myProjPanl SET seq = id-M.start FROM #myProjPanl r, #myPStarts M  WHERE r.lead = M.lead_x000d__x000a_DROP TABLE #myPStarts_x000d__x000a_SELECT lead, count(I) AS nPanl, min(RS)+isnull(min(RK),0)/100.0 AS RecRkMin, nullif(sum(summ_unrls),0) as nPSunrls, _x000d__x000a_    nullif(sum(summ_unmrkd),0) as nPSunmrkd _x000d__x000a_INTO #myProjPanlSumm FROM #myProjPanl GROUP BY lead_x000d__x000a_-- Needs: RA_lead(#myLead,#myRA),RA_propPRCs(#myPRCs),RA_prop(#myPropInfo,#myPropBudg),RA_revs(#myRevs, #myRevMarks, #myRevPanl), RA_panl(#myPanl, #myProjPanl, #myProjPanlSumm)_x000d__x000a_SELECT nullif(dd_rcom_date,'1900-01-01') AS dd_rcom_date, nsf_rcvd_date, _x000d__x000a_prop.pgm_annc_id, prop.org_code, prop.pgm_ele_code, natr_rqst.natr_rqst_abbr, prop_stts_abbr, prop.obj_clas_code,_x000d__x000a_cntx_stmt_id,p.PO,ra.RAupdate, _x000d__x000a_nPanl, isnull(RecRkMin,99) AS RecRkMin, pn0.RA as rec0, pn1.RA as rec1, pn2.RA as rec2, _x000d__x000a_p.RAtemplate, org.dir_div_abbr as Div, rs.*, -- lead, Nrev, Nunmkd, min, avg, max scores, allReviews, last_rev_date _x000d__x000a_rm.Nunrlsbl, projTot.rqst_tot, budg_tot, budRevnMax, _x000d__x000a_prop.rqst_eff_date, prop.rqst_mnth_cnt, _x000d__x000a_rtrim(prop_titl_txt) AS prop_titl_txt, _x000d__x000a_ah.N as AhNrev, ah.V as AhRevs, ah.last_rev_date as AhLast,_x000d__x000a_ pn0.I AS panl_id0, pn0.RT AS RCOM_TXT0, pn0.RK AS rank0, pn0.PN AS panl_name0,pn0.E AS panl_end0,pn0.V AS revs0,pn0.S AS PanlString0,pn0.P as pnlst0, pn0.C as confl0, pn0.CR as conflrev0,_x000d__x000a_ pn1.I AS panl_id1, pn1.RT AS RCOM_TXT1, pn1.RK AS rank1, pn1.PN AS panl_name1,pn1.E AS panl_end1,pn1.V AS revs1,pn1.S AS PanlString1,pn1.P as pnlst1, pn1.C as confl1, pn1.CR as conflrev1,_x000d__x000a_ pn2.I AS panl_id2, pn2.RT AS RCOM_TXT2, pn2.RK AS rank2, pn2.PN AS panl_name2,pn2.E AS panl_end2,pn2.V AS revs2,pn2.S AS PanlString2,pn2.P as pnlst2, pn2.C as confl2, pn2.CR as conflrev2,_x000d__x000a_p0.prop_id as prop_id0, p0.L as last0, p0.F as frst0, p0.I as inst0, p0.D as rqst0, p0.T as b0tot, p0.R as PRC0,_x000d__x000a_p1.prop_id as prop_id1, p1.L as last1, p1.F as frst1, p1.I as inst1, p1.D as rqst1, p1.T as b1tot, p1.R as PRC1,_x000d__x000a_p2.prop_id as prop_id2, p2.L as last2, p2.F as frst2, p2.I as inst2, p2.D as rqst2, p2.T as b2tot, p2.R as PRC2,_x000d__x000a_p3.prop_id as prop_id3, p3.L as last3, p3.F as frst3, p3.I as inst3, p3.D as rqst3, p3.T as b3tot, p3.R as PRC3,_x000d__x000a_p4.prop_id as prop_id4, p4.L as last4, p4.F as frst4, p4.I as inst4, p4.D as rqst4, p4.T as b4tot, p4.R as PRC4,_x000d__x000a_p5.prop_id as prop_id5, p5.L as last5, p5.F as frst5, p5.I as inst5, p5.D as rqst5, p5.T as b5tot, p5.R as PRC5,_x000d__x000a_p6.prop_id as prop_id6, p6.L as last6, p6.F as frst6, p6.I as inst6, p6.D as rqst6, p6.T as b6tot, p6.R as PRC6,_x000d__x000a_rtrim(pa.dflt_prop_titl_txt) AS solicitation, org.org_long_name as Div_name, _x000d__x000a_pgm_ele_name, sign_blck_name, prop_stts_txt, natr_rqst_txt, obj_clas_name,_x000d__x000a_o2.dir_div_abbr as Dir, o2.org_long_name as Dir_name, getdate() AS pulldate, _x000d__x000a_p0.M AS email, convert(varchar(255),(SELECT MAX(CASE r.seq WHEN  0 THEN r.M ELSE '' END)+_x000d__x000a_ MAX(CASE r.seq WHEN  1 THEN ';'+r.M ELSE '' END)+_x000d__x000a_ MAX(CASE r.seq WHEN  2 THEN ';'+r.M ELSE '' END)+_x000d__x000a_ MAX(CASE r.seq WHEN  3 THEN ';'+r.M ELSE '' END)+_x000d__x000a_ MAX(CASE r.seq WHEN  4 THEN ';'+r.M ELSE '' END)+_x000d__x000a_ MAX(CASE r.seq WHEN  5 THEN ';'+r.M ELSE '' END)+_x000d__x000a_ MAX(CASE r.seq WHEN  6 THEN ';'+r.M ELSE '' END) _x000d__x000a_FROM #myPropInfo r WHERE r.lead = p.lead)) AS allPIemail_x000d__x000a_--INTO #myTmp -- save to get types for formatting dummy line_x000d__x000a_FROM #myLead p_x000d__x000a_JOIN csd.prop prop ON prop.prop_id = p.lead_x000d__x000a_JOIN csd.org org ON org.org_code = prop.org_code_x000d__x000a_LEFT JOIN csd.org o2 ON o2.org_code =left(prop.org_code,2)+'000000' _x000d__x000a_LEFT JOIN csd.pgm_ele pe ON pe.pgm_ele_code = prop.pgm_ele_code_x000d__x000a_LEFT JOIN csd.pgm_annc pa ON pa.pgm_annc_id = prop.pgm_annc_id_x000d__x000a_JOIN csd.obj_clas oc ON oc.obj_clas_code = prop.obj_clas_code_x000d__x000a_JOIN csd.prop_stts prop_stts ON prop_stts.prop_stts_code = prop.prop_stts_code_x000d__x000a_JOIN csd.natr_rqst natr_rqst ON natr_rqst.natr_rqst_code = prop.natr_rqst_code_x000d__x000a_LEFT JOIN #myRA ra ON ra.lead = p.lead_x000d__x000a_LEFT JOIN #myRevSumm rs ON rs.lead = p.lead_x000d__x000a_LEFT JOIN #myRevMarks rm ON rm.lead = p.lead_x000d__x000a_LEFT JOIN csd.po_vw po_vw ON po_vw.po_ibm_logn_id = p.PO_x000d__x000a_LEFT JOIN #myRevPanl ah ON ah.lead = p.lead AND ah.panl_id =  @adhoc_x000d__x000a_LEFT JOIN (SELECT * FROM #myProjPanl WHERE 0=seq) pn0 ON pn0.lead = p.lead_x000d__x000a_LEFT JOIN (SELECT * FROM #myProjPanl WHERE 1=seq) pn1 ON pn1.lead = p.lead_x000d__x000a_LEFT JOIN (SELECT * FROM #myProjPanl WHERE 2=seq) pn2 ON pn2.lead = p.lead _x000d__x000a_LEFT JOIN (SELECT lead, count(I) AS nPanl, min(RS)+isnull(min(RK),0)/100.0 AS RecRkMin _x000d__x000a_           FROM #myProjPanl GROUP BY lead) pn ON pn.lead = p.lead_x000d__x000a_LEFT JOIN (SELECT * FROM #myPropInfo mp WHERE mp.seq = 0) p0 ON p0.lead = p.lead_x000d__x000a_LEFT JOIN (SELECT * FROM #myPropInfo mp WHERE mp.seq = 1) p1 ON p1.lead = p.lead_x000d__x000a_LEFT JOIN (SELECT * FROM #myPropInfo mp WHERE mp.seq = 2) p2 ON p2.lead = p.lead_x000d__x000a_LEFT JOIN (SELECT * FROM #myPropInfo mp WHERE mp.seq = 3) p3 ON p3.lead = p.lead_x000d__x000a_LEFT JOIN (SELECT * FROM #myPropInfo mp WHERE mp.seq = 4) p4 ON p4.lead = p.lead_x000d__x000a_LEFT JOIN (SELECT * FROM #myPropInfo mp WHERE mp.seq = 5) p5 ON p5.lead = p.lead_x000d__x000a_LEFT JOIN (SELECT * FROM #myPropInfo mp WHERE mp.seq = 6) p6 ON p6.lead = p.lead_x000d__x000a_LEFT JOIN (SELECT lead, SUM(D) AS rqst_tot, SUM(T) AS budg_tot, MAX(RN) AS budRevnMax_x000d__x000a_           FROM #myPropInfo GROUP BY lead) projTot ON projTot.lead = p.lead_x000d__x000a_UNION ALL SELECT @olddate,@olddate -- example to set mail merge format.  _x000d__x000a_,'.first line.','..please','keep','for ','mail','merge','formatting.','thx.',@olddate_x000d__x000a_,0,-0.99999999,'NRFP','NRFP','NRFP','zztemplateFname RAt.docx'_x000d__x000a_,'Divn','1234567',0,0,1,4.5,9,'E,E/V,V,V/G,G,G/F,F,F/P,P',@olddate, 0_x000d__x000a_,99999999.0,99999999.0,0,@olddate,36_x000d__x000a_,'This first row is needed so that mail merge formatting will be correct. Please do not remove it.  Mail merge takes its formatting from the first rows of the table............'_x000d__x000a_,0,'E,V,G,F,P',@olddate_x000d__x000a_,'P123456','Dont remove this line for panel rec formatting....',99,'Panel name spelled out; keep this line for formatting.......',@olddate,'E,E/V,V,V/G,G,G/F,F,F/P,P','Reports rank &amp; all recs (HC, etc.) from Interactive Panel System (IPS).  I suggest Standard competition rank  (wikipedia) .',0,0,'List of conflicted panelists separated by semicolons. Not everyone will need this list, but some divisions request this information, so I am seeing if we can provide it. There is a limit of seven names returned, though all will be counted.'_x000d__x000a_,'P123456','Dont remove this line for panel rec formatting....',99,'Panel name spelled out; keep this line for formatting.......',@olddate,'E,E/V,V,V/G,G,G/F,F,F/P,P','Reports rank &amp; all recs (HC, etc.) from Interactive Panel System (IPS).  I suggest Standard competition rank  (wikipedia) .',0,0,'List of conflicted panelists separated by semicolons. Not everyone will need this list, but some divisions request this information, so I am seeing if we can provide it. There is a limit of seven names returned, though all will be counted.'_x000d__x000a_,'P123456','Dont remove this line for panel rec formatting....',99,'Panel name spelled out; keep this line for formatting.......',@olddate,'E,E/V,V,V/G,G,G/F,F,F/P,P','Reports rank &amp; all recs (HC, etc.) from Interactive Panel System (IPS).  I suggest Standard competition rank  (wikipedia) .',0,0,'List of conflicted panelists separated by semicolons. Not everyone will need this list, but some divisions request this information, so I am seeing if we can provide it. There is a limit of seven names returned, though all will be counted.'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Solicitation name retrieved from pgm_annc. This example is for formatting; please do not remove this line............'_x000d__x000a_,'Division or directorate name retrieved by org_code from org. This example is for formatting; please do not remove this line............'_x000d__x000a_,'Program Element name retrieved','Name for PO signature','Proposal status details','Nature of request full name','Object Class full name','DIR'_x000d__x000a_,'Directorate name retrieved by modified org_code from org. This example is for formatting; please do not remove this line............'_x000d__x000a_,@olddate,'Email of lead PI on the project','list of all emails for Pis on Lead and non-lead proposals on the project.  Does not include the co-Pis. '_x000d__x000a_DROP TABLE #myPid, #myLead, #myRA, #myProp, #myPropBudg, #myRevs, #myRevPanl, #myRevMarks, #myRevSumm, #myPPConfl, #myPanl, #myProjPanl, #myProjPanlSumm DROP TABLE #myDmog"/>
  </connection>
  <connection id="9" name="SplitsQuery" type="1" refreshedVersion="6" background="1" saveData="1">
    <dbPr connection="dsn=RPTSERVER;database=rptdb;server=RPTSQL.nsf.gov;port=5000;UID=ccfuser;" command="SET NOCOUNT ON_x000d__x000a_SELECT DISTINCT prop.prop_id, prop.lead_prop_id, prop.pi_id, prop.inst_id, prop.pm_ibm_logn_id as PO, _x000d__x000a_convert(varchar(63),'') as RAtemplate _x000d__x000a_INTO #myPid FROM csd.prop prop_x000d__x000a_JOIN csd.panl_prop panl_prop ON prop.prop_id = panl_prop.prop_id_x000a_JOIN csd.natr_rqst natr_rqst ON prop.natr_rqst_code = natr_rqst.natr_rqst_code_x000a_WHERE (1=1) AND prop.nsf_rcvd_date &gt;= {ts '2016-10-01 00:00:00'} _x000d__x000a_ AND (prop.org_code LIKE '0702%' )_x000a_ AND (panl_prop.panl_id LIKE 'P1%' )_x000a_ AND (prop.prop_stts_code = '02' )_x000a_ AND (natr_rqst.natr_rqst_abbr IN ('NEW','RNEW','ABR') )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R_x000d__x000a_INTO #myPRCs_x000d__x000a_FROM #myPRCdata pa _x000d__x000a_GROUP BY prop_id_x000d__x000a_DROP TABLE #myPRCStart_x000d__x000a_CREATE INDEX myPRCs_ix ON #myPRCs(prop_id)_x000d__x000a_-- Needs: RA_lead(#myProp), RA_propPRCs(#myPRCs)_x000d__x000a_--DROP TABLE #myPropBudg, #myPropInfo_x000d__x000a_SELECT p.prop_id, eb.revn_num as RN, SUM(eb.budg_tot_dol) as T,_x000d__x000a_ nullif(SUM(sub_ctr_dol),0) AS sub_ctr_tot, nullif(SUM(frgn_trav_dol),0) AS frgn_trav_tot, nullif(SUM(pdoc_grnt_dol),0) AS pdoc_tot,nullif(SUM( part_dol),0) AS part_tot_dol, nullif(SUM(grad_pers_tot_cnt),0) AS grad_tot_cnt,_x000d__x000a_ nullif(SUM(sr_pers_cnt),0) AS sr_tot_cnt, nullif(SUM(sr_summ_mnth_cnt),0) AS sr_sumr_mnths, nullif(SUM(sr_acad_mnth_cnt),0) AS sr_acad_mnths, nullif(SUM(sr_cal_mnth_cnt),0) AS sr_cal_mnths_x000d__x000a_INTO #myPropBudg FROM #myProp p_x000d__x000a_JOIN csd.eps_blip eb ON p.prop_id = eb.prop_id _x000d__x000a_AND NOT EXISTS (SELECT eb1.revn_num FROM csd.eps_blip eb1 WHERE eb.prop_id = eb1.prop_id AND eb.revn_num &lt; eb1.revn_num)_x000d__x000a_GROUP BY p.prop_id, eb.revn_num_x000d__x000a_ORDER BY p.prop_id -- eb.revn_num, eb.budg_seq_yr_x000d__x000a_CREATE INDEX myPropBudg_ix ON #myPropBudg(prop_id)_x000d__x000a_-- per-proposal data _x000d__x000a_SELECT pid.*, rqst_dol as D, prc.R, b.T, b.RN, id=identity(18), 0 as seq _x000d__x000a_INTO #myPropInfo FROM #myProp pid_x000d__x000a_JOIN csd.prop p ON p.prop_id = pid.prop_id_x000d__x000a_LEFT JOIN #myPRCs prc ON prc.prop_id = pid.prop_id_x000d__x000a_LEFT JOIN #myPropBudg b ON b.prop_id = p.prop_id_x000d__x000a_ORDER BY lead, ILN, pid.prop_id_x000d__x000a_CREATE INDEX myProp_idx ON #myPropInfo(prop_id)_x000d__x000a_SELECT lead, MIN(id) as start INTO #myPropStart FROM #myPropInfo GROUP BY lead_x000d__x000a_UPDATE #myPropInfo SET seq = id-M.start FROM #myPropInfo r, #myPropStart M WHERE r.lead = M.lead_x000d__x000a_DROP TABLE #myPropStart_x000d__x000a_CREATE INDEX myProp_ix ON #myPropInfo(lead)_x000d__x000a_--Needs: RA_lead(#myProp), RA_propPRCs, RA_prop(#myPropInfo)_x000d__x000a_--DROP TABLE: #myBSprc_x000d__x000a_SELECT prop_id,splt_id,budg_yr,R,id=identity(18), 0 as 'seq'_x000d__x000a_INTO #myBSprc FROM (SELECT DISTINCT p.prop_id,splt_id,budg_yr,bpr.pgm_ref_code AS R_x000d__x000a_      FROM #myProp p_x000d__x000a_      JOIN csd.budg_pgm_ref bpr ON bpr.prop_id = p.prop_id) bpr_x000d__x000a_ORDER BY prop_id,splt_id,budg_yr,R_x000d__x000a_SELECT prop_id,splt_id,budg_yr, MIN(id) as 'start' INTO #myBSst FROM #myBSprc _x000d__x000a_GROUP BY prop_id,splt_id,budg_yr_x000d__x000a_UPDATE #myBSprc set seq = id-M.start FROM #myBSprc rb, #myBSst M_x000d__x000a_WHERE rb.prop_id = M.prop_id AND rb.splt_id=M.splt_id AND rb.budg_yr=M.budg_yr_x000d__x000a_CREATE INDEX myBSprc ON #myBSprc(prop_id,splt_id,budg_yr, seq)_x000d__x000a_DROP TABLE #myBSst_x000d__x000a__x000d__x000a_SELECT nullif(dd_rcom_date,'1900-01-01') AS dd_rcom_date, nsf_rcvd_date,  _x000d__x000a_cntx_stmt_id, prop.pgm_annc_id, prop.org_code as pOrg, bs.org_code as bOrg, _x000d__x000a_prop.pgm_ele_code as pPEC,bs.pgm_ele_code as bPEC,p.PO as pPO, bs.pm_ibm_logn_id as bPO,_x000d__x000a_prop_stts_abbr,natr_rqst.natr_rqst_abbr,prop.obj_clas_code as pObj, bs.obj_clas_code as bObj,_x000d__x000a_ai.awd_istr_abbr as rcom_istr_abbr, p.lead,p.ILN, org.dir_div_abbr as Div, p.prop_id,_x000d__x000a_p.L AS pi_last_name, p.F AS pi_frst_name, p.I AS inst, p.M as email,_x000d__x000a_p.R as propPRCs, _x000d__x000a_(SELECT MAX( CASE bp.seq WHEN 0 THEN rtrim(bp.R) END)+_x000d__x000a_    MAX( CASE bp.seq WHEN 1 THEN ' ' + rtrim(bp.R) END)+_x000d__x000a_    MAX( CASE bp.seq WHEN 2 THEN ' ' + rtrim(bp.R) END)+_x000d__x000a_    MAX( CASE bp.seq WHEN 3 THEN ' ' + rtrim(bp.R) END)+_x000d__x000a_    MAX( CASE bp.seq WHEN 4 THEN ' ' + rtrim(bp.R) END)+_x000d__x000a_    MAX( CASE bp.seq WHEN 5 THEN ' ' + rtrim(bp.R) END)+_x000d__x000a_    MAX( CASE bp.seq WHEN 6 THEN ' ' + rtrim(bp.R) END)+_x000d__x000a_    MAX( CASE bp.seq WHEN 7 THEN ' ' + rtrim(bp.R) END)+_x000d__x000a_    MAX( CASE bp.seq WHEN 8 THEN ' ' + rtrim(bp.R) END)+_x000d__x000a_    MAX( CASE bp.seq WHEN 9 THEN ' ' + rtrim(bp.R) END)+_x000d__x000a_    MAX( CASE bp.seq WHEN 10 THEN ' ' + rtrim(bp.R) END) _x000d__x000a_    FROM #myBSprc bp_x000d__x000a_    WHERE bp.prop_id = bs.prop_id AND bp.budg_yr = bs.budg_yr _x000d__x000a_          AND bp.splt_id = bs.splt_id ) AS bPRCs,_x000d__x000a_bs.awd_id, bs.budg_yr, bs.splt_id, bs.budg_splt_tot_dol,_x000d__x000a_prop_stts_txt, prop.prop_titl_txt_x000d__x000a_FROM #myPropInfo p_x000d__x000a_JOIN csd.prop prop ON prop.prop_id = p.prop_id_x000d__x000a_JOIN csd.org org ON org.org_code = prop.org_code_x000d__x000a_JOIN csd.prop_stts prop_stts ON prop_stts.prop_stts_code = prop.prop_stts_code_x000d__x000a_JOIN csd.natr_rqst natr_rqst ON natr_rqst.natr_rqst_code = prop.natr_rqst_code_x000d__x000a_JOIN csd.budg_splt bs on bs.prop_id=p.prop_id _x000d__x000a_JOIN csd.awd_istr ai on prop.rcom_awd_istr = ai.awd_istr_code_x000d__x000a_ORDER BY p.lead, p.ILN, p.prop_id, bs.budg_yr, bs.splt_id_x000d__x000a_DROP TABLE #myPid, #myLead, #myRA, #myPRCs, #myPRCdata DROP TABLE #myProp, #myPropBudg DROP TABLE #myBSprc"/>
  </connection>
</connections>
</file>

<file path=xl/sharedStrings.xml><?xml version="1.0" encoding="utf-8"?>
<sst xmlns="http://schemas.openxmlformats.org/spreadsheetml/2006/main" count="598" uniqueCount="463">
  <si>
    <t>prop_id</t>
  </si>
  <si>
    <t>eJ</t>
  </si>
  <si>
    <t>solicitation</t>
  </si>
  <si>
    <t>pgm_ele_code</t>
  </si>
  <si>
    <t>org_code</t>
  </si>
  <si>
    <t>Column1</t>
  </si>
  <si>
    <t>nsf_rcvd_date</t>
  </si>
  <si>
    <t>pgm_annc_id</t>
  </si>
  <si>
    <t>lead</t>
  </si>
  <si>
    <t>pi_last_name</t>
  </si>
  <si>
    <t>inst_name</t>
  </si>
  <si>
    <t>PRCs</t>
  </si>
  <si>
    <t>Fiscal year</t>
  </si>
  <si>
    <t>Filter columns</t>
  </si>
  <si>
    <t>RAupdate</t>
  </si>
  <si>
    <t>cntx_stmt_id</t>
  </si>
  <si>
    <t>pi_frst_name</t>
  </si>
  <si>
    <t>rqst_eff_date</t>
  </si>
  <si>
    <t>rqst_mnth_cnt</t>
  </si>
  <si>
    <t>rqst_tot</t>
  </si>
  <si>
    <t>budg_tot</t>
  </si>
  <si>
    <t>avg_score</t>
  </si>
  <si>
    <t>panl_id0</t>
  </si>
  <si>
    <t>rank0</t>
  </si>
  <si>
    <t>panl_name0</t>
  </si>
  <si>
    <t>RCOM_TXT0</t>
  </si>
  <si>
    <t>panl_id1</t>
  </si>
  <si>
    <t>rank1</t>
  </si>
  <si>
    <t>panl_name1</t>
  </si>
  <si>
    <t>RCOM_TXT1</t>
  </si>
  <si>
    <t>panl_id2</t>
  </si>
  <si>
    <t>rank2</t>
  </si>
  <si>
    <t>panl_name2</t>
  </si>
  <si>
    <t>RCOM_TXT2</t>
  </si>
  <si>
    <t>prop_titl_txt</t>
  </si>
  <si>
    <t>prop_id0</t>
  </si>
  <si>
    <t>last0</t>
  </si>
  <si>
    <t>frst0</t>
  </si>
  <si>
    <t>inst0</t>
  </si>
  <si>
    <t>rqst0</t>
  </si>
  <si>
    <t>b0tot</t>
  </si>
  <si>
    <t>PRC0</t>
  </si>
  <si>
    <t>prop_id1</t>
  </si>
  <si>
    <t>last1</t>
  </si>
  <si>
    <t>frst1</t>
  </si>
  <si>
    <t>inst1</t>
  </si>
  <si>
    <t>rqst1</t>
  </si>
  <si>
    <t>b1tot</t>
  </si>
  <si>
    <t>PRC1</t>
  </si>
  <si>
    <t>prop_id2</t>
  </si>
  <si>
    <t>last2</t>
  </si>
  <si>
    <t>frst2</t>
  </si>
  <si>
    <t>inst2</t>
  </si>
  <si>
    <t>rqst2</t>
  </si>
  <si>
    <t>b2tot</t>
  </si>
  <si>
    <t>PRC2</t>
  </si>
  <si>
    <t>prop_id3</t>
  </si>
  <si>
    <t>last3</t>
  </si>
  <si>
    <t>frst3</t>
  </si>
  <si>
    <t>inst3</t>
  </si>
  <si>
    <t>rqst3</t>
  </si>
  <si>
    <t>b3tot</t>
  </si>
  <si>
    <t>PRC3</t>
  </si>
  <si>
    <t>prop_id4</t>
  </si>
  <si>
    <t>last4</t>
  </si>
  <si>
    <t>frst4</t>
  </si>
  <si>
    <t>inst4</t>
  </si>
  <si>
    <t>rqst4</t>
  </si>
  <si>
    <t>b4tot</t>
  </si>
  <si>
    <t>PRC4</t>
  </si>
  <si>
    <t>prop_id5</t>
  </si>
  <si>
    <t>last5</t>
  </si>
  <si>
    <t>frst5</t>
  </si>
  <si>
    <t>inst5</t>
  </si>
  <si>
    <t>rqst5</t>
  </si>
  <si>
    <t>b5tot</t>
  </si>
  <si>
    <t>PRC5</t>
  </si>
  <si>
    <t>prop_id6</t>
  </si>
  <si>
    <t>last6</t>
  </si>
  <si>
    <t>frst6</t>
  </si>
  <si>
    <t>inst6</t>
  </si>
  <si>
    <t>rqst6</t>
  </si>
  <si>
    <t>b6tot</t>
  </si>
  <si>
    <t>PRC6</t>
  </si>
  <si>
    <t>allPIemail</t>
  </si>
  <si>
    <t>dd_rcom_date</t>
  </si>
  <si>
    <t>ILN</t>
  </si>
  <si>
    <t>humn_date</t>
  </si>
  <si>
    <t>vrtb_date</t>
  </si>
  <si>
    <t>PO</t>
  </si>
  <si>
    <t>obj_clas_code</t>
  </si>
  <si>
    <t>st_code</t>
  </si>
  <si>
    <t>KY</t>
  </si>
  <si>
    <t>RI</t>
  </si>
  <si>
    <t>AL</t>
  </si>
  <si>
    <t>AR</t>
  </si>
  <si>
    <t>HI</t>
  </si>
  <si>
    <t>0</t>
  </si>
  <si>
    <t>Current epscor state codes</t>
  </si>
  <si>
    <t>Epscor</t>
  </si>
  <si>
    <t>AK</t>
  </si>
  <si>
    <t>DE</t>
  </si>
  <si>
    <t>GU</t>
  </si>
  <si>
    <t>ID</t>
  </si>
  <si>
    <t>KS</t>
  </si>
  <si>
    <t>LA</t>
  </si>
  <si>
    <t>ME</t>
  </si>
  <si>
    <t>MS</t>
  </si>
  <si>
    <t>NE</t>
  </si>
  <si>
    <t>NV</t>
  </si>
  <si>
    <t>NH</t>
  </si>
  <si>
    <t>NM</t>
  </si>
  <si>
    <t>ND</t>
  </si>
  <si>
    <t>OK</t>
  </si>
  <si>
    <t>PR</t>
  </si>
  <si>
    <t>SC</t>
  </si>
  <si>
    <t>SD</t>
  </si>
  <si>
    <t>VI</t>
  </si>
  <si>
    <t>VT</t>
  </si>
  <si>
    <t>WV</t>
  </si>
  <si>
    <t>WY</t>
  </si>
  <si>
    <t>bas_rsch_pct</t>
  </si>
  <si>
    <t>other_pct</t>
  </si>
  <si>
    <t>Sr pers #, months</t>
  </si>
  <si>
    <t>budget data by revision</t>
  </si>
  <si>
    <t>Budget worksheet:  latest revised budget numbers by proj, proposal, &amp; year. Copy cols V-Z  into RAs or budget calculations.</t>
  </si>
  <si>
    <t>@pi email</t>
  </si>
  <si>
    <t>Country</t>
  </si>
  <si>
    <t>abst_narr_txt</t>
  </si>
  <si>
    <t>NfmlPIs</t>
  </si>
  <si>
    <t>NhispPIs</t>
  </si>
  <si>
    <t>NhndcpPIs</t>
  </si>
  <si>
    <t>NnonWhtAsnPIs</t>
  </si>
  <si>
    <t>Nrev</t>
  </si>
  <si>
    <t>Available templates:</t>
  </si>
  <si>
    <t>Note: Award templates file names must begin with Awd</t>
  </si>
  <si>
    <t>RAsigner</t>
  </si>
  <si>
    <t>RApre_note</t>
  </si>
  <si>
    <t>Div</t>
  </si>
  <si>
    <t>pulldate</t>
  </si>
  <si>
    <t>email</t>
  </si>
  <si>
    <t>Nunmkd</t>
  </si>
  <si>
    <t>last_rev_date</t>
  </si>
  <si>
    <t>AhNrev</t>
  </si>
  <si>
    <t>AhRevs</t>
  </si>
  <si>
    <t>AhLast</t>
  </si>
  <si>
    <t>nPanl</t>
  </si>
  <si>
    <t>nPSunmrkd</t>
  </si>
  <si>
    <t>panl_end0</t>
  </si>
  <si>
    <t>revs0</t>
  </si>
  <si>
    <t>panl_end1</t>
  </si>
  <si>
    <t>revs1</t>
  </si>
  <si>
    <t>panl_end2</t>
  </si>
  <si>
    <t>revs2</t>
  </si>
  <si>
    <t>budRevnMax</t>
  </si>
  <si>
    <t>Dir</t>
  </si>
  <si>
    <t>Dir_name</t>
  </si>
  <si>
    <t>pgm_ele_name</t>
  </si>
  <si>
    <t>natr_rqst_abbr</t>
  </si>
  <si>
    <t>obj_clas_name</t>
  </si>
  <si>
    <t>prop_stts_abbr</t>
  </si>
  <si>
    <t>prop_stts_txt</t>
  </si>
  <si>
    <t>Awd RAt.docx</t>
  </si>
  <si>
    <t>Decline RAt.docx</t>
  </si>
  <si>
    <t>Std Decline RAt.docx</t>
  </si>
  <si>
    <t>sign_blck_name</t>
  </si>
  <si>
    <t>RecRkMin</t>
  </si>
  <si>
    <t>docType</t>
  </si>
  <si>
    <t>pm_logn_id</t>
  </si>
  <si>
    <t>panl_revr_id</t>
  </si>
  <si>
    <t>name</t>
  </si>
  <si>
    <t>info</t>
  </si>
  <si>
    <t>type</t>
  </si>
  <si>
    <t>stts</t>
  </si>
  <si>
    <t>due</t>
  </si>
  <si>
    <t>returned</t>
  </si>
  <si>
    <t>nchars</t>
  </si>
  <si>
    <t>nwords</t>
  </si>
  <si>
    <t>score</t>
  </si>
  <si>
    <t>text</t>
  </si>
  <si>
    <t>Total</t>
  </si>
  <si>
    <t>@PI</t>
  </si>
  <si>
    <t>Decline: select template</t>
  </si>
  <si>
    <t>Awds: select template</t>
  </si>
  <si>
    <t>Autoload to eJacket Preferences</t>
  </si>
  <si>
    <t>Standard Declines: autoloaded to eJacket</t>
  </si>
  <si>
    <t>international?</t>
  </si>
  <si>
    <t>Revs &amp; Panl release</t>
  </si>
  <si>
    <t>Human &amp; Vertibrate</t>
  </si>
  <si>
    <t>demographics</t>
  </si>
  <si>
    <t>Set Autoload Preferences on RoboRA tab</t>
  </si>
  <si>
    <t>delay (increase if eJacket can't keep up.)</t>
  </si>
  <si>
    <t>email PI</t>
  </si>
  <si>
    <t>Name</t>
  </si>
  <si>
    <t>Values</t>
  </si>
  <si>
    <t xml:space="preserve">NSF RECEIVED DATE RANGE </t>
  </si>
  <si>
    <t>PROGRAM DESC/ANN/SOLIC ID</t>
  </si>
  <si>
    <t>ORGANIZATION CODE</t>
  </si>
  <si>
    <t>DIVISION</t>
  </si>
  <si>
    <t>PROGRAM ELEMENT CODE</t>
  </si>
  <si>
    <t>PROGRAM DIR IBM LOGIN ID</t>
  </si>
  <si>
    <t>eg: jsnoeyi, not 8-letter lan id</t>
  </si>
  <si>
    <t>PROPOSAL STATUS</t>
  </si>
  <si>
    <t>NATURE OF REQUEST</t>
  </si>
  <si>
    <t>OBJECT CLASS CODE</t>
  </si>
  <si>
    <t>eg: 4110,4118</t>
  </si>
  <si>
    <t>PANEL ID</t>
  </si>
  <si>
    <t>PROPOSAL TITLE TEXT</t>
  </si>
  <si>
    <t>eg: %Medium%</t>
  </si>
  <si>
    <t>PROPOSAL PRCS</t>
  </si>
  <si>
    <t>eg: 9150</t>
  </si>
  <si>
    <t>eg: 6/1/2017</t>
  </si>
  <si>
    <t>eg: 10/1/2017</t>
  </si>
  <si>
    <t>eg: CCF,IIS,CNS</t>
  </si>
  <si>
    <t>eg: 05%</t>
  </si>
  <si>
    <t>eg: NSF 17-537</t>
  </si>
  <si>
    <t>eg: p180207,p180208</t>
  </si>
  <si>
    <t>eg: 779[678]</t>
  </si>
  <si>
    <t>NEW,RNEW,ABR</t>
  </si>
  <si>
    <t>1. SET QUERY PARAMETERS</t>
  </si>
  <si>
    <t>For those who want more control</t>
  </si>
  <si>
    <t>PD</t>
  </si>
  <si>
    <t>line 1:</t>
  </si>
  <si>
    <t>line 2:</t>
  </si>
  <si>
    <t>This page holds hidden settings: reportservers login credentials, sql fragments, preferences, or history...</t>
  </si>
  <si>
    <t>user id:</t>
  </si>
  <si>
    <t>password:</t>
  </si>
  <si>
    <t xml:space="preserve">PC connect string: </t>
  </si>
  <si>
    <t>dsn=RPTSERVER;server=RPTSQL.nsf.gov;port=5000;</t>
  </si>
  <si>
    <t>Mac connect string:</t>
  </si>
  <si>
    <t>DSN=rptServer;OPTIONS=-O 1;READONLY=No;DLF=No;FBS=60;JET=No;NOAC=No;MAXROWS=0;SERVICE=Sybase::rptsql.nsf.gov(rptsql.nsf.gov:5000);TDSHOST=rptsql.nsf.gov;TDSPORT=5000;NLB=No;CURSOR_SENSITIVITY=Low;TDSVER=5.0;SQLSERVER_CATALOG=Yes;NRSSL=No;TRUSTEDCONN=No;CHARSETTRDIS=No;MASE=No;IV=No;IA=No;NO_QUOTED_IDENTIFIERS=No;</t>
  </si>
  <si>
    <t>updated</t>
  </si>
  <si>
    <t>sql</t>
  </si>
  <si>
    <t>revtable</t>
  </si>
  <si>
    <t>RA_leads</t>
  </si>
  <si>
    <t>RA_propPRCs</t>
  </si>
  <si>
    <t>RA_prop</t>
  </si>
  <si>
    <t>RA_revs</t>
  </si>
  <si>
    <t>RA_panl</t>
  </si>
  <si>
    <t>RA_allRAdata</t>
  </si>
  <si>
    <t>RA_PRCglossary</t>
  </si>
  <si>
    <t>RA_awdCheck</t>
  </si>
  <si>
    <t>RA_propCheck</t>
  </si>
  <si>
    <t>PRC Glossary; details on PRCs on proposals</t>
  </si>
  <si>
    <t>PRC</t>
  </si>
  <si>
    <t>PRC_Description</t>
  </si>
  <si>
    <t>inst</t>
  </si>
  <si>
    <t>propPRCs</t>
  </si>
  <si>
    <t>nPSunrls</t>
  </si>
  <si>
    <t>nRev</t>
  </si>
  <si>
    <t>allReviews</t>
  </si>
  <si>
    <t>Nunrlsbl</t>
  </si>
  <si>
    <t>NrlsdCDNPS</t>
  </si>
  <si>
    <t>NpendSlct</t>
  </si>
  <si>
    <t>NdiffFLeJ</t>
  </si>
  <si>
    <t>brevn</t>
  </si>
  <si>
    <t>sub_ctr_tot</t>
  </si>
  <si>
    <t>frgn_trav_tot</t>
  </si>
  <si>
    <t>pdoc_tot</t>
  </si>
  <si>
    <t>part_tot_dol</t>
  </si>
  <si>
    <t>grad_tot_cnt</t>
  </si>
  <si>
    <t>sr_tot_cnt</t>
  </si>
  <si>
    <t>sr_sumr_mnths</t>
  </si>
  <si>
    <t>sr_acad_mnths</t>
  </si>
  <si>
    <t>sr_cal_mnths</t>
  </si>
  <si>
    <t>rec0</t>
  </si>
  <si>
    <t>rec1</t>
  </si>
  <si>
    <t>rec2</t>
  </si>
  <si>
    <t>minScore</t>
  </si>
  <si>
    <t>maxScore</t>
  </si>
  <si>
    <t>PanlString0</t>
  </si>
  <si>
    <t>pnlst0</t>
  </si>
  <si>
    <t>confl0</t>
  </si>
  <si>
    <t>PanlString1</t>
  </si>
  <si>
    <t>pnlst1</t>
  </si>
  <si>
    <t>confl1</t>
  </si>
  <si>
    <t>PanlString2</t>
  </si>
  <si>
    <t>pnlst2</t>
  </si>
  <si>
    <t>confl2</t>
  </si>
  <si>
    <t>Div_name</t>
  </si>
  <si>
    <t>natr_rqst_txt</t>
  </si>
  <si>
    <t>RA_projText</t>
  </si>
  <si>
    <t>RA_splits</t>
  </si>
  <si>
    <t>RA_budgBlocks</t>
  </si>
  <si>
    <t xml:space="preserve">--NB: Should complete before queries that need table revScores to handle split review scores in subsequent queries._x000D_
if object_id('tempdb.guest.revScores') is null _x000D_
  exec('create table tempdb.guest.revScores(yn char(5) primary key, string varchar(10), score real null) insert into tempdb.guest.revScores_x000D_
select ''NNNNN'', ''R'',  null  union all select ''NNNNY'', ''P'', 1 union all _x000D_
select ''NNNYN'', ''F'',    3   union all select ''NNNYY'', ''F/P'', 2 union all_x000D_
select ''NNYNN'', ''G'',    5   union all select ''NNYNY'', ''G/P'', 2.98 union all_x000D_
select ''NNYYN'', ''G/F'',  4   union all select ''NNYYY'', ''G/F/P'', 2.99 union all_x000D_
select ''NYNNN'', ''V'',    7   union all select ''NYNNY'', ''V/P'', 3.98 union all_x000D_
select ''NYNYN'', ''V/F'', 4.98 union all select ''NYNYY'', ''V/F/P'', 3.65 union all_x000D_
select ''NYYNN'', ''V/G'',  6   union all select ''NYYNY'', ''V/G/P'', 4.32 union all_x000D_
select ''NYYYN'',''V/G/F'',4.99 union all select ''NYYYY'', ''V/G/F/P'', 3.97 union all_x000D_
select ''YNNNN'', ''E'',    9   union all select ''YNNNY'', ''E/P'', 4.992 union all_x000D_
select ''YNNYN'', ''E/F'', 5.98 union all select ''YNNYY'', ''E/F/P'', 4.325 union all_x000D_
select ''YNYNN'', ''E/G'', 6.98 union all select ''YNYNY'', ''E/G/P'', 4.995 union all_x000D_
select ''YNYYN'',''E/G/F'',5.66 union all select ''YNYYY'', ''E/G/F/P'', 4.5 union all_x000D_
select ''YYNNN'', ''E/V'',  8   union all select ''YYNNY'', ''E/V/P'', 5.666 union all_x000D_
select ''YYNYN'',''E/V/F'',6.33 union all select ''YYNYY'', ''E/V/F/P'', 4.996 union all_x000D_
select ''YYYNN'',''E/V/G'',6.99 union all select ''YYYNY'', ''E/V/G/P'', 5.5 union all_x000D_
select ''YYYYN'', ''E/V/G/F'', 5.99 union all select ''YYYYY'', ''E/V/G/F/P'', 4.997')_x000D_
</t>
  </si>
  <si>
    <t xml:space="preserve">--Needs: RA_lead, RA_propPRCs(#myPRCdata)_x000D_
SELECT p.prop_atr_code AS PRC, prc.pgm_ref_txt AS PRC_Description_x000D_
FROM (SELECT DISTINCT prop_atr_code FROM #myPRCdata) p_x000D_
JOIN csd.pgm_ref prc ON prc.pgm_ref_code = p.prop_atr_code_x000D_
ORDER BY PRC_x000D_
</t>
  </si>
  <si>
    <t>RA_pidSelect</t>
  </si>
  <si>
    <t>10</t>
  </si>
  <si>
    <t>sr_pers_cnt</t>
  </si>
  <si>
    <t>sr_summ_mnth_cnt</t>
  </si>
  <si>
    <t>pdoc_grnt_dol</t>
  </si>
  <si>
    <t>frgn_trav_dol</t>
  </si>
  <si>
    <t>part_dol</t>
  </si>
  <si>
    <t>budg_tot_dol</t>
  </si>
  <si>
    <t>revn_num</t>
  </si>
  <si>
    <t>budg_seq_yr</t>
  </si>
  <si>
    <t>dol</t>
  </si>
  <si>
    <t>org_code2</t>
  </si>
  <si>
    <t>PEC</t>
  </si>
  <si>
    <t>pOrg</t>
  </si>
  <si>
    <t>bOrg</t>
  </si>
  <si>
    <t>pPEC</t>
  </si>
  <si>
    <t>bPEC</t>
  </si>
  <si>
    <t>pPO</t>
  </si>
  <si>
    <t>bPO</t>
  </si>
  <si>
    <t>rcom_istr_abbr</t>
  </si>
  <si>
    <t>awd_id</t>
  </si>
  <si>
    <t>budg_yr</t>
  </si>
  <si>
    <t>splt_id</t>
  </si>
  <si>
    <t>budg_splt_tot_dol</t>
  </si>
  <si>
    <t>bPRCs</t>
  </si>
  <si>
    <t>pi_email</t>
  </si>
  <si>
    <t>OTH_AGCY_SUBM_FLAG</t>
  </si>
  <si>
    <t xml:space="preserve">-- Needs: #myPid (&amp; drops it)_x000D_
-- DROP TABLE #myProp, #myLead, #myRA_x000D_
CREATE INDEX myPid_idx ON #myPid(prop_id)_x000D_
INSERT INTO #myPid SELECT DISTINCT p.prop_id, p.lead_prop_id, p.pi_id, p.inst_id, p.pm_ibm_logn_id as PO, pid.RAtemplate _x000D_
FROM #myPid pid_x000D_
JOIN csd.prop p ON p.lead_prop_id = pid.lead_prop_id_x000D_
WHERE pid.lead_prop_id is not NULL  _x000D_
    AND NOT EXISTS (SELECT * FROM #myPid px WHERE px.prop_id = p.prop_id)_x000D_
--get props_x000D_
SELECT CASE WHEN p.lead_prop_id IS NULL THEN 'I' WHEN p.lead_prop_id &lt;&gt; p.prop_id THEN 'N' ELSE 'L' END AS ILN, _x000D_
  isnull(p.lead_prop_id,p.prop_id) AS lead, p.prop_id, p.pi_id, pi_last_name as L, pi_frst_name as F, _x000D_
  inst_shrt_name as I, inst.st_code, pi_emai_addr AS M, p.PO, p.RAtemplate_x000D_
INTO #myProp FROM #myPid p_x000D_
LEFT JOIN csd.pi_vw pi ON pi.pi_id = p.pi_id AND pi.prim_addr_flag='Y'_x000D_
LEFT JOIN csd.inst inst ON inst.inst_id = p.inst_id_x000D_
ORDER BY lead, ILN, p.prop_id_x000D_
DROP TABLE #myPid_x000D_
CREATE INDEX myProp_idx ON #myProp(prop_id)_x000D_
--get leads_x000D_
SELECT p.ILN, p.PO, p.lead, p.L, p.RAtemplate_x000D_
INTO #myLead FROM #myProp p WHERE p.ILN &lt; 'M' _x000D_
CREATE INDEX myLead_idx ON #myLead(lead)_x000D_
-- determine if we have an RA (doc_type_code '034')_x000D_
SELECT lead, MAX(last_updt_tmsp) as RAupdate -- check text and eJupload for last RA_x000D_
INTO #myRA_x000D_
FROM (SELECT p.lead, ra.last_updt_tmsp_x000D_
    FROM #myLead p_x000D_
    JOIN csd.prop_rev_anly_vw ra ON ra.prop_id = p.lead_x000D_
    UNION ALL SELECT p.lead, ej.last_updt_tmsp_x000D_
    FROM #myLead p_x000D_
    JOIN csd.ej_upld_doc_vw ej ON ej.prop_id = p.lead AND ej_doc_type_code = '034') d_x000D_
GROUP BY lead_x000D_
</t>
  </si>
  <si>
    <t xml:space="preserve">-- Needs: RA_lead(#myProp)_x000D_
-- DROP TABLE #myPRCs, #myPRCdata_x000D_
SELECT prc.*, id=identity(18), 0 as seq_x000D_
INTO #myPRCdata_x000D_
FROM (SELECT DISTINCT p.prop_id, pa.prop_atr_code_x000D_
    FROM #myProp p_x000D_
    JOIN csd.prop_atr pa ON pa.prop_id = p.prop_id AND pa.prop_atr_type_code = 'PRC') prc_x000D_
ORDER BY prop_id, prop_atr_code_x000D_
SELECT prop_id, MIN(id) as start INTO #myPRCStart FROM #myPRCdata GROUP BY prop_id_x000D_
UPDATE #myPRCdata SET seq = id-M.start FROM #myPRCdata r, #myPRCStart M WHERE r.prop_id = M.prop_id_x000D_
SELECT prop_id,convert(varchar(35),_x000D_
    MAX( CASE pa.seq WHEN 0 THEN       pa.prop_atr_code ELSE '' END ) +_x000D_
    MAX( CASE pa.seq WHEN 1 THEN ' ' + pa.prop_atr_code ELSE '' END ) +_x000D_
    MAX( CASE pa.seq WHEN 2 THEN ' ' + pa.prop_atr_code ELSE '' END ) +_x000D_
    MAX( CASE pa.seq WHEN 3 THEN ' ' + pa.prop_atr_code ELSE '' END ) +_x000D_
    MAX( CASE pa.seq WHEN 4 THEN ' ' + pa.prop_atr_code ELSE '' END ) +_x000D_
    MAX( CASE pa.seq WHEN 5 THEN ' ' + pa.prop_atr_code ELSE '' END ) +_x000D_
    MAX( CASE pa.seq WHEN 6 THEN ' ' + pa.prop_atr_code ELSE '' END )) AS R_x000D_
INTO #myPRCs_x000D_
FROM #myPRCdata pa _x000D_
GROUP BY prop_id_x000D_
DROP TABLE #myPRCStart_x000D_
CREATE INDEX myPRCs_ix ON #myPRCs(prop_id)_x000D_
</t>
  </si>
  <si>
    <t xml:space="preserve">-- Needs: RA_lead(#myProp), RA_propPRCs(#myPRCs)_x000D_
--DROP TABLE #myPropBudg, #myPropInfo_x000D_
SELECT p.prop_id, eb.revn_num as RN, SUM(eb.budg_tot_dol) as T,_x000D_
 nullif(SUM(sub_ctr_dol),0) AS sub_ctr_tot, nullif(SUM(frgn_trav_dol),0) AS frgn_trav_tot, nullif(SUM(pdoc_grnt_dol),0) AS pdoc_tot,nullif(SUM( part_dol),0) AS part_tot_dol, nullif(SUM(grad_pers_tot_cnt),0) AS grad_tot_cnt,_x000D_
 nullif(SUM(sr_pers_cnt),0) AS sr_tot_cnt, nullif(SUM(sr_summ_mnth_cnt),0) AS sr_sumr_mnths, nullif(SUM(sr_acad_mnth_cnt),0) AS sr_acad_mnths, nullif(SUM(sr_cal_mnth_cnt),0) AS sr_cal_mnths_x000D_
INTO #myPropBudg FROM #myProp p_x000D_
JOIN csd.eps_blip eb ON p.prop_id = eb.prop_id _x000D_
AND NOT EXISTS (SELECT eb1.revn_num FROM csd.eps_blip eb1 WHERE eb.prop_id = eb1.prop_id AND eb.revn_num &lt; eb1.revn_num)_x000D_
GROUP BY p.prop_id, eb.revn_num_x000D_
ORDER BY p.prop_id -- eb.revn_num, eb.budg_seq_yr_x000D_
CREATE INDEX myPropBudg_ix ON #myPropBudg(prop_id)_x000D_
-- per-proposal data _x000D_
SELECT pid.*, rqst_dol as D, prc.R, b.T, b.RN, id=identity(18), 0 as seq _x000D_
INTO #myPropInfo FROM #myProp pid_x000D_
JOIN csd.prop p ON p.prop_id = pid.prop_id_x000D_
LEFT JOIN #myPRCs prc ON prc.prop_id = pid.prop_id_x000D_
LEFT JOIN #myPropBudg b ON b.prop_id = p.prop_id_x000D_
ORDER BY lead, ILN, pid.prop_id_x000D_
CREATE INDEX myProp_idx ON #myPropInfo(prop_id)_x000D_
SELECT lead, MIN(id) as start INTO #myPropStart FROM #myPropInfo GROUP BY lead_x000D_
UPDATE #myPropInfo SET seq = id-M.start FROM #myPropInfo r, #myPropStart M WHERE r.lead = M.lead_x000D_
DROP TABLE #myPropStart_x000D_
CREATE INDEX myProp_ix ON #myPropInfo(lead)_x000D_
</t>
  </si>
  <si>
    <t xml:space="preserve">-- Needs: RA_lead(#myLead),_x000D_
--DROP TABLE #myRevs, #myRevMarks, #myRevSumm, #myRevPanl_x000D_
declare @adhoc char(7), @olddate datetime_x000D_
SELECT @adhoc = '.ad hoc ',  @olddate = '1/1/2000' -- for formatting dates_x000D_
SELECT isnull((SELECT MIN(pp.panl_id) FROM csd.panl_prop pp _x000D_
    JOIN csd.panl_revr pr ON pr.panl_id = pp.panl_id AND pp.panl_id like 'P%'_x000D_
    WHERE pp.prop_id = p.lead AND pr.revr_id = rp.revr_id),  @adhoc) as panl_id, p.lead, rp.revr_id, rp.rev_rtrn_date, _x000D_
 CASE WHEN rs.score IS NOT NULL THEN rs.string ELSE rp.rev_prop_rtng_code END as string,_x000D_
 CASE WHEN rs.score IS NOT NULL THEN rs.score ELSE CASE rp.rev_prop_rtng_code WHEN 'E' THEN 9 WHEN 'V' THEN 7 _x000D_
    WHEN 'G' THEN 5 WHEN 'F' THEN 3 WHEN 'P' THEN 1 ELSE NULL END END AS score,_x000D_
 CASE WHEN rp.rev_stts_code = 'C' THEN 1 ELSE 0 END as confl,_x000D_
 CASE WHEN rp.rev_stts_code IN ('P','S') THEN 1 ELSE 0 END as pendSlct,_x000D_
 CASE WHEN rpv.rev_prop_unrl_flag = 'Y' THEN 1 ELSE 0 END as unrlsbl,_x000D_
 CASE WHEN rpv.rev_prop_rtng_ind IS NULL OR rpv.rev_rlse_flag = 'Y' OR rpv.rev_prop_unrl_flag = 'Y' THEN 0 ELSE 1 END as unmkd,_x000D_
 CASE WHEN rpv.rev_rlse_flag = 'Y' AND rp.rev_stts_code IN ('C','D','N','P','S') THEN 1 ELSE 0 END as rlsdCDNPS,_x000D_
 CASE WHEN rp.rev_stts_code IN ('C','D','N','R') OR rp.rev_prop_rtng_code = nullif(rs.string,' ') THEN 0 ELSE 1 END as diffFLeJ,_x000D_
 id=identity(18), 0 as seq_x000D_
INTO #myRevs FROM #myLead p_x000D_
JOIN csd.rev_prop rp ON rp.prop_id = p.lead_x000D_
LEFT JOIN csd.rev_prop_vw rpv ON rpv.revr_id = rp.revr_id AND rpv.prop_id = rp.prop_id  _x000D_
LEFT JOIN tempdb.guest.revScores rs ON rs.yn = rpv.rev_prop_rtng_ind -- this table uses the same 1-9 scale above, but handles split scores_x000D_
WHERE (rpv.rev_rlse_flag = 'Y' OR rp.rev_stts_code = 'C' OR rp.rev_prop_rtng_code IN ('E','V','G','F','P') -- has eJ review_x000D_
       OR rpv.rev_prop_rtng_ind &gt; 'NNNNN') -- has FL review.  checked: no stts N or D come in.  R,S,P do, all good._x000D_
  AND isnull(rpv.rev_subm_flag,'U') &lt;&gt; 'D' -- ignore reviews deleted on FL, even if that takes overnight to propagate to eJ._x000D_
ORDER BY lead, confl, score DESC, revr_id -- move C last_x000D_
CREATE INDEX myRevs_ix0 ON #myRevs(lead)_x000D_
CREATE INDEX myRevs_ix1 ON #myRevs(lead, confl)_x000D_
CREATE INDEX myRevs_ix2 ON #myRevs(panl_id, lead, confl)_x000D_
SELECT lead, MIN(id) as 'start' INTO #myStarts FROM #myRevs GROUP BY lead_x000D_
UPDATE #myRevs SET seq = id-M.start FROM #myRevs r, #myStarts M WHERE r.lead = M.lead _x000D_
DROP TABLE #myStarts_x000D_
_x000D_
SELECT lead,  nullif(sum(confl),0) as Nconfl,_x000D_
nullif(sum(unrlsbl),0) as Nunrlsbl,nullif(sum(rlsdCDNPS),0) as NrlsdCDNPS, _x000D_
nullif(sum(pendSlct),0) as NpendSlct, nullif(sum(diffFLeJ),0) as NdiffFLeJ_x000D_
INTO #myRevMarks FROM #myRevs_x000D_
GROUP BY lead_x000D_
CREATE INDEX myRevMarks_ix ON #myRevMarks(lead)_x000D_
_x000D_
SELECT lead, count(DISTINCT revr_id) as Nrev, nullif(sum(unmkd),0) as Nunmkd,_x000D_
MIN(r.score) AS minScore, AVG(r.score) AS avg_score,MAX(r.score) AS maxScore,_x000D_
convert(varchar(50), MAX(CASE r.seq WHEN  0 THEN     r.string ELSE '' END)+_x000D_
 MAX(CASE r.seq WHEN  1 THEN ','+r.string ELSE '' END)+_x000D_
 MAX(CASE r.seq WHEN  2 THEN ','+r.string ELSE '' END)+_x000D_
 MAX(CASE r.seq WHEN  3 THEN ','+r.string ELSE '' END)+_x000D_
 MAX(CASE r.seq WHEN  4 THEN ','+r.string ELSE '' END)+_x000D_
 MAX(CASE r.seq WHEN  5 THEN ','+r.string ELSE '' END)+_x000D_
 MAX(CASE r.seq WHEN  6 THEN ','+r.string ELSE '' END)+_x000D_
 MAX(CASE r.seq WHEN  7 THEN ','+r.string ELSE '' END)+_x000D_
 MAX(CASE r.seq WHEN  8 THEN ','+r.string ELSE '' END)+_x000D_
 MAX(CASE r.seq WHEN  9 THEN ','+r.string ELSE '' END)+_x000D_
 MAX(CASE r.seq WHEN 10 THEN ','+r.string ELSE '' END)+_x000D_
 MAX(CASE r.seq WHEN 11 THEN ','+r.string ELSE '' END)+_x000D_
 MAX(CASE r.seq WHEN 12 THEN ','+r.string ELSE '' END)) AS allReviews, _x000D_
MAX(r.rev_rtrn_date) AS last_rev_date_x000D_
INTO #myRevSumm FROM #myRevs r WHERE confl = 0_x000D_
GROUP BY r.lead_x000D_
CREATE INDEX myRevSumm_ix ON #myRevSumm(lead)_x000D_
_x000D_
SELECT lead, panl_id, count(revr_id) as N, convert(varchar(50), STUFF(LTRIM(_x000D_
 MAX(CASE r.seq WHEN  0 THEN ','+r.string ELSE '' END)+_x000D_
 MAX(CASE r.seq WHEN  1 THEN ','+r.string ELSE '' END)+_x000D_
 MAX(CASE r.seq WHEN  2 THEN ','+r.string ELSE '' END)+_x000D_
 MAX(CASE r.seq WHEN  3 THEN ','+r.string ELSE '' END)+_x000D_
 MAX(CASE r.seq WHEN  4 THEN ','+r.string ELSE '' END)+_x000D_
 MAX(CASE r.seq WHEN  5 THEN ','+r.string ELSE '' END)+_x000D_
 MAX(CASE r.seq WHEN  6 THEN ','+r.string ELSE '' END)+_x000D_
 MAX(CASE r.seq WHEN  7 THEN ','+r.string ELSE '' END)+_x000D_
 MAX(CASE r.seq WHEN  8 THEN ','+r.string ELSE '' END)+_x000D_
 MAX(CASE r.seq WHEN  9 THEN ','+r.string ELSE '' END)+_x000D_
 MAX(CASE r.seq WHEN 10 THEN ','+r.string ELSE '' END)+_x000D_
 MAX(CASE r.seq WHEN 11 THEN ','+r.string ELSE '' END)+_x000D_
 MAX(CASE r.seq WHEN 12 THEN ','+r.string ELSE '' END)),1,1,'')) AS V, _x000D_
MAX(r.rev_rtrn_date) AS last_rev_date_x000D_
INTO #myRevPanl FROM #myRevs r WHERE confl = 0_x000D_
GROUP BY lead, panl_id_x000D_
CREATE INDEX myRevPanl_ix ON #myRevPanl(lead, panl_id)_x000D_
</t>
  </si>
  <si>
    <t>RA_pidCreate</t>
  </si>
  <si>
    <t xml:space="preserve">-- Needs: RA_lead(#myProp,#myRA),RA_prop(#myPropInfo,#myPropBudg),RA_revs(#myRevMarks, #myRevPanlSumm), RA_panl(#myProjPanlSumm)_x000D_
-- DROP TABLE #myDmog_x000D_
SELECT prop_id, _x000D_
SUM(CASE WHEN pi_gend_code = 'F'THEN 1 ELSE 0 END) AS NfmlPIs,_x000D_
SUM(CASE WHEN pi_ethn_code = 'H'THEN 1 ELSE 0 END) AS NhispPIs,_x000D_
SUM(CASE WHEN dmog_tbl_code = 'H'AND dmog_code &lt;&gt; 'N' THEN 1 ELSE 0 END) AS NhndcpPIs,_x000D_
SUM(CASE WHEN dmog_tbl_code = 'R'AND dmog_code NOT IN ('U','W','B3') THEN 1 ELSE 0 END) AS NnonWhtAsnPIs_x000D_
INTO #myDmog FROM (SELECT p.prop_id, pi_id FROM #myProp p _x000D_
      UNION ALL SELECT p.prop_id, a.pi_id FROM #myProp p JOIN csd.addl_pi_invl a ON a.prop_id = p.prop_id) PIs_x000D_
LEFT JOIN csd.pi_vw pi ON pi.pi_id = PIs.pi_id_x000D_
LEFT JOIN csd.PI_dmog d ON d.pi_id = PIs.pi_id_x000D_
GROUP BY prop_id_x000D_
ORDER BY prop_id_x000D_
CREATE INDEX myDmog_idx ON #myDmog(prop_id)_x000D_
_x000D_
-- props: get codes to check if they match leads_x000D_
SELECT nullif(dd_rcom_date,'1900-01-01') AS dd_rcom_date, nsf_rcvd_date,_x000D_
prop.pgm_annc_id, prop.org_code, prop.pgm_ele_code,_x000D_
prop_stts_abbr,natr_rqst.natr_rqst_abbr,prop.obj_clas_code,_x000D_
bas_rsch_pct, apld_rsch_pct+educ_trng_pct+land_buld_fix_equp_pct+mjr_equp_pct+non_invt_pct AS other_pct,  _x000D_
cntx_stmt_id, p.PO, p.R as propPRCs, p.st_code, ra.RAupdate,_x000D_
p.lead, p.ILN, --eJ link_x000D_
org.dir_div_abbr as Div, p.prop_id,_x000D_
p.L AS pi_last_name, p.F AS pi_frst_name, p.I AS inst, --mailto:_x000D_
prop.rqst_eff_date,prop.rqst_mnth_cnt,_x000D_
nPanl, nPSunmrkd, nPSunrls, RecRkMin, _x000D_
rs.nRev, rs.allReviews, rs.avg_score, rs.last_rev_date,_x000D_
Nunmkd, Nconfl, Nunrlsbl, NrlsdCDNPS, NpendSlct, NdiffFLeJ,_x000D_
 prop_stts_txt, prop.prop_titl_txt,_x000D_
b.RN as brevn, p.D AS rqst_tot, b.T as budg_tot,  _x000D_
b.sub_ctr_tot, b.frgn_trav_tot, b.pdoc_tot, b.part_tot_dol, _x000D_
b.grad_tot_cnt, b.sr_tot_cnt, b.sr_sumr_mnths, b.sr_acad_mnths, b.sr_cal_mnths,_x000D_
NfmlPIs,NhispPIs,NhndcpPIs,NnonWhtAsnPIs,_x000D_
p.M as email_x000D_
FROM #myPropInfo p_x000D_
JOIN csd.prop prop ON prop.prop_id = p.prop_id_x000D_
JOIN csd.org org ON org.org_code = prop.org_code_x000D_
JOIN csd.prop_stts prop_stts ON prop_stts.prop_stts_code = prop.prop_stts_code_x000D_
JOIN csd.natr_rqst natr_rqst ON natr_rqst.natr_rqst_code = prop.natr_rqst_code_x000D_
LEFT JOIN #myRA ra ON ra.lead = p.lead_x000D_
LEFT JOIN #myDmog d ON d.prop_id = p.prop_id_x000D_
LEFT JOIN #myPropBudg b ON b.prop_id = p.prop_id_x000D_
LEFT JOIN #myRevSumm rs ON rs.lead = p.prop_id_x000D_
LEFT JOIN #myRevMarks rv ON rv.lead = p.prop_id_x000D_
LEFT JOIN #myProjPanlSumm pl ON pl.lead = p.prop_id_x000D_
ORDER BY p.lead, p.ILN, p.prop_id_x000D_
</t>
  </si>
  <si>
    <t xml:space="preserve">-- Needs: RA_lead(#myProp),RA_prop(#myPropInfo,#myPropBudg),RA_revs(#myRevs, #myRevMarks, #myRevPanl), RA_panl(#myPanl, #myProjPanl, #myProjPanlSumm)_x000D_
--DROP TABLE #myCtry, #myCovrInfo _x000D_
SELECT p.prop_id, ctry.ctry_name, id=identity(18), 0 as 'seq' _x000D_
INTO #myCtry FROM #myProp p_x000D_
JOIN csd.prop_subm_ctl_vw psc ON psc.prop_id = p.prop_id_x000D_
JOIN csd.prop_spcl_item_vw sp1 ON sp1.TEMP_PROP_ID = psc.TEMP_PROP_ID_x000D_
JOIN csd.ctry ctry ON sp1.SPCL_ITEM_CODE = ctry.ctry_code_x000D_
WHERE end_date Is Null_x000D_
ORDER BY p.prop_id, ctry.ctry_name_x000D_
CREATE INDEX myCtry_idx ON #myCtry(prop_id) _x000D_
SELECT prop_id, MIN(id) as 'start' INTO #myStCtry FROM #myCtry GROUP BY prop_id_x000D_
UPDATE #myCtry set seq = id-M.start FROM #myCtry r, #myStCtry M WHERE r.prop_id = M.prop_id_x000D_
DROP TABLE #myStCtry_x000D_
_x000D_
SELECT p.prop_id,OTH_AGCY_SUBM_FLAG,_x000D_
CASE WHEN PC.HUM_DATE is not NULL THEN convert(varchar(10),PC.HUM_DATE,1) WHEN PC.humn_date_pend_flag='Y' THEN 'Pend' END AS humn_date,_x000D_
humn_subj_asur_num AS hum_asur, HUM_EXPT,_x000D_
CASE WHEN PC.VERT_DATE is not NULL THEN convert(varchar(10),PC.VERT_DATE,1) WHEN PC.vrtb_date_pend_flag='Y' THEN 'Pend' END AS vrtb_date,_x000D_
vrtb_wlfr_asur_num AS vrtb_asur_x000D_
INTO #myCovrInfo FROM #myProp p_x000D_
JOIN csd.prop_subm_ctl_vw psc ON psc.prop_id = p.prop_id_x000D_
JOIN FLflpdb.flp.PROP_COVR PC ON PC.TEMP_PROP_ID = psc.TEMP_PROP_ID_x000D_
CREATE INDEX myCovrInfo_ix ON #myCovrInfo(prop_id)_x000D_
_x000D_
-- checking those recommended for award_x000D_
SELECT nullif(dd_rcom_date,'1900-01-01') AS dd_rcom_date, nsf_rcvd_date, _x000D_
prop.pgm_annc_id, prop.org_code, prop.pgm_ele_code, _x000D_
prop_stts_abbr,natr_rqst.natr_rqst_abbr,prop.obj_clas_code,ai.awd_istr_abbr as rcom_istr_abbr,_x000D_
cntx_stmt_id, p.PO, ra.RAupdate, p.lead, p.ILN, --eJ link_x000D_
org.dir_div_abbr as Div, p.prop_id, _x000D_
p.L AS pi_last_name, p.F AS pi_frst_name, p.I AS inst, p.st_code, _x000D_
c.humn_date, c.hum_asur, c.HUM_EXPT, c.vrtb_date, c.vrtb_asur, c.OTH_AGCY_SUBM_FLAG, _x000D_
(SELECT MAX(CASE y.seq WHEN 1 THEN y.ctry_name ELSE '' END)+_x000D_
    MAX(CASE y.seq WHEN 2 THEN '; '+y.ctry_name ELSE '' END)+_x000D_
    MAX(CASE y.seq WHEN 3 THEN '; '+y.ctry_name ELSE '' END)+_x000D_
    MAX(CASE y.seq WHEN 4 THEN '; '+y.ctry_name ELSE '' END)+_x000D_
    MAX(CASE y.seq WHEN 5 THEN '; '+y.ctry_name ELSE '' END)+_x000D_
    MAX(CASE y.seq WHEN 6 THEN '; '+y.ctry_name ELSE '' END)+_x000D_
    MAX(CASE y.seq WHEN 7 THEN '; '+y.ctry_name ELSE '' END)+_x000D_
    MAX(CASE y.seq WHEN 8 THEN '; '+y.ctry_name ELSE '' END) _x000D_
    FROM #myCtry y WHERE y.prop_id = p.prop_id) AS Country,_x000D_
a.abst_narr_txt, prop_stts_txt, prop.prop_titl_txt,_x000D_
prop.rqst_eff_date,prop.rqst_mnth_cnt,_x000D_
b.RN as brevn,p.D AS rqst_tot, b.T as budg_tot, _x000D_
b.sub_ctr_tot, b.frgn_trav_tot, b.pdoc_tot,b.part_tot_dol, b.grad_tot_cnt, _x000D_
b.sr_tot_cnt, b.sr_sumr_mnths, b.sr_acad_mnths, b.sr_cal_mnths, _x000D_
p.M as email_x000D_
FROM #myPropInfo p_x000D_
JOIN csd.prop prop ON prop.prop_id = p.prop_id_x000D_
JOIN csd.org org ON org.org_code = prop.org_code_x000D_
JOIN csd.prop_stts prop_stts ON prop_stts.prop_stts_code = prop.prop_stts_code_x000D_
JOIN csd.natr_rqst natr_rqst ON natr_rqst.natr_rqst_code = prop.natr_rqst_code_x000D_
LEFT JOIN csd.awd_istr ai on prop.rcom_awd_istr = ai.awd_istr_code_x000D_
LEFT JOIN #myRA ra ON ra.lead = p.lead_x000D_
LEFT JOIN csd.abst a ON a.awd_id = p.prop_id_x000D_
LEFT JOIN #myPropBudg b ON b.prop_id = p.prop_id_x000D_
LEFT JOIN #myCovrInfo c ON c.prop_id = p.prop_id_x000D_
ORDER BY p.lead, p.ILN, p.prop_id_x000D_
</t>
  </si>
  <si>
    <t>Nconfl</t>
  </si>
  <si>
    <t>hum_asur</t>
  </si>
  <si>
    <t>HUM_EXPT</t>
  </si>
  <si>
    <t>vrtb_asur</t>
  </si>
  <si>
    <t>pObj</t>
  </si>
  <si>
    <t>bObj</t>
  </si>
  <si>
    <t xml:space="preserve">--Needs: RA_lead(#myProp), RA_propPRCs, RA_prop(#myPropInfo)_x000D_
--DROP TABLE: #myBSprc_x000D_
SELECT prop_id,splt_id,budg_yr,R,id=identity(18), 0 as 'seq'_x000D_
INTO #myBSprc FROM (SELECT DISTINCT p.prop_id,splt_id,budg_yr,bpr.pgm_ref_code AS R_x000D_
      FROM #myProp p_x000D_
      JOIN csd.budg_pgm_ref bpr ON bpr.prop_id = p.prop_id) bpr_x000D_
ORDER BY prop_id,splt_id,budg_yr,R_x000D_
SELECT prop_id,splt_id,budg_yr, MIN(id) as 'start' INTO #myBSst FROM #myBSprc _x000D_
GROUP BY prop_id,splt_id,budg_yr_x000D_
UPDATE #myBSprc set seq = id-M.start FROM #myBSprc rb, #myBSst M_x000D_
WHERE rb.prop_id = M.prop_id AND rb.splt_id=M.splt_id AND rb.budg_yr=M.budg_yr_x000D_
CREATE INDEX myBSprc ON #myBSprc(prop_id,splt_id,budg_yr, seq)_x000D_
DROP TABLE #myBSst_x000D_
_x000D_
SELECT nullif(dd_rcom_date,'1900-01-01') AS dd_rcom_date, nsf_rcvd_date,  _x000D_
cntx_stmt_id, prop.pgm_annc_id, prop.org_code as pOrg, bs.org_code as bOrg, _x000D_
prop.pgm_ele_code as pPEC,bs.pgm_ele_code as bPEC,p.PO as pPO, bs.pm_ibm_logn_id as bPO,_x000D_
prop_stts_abbr,natr_rqst.natr_rqst_abbr,prop.obj_clas_code as pObj, bs.obj_clas_code as bObj,_x000D_
ai.awd_istr_abbr as rcom_istr_abbr, p.lead,p.ILN, org.dir_div_abbr as Div, p.prop_id,_x000D_
p.L AS pi_last_name, p.F AS pi_frst_name, p.I AS inst, p.M as email,_x000D_
p.R as propPRCs, _x000D_
(SELECT MAX( CASE bp.seq WHEN 0 THEN rtrim(bp.R) END)+_x000D_
    MAX( CASE bp.seq WHEN 1 THEN ' ' + rtrim(bp.R) END)+_x000D_
    MAX( CASE bp.seq WHEN 2 THEN ' ' + rtrim(bp.R) END)+_x000D_
    MAX( CASE bp.seq WHEN 3 THEN ' ' + rtrim(bp.R) END)+_x000D_
    MAX( CASE bp.seq WHEN 4 THEN ' ' + rtrim(bp.R) END)+_x000D_
    MAX( CASE bp.seq WHEN 5 THEN ' ' + rtrim(bp.R) END)+_x000D_
    MAX( CASE bp.seq WHEN 6 THEN ' ' + rtrim(bp.R) END)+_x000D_
    MAX( CASE bp.seq WHEN 7 THEN ' ' + rtrim(bp.R) END)+_x000D_
    MAX( CASE bp.seq WHEN 8 THEN ' ' + rtrim(bp.R) END)+_x000D_
    MAX( CASE bp.seq WHEN 9 THEN ' ' + rtrim(bp.R) END)+_x000D_
    MAX( CASE bp.seq WHEN 10 THEN ' ' + rtrim(bp.R) END) _x000D_
    FROM #myBSprc bp_x000D_
    WHERE bp.prop_id = bs.prop_id AND bp.budg_yr = bs.budg_yr _x000D_
          AND bp.splt_id = bs.splt_id ) AS bPRCs,_x000D_
bs.awd_id, bs.budg_yr, bs.splt_id, bs.budg_splt_tot_dol,_x000D_
prop_stts_txt, prop.prop_titl_txt_x000D_
FROM #myPropInfo p_x000D_
JOIN csd.prop prop ON prop.prop_id = p.prop_id_x000D_
JOIN csd.org org ON org.org_code = prop.org_code_x000D_
JOIN csd.prop_stts prop_stts ON prop_stts.prop_stts_code = prop.prop_stts_code_x000D_
JOIN csd.natr_rqst natr_rqst ON natr_rqst.natr_rqst_code = prop.natr_rqst_code_x000D_
JOIN csd.budg_splt bs on bs.prop_id=p.prop_id _x000D_
JOIN csd.awd_istr ai on prop.rcom_awd_istr = ai.awd_istr_code_x000D_
ORDER BY p.lead, p.ILN, p.prop_id, bs.budg_yr, bs.splt_id_x000D_
</t>
  </si>
  <si>
    <t>@ pi</t>
  </si>
  <si>
    <t>Column Labels</t>
  </si>
  <si>
    <t>Grand Total</t>
  </si>
  <si>
    <t>Sum of budg_splt_tot_dol</t>
  </si>
  <si>
    <t>Row Labels</t>
  </si>
  <si>
    <t>wmd</t>
  </si>
  <si>
    <t>epscor</t>
  </si>
  <si>
    <t>dmog</t>
  </si>
  <si>
    <t>titl_ck</t>
  </si>
  <si>
    <t>RAtemplate</t>
  </si>
  <si>
    <t>Radraft_filename</t>
  </si>
  <si>
    <t>RAsigner2</t>
  </si>
  <si>
    <t>ej</t>
  </si>
  <si>
    <t>@pi</t>
  </si>
  <si>
    <t>@allPIs</t>
  </si>
  <si>
    <t>ckAwd</t>
  </si>
  <si>
    <t>Budgets</t>
  </si>
  <si>
    <t>ckCoding</t>
  </si>
  <si>
    <t>Coding for lead &amp; non-lead</t>
  </si>
  <si>
    <t>Email all PI&amp;co-Pis, or just lead</t>
  </si>
  <si>
    <t>above, or RAData</t>
  </si>
  <si>
    <t>RAData</t>
  </si>
  <si>
    <t>Abstr?marks</t>
  </si>
  <si>
    <t>Where to find:</t>
  </si>
  <si>
    <t>Customize RA draft signer</t>
  </si>
  <si>
    <t>Advanced</t>
  </si>
  <si>
    <t>Budget splits summary</t>
  </si>
  <si>
    <t>Pivot table on ckSplits</t>
  </si>
  <si>
    <t>Proposal PRC checks</t>
  </si>
  <si>
    <t>RAData, or edit template</t>
  </si>
  <si>
    <t>Add note to DGA</t>
  </si>
  <si>
    <t>Countries &amp; foreign travel $</t>
  </si>
  <si>
    <t>Research %age</t>
  </si>
  <si>
    <t>blocks to copy for RA or budget calculations</t>
  </si>
  <si>
    <t>Table of EPSCoR states</t>
  </si>
  <si>
    <t>Available RA templates</t>
  </si>
  <si>
    <t>Project revs, panel summ, etc.</t>
  </si>
  <si>
    <t>pdf from ProjText</t>
  </si>
  <si>
    <t>ckSplits</t>
  </si>
  <si>
    <t>Budget splits by year/co-funding</t>
  </si>
  <si>
    <t>Count of lead</t>
  </si>
  <si>
    <t xml:space="preserve">--Needs: RA_lead(#myProp), RA_propPRCs(#myPRCs)_x000D_
--DROP TABLE #myBudg_x000D_
SELECT p.lead, p.prop_id, eb.revn_num, eb.budg_seq_yr, eb.budg_tot_dol, _x000D_
eb.sr_pers_cnt, eb.sr_summ_mnth_cnt, eb.pdoc_grnt_dol, eb.frgn_trav_dol, eb.part_dol_x000D_
INTO #myBudg FROM #myProp p_x000D_
JOIN csd.eps_blip eb ON eb.prop_id = p.prop_id _x000D_
    AND NOT EXISTS (SELECT eb1.revn_num FROM csd.eps_blip eb1 WHERE eb.prop_id = eb1.prop_id AND eb.revn_num &lt; eb1.revn_num)_x000D_
ORDER BY prop_id,budg_seq_yr_x000D_
CREATE INDEX myBudg_idx ON #myBudg(prop_id, budg_seq_yr)_x000D_
SELECT p.nsf_rcvd_date, p.pgm_annc_id, p.org_code, p.pgm_ele_code, _x000D_
pid.PO, pid.lead, pid.ILN, pid.prop_id, '' as pi_last_name, '' as inst_name, '' as pi_email, _x000D_
eb.sr_pers_cnt, eb.sr_summ_mnth_cnt, eb.pdoc_grnt_dol, eb.frgn_trav_dol, eb.part_dol, eb.budg_tot_dol, _x000D_
eb.revn_num, eb.budg_seq_yr, eb.budg_tot_dol AS dol, p.org_code, p.pgm_ele_code as PEC, p.obj_clas_code as Obj, prc.R as PRCs_x000D_
FROM #myProp pid_x000D_
JOIN csd.prop p ON p.prop_id = pid.prop_id_x000D_
LEFT OUTER JOIN #myPRCs prc ON prc.prop_id = pid.prop_id_x000D_
LEFT OUTER JOIN #myBudg eb ON eb.prop_id = pid.prop_id _x000D_
UNION ALL SELECT p.nsf_rcvd_date, p.pgm_annc_id, p.org_code, p.pgm_ele_code, _x000D_
pid.PO, pid.lead, pid.ILN, pid.prop_id, pid.L as pi_last_name, pid.I as inst_name, pid.M as pi_email, _x000D_
null, null, null, null, null, null, (SELECT MAX(revn_num) from #myBudg b WHERE b.prop_id = pid.prop_id),_x000D_
null, (SELECT SUM(budg_tot_dol) from #myBudg b WHERE b.prop_id = pid.prop_id), p.org_code, p.pgm_ele_code, p.obj_clas_code, prc.R _x000D_
FROM #myProp pid_x000D_
JOIN csd.prop p ON p.prop_id = pid.prop_id_x000D_
LEFT OUTER JOIN #myPRCs prc ON prc.prop_id = pid.prop_id_x000D_
ORDER BY pid.lead, pid.ILN, pid.prop_id, eb.budg_seq_yr _x000D_
</t>
  </si>
  <si>
    <t>Obj</t>
  </si>
  <si>
    <t>RAps_note</t>
  </si>
  <si>
    <t>divergentReviews</t>
  </si>
  <si>
    <t>Revised budget totals by year</t>
  </si>
  <si>
    <t>PEC Glossary; program element codes on proposals</t>
  </si>
  <si>
    <t>PEC_Description</t>
  </si>
  <si>
    <t>Glossaries of PRC/PECs used</t>
  </si>
  <si>
    <t>RA_PECglossary</t>
  </si>
  <si>
    <t xml:space="preserve">SET NOCOUNT ON _x000D_
CREATE TABLE #myPid (prop_id char(7), lead_prop_id char(7) null, pi_id char(9), inst_id char(10), PO char(7), RAtemplate varchar(63))_x000D_
</t>
  </si>
  <si>
    <t>eJ again</t>
  </si>
  <si>
    <t>%</t>
  </si>
  <si>
    <t>proposal status code restrictions</t>
  </si>
  <si>
    <t>0[01289]</t>
  </si>
  <si>
    <t>0[3-Z]</t>
  </si>
  <si>
    <t>02</t>
  </si>
  <si>
    <t>0%</t>
  </si>
  <si>
    <t>All needing PM recommendation (0-2,8,9)</t>
  </si>
  <si>
    <t>PM recommended (03-0Z)</t>
  </si>
  <si>
    <t>All Pending = not DD concurred (0%)</t>
  </si>
  <si>
    <t>All proposals (%)</t>
  </si>
  <si>
    <t>Cognizant Program Director</t>
  </si>
  <si>
    <t xml:space="preserve">SELECT DISTINCT prop.prop_id, prop.lead_prop_id, prop.pi_id, prop.inst_id, prop.pm_ibm_logn_id as PO, _x000D_
</t>
  </si>
  <si>
    <t>2. List panels, solicitations, and/or PDs</t>
  </si>
  <si>
    <t>1. Have your reportserver password ready.</t>
  </si>
  <si>
    <t>MT</t>
  </si>
  <si>
    <r>
      <t xml:space="preserve">4. Visit </t>
    </r>
    <r>
      <rPr>
        <b/>
        <sz val="11"/>
        <color theme="5" tint="-0.499984740745262"/>
        <rFont val="Calibri"/>
        <family val="2"/>
        <scheme val="minor"/>
      </rPr>
      <t>RAData</t>
    </r>
    <r>
      <rPr>
        <sz val="11"/>
        <color theme="5" tint="-0.499984740745262"/>
        <rFont val="Calibri"/>
        <family val="2"/>
        <scheme val="minor"/>
      </rPr>
      <t xml:space="preserve"> tab to select Awd/Decl/Std Decl</t>
    </r>
  </si>
  <si>
    <t xml:space="preserve">       &amp; click Make Indicated RA Drafts</t>
  </si>
  <si>
    <r>
      <t xml:space="preserve">Signature block: </t>
    </r>
    <r>
      <rPr>
        <sz val="10"/>
        <color theme="5" tint="-0.499984740745262"/>
        <rFont val="Calibri"/>
        <family val="2"/>
        <scheme val="minor"/>
      </rPr>
      <t xml:space="preserve"> PD=managing pgm dir, blank=draft uploader, or Name T. Use.</t>
    </r>
  </si>
  <si>
    <t>Where to save filled-in RA drafts:</t>
  </si>
  <si>
    <t>Questionable '?' in abstract</t>
  </si>
  <si>
    <t>Reviews&amp;panel summ released</t>
  </si>
  <si>
    <t>Folder to save RA drafts</t>
  </si>
  <si>
    <t xml:space="preserve">--Needs: RA_lead(#myProp,#myLead), RA_revs(#myRevInfo)_x000D_
--DROP TABLE #myRevInfo, #mySumm_x000D_
SELECT lead, upld_date, convert(text, convert(varchar(16384),js.PROJ_SUMM_TXT) + convert(varchar(16384),js.INTUL_MERT) + convert(varchar(16384),js.BRODR_IMPT)) as summ_x000D_
INTO #mySumm FROM #myLead p _x000D_
JOIN csd.prop_subm_ctl_vw psc ON psc.prop_id = p.lead_x000D_
JOIN FLflpdb.flp.proj_summ js ON js.SPCL_CHAR_PDF &lt;&gt; 'Y' AND js.TEMP_PROP_ID = psc.TEMP_PROP_ID_x000D_
_x000D_
SELECT p.lead, p.L, rs.string, rs.score, rp.revr_id, rp.rev_rtrn_date, id=identity(18), 0 as 'seq'_x000D_
INTO #myRevInfo FROM #myLead p_x000D_
JOIN csd.rev_prop_vw rp ON rp.prop_id = p.lead_x000D_
JOIN tempdb.guest.revScores rs ON rs.yn = rp.rev_prop_rtng_ind _x000D_
ORDER BY lead, score DESC_x000D_
SELECT lead, MIN(id) as 'start' INTO #myRISt FROM #myRevInfo GROUP BY lead_x000D_
UPDATE #myRevInfo set seq = id-M.start FROM #myRevInfo r, #myRISt M WHERE r.lead = M.lead_x000D_
DROP TABLE #myRISt_x000D_
_x000D_
SELECT rv.lead, rv.L as pi_last_name, 'Review' as docType, rev_prop.pm_logn_id, rv.revr_id as panl_revr_id,  revr.revr_last_name as 'name', revr_opt_addr_line.revr_addr_txt as 'info',_x000D_
convert(varchar,rev_prop.rev_type_code) AS type, convert(varchar,rev_prop.rev_stts_code) as stts, rev_prop.rev_due_date as due, rv.rev_rtrn_date as returned,_x000D_
 rv.string as score, rev_txt.REV_PROP_TXT_FLDS as 'text'_x000D_
FROM #myRevInfo rv, csd.revr revr, csd.rev_prop rev_prop, csd.revr_opt_addr_line revr_opt_addr_line, csd.rev_prop_txt_flds_vw rev_txt_x000D_
WHERE rv.lead = rev_prop.prop_id AND rv.lead = rev_txt.PROP_ID AND rv.revr_id = rev_prop.revr_id AND rv.revr_id = revr.revr_id AND rv.revr_id = revr_opt_addr_line.revr_id_x000D_
  AND rv.revr_id = rev_txt.REVR_ID AND ((revr_opt_addr_line.addr_lne_type_code='E'))_x000D_
UNION ALL SELECT p.lead, p.L, ' PanlSumm' as docType, p.PO, panl_prop_summ.PANL_ID,  ' '+panl.panl_name, panl_rcom_def.RCOM_TXT,_x000D_
convert(varchar,panl_prop_summ.RCOM_SEQ_NUM), convert(varchar,panl_prop_summ.PROP_ORDR), panl.panl_bgn_date, panl_prop_summ.last_updt_tmsp,_x000D_
panl_rcom_def.RCOM_ABBR, panl_prop_summ.PANL_SUMM_TXT_x000D_
    FROM #myLead p _x000D_
    JOIN FLflpdb.flp.panl_prop_summ panl_prop_summ ON panl_prop_summ.PROP_ID = p.lead_x000D_
    JOIN csd.panl panl ON panl.panl_id = panl_prop_summ.PANL_ID_x000D_
    LEFT JOIN FLflpdb.flp.panl_rcom_def panl_rcom_def ON panl_rcom_def.RCOM_SEQ_NUM = panl_prop_summ.RCOM_SEQ_NUM AND panl_rcom_def.PANL_ID = panl_prop_summ.PANL_ID_x000D_
_x000D_
UNION ALL SELECT p.lead, p.L, 'POCmnt', p.PO, p.prop_id, cmt.cmnt_cre_id, '', '', convert(varchar,cmt.cmnt_prop_stts_code), cmt.beg_eff_date, cmt.end_eff_date,'', cmt.cmnt_x000D_
FROM #myProp p, FLflpdb.flp.cmnt_prop cmt WHERE p.prop_id = cmt.prop_id AND (p.ILN &lt; 'M' OR LEN(cmt.cmnt) &lt;&gt; (SELECT LEN(l.cmnt) FROM FLflpdb.flp.cmnt_prop l WHERE p.lead = l.prop_id))_x000D_
UNION ALL SELECT p.lead, p.L, 'RA' as docType, p.PO, '', ra.last_updt_user, '', '', null, null, ra.last_updt_tmsp, '', ra.prop_rev_anly_txt_x000D_
FROM #myLead p, csd.prop_rev_anly_vw ra WHERE p.lead = ra.prop_id_x000D_
UNION ALL SELECT p.lead, p.L, 'Abstr', p.PO, '', a.last_updt_user, a.cent_mrkr_prop, a.cent_mrkr_awd, null, null, a.last_updt_tmsp,'', a.abst_narr_txt_x000D_
FROM #myProp p, csd.abst a WHERE p.prop_id = a.awd_id AND (p.ILN &lt; 'M' OR LEN(a.abst_narr_txt) &lt;&gt;  (SELECT LEN(l.abst_narr_txt) FROM csd.abst l WHERE p.lead = l.awd_id))_x000D_
UNION ALL SELECT p.lead, p.L, 'SummProj',p.PO, '', '', '', null, null, null, s.upld_date,'', s.summ_x000D_
FROM #myLead p, #mySumm s WHERE s.lead = p.lead_x000D_
UNION ALL SELECT p.lead, p.L, 'xDiaryNt',p.PO, p.prop_id, crtd_by_user, ej_diry_note_kywd, null, null, null, crtd_date,'', ej_diry_note_txt_x000D_
FROM #myProp p, FLflpdb.flp.ej_diry_note d WHERE d.prop_id = p.prop_id_x000D_
ORDER BY lead, docType, revr_last_name, revr_id_x000D_
</t>
  </si>
  <si>
    <t>Std Triage NDP RAt.docx</t>
  </si>
  <si>
    <t>RoboRAFolder (sharepoint or onedrive)</t>
  </si>
  <si>
    <t>https://collaboration.inside.nsf.gov/eng/meritreview/SiteAssets/ENG%20Tools%20Websites%20and%20Best%20Practices/RoboRA/</t>
  </si>
  <si>
    <t>Review package produced (02)</t>
  </si>
  <si>
    <t>Human/vertebrate</t>
  </si>
  <si>
    <t>Need more releasable reviews</t>
  </si>
  <si>
    <t>link</t>
  </si>
  <si>
    <t>(blank)</t>
  </si>
  <si>
    <t>C:\Users\JSNOEYIN\Desktop\eng demo</t>
  </si>
  <si>
    <t>C:\Users\JSNOEYIN\excelSQL\RoboRA\RAtemplates</t>
  </si>
  <si>
    <t>Std NC-LC RAt.docx</t>
  </si>
  <si>
    <t>ccfuser</t>
  </si>
  <si>
    <t>CCfdata02/18</t>
  </si>
  <si>
    <t>if making RAs:</t>
  </si>
  <si>
    <t>Rqd: rptServer connection (NSF PC, Citrix Win7 Desktop, or Mac+openlink)</t>
  </si>
  <si>
    <t xml:space="preserve">Here is what to do:  </t>
  </si>
  <si>
    <t>and finally:</t>
  </si>
  <si>
    <t>restrict prop status:</t>
  </si>
  <si>
    <t>Check affiliations for these reviewers with listed conflicts</t>
  </si>
  <si>
    <t xml:space="preserve">--Needs: RA_lead(#myProp) _x000D_
SELECT p.pgm_ele_code AS PEC, pec.pgm_ele_name AS PEC_Description_x000D_
FROM (SELECT DISTINCT pgm_ele_code FROM #myProp pid _x000D_
JOIN csd.prop p ON p.prop_id = pid.prop_id) p_x000D_
JOIN csd.pgm_ele pec ON pec.pgm_ele_code = p.pgm_ele_code_x000D_
ORDER BY PEC_x000D_
</t>
  </si>
  <si>
    <t>RA_ckConfRevrInst</t>
  </si>
  <si>
    <t xml:space="preserve">--Needs: RA_lead(#myLead)_x000D_
SELECT r.revr_id, i.inst_shrt_name, rtrim(revr.revr_last_name) + ', ' + rtrim(revr.revr_frst_name) AS Panelist_x000D_
FROM (SELECT DISTINCT rp.revr_id FROM #myLead p_x000D_
     JOIN csd.rev_prop rp ON rp.prop_id = p.lead AND rp.rev_stts_code = 'C') as r_x000D_
JOIN csd.revr revr ON revr.revr_id = r.revr_id_x000D_
LEFT JOIN csd.inst i ON i.inst_id = revr.inst_id_x000D_
ORDER BY i.inst_shrt_name, Panelist_x000D_
</t>
  </si>
  <si>
    <t>RA_confl</t>
  </si>
  <si>
    <t xml:space="preserve">--Needs: #myRevs, #myRevPanl_x000D_
--DROP TABLE #myPPConfl_x000D_
select rp.lead, rp.panl_id, rtrim(r.revr_frst_name) + ' ' + rtrim(r.revr_last_name) +', ' + rtrim(i.inst_shrt_name) as confl,_x000D_
--c.revr_id, r.revr_last_name, r.revr_frst_name, i.inst_shrt_name, _x000D_
id=identity(18), 0 as seq_x000D_
INTO #myPConfl FROM #myRevPanl rp_x000D_
JOIN #myRevs c ON c.panl_id = rp.panl_id and c.lead = rp.lead and c.confl=1_x000D_
JOIN csd.revr r ON r.revr_id = c.revr_id_x000D_
LEFT JOIN csd.inst i ON i.inst_id = r.inst_id_x000D_
ORDER BY rp.lead, rp.panl_id, r.revr_last_name_x000D_
_x000D_
SELECT lead, panl_id, MIN(id) as start INTO #myCStarts FROM #myPConfl GROUP BY lead, panl_id_x000D_
UPDATE #myPConfl SET seq = id-M.start FROM #myPConfl r, #myCStarts M  WHERE r.lead = M.lead and r.panl_id = M.panl_id_x000D_
DROP TABLE #myCStarts_x000D_
_x000D_
SELECT lead, panl_id, count(confl) as C,  _x000D_
 MAX(CASE r.seq WHEN  0 THEN r.confl ELSE '' END)+_x000D_
 MAX(CASE r.seq WHEN  1 THEN '; '+r.confl ELSE '' END)+_x000D_
 MAX(CASE r.seq WHEN  2 THEN ','+r.confl ELSE '' END)+_x000D_
 MAX(CASE r.seq WHEN  3 THEN ','+r.confl ELSE '' END)+_x000D_
 MAX(CASE r.seq WHEN  4 THEN ','+r.confl ELSE '' END)+_x000D_
 MAX(CASE r.seq WHEN  5 THEN ','+r.confl ELSE '' END)+_x000D_
 MAX(CASE r.seq WHEN  6 THEN ','+r.confl ELSE '' END) AS CR_x000D_
INTO #myPPConfl  FROM #myPConfl r _x000D_
GROUP BY lead, panl_id_x000D_
CREATE INDEX myPPConfl_ix ON #myPPConfl(lead, panl_id)_x000D_
DROP TABLE #myPConfl_x000D_
</t>
  </si>
  <si>
    <t xml:space="preserve">-- Needs: RA_lead(#myLead),RA_revs(#myRevs, #myRevPanl)_x000D_
--DROP TABLE #myPanl, #myProjPanl, #myProjPanlSumm_x000D_
SELECT pn.panl_id AS I, panl_name AS PN, panl_end_date AS E, _x000D_
  (SELECT COUNT(DISTINCT revr_id) FROM csd.panl_revr r WHERE r.panl_id = pn.panl_id) AS P,_x000D_
  convert(varchar(126),NULL) AS S _x000D_
INTO #myPanl FROM (SELECT DISTINCT panl_id FROM #myLead pid JOIN csd.panl_prop pp ON pp.prop_id = pid.lead) pn_x000D_
JOIN csd.panl panl ON panl.panl_id = pn.panl_id_x000D_
CREATE INDEX myPanl_ix ON #myPanl(I)_x000D_
SELECT pp.panl_id, s.RCOM_SEQ_NUM, RCOM_ABBR, Count(s.PROP_ID) AS rtCount_x000D_
INTO #myPanlOutcomes FROM #myPanl pl_x000D_
JOIN csd.panl_prop pp ON pp.panl_id = pl.I -- for all lead props on my panls_x000D_
JOIN csd.prop p ON p.prop_id = pp.prop_id AND isnull(lead_prop_id,p.prop_id) = p.prop_id_x000D_
JOIN FLflpdb.flp.panl_prop_summ s ON s.PANL_ID = pl.I AND s.PROP_ID = pp.prop_id_x000D_
LEFT JOIN FLflpdb.flp.panl_rcom_def d ON d.PANL_ID = pl.I AND d.RCOM_SEQ_NUM = s.RCOM_SEQ_NUM_x000D_
GROUP BY pp.panl_id, s.RCOM_SEQ_NUM, RCOM_ABBR_x000D_
ORDER BY pp.panl_id, s.RCOM_SEQ_NUM_x000D_
UPDATE #myPanl SET S = (SELECT isnull(convert(varchar,SUM(ps.rtCount)),'No') + ' rated projects' +_x000D_
    MAX( CASE ps.RCOM_SEQ_NUM WHEN 1 THEN ': ' + convert(varchar,ps.rtCount) + ' ' +  ps.RCOM_ABBR ELSE '' END ) +_x000D_
    MAX( CASE ps.RCOM_SEQ_NUM WHEN 2 THEN ', ' + convert(varchar,ps.rtCount) + ' ' +  ps.RCOM_ABBR ELSE '' END ) +_x000D_
    MAX( CASE ps.RCOM_SEQ_NUM WHEN 3 THEN ', ' + convert(varchar,ps.rtCount) + ' ' +  ps.RCOM_ABBR ELSE '' END ) +_x000D_
    MAX( CASE ps.RCOM_SEQ_NUM WHEN 4 THEN ', ' + convert(varchar,ps.rtCount) + ' ' +  ps.RCOM_ABBR ELSE '' END ) +_x000D_
    MAX( CASE ps.RCOM_SEQ_NUM WHEN 5 THEN ', ' + convert(varchar,ps.rtCount) + ' ' +  ps.RCOM_ABBR ELSE '' END ) +_x000D_
    MAX( CASE ps.RCOM_SEQ_NUM WHEN 6 THEN ', ' + convert(varchar,ps.rtCount) + ' ' +  ps.RCOM_ABBR ELSE '' END )_x000D_
    FROM #myPanlOutcomes ps WHERE ps.panl_id = pl.I) _x000D_
FROM #myPanl pl DROP TABLE #myPanlOutcomes_x000D_
_x000D_
--per project panel summary _x000D_
SELECT rp.lead, ps.*, rp.N, rp.V, s.RCOM_SEQ_NUM AS RS, d.RCOM_ABBR as RA, d.RCOM_TXT as RT, s.PROP_ORDR as RK,_x000D_
c.C, C.CR,_x000D_
--nullif((SELECT count(*) FROM #myRevs c WHERE confl=1 AND c.panl_id = rp.panl_id AND c.lead = rp.lead ),0) as C2,_x000D_
CASE WHEN panl_summ_unrl_flag = 'Y' THEN 1 ELSE 0 END as summ_unrls, _x000D_
CASE WHEN panl_summ_unrl_flag = 'Y' OR panl_summ_rlse_flag = 'Y'  THEN 0 ELSE 1 END as summ_unmrkd, id=identity(18), 0 as seq_x000D_
INTO #myProjPanl FROM #myRevPanl rp_x000D_
JOIN #myPanl ps ON ps.I = rp.panl_id_x000D_
LEFT JOIN #myPPConfl c ON c.lead = rp.lead AND c.panl_id = rp.panl_id_x000D_
LEFT JOIN FLflpdb.flp.panl_prop_summ s ON s.panl_id = rp.panl_id AND s.prop_id = rp.lead_x000D_
LEFT JOIN FLflpdb.flp.panl_rcom_def d ON d.panl_id = rp.panl_id  AND d.RCOM_SEQ_NUM = s.RCOM_SEQ_NUM_x000D_
ORDER BY lead, ps.E_x000D_
CREATE INDEX myProjPanl_ix ON #myProjPanl(lead)_x000D_
SELECT lead, MIN(id) as start INTO #myPStarts FROM #myProjPanl GROUP BY lead_x000D_
UPDATE #myProjPanl SET seq = id-M.start FROM #myProjPanl r, #myPStarts M  WHERE r.lead = M.lead_x000D_
DROP TABLE #myPStarts_x000D_
SELECT lead, count(I) AS nPanl, min(RS)+isnull(min(RK),0)/100.0 AS RecRkMin, nullif(sum(summ_unrls),0) as nPSunrls, _x000D_
    nullif(sum(summ_unmrkd),0) as nPSunmrkd _x000D_
INTO #myProjPanlSumm FROM #myProjPanl GROUP BY lead_x000D_
</t>
  </si>
  <si>
    <t xml:space="preserve">-- Needs: RA_lead(#myLead,#myRA),RA_propPRCs(#myPRCs),RA_prop(#myPropInfo,#myPropBudg),RA_revs(#myRevs, #myRevMarks, #myRevPanl), RA_panl(#myPanl, #myProjPanl, #myProjPanlSumm)_x000D_
SELECT nullif(dd_rcom_date,'1900-01-01') AS dd_rcom_date, nsf_rcvd_date, _x000D_
prop.pgm_annc_id, prop.org_code, prop.pgm_ele_code, natr_rqst.natr_rqst_abbr, prop_stts_abbr, prop.obj_clas_code,_x000D_
cntx_stmt_id,p.PO,ra.RAupdate, _x000D_
nPanl, isnull(RecRkMin,99) AS RecRkMin, pn0.RA as rec0, pn1.RA as rec1, pn2.RA as rec2, _x000D_
p.RAtemplate, org.dir_div_abbr as Div, rs.*, -- lead, Nrev, Nunmkd, min, avg, max scores, allReviews, last_rev_date _x000D_
rm.Nunrlsbl, projTot.rqst_tot, budg_tot, budRevnMax, _x000D_
prop.rqst_eff_date, prop.rqst_mnth_cnt, _x000D_
rtrim(prop_titl_txt) AS prop_titl_txt, _x000D_
ah.N as AhNrev, ah.V as AhRevs, ah.last_rev_date as AhLast,_x000D_
 pn0.I AS panl_id0, pn0.RT AS RCOM_TXT0, pn0.RK AS rank0, pn0.PN AS panl_name0,pn0.E AS panl_end0,pn0.V AS revs0,pn0.S AS PanlString0,pn0.P as pnlst0, pn0.C as confl0, pn0.CR as conflrev0,_x000D_
 pn1.I AS panl_id1, pn1.RT AS RCOM_TXT1, pn1.RK AS rank1, pn1.PN AS panl_name1,pn1.E AS panl_end1,pn1.V AS revs1,pn1.S AS PanlString1,pn1.P as pnlst1, pn1.C as confl1, pn1.CR as conflrev1,_x000D_
 pn2.I AS panl_id2, pn2.RT AS RCOM_TXT2, pn2.RK AS rank2, pn2.PN AS panl_name2,pn2.E AS panl_end2,pn2.V AS revs2,pn2.S AS PanlString2,pn2.P as pnlst2, pn2.C as confl2, pn2.CR as conflrev2,_x000D_
p0.prop_id as prop_id0, p0.L as last0, p0.F as frst0, p0.I as inst0, p0.D as rqst0, p0.T as b0tot, p0.R as PRC0,_x000D_
p1.prop_id as prop_id1, p1.L as last1, p1.F as frst1, p1.I as inst1, p1.D as rqst1, p1.T as b1tot, p1.R as PRC1,_x000D_
p2.prop_id as prop_id2, p2.L as last2, p2.F as frst2, p2.I as inst2, p2.D as rqst2, p2.T as b2tot, p2.R as PRC2,_x000D_
p3.prop_id as prop_id3, p3.L as last3, p3.F as frst3, p3.I as inst3, p3.D as rqst3, p3.T as b3tot, p3.R as PRC3,_x000D_
p4.prop_id as prop_id4, p4.L as last4, p4.F as frst4, p4.I as inst4, p4.D as rqst4, p4.T as b4tot, p4.R as PRC4,_x000D_
p5.prop_id as prop_id5, p5.L as last5, p5.F as frst5, p5.I as inst5, p5.D as rqst5, p5.T as b5tot, p5.R as PRC5,_x000D_
p6.prop_id as prop_id6, p6.L as last6, p6.F as frst6, p6.I as inst6, p6.D as rqst6, p6.T as b6tot, p6.R as PRC6,_x000D_
rtrim(pa.dflt_prop_titl_txt) AS solicitation, org.org_long_name as Div_name, _x000D_
pgm_ele_name, sign_blck_name, prop_stts_txt, natr_rqst_txt, obj_clas_name,_x000D_
o2.dir_div_abbr as Dir, o2.org_long_name as Dir_name, getdate() AS pulldate, _x000D_
p0.M AS email, convert(varchar(255),(SELECT MAX(CASE r.seq WHEN  0 THEN r.M ELSE '' END)+_x000D_
 MAX(CASE r.seq WHEN  1 THEN ';'+r.M ELSE '' END)+_x000D_
 MAX(CASE r.seq WHEN  2 THEN ';'+r.M ELSE '' END)+_x000D_
 MAX(CASE r.seq WHEN  3 THEN ';'+r.M ELSE '' END)+_x000D_
 MAX(CASE r.seq WHEN  4 THEN ';'+r.M ELSE '' END)+_x000D_
 MAX(CASE r.seq WHEN  5 THEN ';'+r.M ELSE '' END)+_x000D_
 MAX(CASE r.seq WHEN  6 THEN ';'+r.M ELSE '' END) _x000D_
FROM #myPropInfo r WHERE r.lead = p.lead)) AS allPIemail_x000D_
--INTO #myTmp -- save to get types for formatting dummy line_x000D_
FROM #myLead p_x000D_
JOIN csd.prop prop ON prop.prop_id = p.lead_x000D_
JOIN csd.org org ON org.org_code = prop.org_code_x000D_
LEFT JOIN csd.org o2 ON o2.org_code =left(prop.org_code,2)+'000000' _x000D_
LEFT JOIN csd.pgm_ele pe ON pe.pgm_ele_code = prop.pgm_ele_code_x000D_
LEFT JOIN csd.pgm_annc pa ON pa.pgm_annc_id = prop.pgm_annc_id_x000D_
JOIN csd.obj_clas oc ON oc.obj_clas_code = prop.obj_clas_code_x000D_
JOIN csd.prop_stts prop_stts ON prop_stts.prop_stts_code = prop.prop_stts_code_x000D_
JOIN csd.natr_rqst natr_rqst ON natr_rqst.natr_rqst_code = prop.natr_rqst_code_x000D_
LEFT JOIN #myRA ra ON ra.lead = p.lead_x000D_
LEFT JOIN #myRevSumm rs ON rs.lead = p.lead_x000D_
LEFT JOIN #myRevMarks rm ON rm.lead = p.lead_x000D_
LEFT JOIN csd.po_vw po_vw ON po_vw.po_ibm_logn_id = p.PO_x000D_
LEFT JOIN #myRevPanl ah ON ah.lead = p.lead AND ah.panl_id =  @adhoc_x000D_
LEFT JOIN (SELECT * FROM #myProjPanl WHERE 0=seq) pn0 ON pn0.lead = p.lead_x000D_
LEFT JOIN (SELECT * FROM #myProjPanl WHERE 1=seq) pn1 ON pn1.lead = p.lead_x000D_
LEFT JOIN (SELECT * FROM #myProjPanl WHERE 2=seq) pn2 ON pn2.lead = p.lead _x000D_
LEFT JOIN (SELECT lead, count(I) AS nPanl, min(RS)+isnull(min(RK),0)/100.0 AS RecRkMin _x000D_
           FROM #myProjPanl GROUP BY lead) pn ON pn.lead = p.lead_x000D_
LEFT JOIN (SELECT * FROM #myPropInfo mp WHERE mp.seq = 0) p0 ON p0.lead = p.lead_x000D_
LEFT JOIN (SELECT * FROM #myPropInfo mp WHERE mp.seq = 1) p1 ON p1.lead = p.lead_x000D_
LEFT JOIN (SELECT * FROM #myPropInfo mp WHERE mp.seq = 2) p2 ON p2.lead = p.lead_x000D_
LEFT JOIN (SELECT * FROM #myPropInfo mp WHERE mp.seq = 3) p3 ON p3.lead = p.lead_x000D_
LEFT JOIN (SELECT * FROM #myPropInfo mp WHERE mp.seq = 4) p4 ON p4.lead = p.lead_x000D_
LEFT JOIN (SELECT * FROM #myPropInfo mp WHERE mp.seq = 5) p5 ON p5.lead = p.lead_x000D_
LEFT JOIN (SELECT * FROM #myPropInfo mp WHERE mp.seq = 6) p6 ON p6.lead = p.lead_x000D_
LEFT JOIN (SELECT lead, SUM(D) AS rqst_tot, SUM(T) AS budg_tot, MAX(RN) AS budRevnMax_x000D_
           FROM #myPropInfo GROUP BY lead) projTot ON projTot.lead = p.lead_x000D_
</t>
  </si>
  <si>
    <t>RA_allRAdata2</t>
  </si>
  <si>
    <t xml:space="preserve">UNION ALL SELECT @olddate,@olddate -- example to set mail merge format.  _x000D_
,'.first line.','..please','keep','for ','mail','merge','formatting.','thx.',@olddate_x000D_
,0,-0.99999999,'NRFP','NRFP','NRFP','zztemplateFname RAt.docx'_x000D_
,'Divn','1234567',0,0,1,4.5,9,'E,E/V,V,V/G,G,G/F,F,F/P,P',@olddate, 0_x000D_
,99999999.0,99999999.0,0,@olddate,36_x000D_
,'This first row is needed so that mail merge formatting will be correct. Please do not remove it.  Mail merge takes its formatting from the first rows of the table............'_x000D_
,0,'E,V,G,F,P',@olddate_x000D_
,'P123456','Dont remove this line for panel rec formatting....',99,'Panel name spelled out; keep this line for formatting.......',@olddate,'E,E/V,V,V/G,G,G/F,F,F/P,P','Reports rank &amp; all recs (HC, etc.) from Interactive Panel System (IPS).  I suggest Standard competition rank  (wikipedia) .',0,0,'List of conflicted panelists separated by semicolons. Not everyone will need this list, but some divisions request this information, so I am seeing if we can provide it. There is a limit of seven names returned, though all will be counted.'_x000D_
,'P123456','Dont remove this line for panel rec formatting....',99,'Panel name spelled out; keep this line for formatting.......',@olddate,'E,E/V,V,V/G,G,G/F,F,F/P,P','Reports rank &amp; all recs (HC, etc.) from Interactive Panel System (IPS).  I suggest Standard competition rank  (wikipedia) .',0,0,'List of conflicted panelists separated by semicolons. Not everyone will need this list, but some divisions request this information, so I am seeing if we can provide it. There is a limit of seven names returned, though all will be counted.'_x000D_
,'P123456','Dont remove this line for panel rec formatting....',99,'Panel name spelled out; keep this line for formatting.......',@olddate,'E,E/V,V,V/G,G,G/F,F,F/P,P','Reports rank &amp; all recs (HC, etc.) from Interactive Panel System (IPS).  I suggest Standard competition rank  (wikipedia) .',0,0,'List of conflicted panelists separated by semicolons. Not everyone will need this list, but some divisions request this information, so I am seeing if we can provide it. There is a limit of seven names returned, though all will be counted.'_x000D_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,'Solicitation name retrieved from pgm_annc. This example is for formatting; please do not remove this line............'_x000D_
,'Division or directorate name retrieved by org_code from org. This example is for formatting; please do not remove this line............'_x000D_
,'Program Element name retrieved','Name for PO signature','Proposal status details','Nature of request full name','Object Class full name','DIR'_x000D_
,'Directorate name retrieved by modified org_code from org. This example is for formatting; please do not remove this line............'_x000D_
,@olddate,'Email of lead PI on the project','list of all emails for Pis on Lead and non-lead proposals on the project.  Does not include the co-Pis. '_x000D_
</t>
  </si>
  <si>
    <t>revr_id</t>
  </si>
  <si>
    <t>inst_shrt_name</t>
  </si>
  <si>
    <t>Panelist</t>
  </si>
  <si>
    <t>conflrev0</t>
  </si>
  <si>
    <t>conflrev1</t>
  </si>
  <si>
    <t>conflrev2</t>
  </si>
  <si>
    <t>on PC/Citrix WIn7:</t>
  </si>
  <si>
    <r>
      <t xml:space="preserve">Std are autoloaded to eJ. Use Word (PC or Mac) to complete drafts &amp; </t>
    </r>
    <r>
      <rPr>
        <i/>
        <sz val="11"/>
        <color theme="5" tint="-0.499984740745262"/>
        <rFont val="Calibri"/>
        <family val="2"/>
        <scheme val="minor"/>
      </rPr>
      <t>CleanCopy</t>
    </r>
    <r>
      <rPr>
        <sz val="11"/>
        <color theme="5" tint="-0.499984740745262"/>
        <rFont val="Calibri"/>
        <family val="2"/>
        <scheme val="minor"/>
      </rPr>
      <t xml:space="preserve"> to eJacket.  </t>
    </r>
  </si>
  <si>
    <t>Select folder to save RA drafts and project review docs:</t>
  </si>
  <si>
    <t>Check/set output folder pref. at right</t>
  </si>
  <si>
    <t>usu. R: or local:</t>
  </si>
  <si>
    <t>Preferences</t>
  </si>
  <si>
    <t>Check signature&amp;autoload prefs.</t>
  </si>
  <si>
    <t>Note: RA template folder preferences are on the Advanced tab</t>
  </si>
  <si>
    <t>paste values:</t>
  </si>
  <si>
    <t>use during panel!</t>
  </si>
  <si>
    <t>Conflict</t>
  </si>
  <si>
    <t>If Std Declines have Es</t>
  </si>
  <si>
    <t>Reviewers with some conflict</t>
  </si>
  <si>
    <t>above or Advanced</t>
  </si>
  <si>
    <t>0702%</t>
  </si>
  <si>
    <r>
      <t xml:space="preserve">       in table below, and press </t>
    </r>
    <r>
      <rPr>
        <b/>
        <sz val="11"/>
        <color theme="5" tint="-0.499984740745262"/>
        <rFont val="Calibri"/>
        <family val="2"/>
        <scheme val="minor"/>
      </rPr>
      <t>GO</t>
    </r>
    <r>
      <rPr>
        <sz val="11"/>
        <color theme="5" tint="-0.499984740745262"/>
        <rFont val="Calibri"/>
        <family val="2"/>
        <scheme val="minor"/>
      </rPr>
      <t>.</t>
    </r>
  </si>
  <si>
    <r>
      <t xml:space="preserve">3. Click </t>
    </r>
    <r>
      <rPr>
        <b/>
        <sz val="11"/>
        <color theme="5" tint="-0.499984740745262"/>
        <rFont val="Calibri"/>
        <family val="2"/>
        <scheme val="minor"/>
      </rPr>
      <t>PDF</t>
    </r>
    <r>
      <rPr>
        <sz val="11"/>
        <color theme="5" tint="-0.499984740745262"/>
        <rFont val="Calibri"/>
        <family val="2"/>
        <scheme val="minor"/>
      </rPr>
      <t xml:space="preserve"> to gather review documents.</t>
    </r>
  </si>
  <si>
    <t>P1%</t>
  </si>
  <si>
    <t xml:space="preserve">0. If needed, choose template &amp; output folders. </t>
  </si>
  <si>
    <r>
      <rPr>
        <b/>
        <sz val="11"/>
        <rFont val="Calibri"/>
        <family val="2"/>
        <scheme val="minor"/>
      </rPr>
      <t>RoboRA</t>
    </r>
    <r>
      <rPr>
        <sz val="11"/>
        <rFont val="Calibri"/>
        <family val="2"/>
        <scheme val="minor"/>
      </rPr>
      <t xml:space="preserve"> fills RA drafts from reportserver &amp; shows coding and project review documents.</t>
    </r>
  </si>
  <si>
    <r>
      <t xml:space="preserve">Check RA templates </t>
    </r>
    <r>
      <rPr>
        <sz val="9"/>
        <rFont val="Calibri"/>
        <family val="2"/>
        <scheme val="minor"/>
      </rPr>
      <t>(above each table)</t>
    </r>
  </si>
  <si>
    <r>
      <t xml:space="preserve">Paste prop_id </t>
    </r>
    <r>
      <rPr>
        <sz val="10"/>
        <rFont val="Calibri"/>
        <family val="2"/>
        <scheme val="minor"/>
      </rPr>
      <t>(values)</t>
    </r>
    <r>
      <rPr>
        <sz val="11"/>
        <rFont val="Calibri"/>
        <family val="2"/>
        <scheme val="minor"/>
      </rPr>
      <t xml:space="preserve"> into tables </t>
    </r>
  </si>
  <si>
    <t xml:space="preserve">           All others are  declines.</t>
  </si>
  <si>
    <t xml:space="preserve">           Auto decline templates must begin with Std</t>
  </si>
  <si>
    <t>Source of shared RA templates:</t>
  </si>
  <si>
    <t>Local folder with custom RA templates, if desired:</t>
  </si>
  <si>
    <t>\\collaboration.inside.nsf.gov@SSL\DavWWWRoot\eng\meritreview\SiteAssets\ENG Tools Websites and Best Practices\RoboRA\RAtemplates\*.docx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</si>
</sst>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44" formatCode="_(&quot;$&quot;* #,##0.00_);_(&quot;$&quot;* \(#,##0.00\);_(&quot;$&quot;* &quot;-&quot;??_);_(@_)"/>
    <numFmt numFmtId="164" formatCode="&quot;$&quot;#,##0"/>
    <numFmt numFmtId="165" formatCode="mm/dd/yy;@"/>
    <numFmt numFmtId="166" formatCode="_(&quot;$&quot;* #,##0_);_(&quot;$&quot;* \(#,##0\);_(&quot;$&quot;* &quot;-&quot;??_);_(@_)"/>
    <numFmt numFmtId="167" formatCode="&quot;$&quot;#,##0.00"/>
    <numFmt numFmtId="168" formatCode="mm/dd/yy\ hh:mm"/>
    <numFmt numFmtId="169" formatCode="_([$$-409]* #,##0_);_([$$-409]* \(#,##0\);_([$$-409]* &quot;-&quot;??_);_(@_)"/>
    <numFmt numFmtId="170" formatCode=";;;**********"/>
  </numFmts>
  <fonts count="36" x14ac:knownFonts="1">
    <font>
      <sz val="11"/>
      <color theme="1"/>
      <name val="Calibri"/>
      <family val="2"/>
      <scheme val="minor"/>
    </font>
    <font>
      <sz val="11"/>
      <color theme="5" tint="-0.499984740745262"/>
      <name val="Calibri"/>
      <family val="2"/>
      <scheme val="minor"/>
    </font>
    <font>
      <sz val="11"/>
      <color rgb="FFC00000"/>
      <name val="Calibri"/>
      <family val="2"/>
      <scheme val="minor"/>
    </font>
    <font>
      <sz val="11"/>
      <color rgb="FF000000"/>
      <name val="Calibri"/>
      <family val="2"/>
    </font>
    <font>
      <u/>
      <sz val="11"/>
      <color theme="10"/>
      <name val="Calibri"/>
      <family val="2"/>
      <scheme val="minor"/>
    </font>
    <font>
      <sz val="11"/>
      <color theme="1"/>
      <name val="Calibri"/>
      <family val="2"/>
      <scheme val="minor"/>
    </font>
    <font>
      <sz val="11"/>
      <name val="Calibri"/>
      <family val="2"/>
      <scheme val="minor"/>
    </font>
    <font>
      <sz val="8"/>
      <color theme="3"/>
      <name val="Calibri"/>
      <family val="2"/>
      <scheme val="minor"/>
    </font>
    <font>
      <sz val="8"/>
      <color theme="4"/>
      <name val="Calibri"/>
      <family val="2"/>
      <scheme val="minor"/>
    </font>
    <font>
      <sz val="11"/>
      <color theme="4" tint="-0.499984740745262"/>
      <name val="Calibri"/>
      <family val="2"/>
      <scheme val="minor"/>
    </font>
    <font>
      <sz val="9"/>
      <color indexed="81"/>
      <name val="Tahoma"/>
      <family val="2"/>
    </font>
    <font>
      <b/>
      <sz val="9"/>
      <color indexed="81"/>
      <name val="Tahoma"/>
      <family val="2"/>
    </font>
    <font>
      <sz val="11"/>
      <name val="Calibri"/>
      <family val="2"/>
    </font>
    <font>
      <sz val="10"/>
      <color theme="5" tint="-0.499984740745262"/>
      <name val="Calibri"/>
      <family val="2"/>
      <scheme val="minor"/>
    </font>
    <font>
      <sz val="11"/>
      <color theme="3" tint="-0.249977111117893"/>
      <name val="Calibri"/>
      <family val="2"/>
      <scheme val="minor"/>
    </font>
    <font>
      <sz val="11"/>
      <color rgb="FF7030A0"/>
      <name val="Calibri"/>
      <family val="2"/>
      <scheme val="minor"/>
    </font>
    <font>
      <sz val="11"/>
      <color rgb="FF00B0F0"/>
      <name val="Calibri"/>
      <family val="2"/>
      <scheme val="minor"/>
    </font>
    <font>
      <sz val="9"/>
      <color theme="1"/>
      <name val="Calibri"/>
      <family val="2"/>
      <scheme val="minor"/>
    </font>
    <font>
      <sz val="8"/>
      <color rgb="FF000000"/>
      <name val="Segoe UI"/>
      <family val="2"/>
    </font>
    <font>
      <b/>
      <sz val="11"/>
      <color theme="0"/>
      <name val="Calibri"/>
      <family val="2"/>
      <scheme val="minor"/>
    </font>
    <font>
      <sz val="11"/>
      <color theme="0"/>
      <name val="Calibri"/>
      <family val="2"/>
      <scheme val="minor"/>
    </font>
    <font>
      <b/>
      <sz val="12"/>
      <color theme="0"/>
      <name val="Calibri"/>
      <family val="2"/>
      <scheme val="minor"/>
    </font>
    <font>
      <b/>
      <sz val="14"/>
      <color theme="0"/>
      <name val="Calibri"/>
      <family val="2"/>
      <scheme val="minor"/>
    </font>
    <font>
      <b/>
      <sz val="11"/>
      <color theme="7" tint="-0.249977111117893"/>
      <name val="Calibri"/>
      <family val="2"/>
      <scheme val="minor"/>
    </font>
    <font>
      <b/>
      <sz val="10"/>
      <color indexed="9"/>
      <name val="Corbel"/>
      <family val="2"/>
    </font>
    <font>
      <sz val="9"/>
      <color theme="5" tint="-0.499984740745262"/>
      <name val="Calibri"/>
      <family val="2"/>
      <scheme val="minor"/>
    </font>
    <font>
      <sz val="11"/>
      <color theme="7" tint="-0.499984740745262"/>
      <name val="Calibri"/>
      <family val="2"/>
      <scheme val="minor"/>
    </font>
    <font>
      <sz val="11"/>
      <color theme="0" tint="-0.499984740745262"/>
      <name val="Calibri"/>
      <family val="2"/>
      <scheme val="minor"/>
    </font>
    <font>
      <sz val="11"/>
      <name val="Calibri"/>
      <family val="2"/>
    </font>
    <font>
      <b/>
      <sz val="11"/>
      <color rgb="FFFF0000"/>
      <name val="Calibri"/>
      <family val="2"/>
      <scheme val="minor"/>
    </font>
    <font>
      <sz val="12"/>
      <color theme="1"/>
      <name val="Calibri"/>
      <family val="2"/>
      <scheme val="minor"/>
    </font>
    <font>
      <b/>
      <sz val="11"/>
      <color theme="5" tint="-0.499984740745262"/>
      <name val="Calibri"/>
      <family val="2"/>
      <scheme val="minor"/>
    </font>
    <font>
      <i/>
      <sz val="11"/>
      <color theme="5" tint="-0.499984740745262"/>
      <name val="Calibri"/>
      <family val="2"/>
      <scheme val="minor"/>
    </font>
    <font>
      <b/>
      <sz val="11"/>
      <name val="Calibri"/>
      <family val="2"/>
      <scheme val="minor"/>
    </font>
    <font>
      <sz val="9"/>
      <name val="Calibri"/>
      <family val="2"/>
      <scheme val="minor"/>
    </font>
    <font>
      <sz val="10"/>
      <name val="Calibri"/>
      <family val="2"/>
      <scheme val="minor"/>
    </font>
  </fonts>
  <fills count="5">
    <fill>
      <patternFill patternType="none"/>
    </fill>
    <fill>
      <patternFill patternType="gray125"/>
    </fill>
    <fill>
      <patternFill patternType="solid">
        <fgColor theme="7" tint="-0.249977111117893"/>
        <bgColor indexed="64"/>
      </patternFill>
    </fill>
    <fill>
      <patternFill patternType="solid">
        <fgColor theme="3"/>
        <bgColor indexed="64"/>
      </patternFill>
    </fill>
    <fill>
      <patternFill patternType="solid">
        <fgColor theme="6"/>
        <bgColor theme="6"/>
      </patternFill>
    </fill>
  </fills>
  <borders count="13">
    <border>
      <left/>
      <right/>
      <top/>
      <bottom/>
      <diagonal/>
    </border>
    <border>
      <left style="thin">
        <color auto="1"/>
      </left>
      <right/>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top style="thin">
        <color theme="0" tint="-0.14996795556505021"/>
      </top>
      <bottom style="thin">
        <color theme="0" tint="-0.14996795556505021"/>
      </bottom>
      <diagonal/>
    </border>
    <border>
      <left/>
      <right style="thin">
        <color theme="0" tint="-0.14996795556505021"/>
      </right>
      <top style="thin">
        <color theme="0" tint="-0.14996795556505021"/>
      </top>
      <bottom style="thin">
        <color theme="0" tint="-0.14996795556505021"/>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6"/>
      </left>
      <right/>
      <top style="thin">
        <color theme="6"/>
      </top>
      <bottom/>
      <diagonal/>
    </border>
    <border>
      <left/>
      <right/>
      <top style="thin">
        <color theme="6"/>
      </top>
      <bottom/>
      <diagonal/>
    </border>
    <border>
      <left/>
      <right style="thin">
        <color theme="6"/>
      </right>
      <top style="thin">
        <color theme="6"/>
      </top>
      <bottom/>
      <diagonal/>
    </border>
  </borders>
  <cellStyleXfs count="6">
    <xf numFmtId="0" fontId="0" fillId="0" borderId="0"/>
    <xf numFmtId="0" fontId="4" fillId="0" borderId="0" applyNumberFormat="0" applyFill="0" applyBorder="0" applyAlignment="0" applyProtection="0"/>
    <xf numFmtId="44" fontId="5" fillId="0" borderId="0" applyFont="0" applyFill="0" applyBorder="0" applyAlignment="0" applyProtection="0"/>
    <xf numFmtId="0" fontId="7" fillId="0" borderId="0" applyNumberFormat="0" applyFill="0" applyBorder="0" applyAlignment="0" applyProtection="0">
      <alignment horizontal="left" vertical="center"/>
    </xf>
    <xf numFmtId="167" fontId="8" fillId="0" borderId="0" applyFill="0" applyBorder="0" applyAlignment="0" applyProtection="0">
      <alignment horizontal="left" vertical="center"/>
    </xf>
    <xf numFmtId="9" fontId="5" fillId="0" borderId="0" applyFont="0" applyFill="0" applyBorder="0" applyAlignment="0" applyProtection="0"/>
  </cellStyleXfs>
  <cellXfs count="135">
    <xf numFmtId="0" fontId="0" fillId="0" borderId="0" xfId="0"/>
    <xf numFmtId="164" fontId="0" fillId="0" borderId="0" xfId="0" applyNumberFormat="1"/>
    <xf numFmtId="0" fontId="0" fillId="0" borderId="0" xfId="0" applyBorder="1"/>
    <xf numFmtId="0" fontId="1" fillId="0" borderId="0" xfId="0" applyFont="1"/>
    <xf numFmtId="0" fontId="2" fillId="0" borderId="0" xfId="0" applyFont="1" applyAlignment="1">
      <alignment horizontal="right"/>
    </xf>
    <xf numFmtId="165" fontId="0" fillId="0" borderId="0" xfId="0" applyNumberFormat="1"/>
    <xf numFmtId="0" fontId="0" fillId="0" borderId="0" xfId="0" applyFill="1"/>
    <xf numFmtId="0" fontId="4" fillId="0" borderId="0" xfId="1"/>
    <xf numFmtId="22" fontId="0" fillId="0" borderId="0" xfId="0" applyNumberFormat="1"/>
    <xf numFmtId="0" fontId="1" fillId="0" borderId="0" xfId="0" applyFont="1" applyFill="1"/>
    <xf numFmtId="0" fontId="6" fillId="0" borderId="0" xfId="0" applyFont="1" applyFill="1"/>
    <xf numFmtId="0" fontId="6" fillId="0" borderId="1" xfId="1" applyFont="1" applyBorder="1"/>
    <xf numFmtId="165" fontId="1" fillId="0" borderId="0" xfId="0" applyNumberFormat="1" applyFont="1"/>
    <xf numFmtId="166" fontId="0" fillId="0" borderId="0" xfId="2" applyNumberFormat="1" applyFont="1"/>
    <xf numFmtId="0" fontId="0" fillId="0" borderId="0" xfId="0" quotePrefix="1"/>
    <xf numFmtId="0" fontId="4" fillId="0" borderId="0" xfId="1" applyNumberFormat="1"/>
    <xf numFmtId="49" fontId="0" fillId="0" borderId="0" xfId="0" applyNumberFormat="1"/>
    <xf numFmtId="165" fontId="0" fillId="0" borderId="0" xfId="0" applyNumberFormat="1"/>
    <xf numFmtId="165" fontId="0" fillId="0" borderId="0" xfId="0" applyNumberFormat="1"/>
    <xf numFmtId="49" fontId="0" fillId="0" borderId="0" xfId="0" applyNumberFormat="1" applyFill="1" applyProtection="1">
      <protection locked="0"/>
    </xf>
    <xf numFmtId="49" fontId="9" fillId="0" borderId="0" xfId="0" applyNumberFormat="1" applyFont="1" applyFill="1" applyProtection="1"/>
    <xf numFmtId="0" fontId="0" fillId="0" borderId="0" xfId="0" applyNumberFormat="1"/>
    <xf numFmtId="168" fontId="0" fillId="0" borderId="0" xfId="0" applyNumberFormat="1"/>
    <xf numFmtId="165" fontId="0" fillId="0" borderId="0" xfId="0" applyNumberFormat="1"/>
    <xf numFmtId="0" fontId="0" fillId="0" borderId="0" xfId="0" applyAlignment="1">
      <alignment horizontal="right"/>
    </xf>
    <xf numFmtId="0" fontId="0" fillId="0" borderId="0" xfId="0" applyAlignment="1">
      <alignment horizontal="left"/>
    </xf>
    <xf numFmtId="2" fontId="0" fillId="0" borderId="0" xfId="0" applyNumberFormat="1"/>
    <xf numFmtId="165" fontId="0" fillId="0" borderId="0" xfId="0" applyNumberFormat="1"/>
    <xf numFmtId="165" fontId="0" fillId="0" borderId="0" xfId="0" applyNumberFormat="1"/>
    <xf numFmtId="49" fontId="0" fillId="0" borderId="0" xfId="0" applyNumberFormat="1"/>
    <xf numFmtId="165" fontId="0" fillId="0" borderId="0" xfId="0" applyNumberFormat="1"/>
    <xf numFmtId="166" fontId="0" fillId="0" borderId="0" xfId="0" applyNumberFormat="1"/>
    <xf numFmtId="169" fontId="0" fillId="0" borderId="0" xfId="0" applyNumberFormat="1"/>
    <xf numFmtId="0" fontId="0" fillId="0" borderId="0" xfId="0" applyAlignment="1">
      <alignment wrapText="1"/>
    </xf>
    <xf numFmtId="49" fontId="1" fillId="0" borderId="0" xfId="0" applyNumberFormat="1" applyFont="1"/>
    <xf numFmtId="0" fontId="1" fillId="0" borderId="0" xfId="0" applyFont="1" applyAlignment="1">
      <alignment horizontal="right"/>
    </xf>
    <xf numFmtId="0" fontId="14" fillId="0" borderId="0" xfId="0" applyFont="1"/>
    <xf numFmtId="49" fontId="14" fillId="0" borderId="0" xfId="0" applyNumberFormat="1" applyFont="1"/>
    <xf numFmtId="9" fontId="0" fillId="0" borderId="0" xfId="5" applyFont="1"/>
    <xf numFmtId="0" fontId="15" fillId="0" borderId="0" xfId="0" applyFont="1"/>
    <xf numFmtId="164" fontId="15" fillId="0" borderId="0" xfId="0" applyNumberFormat="1" applyFont="1"/>
    <xf numFmtId="166" fontId="15" fillId="0" borderId="0" xfId="2" applyNumberFormat="1" applyFont="1"/>
    <xf numFmtId="14" fontId="0" fillId="0" borderId="0" xfId="0" applyNumberFormat="1"/>
    <xf numFmtId="0" fontId="16" fillId="0" borderId="0" xfId="0" applyFont="1"/>
    <xf numFmtId="0" fontId="17" fillId="0" borderId="0" xfId="0" applyFont="1"/>
    <xf numFmtId="2" fontId="0" fillId="0" borderId="0" xfId="0" applyNumberFormat="1" applyBorder="1"/>
    <xf numFmtId="0" fontId="20" fillId="3" borderId="0" xfId="0" applyFont="1" applyFill="1"/>
    <xf numFmtId="0" fontId="20" fillId="3" borderId="0" xfId="0" applyFont="1" applyFill="1" applyAlignment="1">
      <alignment horizontal="left" vertical="center"/>
    </xf>
    <xf numFmtId="0" fontId="20" fillId="2" borderId="0" xfId="0" applyFont="1" applyFill="1"/>
    <xf numFmtId="0" fontId="21" fillId="2" borderId="0" xfId="0" applyFont="1" applyFill="1" applyAlignment="1">
      <alignment horizontal="center" vertical="center"/>
    </xf>
    <xf numFmtId="0" fontId="0" fillId="0" borderId="0" xfId="0" applyFont="1" applyFill="1" applyAlignment="1">
      <alignment horizontal="right" vertical="center"/>
    </xf>
    <xf numFmtId="165" fontId="23" fillId="0" borderId="2" xfId="0" applyNumberFormat="1" applyFont="1" applyFill="1" applyBorder="1" applyAlignment="1" applyProtection="1">
      <alignment horizontal="left" vertical="center"/>
    </xf>
    <xf numFmtId="49" fontId="23" fillId="0" borderId="3" xfId="0" applyNumberFormat="1" applyFont="1" applyFill="1" applyBorder="1" applyAlignment="1" applyProtection="1">
      <alignment horizontal="left" vertical="center"/>
    </xf>
    <xf numFmtId="49" fontId="23" fillId="0" borderId="4" xfId="0" applyNumberFormat="1" applyFont="1" applyFill="1" applyBorder="1" applyAlignment="1" applyProtection="1">
      <alignment horizontal="left" vertical="center"/>
    </xf>
    <xf numFmtId="49" fontId="23" fillId="0" borderId="3" xfId="0" quotePrefix="1" applyNumberFormat="1" applyFont="1" applyFill="1" applyBorder="1" applyAlignment="1" applyProtection="1">
      <alignment horizontal="left" vertical="center"/>
    </xf>
    <xf numFmtId="49" fontId="23" fillId="0" borderId="4" xfId="0" quotePrefix="1" applyNumberFormat="1" applyFont="1" applyFill="1" applyBorder="1" applyAlignment="1" applyProtection="1">
      <alignment horizontal="left" vertical="center"/>
    </xf>
    <xf numFmtId="0" fontId="17" fillId="0" borderId="0" xfId="0" applyFont="1" applyFill="1" applyAlignment="1">
      <alignment horizontal="right" vertical="center"/>
    </xf>
    <xf numFmtId="0" fontId="0" fillId="0" borderId="0" xfId="0" applyFill="1" applyProtection="1"/>
    <xf numFmtId="165" fontId="23" fillId="0" borderId="3" xfId="0" applyNumberFormat="1" applyFont="1" applyFill="1" applyBorder="1" applyAlignment="1" applyProtection="1">
      <alignment horizontal="left" vertical="center"/>
    </xf>
    <xf numFmtId="0" fontId="0" fillId="0" borderId="0" xfId="0" applyFont="1" applyFill="1"/>
    <xf numFmtId="0" fontId="25" fillId="0" borderId="0" xfId="0" applyFont="1" applyAlignment="1">
      <alignment horizontal="right"/>
    </xf>
    <xf numFmtId="0" fontId="0" fillId="0" borderId="0" xfId="0" applyProtection="1">
      <protection locked="0"/>
    </xf>
    <xf numFmtId="0" fontId="26" fillId="0" borderId="0" xfId="0" applyFont="1"/>
    <xf numFmtId="0" fontId="0" fillId="0" borderId="0" xfId="0" applyAlignment="1" applyProtection="1">
      <alignment horizontal="left" vertical="top"/>
      <protection locked="0"/>
    </xf>
    <xf numFmtId="0" fontId="0" fillId="0" borderId="0" xfId="0" applyAlignment="1" applyProtection="1">
      <alignment horizontal="right" vertical="top"/>
      <protection locked="0"/>
    </xf>
    <xf numFmtId="0" fontId="26" fillId="0" borderId="0" xfId="0" applyFont="1" applyAlignment="1" applyProtection="1">
      <alignment horizontal="left" vertical="top"/>
      <protection locked="0"/>
    </xf>
    <xf numFmtId="170" fontId="26" fillId="0" borderId="0" xfId="0" applyNumberFormat="1" applyFont="1" applyAlignment="1" applyProtection="1">
      <alignment horizontal="left" vertical="top"/>
      <protection locked="0" hidden="1"/>
    </xf>
    <xf numFmtId="0" fontId="26" fillId="0" borderId="5" xfId="0" applyFont="1" applyBorder="1" applyAlignment="1">
      <alignment horizontal="left" vertical="top"/>
    </xf>
    <xf numFmtId="0" fontId="26" fillId="0" borderId="6" xfId="0" applyFont="1" applyBorder="1" applyAlignment="1">
      <alignment horizontal="left" vertical="top"/>
    </xf>
    <xf numFmtId="0" fontId="26" fillId="0" borderId="1" xfId="0" applyFont="1" applyBorder="1" applyAlignment="1">
      <alignment horizontal="left" vertical="top"/>
    </xf>
    <xf numFmtId="0" fontId="26" fillId="0" borderId="7" xfId="0" applyFont="1" applyBorder="1" applyAlignment="1">
      <alignment horizontal="left" vertical="top"/>
    </xf>
    <xf numFmtId="0" fontId="26" fillId="0" borderId="8" xfId="0" applyFont="1" applyBorder="1" applyAlignment="1">
      <alignment horizontal="left" vertical="top"/>
    </xf>
    <xf numFmtId="0" fontId="26" fillId="0" borderId="9" xfId="0" applyFont="1" applyBorder="1" applyAlignment="1">
      <alignment horizontal="left" vertical="top"/>
    </xf>
    <xf numFmtId="0" fontId="19" fillId="4" borderId="10" xfId="0" applyFont="1" applyFill="1" applyBorder="1" applyAlignment="1">
      <alignment horizontal="left" vertical="top"/>
    </xf>
    <xf numFmtId="0" fontId="19" fillId="4" borderId="11" xfId="0" applyFont="1" applyFill="1" applyBorder="1" applyAlignment="1">
      <alignment horizontal="left" vertical="top"/>
    </xf>
    <xf numFmtId="22" fontId="0" fillId="0" borderId="0" xfId="0" applyNumberFormat="1" applyAlignment="1" applyProtection="1">
      <alignment horizontal="left" vertical="top"/>
      <protection locked="0"/>
    </xf>
    <xf numFmtId="0" fontId="12" fillId="0" borderId="0" xfId="1" applyFont="1"/>
    <xf numFmtId="165" fontId="6" fillId="0" borderId="0" xfId="1" applyNumberFormat="1" applyFont="1"/>
    <xf numFmtId="0" fontId="6" fillId="0" borderId="0" xfId="1" applyFont="1"/>
    <xf numFmtId="166" fontId="6" fillId="0" borderId="0" xfId="2" applyNumberFormat="1" applyFont="1"/>
    <xf numFmtId="166" fontId="6" fillId="0" borderId="0" xfId="2" applyNumberFormat="1" applyFont="1" applyFill="1"/>
    <xf numFmtId="167" fontId="0" fillId="0" borderId="0" xfId="0" applyNumberFormat="1"/>
    <xf numFmtId="49" fontId="0" fillId="0" borderId="0" xfId="0" applyNumberFormat="1" applyAlignment="1" applyProtection="1">
      <alignment horizontal="left" vertical="top"/>
      <protection locked="0"/>
    </xf>
    <xf numFmtId="49" fontId="19" fillId="4" borderId="12" xfId="0" applyNumberFormat="1" applyFont="1" applyFill="1" applyBorder="1" applyAlignment="1">
      <alignment horizontal="left" vertical="top"/>
    </xf>
    <xf numFmtId="49" fontId="0" fillId="0" borderId="0" xfId="0" applyNumberFormat="1" applyAlignment="1" applyProtection="1">
      <alignment horizontal="left" vertical="top" wrapText="1"/>
      <protection locked="0"/>
    </xf>
    <xf numFmtId="9" fontId="0" fillId="0" borderId="0" xfId="0" applyNumberFormat="1"/>
    <xf numFmtId="22" fontId="4" fillId="0" borderId="0" xfId="1" applyNumberFormat="1"/>
    <xf numFmtId="0" fontId="0" fillId="0" borderId="0" xfId="0" pivotButton="1"/>
    <xf numFmtId="0" fontId="0" fillId="0" borderId="0" xfId="0" applyAlignment="1">
      <alignment horizontal="left" indent="1"/>
    </xf>
    <xf numFmtId="0" fontId="0" fillId="0" borderId="0" xfId="5" applyNumberFormat="1" applyFont="1"/>
    <xf numFmtId="2" fontId="0" fillId="0" borderId="0" xfId="0" quotePrefix="1" applyNumberFormat="1"/>
    <xf numFmtId="49" fontId="0" fillId="2" borderId="0" xfId="0" applyNumberFormat="1" applyFill="1"/>
    <xf numFmtId="0" fontId="0" fillId="0" borderId="0" xfId="0" applyNumberFormat="1" applyFill="1"/>
    <xf numFmtId="0" fontId="0" fillId="0" borderId="0" xfId="0" quotePrefix="1" applyNumberFormat="1" applyFill="1"/>
    <xf numFmtId="165" fontId="0" fillId="0" borderId="0" xfId="0" quotePrefix="1" applyNumberFormat="1"/>
    <xf numFmtId="166" fontId="0" fillId="0" borderId="0" xfId="2" quotePrefix="1" applyNumberFormat="1" applyFont="1"/>
    <xf numFmtId="0" fontId="0" fillId="0" borderId="0" xfId="2" applyNumberFormat="1" applyFont="1"/>
    <xf numFmtId="0" fontId="27" fillId="0" borderId="0" xfId="0" applyFont="1" applyFill="1"/>
    <xf numFmtId="0" fontId="27" fillId="0" borderId="0" xfId="0" applyFont="1"/>
    <xf numFmtId="165" fontId="27" fillId="0" borderId="0" xfId="0" applyNumberFormat="1" applyFont="1"/>
    <xf numFmtId="0" fontId="27" fillId="0" borderId="0" xfId="0" applyFont="1" applyAlignment="1">
      <alignment horizontal="right"/>
    </xf>
    <xf numFmtId="166" fontId="27" fillId="0" borderId="0" xfId="2" applyNumberFormat="1" applyFont="1"/>
    <xf numFmtId="0" fontId="28" fillId="0" borderId="0" xfId="1" applyFont="1"/>
    <xf numFmtId="0" fontId="0" fillId="0" borderId="0" xfId="0" applyAlignment="1">
      <alignment horizontal="center"/>
    </xf>
    <xf numFmtId="0" fontId="0" fillId="0" borderId="0" xfId="0" applyAlignment="1">
      <alignment textRotation="90"/>
    </xf>
    <xf numFmtId="0" fontId="0" fillId="0" borderId="0" xfId="0" quotePrefix="1" applyAlignment="1">
      <alignment textRotation="90"/>
    </xf>
    <xf numFmtId="0" fontId="0" fillId="0" borderId="7" xfId="0" applyNumberFormat="1" applyBorder="1"/>
    <xf numFmtId="0" fontId="0" fillId="0" borderId="7" xfId="0" applyBorder="1"/>
    <xf numFmtId="0" fontId="0" fillId="0" borderId="7" xfId="0" quotePrefix="1" applyBorder="1"/>
    <xf numFmtId="0" fontId="4" fillId="0" borderId="7" xfId="1" applyBorder="1"/>
    <xf numFmtId="0" fontId="29" fillId="0" borderId="0" xfId="0" applyFont="1"/>
    <xf numFmtId="0" fontId="4" fillId="0" borderId="7" xfId="1" applyNumberFormat="1" applyBorder="1"/>
    <xf numFmtId="49" fontId="0" fillId="0" borderId="0" xfId="0" quotePrefix="1" applyNumberFormat="1" applyProtection="1">
      <protection locked="0"/>
    </xf>
    <xf numFmtId="49" fontId="0" fillId="0" borderId="0" xfId="0" applyNumberFormat="1" applyProtection="1">
      <protection locked="0"/>
    </xf>
    <xf numFmtId="0" fontId="30" fillId="0" borderId="0" xfId="0" applyFont="1" applyProtection="1">
      <protection locked="0"/>
    </xf>
    <xf numFmtId="0" fontId="23" fillId="0" borderId="0" xfId="0" applyNumberFormat="1" applyFont="1" applyFill="1" applyAlignment="1" applyProtection="1">
      <alignment horizontal="left" vertical="center"/>
    </xf>
    <xf numFmtId="0" fontId="17" fillId="0" borderId="0" xfId="0" applyFont="1" applyAlignment="1">
      <alignment vertical="top"/>
    </xf>
    <xf numFmtId="0" fontId="0" fillId="0" borderId="0" xfId="0" applyAlignment="1">
      <alignment horizontal="left" vertical="center"/>
    </xf>
    <xf numFmtId="0" fontId="0" fillId="0" borderId="0" xfId="0" applyAlignment="1"/>
    <xf numFmtId="0" fontId="0" fillId="0" borderId="0" xfId="0" applyNumberFormat="1" applyAlignment="1">
      <alignment textRotation="90"/>
    </xf>
    <xf numFmtId="0" fontId="0" fillId="0" borderId="0" xfId="0" applyFill="1" applyProtection="1">
      <protection locked="0"/>
    </xf>
    <xf numFmtId="0" fontId="0" fillId="0" borderId="1" xfId="0" applyNumberFormat="1" applyBorder="1"/>
    <xf numFmtId="0" fontId="0" fillId="0" borderId="1" xfId="0" applyBorder="1"/>
    <xf numFmtId="22" fontId="0" fillId="0" borderId="1" xfId="0" applyNumberFormat="1" applyBorder="1"/>
    <xf numFmtId="49" fontId="0" fillId="0" borderId="0" xfId="0" applyNumberFormat="1" applyAlignment="1">
      <alignment wrapText="1"/>
    </xf>
    <xf numFmtId="0" fontId="0" fillId="0" borderId="0" xfId="1" applyFont="1" applyFill="1"/>
    <xf numFmtId="0" fontId="13" fillId="0" borderId="0" xfId="0" applyFont="1"/>
    <xf numFmtId="0" fontId="22" fillId="3" borderId="0" xfId="0" applyFont="1" applyFill="1" applyAlignment="1">
      <alignment horizontal="center" vertical="center"/>
    </xf>
    <xf numFmtId="0" fontId="1" fillId="0" borderId="0" xfId="0" applyFont="1" applyFill="1" applyAlignment="1">
      <alignment horizontal="left"/>
    </xf>
    <xf numFmtId="0" fontId="6" fillId="0" borderId="0" xfId="0" applyFont="1"/>
    <xf numFmtId="0" fontId="34" fillId="0" borderId="0" xfId="0" applyFont="1"/>
    <xf numFmtId="0" fontId="6" fillId="0" borderId="0" xfId="0" applyFont="1" applyAlignment="1">
      <alignment wrapText="1"/>
    </xf>
    <xf numFmtId="0" fontId="6" fillId="0" borderId="0" xfId="0" quotePrefix="1" applyNumberFormat="1" applyFont="1" applyAlignment="1">
      <alignment horizontal="center"/>
    </xf>
    <xf numFmtId="0" fontId="0" fillId="0" borderId="0" xfId="0" applyFill="1" applyAlignment="1">
      <alignment vertical="top"/>
    </xf>
    <xf numFmtId="49" fontId="0" fillId="0" borderId="0" xfId="0" applyNumberFormat="1" applyFill="1"/>
  </cellXfs>
  <cellStyles count="6">
    <cellStyle name="Currency" xfId="2" builtinId="4"/>
    <cellStyle name="Hyperlink" xfId="1" builtinId="8"/>
    <cellStyle name="Normal" xfId="0" builtinId="0"/>
    <cellStyle name="Percent" xfId="5" builtinId="5"/>
    <cellStyle name="Subtotal" xfId="4"/>
    <cellStyle name="Subtotal Label" xfId="3"/>
  </cellStyles>
  <dxfs count="282">
    <dxf>
      <fill>
        <patternFill>
          <bgColor rgb="FFFEEFE2"/>
        </patternFill>
      </fill>
    </dxf>
    <dxf>
      <fill>
        <patternFill>
          <fgColor indexed="64"/>
          <bgColor rgb="FFEBF5CD"/>
        </patternFill>
      </fill>
    </dxf>
    <dxf>
      <border>
        <top style="thin">
          <color auto="1"/>
        </top>
      </border>
    </dxf>
    <dxf>
      <fill>
        <patternFill>
          <fgColor indexed="64"/>
          <bgColor rgb="FFFBC3AF" tint="0.54997405926694543"/>
        </patternFill>
      </fill>
    </dxf>
    <dxf>
      <font>
        <b val="0"/>
        <i/>
        <strike val="0"/>
        <color theme="0" tint="-0.34998626667073579"/>
      </font>
    </dxf>
    <dxf>
      <fill>
        <patternFill>
          <bgColor theme="6" tint="0.79998168889431442"/>
        </patternFill>
      </fill>
    </dxf>
    <dxf>
      <border>
        <top style="thin">
          <color auto="1"/>
        </top>
        <bottom style="thin">
          <color auto="1"/>
        </bottom>
        <vertical/>
        <horizontal/>
      </border>
    </dxf>
    <dxf>
      <fill>
        <patternFill>
          <bgColor rgb="FFFFFCF3"/>
        </patternFill>
      </fill>
    </dxf>
    <dxf>
      <fill>
        <patternFill>
          <bgColor rgb="FFFCF1C8"/>
        </patternFill>
      </fill>
    </dxf>
    <dxf>
      <fill>
        <patternFill>
          <fgColor indexed="64"/>
          <bgColor rgb="FFF8DCDD"/>
        </patternFill>
      </fill>
    </dxf>
    <dxf>
      <fill>
        <patternFill>
          <fgColor indexed="64"/>
          <bgColor rgb="FFFBC3AF" tint="0.54997405926694543"/>
        </patternFill>
      </fill>
    </dxf>
    <dxf>
      <fill>
        <patternFill>
          <fgColor indexed="64"/>
          <bgColor rgb="FFFBC3AF" tint="0.54997405926694543"/>
        </patternFill>
      </fill>
    </dxf>
    <dxf>
      <fill>
        <patternFill>
          <fgColor indexed="64"/>
          <bgColor rgb="FFEBF5CD"/>
        </patternFill>
      </fill>
    </dxf>
    <dxf>
      <fill>
        <patternFill>
          <fgColor indexed="64"/>
          <bgColor rgb="FFFBC3AF"/>
        </patternFill>
      </fill>
    </dxf>
    <dxf>
      <fill>
        <patternFill>
          <fgColor indexed="64"/>
          <bgColor rgb="FFF8DCDD"/>
        </patternFill>
      </fill>
    </dxf>
    <dxf>
      <fill>
        <patternFill>
          <fgColor indexed="64"/>
          <bgColor theme="5" tint="0.79995117038483843"/>
        </patternFill>
      </fill>
    </dxf>
    <dxf>
      <fill>
        <patternFill>
          <fgColor indexed="64"/>
          <bgColor rgb="FFFBFDCF"/>
        </patternFill>
      </fill>
    </dxf>
    <dxf>
      <fill>
        <patternFill>
          <fgColor indexed="64"/>
          <bgColor rgb="FFF9DFE0"/>
        </patternFill>
      </fill>
    </dxf>
    <dxf>
      <fill>
        <patternFill>
          <fgColor indexed="64"/>
          <bgColor rgb="FFDDECF7"/>
        </patternFill>
      </fill>
    </dxf>
    <dxf>
      <numFmt numFmtId="165" formatCode="mm/dd/yy;@"/>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0" formatCode="General"/>
    </dxf>
    <dxf>
      <numFmt numFmtId="169" formatCode="_([$$-409]* #,##0_);_([$$-409]* \(#,##0\);_([$$-409]* &quot;-&quot;??_);_(@_)"/>
    </dxf>
    <dxf>
      <numFmt numFmtId="27" formatCode="m/d/yyyy\ h:mm"/>
    </dxf>
    <dxf>
      <numFmt numFmtId="0" formatCode="General"/>
    </dxf>
    <dxf>
      <numFmt numFmtId="27" formatCode="m/d/yyyy\ h:mm"/>
    </dxf>
    <dxf>
      <numFmt numFmtId="27" formatCode="m/d/yyyy\ h:mm"/>
    </dxf>
    <dxf>
      <numFmt numFmtId="27" formatCode="m/d/yyyy\ h:mm"/>
    </dxf>
    <dxf>
      <numFmt numFmtId="27" formatCode="m/d/yyyy\ h:mm"/>
    </dxf>
    <dxf>
      <numFmt numFmtId="165" formatCode="mm/dd/yy;@"/>
    </dxf>
    <dxf>
      <numFmt numFmtId="165" formatCode="mm/dd/yy;@"/>
    </dxf>
    <dxf>
      <numFmt numFmtId="27" formatCode="m/d/yyyy\ h:mm"/>
    </dxf>
    <dxf>
      <numFmt numFmtId="30" formatCode="@"/>
      <alignment horizontal="general" vertical="bottom" textRotation="0" wrapText="1" indent="0" justifyLastLine="0" shrinkToFit="0" readingOrder="0"/>
    </dxf>
    <dxf>
      <numFmt numFmtId="0" formatCode="General"/>
    </dxf>
    <dxf>
      <numFmt numFmtId="0" formatCode="General"/>
    </dxf>
    <dxf>
      <numFmt numFmtId="27" formatCode="m/d/yyyy\ h:mm"/>
      <border diagonalUp="0" diagonalDown="0">
        <left style="thin">
          <color auto="1"/>
        </left>
        <right/>
        <top/>
        <bottom/>
        <vertical/>
        <horizontal/>
      </border>
    </dxf>
    <dxf>
      <numFmt numFmtId="0" formatCode="General"/>
    </dxf>
    <dxf>
      <numFmt numFmtId="0" formatCode="General"/>
    </dxf>
    <dxf>
      <numFmt numFmtId="0" formatCode="General"/>
    </dxf>
    <dxf>
      <numFmt numFmtId="0" formatCode="General"/>
    </dxf>
    <dxf>
      <numFmt numFmtId="0" formatCode="General"/>
    </dxf>
    <dxf>
      <numFmt numFmtId="164" formatCode="&quot;$&quot;#,##0"/>
    </dxf>
    <dxf>
      <numFmt numFmtId="164" formatCode="&quot;$&quot;#,##0"/>
    </dxf>
    <dxf>
      <numFmt numFmtId="164" formatCode="&quot;$&quot;#,##0"/>
    </dxf>
    <dxf>
      <numFmt numFmtId="164" formatCode="&quot;$&quot;#,##0"/>
    </dxf>
    <dxf>
      <numFmt numFmtId="164" formatCode="&quot;$&quot;#,##0"/>
    </dxf>
    <dxf>
      <numFmt numFmtId="0" formatCode="General"/>
      <border diagonalUp="0" diagonalDown="0">
        <left style="thin">
          <color auto="1"/>
        </left>
        <right/>
        <top/>
        <bottom/>
        <vertical/>
        <horizontal/>
      </border>
    </dxf>
    <dxf>
      <font>
        <b val="0"/>
        <i val="0"/>
        <strike val="0"/>
        <condense val="0"/>
        <extend val="0"/>
        <outline val="0"/>
        <shadow val="0"/>
        <u val="none"/>
        <vertAlign val="baseline"/>
        <sz val="11"/>
        <color theme="1"/>
        <name val="Calibri"/>
        <family val="2"/>
        <scheme val="minor"/>
      </font>
      <numFmt numFmtId="166" formatCode="_(&quot;$&quot;* #,##0_);_(&quot;$&quot;* \(#,##0\);_(&quot;$&quot;* &quot;-&quot;??_);_(@_)"/>
    </dxf>
    <dxf>
      <numFmt numFmtId="0" formatCode="General"/>
    </dxf>
    <dxf>
      <numFmt numFmtId="0" formatCode="General"/>
    </dxf>
    <dxf>
      <numFmt numFmtId="0" formatCode="General"/>
    </dxf>
    <dxf>
      <numFmt numFmtId="0" formatCode="General"/>
    </dxf>
    <dxf>
      <numFmt numFmtId="165" formatCode="mm/dd/yy;@"/>
    </dxf>
    <dxf>
      <numFmt numFmtId="0" formatCode="General"/>
      <border diagonalUp="0" diagonalDown="0">
        <left/>
        <right style="thin">
          <color indexed="64"/>
        </right>
        <top/>
        <bottom/>
        <vertical/>
        <horizontal/>
      </border>
    </dxf>
    <dxf>
      <numFmt numFmtId="27" formatCode="m/d/yyyy\ h:mm"/>
    </dxf>
    <dxf>
      <numFmt numFmtId="27" formatCode="m/d/yyyy\ h:mm"/>
    </dxf>
    <dxf>
      <numFmt numFmtId="0" formatCode="General"/>
    </dxf>
    <dxf>
      <border diagonalUp="0" diagonalDown="0">
        <left/>
        <right style="thin">
          <color indexed="64"/>
        </right>
        <top/>
        <bottom/>
        <vertical/>
        <horizontal/>
      </border>
    </dxf>
    <dxf>
      <numFmt numFmtId="168" formatCode="mm/dd/yy\ hh:mm"/>
    </dxf>
    <dxf>
      <numFmt numFmtId="27" formatCode="m/d/yyyy\ h:mm"/>
    </dxf>
    <dxf>
      <numFmt numFmtId="27" formatCode="m/d/yyyy\ h:mm"/>
    </dxf>
    <dxf>
      <numFmt numFmtId="27" formatCode="m/d/yyyy\ h:mm"/>
    </dxf>
    <dxf>
      <numFmt numFmtId="165" formatCode="mm/dd/yy;@"/>
    </dxf>
    <dxf>
      <numFmt numFmtId="165" formatCode="mm/dd/yy;@"/>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numFmt numFmtId="166" formatCode="_(&quot;$&quot;* #,##0_);_(&quot;$&quot;* \(#,##0\);_(&quot;$&quot;* &quot;-&quot;??_);_(@_)"/>
    </dxf>
    <dxf>
      <font>
        <b val="0"/>
        <i val="0"/>
        <strike val="0"/>
        <condense val="0"/>
        <extend val="0"/>
        <outline val="0"/>
        <shadow val="0"/>
        <u val="none"/>
        <vertAlign val="baseline"/>
        <sz val="11"/>
        <color auto="1"/>
        <name val="Calibri"/>
        <family val="2"/>
        <scheme val="minor"/>
      </font>
      <border diagonalUp="0" diagonalDown="0">
        <left style="thin">
          <color auto="1"/>
        </left>
        <right/>
        <top/>
        <bottom/>
        <vertical/>
        <horizontal/>
      </border>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numFmt numFmtId="166" formatCode="_(&quot;$&quot;* #,##0_);_(&quot;$&quot;* \(#,##0\);_(&quot;$&quot;* &quot;-&quot;??_);_(@_)"/>
      <fill>
        <patternFill patternType="none">
          <fgColor indexed="64"/>
          <bgColor indexed="65"/>
        </patternFill>
      </fill>
    </dxf>
    <dxf>
      <font>
        <b val="0"/>
        <i val="0"/>
        <strike val="0"/>
        <condense val="0"/>
        <extend val="0"/>
        <outline val="0"/>
        <shadow val="0"/>
        <u val="none"/>
        <vertAlign val="baseline"/>
        <sz val="11"/>
        <color auto="1"/>
        <name val="Calibri"/>
        <family val="2"/>
        <scheme val="minor"/>
      </font>
      <numFmt numFmtId="166" formatCode="_(&quot;$&quot;* #,##0_);_(&quot;$&quot;* \(#,##0\);_(&quot;$&quot;* &quot;-&quot;??_);_(@_)"/>
    </dxf>
    <dxf>
      <font>
        <b val="0"/>
        <i val="0"/>
        <strike val="0"/>
        <condense val="0"/>
        <extend val="0"/>
        <outline val="0"/>
        <shadow val="0"/>
        <u val="none"/>
        <vertAlign val="baseline"/>
        <sz val="11"/>
        <color auto="1"/>
        <name val="Calibri"/>
        <family val="2"/>
        <scheme val="minor"/>
      </font>
      <numFmt numFmtId="166" formatCode="_(&quot;$&quot;* #,##0_);_(&quot;$&quot;* \(#,##0\);_(&quot;$&quot;* &quot;-&quot;??_);_(@_)"/>
    </dxf>
    <dxf>
      <font>
        <b val="0"/>
        <i val="0"/>
        <strike val="0"/>
        <condense val="0"/>
        <extend val="0"/>
        <outline val="0"/>
        <shadow val="0"/>
        <u val="none"/>
        <vertAlign val="baseline"/>
        <sz val="11"/>
        <color auto="1"/>
        <name val="Calibri"/>
        <family val="2"/>
        <scheme val="minor"/>
      </font>
      <numFmt numFmtId="166" formatCode="_(&quot;$&quot;* #,##0_);_(&quot;$&quot;* \(#,##0\);_(&quot;$&quot;* &quot;-&quot;??_);_(@_)"/>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none"/>
      </font>
    </dxf>
    <dxf>
      <font>
        <b val="0"/>
        <i val="0"/>
        <strike val="0"/>
        <condense val="0"/>
        <extend val="0"/>
        <outline val="0"/>
        <shadow val="0"/>
        <u val="none"/>
        <vertAlign val="baseline"/>
        <sz val="11"/>
        <color auto="1"/>
        <name val="Calibri"/>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numFmt numFmtId="165" formatCode="mm/dd/yy;@"/>
    </dxf>
    <dxf>
      <font>
        <b val="0"/>
        <i val="0"/>
        <strike val="0"/>
        <condense val="0"/>
        <extend val="0"/>
        <outline val="0"/>
        <shadow val="0"/>
        <u val="none"/>
        <vertAlign val="baseline"/>
        <sz val="11"/>
        <color auto="1"/>
        <name val="Calibri"/>
        <family val="2"/>
        <scheme val="none"/>
      </font>
    </dxf>
    <dxf>
      <font>
        <b val="0"/>
        <i val="0"/>
        <strike val="0"/>
        <condense val="0"/>
        <extend val="0"/>
        <outline val="0"/>
        <shadow val="0"/>
        <u val="none"/>
        <vertAlign val="baseline"/>
        <sz val="11"/>
        <color auto="1"/>
        <name val="Calibri"/>
        <family val="2"/>
        <scheme val="none"/>
      </font>
    </dxf>
    <dxf>
      <font>
        <b val="0"/>
        <i val="0"/>
        <strike val="0"/>
        <condense val="0"/>
        <extend val="0"/>
        <outline val="0"/>
        <shadow val="0"/>
        <u val="none"/>
        <vertAlign val="baseline"/>
        <sz val="11"/>
        <color auto="1"/>
        <name val="Calibri"/>
        <family val="2"/>
        <scheme val="none"/>
      </font>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numFmt numFmtId="168" formatCode="mm/dd/yy\ hh:mm"/>
    </dxf>
    <dxf>
      <numFmt numFmtId="30" formatCode="@"/>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mm/dd/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mm/dd/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mm/dd/yy;@"/>
    </dxf>
    <dxf>
      <numFmt numFmtId="0" formatCode="General"/>
    </dxf>
    <dxf>
      <numFmt numFmtId="0" formatCode="General"/>
    </dxf>
    <dxf>
      <numFmt numFmtId="0" formatCode="General"/>
    </dxf>
    <dxf>
      <numFmt numFmtId="165" formatCode="mm/dd/yy;@"/>
    </dxf>
    <dxf>
      <numFmt numFmtId="0" formatCode="General"/>
    </dxf>
    <dxf>
      <numFmt numFmtId="0" formatCode="General"/>
    </dxf>
    <dxf>
      <numFmt numFmtId="165" formatCode="mm/dd/yy;@"/>
    </dxf>
    <dxf>
      <font>
        <b val="0"/>
        <i val="0"/>
        <strike val="0"/>
        <condense val="0"/>
        <extend val="0"/>
        <outline val="0"/>
        <shadow val="0"/>
        <u val="none"/>
        <vertAlign val="baseline"/>
        <sz val="11"/>
        <color theme="1"/>
        <name val="Calibri"/>
        <family val="2"/>
        <scheme val="minor"/>
      </font>
      <numFmt numFmtId="166" formatCode="_(&quot;$&quot;* #,##0_);_(&quot;$&quot;* \(#,##0\);_(&quot;$&quot;* &quot;-&quot;??_);_(@_)"/>
    </dxf>
    <dxf>
      <font>
        <b val="0"/>
        <i val="0"/>
        <strike val="0"/>
        <condense val="0"/>
        <extend val="0"/>
        <outline val="0"/>
        <shadow val="0"/>
        <u val="none"/>
        <vertAlign val="baseline"/>
        <sz val="11"/>
        <color theme="1"/>
        <name val="Calibri"/>
        <family val="2"/>
        <scheme val="minor"/>
      </font>
      <numFmt numFmtId="166" formatCode="_(&quot;$&quot;* #,##0_);_(&quot;$&quot;* \(#,##0\);_(&quot;$&quot;* &quot;-&quot;??_);_(@_)"/>
    </dxf>
    <dxf>
      <numFmt numFmtId="165" formatCode="mm/dd/yy;@"/>
    </dxf>
    <dxf>
      <numFmt numFmtId="2" formatCode="0.00"/>
    </dxf>
    <dxf>
      <numFmt numFmtId="0" formatCode="General"/>
    </dxf>
    <dxf>
      <numFmt numFmtId="0" formatCode="General"/>
    </dxf>
    <dxf>
      <numFmt numFmtId="0" formatCode="General"/>
    </dxf>
    <dxf>
      <numFmt numFmtId="0" formatCode="General"/>
    </dxf>
    <dxf>
      <numFmt numFmtId="30" formatCode="@"/>
    </dxf>
    <dxf>
      <numFmt numFmtId="0" formatCode="General"/>
    </dxf>
    <dxf>
      <numFmt numFmtId="30" formatCode="@"/>
    </dxf>
    <dxf>
      <numFmt numFmtId="30" formatCode="@"/>
    </dxf>
    <dxf>
      <numFmt numFmtId="30" formatCode="@"/>
    </dxf>
    <dxf>
      <numFmt numFmtId="30" formatCode="@"/>
    </dxf>
    <dxf>
      <numFmt numFmtId="2" formatCode="0.00"/>
    </dxf>
    <dxf>
      <numFmt numFmtId="168" formatCode="mm/dd/yy\ hh:mm"/>
    </dxf>
    <dxf>
      <numFmt numFmtId="165" formatCode="mm/dd/yy;@"/>
    </dxf>
    <dxf>
      <numFmt numFmtId="165" formatCode="mm/dd/yy;@"/>
    </dxf>
    <dxf>
      <numFmt numFmtId="165" formatCode="mm/dd/yy;@"/>
    </dxf>
    <dxf>
      <numFmt numFmtId="165" formatCode="mm/dd/yy;@"/>
    </dxf>
    <dxf>
      <numFmt numFmtId="168" formatCode="mm/dd/yy\ hh:mm"/>
    </dxf>
    <dxf>
      <numFmt numFmtId="168" formatCode="mm/dd/yy\ hh:mm"/>
    </dxf>
    <dxf>
      <numFmt numFmtId="165" formatCode="mm/dd/yy;@"/>
    </dxf>
    <dxf>
      <font>
        <b val="0"/>
        <i val="0"/>
        <strike val="0"/>
        <condense val="0"/>
        <extend val="0"/>
        <outline val="0"/>
        <shadow val="0"/>
        <u val="none"/>
        <vertAlign val="baseline"/>
        <sz val="11"/>
        <color theme="1"/>
        <name val="Calibri"/>
        <family val="2"/>
        <scheme val="minor"/>
      </font>
      <numFmt numFmtId="166" formatCode="_(&quot;$&quot;* #,##0_);_(&quot;$&quot;* \(#,##0\);_(&quot;$&quot;* &quot;-&quot;??_);_(@_)"/>
    </dxf>
    <dxf>
      <font>
        <b val="0"/>
        <i val="0"/>
        <strike val="0"/>
        <condense val="0"/>
        <extend val="0"/>
        <outline val="0"/>
        <shadow val="0"/>
        <u val="none"/>
        <vertAlign val="baseline"/>
        <sz val="11"/>
        <color theme="1"/>
        <name val="Calibri"/>
        <family val="2"/>
        <scheme val="minor"/>
      </font>
      <numFmt numFmtId="166" formatCode="_(&quot;$&quot;* #,##0_);_(&quot;$&quot;* \(#,##0\);_(&quot;$&quot;* &quot;-&quot;??_);_(@_)"/>
    </dxf>
    <dxf>
      <font>
        <b val="0"/>
        <i val="0"/>
        <strike val="0"/>
        <condense val="0"/>
        <extend val="0"/>
        <outline val="0"/>
        <shadow val="0"/>
        <u val="none"/>
        <vertAlign val="baseline"/>
        <sz val="11"/>
        <color theme="1"/>
        <name val="Calibri"/>
        <family val="2"/>
        <scheme val="minor"/>
      </font>
      <numFmt numFmtId="166" formatCode="_(&quot;$&quot;* #,##0_);_(&quot;$&quot;* \(#,##0\);_(&quot;$&quot;* &quot;-&quot;??_);_(@_)"/>
    </dxf>
    <dxf>
      <font>
        <b val="0"/>
        <i val="0"/>
        <strike val="0"/>
        <condense val="0"/>
        <extend val="0"/>
        <outline val="0"/>
        <shadow val="0"/>
        <u val="none"/>
        <vertAlign val="baseline"/>
        <sz val="11"/>
        <color theme="1"/>
        <name val="Calibri"/>
        <family val="2"/>
        <scheme val="minor"/>
      </font>
      <numFmt numFmtId="166" formatCode="_(&quot;$&quot;* #,##0_);_(&quot;$&quot;* \(#,##0\);_(&quot;$&quot;* &quot;-&quot;??_);_(@_)"/>
    </dxf>
    <dxf>
      <font>
        <b val="0"/>
        <i val="0"/>
        <strike val="0"/>
        <condense val="0"/>
        <extend val="0"/>
        <outline val="0"/>
        <shadow val="0"/>
        <u val="none"/>
        <vertAlign val="baseline"/>
        <sz val="11"/>
        <color theme="1"/>
        <name val="Calibri"/>
        <family val="2"/>
        <scheme val="minor"/>
      </font>
      <numFmt numFmtId="166" formatCode="_(&quot;$&quot;* #,##0_);_(&quot;$&quot;* \(#,##0\);_(&quot;$&quot;* &quot;-&quot;??_);_(@_)"/>
    </dxf>
    <dxf>
      <font>
        <b val="0"/>
        <i val="0"/>
        <strike val="0"/>
        <condense val="0"/>
        <extend val="0"/>
        <outline val="0"/>
        <shadow val="0"/>
        <u val="none"/>
        <vertAlign val="baseline"/>
        <sz val="11"/>
        <color theme="1"/>
        <name val="Calibri"/>
        <family val="2"/>
        <scheme val="minor"/>
      </font>
      <numFmt numFmtId="166" formatCode="_(&quot;$&quot;* #,##0_);_(&quot;$&quot;* \(#,##0\);_(&quot;$&quot;* &quot;-&quot;??_);_(@_)"/>
    </dxf>
    <dxf>
      <font>
        <b/>
        <i val="0"/>
        <strike val="0"/>
        <condense val="0"/>
        <extend val="0"/>
        <outline val="0"/>
        <shadow val="0"/>
        <u val="none"/>
        <vertAlign val="baseline"/>
        <sz val="11"/>
        <color rgb="FFFF0000"/>
        <name val="Calibri"/>
        <family val="2"/>
        <scheme val="minor"/>
      </font>
    </dxf>
    <dxf>
      <font>
        <b/>
        <i val="0"/>
        <strike val="0"/>
        <condense val="0"/>
        <extend val="0"/>
        <outline val="0"/>
        <shadow val="0"/>
        <u val="none"/>
        <vertAlign val="baseline"/>
        <sz val="11"/>
        <color rgb="FFFF0000"/>
        <name val="Calibri"/>
        <family val="2"/>
        <scheme val="minor"/>
      </font>
    </dxf>
    <dxf>
      <font>
        <b/>
        <i val="0"/>
        <strike val="0"/>
        <condense val="0"/>
        <extend val="0"/>
        <outline val="0"/>
        <shadow val="0"/>
        <u val="none"/>
        <vertAlign val="baseline"/>
        <sz val="11"/>
        <color rgb="FFFF0000"/>
        <name val="Calibri"/>
        <family val="2"/>
        <scheme val="minor"/>
      </font>
    </dxf>
    <dxf>
      <font>
        <b/>
        <i val="0"/>
        <strike val="0"/>
        <condense val="0"/>
        <extend val="0"/>
        <outline val="0"/>
        <shadow val="0"/>
        <u val="none"/>
        <vertAlign val="baseline"/>
        <sz val="11"/>
        <color rgb="FFFF0000"/>
        <name val="Calibri"/>
        <family val="2"/>
        <scheme val="minor"/>
      </font>
    </dxf>
    <dxf>
      <numFmt numFmtId="0" formatCode="General"/>
    </dxf>
    <dxf>
      <numFmt numFmtId="168" formatCode="mm/dd/yy\ hh:mm"/>
    </dxf>
    <dxf>
      <numFmt numFmtId="2" formatCode="0.00"/>
    </dxf>
    <dxf>
      <font>
        <b/>
        <i val="0"/>
        <strike val="0"/>
        <condense val="0"/>
        <extend val="0"/>
        <outline val="0"/>
        <shadow val="0"/>
        <u val="none"/>
        <vertAlign val="baseline"/>
        <sz val="11"/>
        <color rgb="FFFF0000"/>
        <name val="Calibri"/>
        <family val="2"/>
        <scheme val="minor"/>
      </font>
    </dxf>
    <dxf>
      <numFmt numFmtId="165" formatCode="mm/dd/yy;@"/>
    </dxf>
    <dxf>
      <border diagonalUp="0" diagonalDown="0">
        <left/>
        <right style="thin">
          <color indexed="64"/>
        </right>
        <top/>
        <bottom/>
        <vertical/>
        <horizontal/>
      </border>
    </dxf>
    <dxf>
      <numFmt numFmtId="0" formatCode="General"/>
    </dxf>
    <dxf>
      <numFmt numFmtId="0" formatCode="General"/>
      <border diagonalUp="0" diagonalDown="0">
        <left/>
        <right style="thin">
          <color indexed="64"/>
        </right>
        <top/>
        <bottom/>
        <vertical/>
        <horizontal/>
      </border>
    </dxf>
    <dxf>
      <numFmt numFmtId="168" formatCode="mm/dd/yy\ hh:mm"/>
    </dxf>
    <dxf>
      <numFmt numFmtId="0" formatCode="General"/>
    </dxf>
    <dxf>
      <numFmt numFmtId="13" formatCode="0%"/>
    </dxf>
    <dxf>
      <numFmt numFmtId="13" formatCode="0%"/>
    </dxf>
    <dxf>
      <numFmt numFmtId="0" formatCode="General"/>
    </dxf>
    <dxf>
      <numFmt numFmtId="165" formatCode="mm/dd/yy;@"/>
    </dxf>
    <dxf>
      <numFmt numFmtId="165" formatCode="mm/dd/yy;@"/>
    </dxf>
    <dxf>
      <numFmt numFmtId="0" formatCode="General"/>
    </dxf>
    <dxf>
      <numFmt numFmtId="0" formatCode="General"/>
    </dxf>
    <dxf>
      <numFmt numFmtId="27" formatCode="m/d/yyyy\ h:mm"/>
    </dxf>
    <dxf>
      <numFmt numFmtId="165" formatCode="mm/dd/yy;@"/>
    </dxf>
    <dxf>
      <alignment horizontal="center" vertical="bottom" textRotation="0" wrapText="0" indent="0" justifyLastLine="0" shrinkToFit="0" readingOrder="0"/>
    </dxf>
    <dxf>
      <alignment horizontal="center" vertical="bottom" textRotation="0" wrapText="0" indent="0" justifyLastLine="0" shrinkToFit="0" readingOrder="0"/>
    </dxf>
    <dxf>
      <numFmt numFmtId="166" formatCode="_(&quot;$&quot;* #,##0_);_(&quot;$&quot;* \(#,##0\);_(&quot;$&quot;* &quot;-&quot;??_);_(@_)"/>
    </dxf>
    <dxf>
      <numFmt numFmtId="171" formatCode="_(&quot;$&quot;* #,##0.0_);_(&quot;$&quot;* \(#,##0.0\);_(&quot;$&quot;* &quot;-&quot;??_);_(@_)"/>
    </dxf>
    <dxf>
      <numFmt numFmtId="34" formatCode="_(&quot;$&quot;* #,##0.00_);_(&quot;$&quot;* \(#,##0.00\);_(&quot;$&quot;* &quot;-&quot;??_);_(@_)"/>
    </dxf>
    <dxf>
      <fill>
        <patternFill patternType="none">
          <fgColor indexed="64"/>
          <bgColor indexed="65"/>
        </patternFill>
      </fill>
      <protection locked="0" hidden="0"/>
    </dxf>
    <dxf>
      <numFmt numFmtId="30" formatCode="@"/>
      <fill>
        <patternFill patternType="none">
          <fgColor indexed="64"/>
          <bgColor auto="1"/>
        </patternFill>
      </fill>
      <protection locked="0" hidden="0"/>
    </dxf>
    <dxf>
      <numFmt numFmtId="30" formatCode="@"/>
      <fill>
        <patternFill patternType="none">
          <fgColor indexed="64"/>
          <bgColor auto="1"/>
        </patternFill>
      </fill>
      <protection locked="0" hidden="0"/>
    </dxf>
    <dxf>
      <numFmt numFmtId="30" formatCode="@"/>
      <fill>
        <patternFill patternType="none">
          <fgColor indexed="64"/>
          <bgColor auto="1"/>
        </patternFill>
      </fill>
      <protection locked="0" hidden="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outline val="0"/>
        <shadow val="0"/>
        <u val="none"/>
        <vertAlign val="baseline"/>
        <sz val="11"/>
        <color auto="1"/>
        <name val="Calibri"/>
        <scheme val="none"/>
      </font>
    </dxf>
    <dxf>
      <font>
        <b val="0"/>
        <i val="0"/>
        <strike val="0"/>
        <condense val="0"/>
        <extend val="0"/>
        <outline val="0"/>
        <shadow val="0"/>
        <u val="none"/>
        <vertAlign val="baseline"/>
        <sz val="11"/>
        <color theme="5" tint="-0.499984740745262"/>
        <name val="Calibri"/>
        <family val="2"/>
        <scheme val="minor"/>
      </font>
    </dxf>
    <dxf>
      <font>
        <b val="0"/>
        <i val="0"/>
        <strike val="0"/>
        <outline val="0"/>
        <shadow val="0"/>
        <u val="none"/>
        <vertAlign val="baseline"/>
        <sz val="11"/>
        <color theme="1"/>
        <name val="Calibri"/>
        <family val="2"/>
        <scheme val="minor"/>
      </font>
      <fill>
        <patternFill patternType="none">
          <fgColor indexed="64"/>
          <bgColor auto="1"/>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ill>
        <patternFill patternType="solid">
          <fgColor theme="9" tint="0.79998168889431442"/>
          <bgColor theme="9" tint="0.79998168889431442"/>
        </patternFill>
      </fill>
    </dxf>
    <dxf>
      <fill>
        <patternFill patternType="solid">
          <fgColor theme="9" tint="0.79998168889431442"/>
          <bgColor theme="9" tint="0.79998168889431442"/>
        </patternFill>
      </fill>
    </dxf>
    <dxf>
      <font>
        <b/>
        <color theme="1"/>
      </font>
    </dxf>
    <dxf>
      <font>
        <b/>
        <color theme="1"/>
      </font>
    </dxf>
    <dxf>
      <font>
        <b/>
        <color theme="1"/>
      </font>
      <border>
        <top style="double">
          <color theme="9"/>
        </top>
      </border>
    </dxf>
    <dxf>
      <font>
        <b/>
        <color theme="0"/>
      </font>
      <fill>
        <patternFill patternType="solid">
          <fgColor theme="9"/>
          <bgColor theme="9"/>
        </patternFill>
      </fill>
    </dxf>
    <dxf>
      <font>
        <color theme="1"/>
      </font>
      <border>
        <left style="thin">
          <color auto="1"/>
        </left>
        <right style="thin">
          <color auto="1"/>
        </right>
        <top style="thin">
          <color auto="1"/>
        </top>
        <bottom style="thin">
          <color auto="1"/>
        </bottom>
        <horizontal style="thin">
          <color theme="9" tint="0.39997558519241921"/>
        </horizontal>
      </border>
    </dxf>
    <dxf>
      <fill>
        <patternFill patternType="solid">
          <fgColor theme="5" tint="0.79998168889431442"/>
          <bgColor theme="5" tint="0.79998168889431442"/>
        </patternFill>
      </fill>
    </dxf>
    <dxf>
      <fill>
        <patternFill patternType="solid">
          <fgColor theme="5" tint="0.79995117038483843"/>
          <bgColor rgb="FFFABDB8"/>
        </patternFill>
      </fill>
    </dxf>
    <dxf>
      <font>
        <b/>
        <color theme="1"/>
      </font>
    </dxf>
    <dxf>
      <font>
        <b/>
        <color theme="1"/>
      </font>
    </dxf>
    <dxf>
      <font>
        <b/>
        <color theme="1"/>
      </font>
      <border>
        <top style="double">
          <color theme="5"/>
        </top>
      </border>
    </dxf>
    <dxf>
      <font>
        <b/>
        <color theme="0"/>
      </font>
      <fill>
        <patternFill patternType="solid">
          <fgColor theme="5"/>
          <bgColor rgb="FFC81E0F"/>
        </patternFill>
      </fill>
    </dxf>
    <dxf>
      <font>
        <color theme="1"/>
      </font>
      <border>
        <left style="thin">
          <color auto="1"/>
        </left>
        <right style="thin">
          <color auto="1"/>
        </right>
        <top style="thin">
          <color auto="1"/>
        </top>
        <bottom style="thin">
          <color auto="1"/>
        </bottom>
        <horizontal style="thin">
          <color theme="5" tint="0.39997558519241921"/>
        </horizontal>
      </border>
    </dxf>
    <dxf>
      <fill>
        <patternFill patternType="solid">
          <fgColor rgb="FFFFFBEB"/>
          <bgColor rgb="FFFFF4E6"/>
        </patternFill>
      </fill>
      <border>
        <vertical/>
        <horizontal/>
      </border>
    </dxf>
    <dxf>
      <font>
        <b/>
        <color theme="1"/>
      </font>
      <border>
        <top style="double">
          <color theme="4"/>
        </top>
      </border>
    </dxf>
    <dxf>
      <font>
        <b/>
        <color theme="0"/>
      </font>
      <fill>
        <patternFill patternType="solid">
          <fgColor theme="4"/>
          <bgColor rgb="FF8F4B13"/>
        </patternFill>
      </fill>
      <border diagonalUp="0" diagonalDown="0">
        <left style="thin">
          <color auto="1"/>
        </left>
        <right style="thin">
          <color auto="1"/>
        </right>
        <top style="thin">
          <color auto="1"/>
        </top>
        <bottom style="thin">
          <color auto="1"/>
        </bottom>
        <vertical/>
        <horizontal/>
      </border>
    </dxf>
    <dxf>
      <border>
        <left style="thin">
          <color theme="4" tint="-0.499984740745262"/>
        </left>
        <right style="thin">
          <color theme="4" tint="-0.499984740745262"/>
        </right>
        <top style="thin">
          <color theme="4" tint="-0.499984740745262"/>
        </top>
        <bottom style="thin">
          <color theme="4" tint="-0.499984740745262"/>
        </bottom>
        <vertical style="thin">
          <color theme="4" tint="0.79998168889431442"/>
        </vertical>
        <horizontal style="thin">
          <color theme="4" tint="0.79998168889431442"/>
        </horizontal>
      </border>
    </dxf>
    <dxf>
      <border>
        <left style="hair">
          <color auto="1"/>
        </left>
        <right style="hair">
          <color auto="1"/>
        </right>
        <top style="hair">
          <color auto="1"/>
        </top>
        <bottom style="hair">
          <color auto="1"/>
        </bottom>
      </border>
    </dxf>
    <dxf>
      <fill>
        <patternFill patternType="solid">
          <fgColor theme="7" tint="0.79995117038483843"/>
          <bgColor rgb="FFFCEBE8"/>
        </patternFill>
      </fill>
    </dxf>
    <dxf>
      <font>
        <b/>
        <color theme="1"/>
      </font>
    </dxf>
    <dxf>
      <font>
        <b/>
        <color theme="1"/>
      </font>
    </dxf>
    <dxf>
      <font>
        <b/>
        <color theme="1"/>
      </font>
      <border>
        <top style="double">
          <color theme="7"/>
        </top>
      </border>
    </dxf>
    <dxf>
      <font>
        <b/>
        <i val="0"/>
        <color theme="0"/>
      </font>
      <fill>
        <patternFill patternType="solid">
          <fgColor theme="7"/>
          <bgColor rgb="FF7B0E13"/>
        </patternFill>
      </fill>
    </dxf>
    <dxf>
      <font>
        <color theme="1"/>
      </font>
      <border>
        <left style="thin">
          <color theme="7" tint="0.39997558519241921"/>
        </left>
        <right style="thin">
          <color theme="7" tint="0.39997558519241921"/>
        </right>
        <top style="thin">
          <color theme="7" tint="0.39997558519241921"/>
        </top>
        <bottom style="thin">
          <color theme="7" tint="0.39997558519241921"/>
        </bottom>
        <horizontal style="thin">
          <color theme="7" tint="0.39997558519241921"/>
        </horizontal>
      </border>
    </dxf>
    <dxf>
      <fill>
        <patternFill patternType="solid">
          <fgColor theme="5" tint="0.79995117038483843"/>
          <bgColor rgb="FFF4F9EB"/>
        </patternFill>
      </fill>
    </dxf>
    <dxf>
      <font>
        <b/>
        <color theme="1"/>
      </font>
      <border>
        <top style="double">
          <color theme="5"/>
        </top>
      </border>
    </dxf>
    <dxf>
      <font>
        <b/>
        <color theme="0"/>
      </font>
      <fill>
        <patternFill patternType="solid">
          <fgColor theme="5"/>
          <bgColor rgb="FF3F4018"/>
        </patternFill>
      </fill>
    </dxf>
    <dxf>
      <font>
        <color theme="1"/>
      </font>
      <border>
        <left style="thin">
          <color theme="5" tint="0.39997558519241921"/>
        </left>
        <right style="thin">
          <color theme="5" tint="0.39997558519241921"/>
        </right>
        <top style="thin">
          <color theme="5" tint="0.39997558519241921"/>
        </top>
        <bottom style="thin">
          <color theme="5" tint="0.39997558519241921"/>
        </bottom>
        <horizontal style="thin">
          <color theme="5" tint="0.39997558519241921"/>
        </horizontal>
      </border>
    </dxf>
  </dxfs>
  <tableStyles count="6" defaultTableStyle="TableStyleMedium2" defaultPivotStyle="PivotStyleLight16">
    <tableStyle name="AddTableStyle" pivot="0" count="4">
      <tableStyleElement type="wholeTable" dxfId="281"/>
      <tableStyleElement type="headerRow" dxfId="280"/>
      <tableStyleElement type="totalRow" dxfId="279"/>
      <tableStyleElement type="firstRowStripe" dxfId="278"/>
    </tableStyle>
    <tableStyle name="OmitTableStyle" pivot="0" count="6">
      <tableStyleElement type="wholeTable" dxfId="277"/>
      <tableStyleElement type="headerRow" dxfId="276"/>
      <tableStyleElement type="totalRow" dxfId="275"/>
      <tableStyleElement type="firstColumn" dxfId="274"/>
      <tableStyleElement type="lastColumn" dxfId="273"/>
      <tableStyleElement type="firstRowStripe" dxfId="272"/>
    </tableStyle>
    <tableStyle name="Table Style 1" pivot="0" count="1">
      <tableStyleElement type="wholeTable" dxfId="271"/>
    </tableStyle>
    <tableStyle name="TableFall" pivot="0" count="4">
      <tableStyleElement type="wholeTable" dxfId="270"/>
      <tableStyleElement type="headerRow" dxfId="269"/>
      <tableStyleElement type="totalRow" dxfId="268"/>
      <tableStyleElement type="firstRowStripe" dxfId="267"/>
    </tableStyle>
    <tableStyle name="TableStyleMedium3 2" pivot="0" count="7">
      <tableStyleElement type="wholeTable" dxfId="266"/>
      <tableStyleElement type="headerRow" dxfId="265"/>
      <tableStyleElement type="totalRow" dxfId="264"/>
      <tableStyleElement type="firstColumn" dxfId="263"/>
      <tableStyleElement type="lastColumn" dxfId="262"/>
      <tableStyleElement type="firstRowStripe" dxfId="261"/>
      <tableStyleElement type="firstColumnStripe" dxfId="260"/>
    </tableStyle>
    <tableStyle name="TableStyleMedium7 2" pivot="0" count="7">
      <tableStyleElement type="wholeTable" dxfId="259"/>
      <tableStyleElement type="headerRow" dxfId="258"/>
      <tableStyleElement type="totalRow" dxfId="257"/>
      <tableStyleElement type="firstColumn" dxfId="256"/>
      <tableStyleElement type="lastColumn" dxfId="255"/>
      <tableStyleElement type="firstRowStripe" dxfId="254"/>
      <tableStyleElement type="firstColumnStripe" dxfId="253"/>
    </tableStyle>
  </tableStyles>
  <colors>
    <mruColors>
      <color rgb="FFFFF2CA"/>
      <color rgb="FFFBC3AF"/>
      <color rgb="FFFBCEAF"/>
      <color rgb="FFE1FCC8"/>
      <color rgb="FFE0FBB3"/>
      <color rgb="FFEBF9ED"/>
      <color rgb="FFFFF3D1"/>
      <color rgb="FFFFF9E7"/>
      <color rgb="FFFFF9E5"/>
      <color rgb="FFF8DCD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2.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fmlaLink="J3" lockText="1"/>
</file>

<file path=xl/ctrlProps/ctrlProp4.xml><?xml version="1.0" encoding="utf-8"?>
<formControlPr xmlns="http://schemas.microsoft.com/office/spreadsheetml/2009/9/main" objectType="Radio" firstButton="1" fmlaLink="J2" lockText="1"/>
</file>

<file path=xl/ctrlProps/ctrlProp5.xml><?xml version="1.0" encoding="utf-8"?>
<formControlPr xmlns="http://schemas.microsoft.com/office/spreadsheetml/2009/9/main" objectType="Radio" checked="Checked" lockText="1"/>
</file>

<file path=xl/ctrlProps/ctrlProp6.xml><?xml version="1.0" encoding="utf-8"?>
<formControlPr xmlns="http://schemas.microsoft.com/office/spreadsheetml/2009/9/main" objectType="Radio"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Drop" dropLines="5" dropStyle="combo" dx="35" fmlaLink="HiddenSettings!$E$6" fmlaRange="HiddenSettings!$D$7:$D$11" sel="1" val="0"/>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Drop" dropLines="5" dropStyle="combo" dx="35" fmlaLink="HiddenSettings!$E$6" fmlaRange="HiddenSettings!$D$7:$D$11" sel="1" val="0"/>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hyperlink" Target="#Advanced!A1"/></Relationships>
</file>

<file path=xl/drawings/_rels/drawing2.xml.rels><?xml version="1.0" encoding="UTF-8" standalone="yes"?>
<Relationships xmlns="http://schemas.openxmlformats.org/package/2006/relationships"><Relationship Id="rId1" Type="http://schemas.openxmlformats.org/officeDocument/2006/relationships/hyperlink" Target="#RoboRA!A1"/></Relationships>
</file>

<file path=xl/drawings/_rels/drawing3.xml.rels><?xml version="1.0" encoding="UTF-8" standalone="yes"?>
<Relationships xmlns="http://schemas.openxmlformats.org/package/2006/relationships"><Relationship Id="rId1" Type="http://schemas.openxmlformats.org/officeDocument/2006/relationships/hyperlink" Target="#RoboRA!A1"/></Relationships>
</file>

<file path=xl/drawings/_rels/drawing4.xml.rels><?xml version="1.0" encoding="UTF-8" standalone="yes"?>
<Relationships xmlns="http://schemas.openxmlformats.org/package/2006/relationships"><Relationship Id="rId1" Type="http://schemas.openxmlformats.org/officeDocument/2006/relationships/hyperlink" Target="#RoboRA!A1"/></Relationships>
</file>

<file path=xl/drawings/_rels/drawing5.xml.rels><?xml version="1.0" encoding="UTF-8" standalone="yes"?>
<Relationships xmlns="http://schemas.openxmlformats.org/package/2006/relationships"><Relationship Id="rId1" Type="http://schemas.openxmlformats.org/officeDocument/2006/relationships/hyperlink" Target="#RoboRA!A1"/></Relationships>
</file>

<file path=xl/drawings/_rels/drawing6.xml.rels><?xml version="1.0" encoding="UTF-8" standalone="yes"?>
<Relationships xmlns="http://schemas.openxmlformats.org/package/2006/relationships"><Relationship Id="rId3" Type="http://schemas.openxmlformats.org/officeDocument/2006/relationships/hyperlink" Target="#Help!A1"/><Relationship Id="rId7" Type="http://schemas.openxmlformats.org/officeDocument/2006/relationships/image" Target="../media/image5.png"/><Relationship Id="rId2" Type="http://schemas.openxmlformats.org/officeDocument/2006/relationships/image" Target="../media/image1.jpg"/><Relationship Id="rId1" Type="http://schemas.openxmlformats.org/officeDocument/2006/relationships/hyperlink" Target="#RoboRA!A1"/><Relationship Id="rId6" Type="http://schemas.openxmlformats.org/officeDocument/2006/relationships/image" Target="../media/image4.png"/><Relationship Id="rId5" Type="http://schemas.openxmlformats.org/officeDocument/2006/relationships/image" Target="../media/image3.jpeg"/><Relationship Id="rId4" Type="http://schemas.openxmlformats.org/officeDocument/2006/relationships/image" Target="../media/image2.jpeg"/></Relationships>
</file>

<file path=xl/drawings/_rels/drawing7.xml.rels><?xml version="1.0" encoding="UTF-8" standalone="yes"?>
<Relationships xmlns="http://schemas.openxmlformats.org/package/2006/relationships"><Relationship Id="rId1" Type="http://schemas.openxmlformats.org/officeDocument/2006/relationships/hyperlink" Target="#RoboRA!A1"/></Relationships>
</file>

<file path=xl/drawings/_rels/drawing8.xml.rels><?xml version="1.0" encoding="UTF-8" standalone="yes"?>
<Relationships xmlns="http://schemas.openxmlformats.org/package/2006/relationships"><Relationship Id="rId1" Type="http://schemas.openxmlformats.org/officeDocument/2006/relationships/hyperlink" Target="#RoboRA!A1"/></Relationships>
</file>

<file path=xl/drawings/_rels/drawing9.xml.rels><?xml version="1.0" encoding="UTF-8" standalone="yes"?>
<Relationships xmlns="http://schemas.openxmlformats.org/package/2006/relationships"><Relationship Id="rId3" Type="http://schemas.openxmlformats.org/officeDocument/2006/relationships/hyperlink" Target="#RoboRA!A1"/><Relationship Id="rId2" Type="http://schemas.openxmlformats.org/officeDocument/2006/relationships/hyperlink" Target="#ckSplits!A1"/><Relationship Id="rId1" Type="http://schemas.openxmlformats.org/officeDocument/2006/relationships/hyperlink" Target="#ckSplits!AM1"/></Relationships>
</file>

<file path=xl/drawings/_rels/drawing10.xml.rels><?xml version="1.0" encoding="UTF-8" standalone="yes"?>
<Relationships xmlns="http://schemas.openxmlformats.org/package/2006/relationships"><Relationship Id="rId1" Type="http://schemas.openxmlformats.org/officeDocument/2006/relationships/hyperlink" Target="#RoboRA!A1"/></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27214</xdr:colOff>
          <xdr:row>6</xdr:row>
          <xdr:rowOff>65315</xdr:rowOff>
        </xdr:from>
        <xdr:to>
          <xdr:col>7</xdr:col>
          <xdr:colOff>620486</xdr:colOff>
          <xdr:row>7</xdr:row>
          <xdr:rowOff>32658</xdr:rowOff>
        </xdr:to>
        <xdr:sp macro="" textlink="">
          <xdr:nvSpPr>
            <xdr:cNvPr id="16387" name="Button 3" hidden="1">
              <a:extLst>
                <a:ext uri="{63B3BB69-23CF-44E3-9099-C40C66FF867C}">
                  <a14:compatExt spid="_x0000_s16387"/>
                </a:ext>
                <a:ext uri="{FF2B5EF4-FFF2-40B4-BE49-F238E27FC236}">
                  <a16:creationId xmlns:a16="http://schemas.microsoft.com/office/drawing/2014/main" id="{00000000-0008-0000-0000-0000034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Pull project data from rptServer</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16329</xdr:colOff>
          <xdr:row>9</xdr:row>
          <xdr:rowOff>76203</xdr:rowOff>
        </xdr:from>
        <xdr:to>
          <xdr:col>7</xdr:col>
          <xdr:colOff>571501</xdr:colOff>
          <xdr:row>10</xdr:row>
          <xdr:rowOff>21775</xdr:rowOff>
        </xdr:to>
        <xdr:sp macro="" textlink="">
          <xdr:nvSpPr>
            <xdr:cNvPr id="16388" name="Button 4" hidden="1">
              <a:extLst>
                <a:ext uri="{63B3BB69-23CF-44E3-9099-C40C66FF867C}">
                  <a14:compatExt spid="_x0000_s16388"/>
                </a:ext>
                <a:ext uri="{FF2B5EF4-FFF2-40B4-BE49-F238E27FC236}">
                  <a16:creationId xmlns:a16="http://schemas.microsoft.com/office/drawing/2014/main" id="{00000000-0008-0000-0000-0000044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Create RA Drafts</a:t>
              </a:r>
            </a:p>
          </xdr:txBody>
        </xdr:sp>
        <xdr:clientData/>
      </xdr:twoCellAnchor>
    </mc:Choice>
    <mc:Fallback/>
  </mc:AlternateContent>
  <xdr:twoCellAnchor editAs="absolute">
    <xdr:from>
      <xdr:col>7</xdr:col>
      <xdr:colOff>631508</xdr:colOff>
      <xdr:row>0</xdr:row>
      <xdr:rowOff>179614</xdr:rowOff>
    </xdr:from>
    <xdr:to>
      <xdr:col>11</xdr:col>
      <xdr:colOff>436094</xdr:colOff>
      <xdr:row>8</xdr:row>
      <xdr:rowOff>66433</xdr:rowOff>
    </xdr:to>
    <xdr:grpSp>
      <xdr:nvGrpSpPr>
        <xdr:cNvPr id="6" name="Group 5">
          <a:hlinkClick xmlns:r="http://schemas.openxmlformats.org/officeDocument/2006/relationships" r:id="rId1" tooltip="Robotlab bios project http://www.robotlab.de/bios/bible_en.htm; photo by Brett Jordan, https://www.flickr.com/photos/55497864@N00/2241318371"/>
          <a:extLst>
            <a:ext uri="{FF2B5EF4-FFF2-40B4-BE49-F238E27FC236}">
              <a16:creationId xmlns:a16="http://schemas.microsoft.com/office/drawing/2014/main" id="{00000000-0008-0000-0000-000006000000}"/>
            </a:ext>
          </a:extLst>
        </xdr:cNvPr>
        <xdr:cNvGrpSpPr>
          <a:grpSpLocks noChangeAspect="1"/>
        </xdr:cNvGrpSpPr>
      </xdr:nvGrpSpPr>
      <xdr:grpSpPr>
        <a:xfrm>
          <a:off x="3592422" y="179614"/>
          <a:ext cx="2242986" cy="1802705"/>
          <a:chOff x="3153963" y="0"/>
          <a:chExt cx="2672189" cy="2054967"/>
        </a:xfrm>
      </xdr:grpSpPr>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18280" r="7657" b="25000"/>
          <a:stretch/>
        </xdr:blipFill>
        <xdr:spPr>
          <a:xfrm>
            <a:off x="3257550" y="163308"/>
            <a:ext cx="2490684" cy="1891659"/>
          </a:xfrm>
          <a:prstGeom prst="rect">
            <a:avLst/>
          </a:prstGeom>
          <a:scene3d>
            <a:camera prst="orthographicFront"/>
            <a:lightRig rig="threePt" dir="t"/>
          </a:scene3d>
          <a:sp3d>
            <a:bevelT prst="angle"/>
          </a:sp3d>
        </xdr:spPr>
      </xdr:pic>
      <xdr:sp macro="" textlink="">
        <xdr:nvSpPr>
          <xdr:cNvPr id="4" name="Rectangle 3">
            <a:extLst>
              <a:ext uri="{FF2B5EF4-FFF2-40B4-BE49-F238E27FC236}">
                <a16:creationId xmlns:a16="http://schemas.microsoft.com/office/drawing/2014/main" id="{00000000-0008-0000-0000-000004000000}"/>
              </a:ext>
            </a:extLst>
          </xdr:cNvPr>
          <xdr:cNvSpPr/>
        </xdr:nvSpPr>
        <xdr:spPr>
          <a:xfrm>
            <a:off x="3153963" y="0"/>
            <a:ext cx="2672189" cy="961828"/>
          </a:xfrm>
          <a:prstGeom prst="rect">
            <a:avLst/>
          </a:prstGeom>
          <a:noFill/>
          <a:scene3d>
            <a:camera prst="orthographicFront"/>
            <a:lightRig rig="threePt" dir="t"/>
          </a:scene3d>
          <a:sp3d>
            <a:bevelT prst="angle"/>
          </a:sp3d>
        </xdr:spPr>
        <xdr:txBody>
          <a:bodyPr wrap="none" lIns="91440" tIns="45720" rIns="91440" bIns="45720">
            <a:spAutoFit/>
          </a:bodyPr>
          <a:lstStyle/>
          <a:p>
            <a:pPr algn="ctr"/>
            <a:r>
              <a:rPr lang="en-US" sz="48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t>RoboRA</a:t>
            </a:r>
          </a:p>
        </xdr:txBody>
      </xdr:sp>
    </xdr:grpSp>
    <xdr:clientData/>
  </xdr:twoCellAnchor>
  <mc:AlternateContent xmlns:mc="http://schemas.openxmlformats.org/markup-compatibility/2006">
    <mc:Choice xmlns:a14="http://schemas.microsoft.com/office/drawing/2010/main" Requires="a14">
      <xdr:twoCellAnchor editAs="oneCell">
        <xdr:from>
          <xdr:col>12</xdr:col>
          <xdr:colOff>212272</xdr:colOff>
          <xdr:row>7</xdr:row>
          <xdr:rowOff>212272</xdr:rowOff>
        </xdr:from>
        <xdr:to>
          <xdr:col>13</xdr:col>
          <xdr:colOff>1687288</xdr:colOff>
          <xdr:row>8</xdr:row>
          <xdr:rowOff>206829</xdr:rowOff>
        </xdr:to>
        <xdr:sp macro="" textlink="">
          <xdr:nvSpPr>
            <xdr:cNvPr id="16395" name="cbAutoloadAll" hidden="1">
              <a:extLst>
                <a:ext uri="{63B3BB69-23CF-44E3-9099-C40C66FF867C}">
                  <a14:compatExt spid="_x0000_s16395"/>
                </a:ext>
                <a:ext uri="{FF2B5EF4-FFF2-40B4-BE49-F238E27FC236}">
                  <a16:creationId xmlns:a16="http://schemas.microsoft.com/office/drawing/2014/main" id="{00000000-0008-0000-0000-00000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800" b="0" i="0" u="none" strike="noStrike" baseline="0">
                  <a:solidFill>
                    <a:srgbClr val="000000"/>
                  </a:solidFill>
                  <a:latin typeface="Segoe UI"/>
                  <a:cs typeface="Segoe UI"/>
                </a:rPr>
                <a:t>Autoload All RA Drafts to eJacket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212272</xdr:colOff>
          <xdr:row>8</xdr:row>
          <xdr:rowOff>195943</xdr:rowOff>
        </xdr:from>
        <xdr:to>
          <xdr:col>14</xdr:col>
          <xdr:colOff>59873</xdr:colOff>
          <xdr:row>9</xdr:row>
          <xdr:rowOff>130629</xdr:rowOff>
        </xdr:to>
        <xdr:sp macro="" textlink="">
          <xdr:nvSpPr>
            <xdr:cNvPr id="16397" name="obtnNeverOverwrite" hidden="1">
              <a:extLst>
                <a:ext uri="{63B3BB69-23CF-44E3-9099-C40C66FF867C}">
                  <a14:compatExt spid="_x0000_s16397"/>
                </a:ext>
                <a:ext uri="{FF2B5EF4-FFF2-40B4-BE49-F238E27FC236}">
                  <a16:creationId xmlns:a16="http://schemas.microsoft.com/office/drawing/2014/main" id="{00000000-0008-0000-0000-00000D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800" b="0" i="0" u="none" strike="noStrike" baseline="0">
                  <a:solidFill>
                    <a:srgbClr val="000000"/>
                  </a:solidFill>
                  <a:latin typeface="Segoe UI"/>
                  <a:cs typeface="Segoe UI"/>
                </a:rPr>
                <a:t>Never overwrite existing RA in eJacket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212272</xdr:colOff>
          <xdr:row>9</xdr:row>
          <xdr:rowOff>146957</xdr:rowOff>
        </xdr:from>
        <xdr:to>
          <xdr:col>14</xdr:col>
          <xdr:colOff>163287</xdr:colOff>
          <xdr:row>10</xdr:row>
          <xdr:rowOff>48986</xdr:rowOff>
        </xdr:to>
        <xdr:sp macro="" textlink="">
          <xdr:nvSpPr>
            <xdr:cNvPr id="16398" name="obtnAskOverwrite" hidden="1">
              <a:extLst>
                <a:ext uri="{63B3BB69-23CF-44E3-9099-C40C66FF867C}">
                  <a14:compatExt spid="_x0000_s16398"/>
                </a:ext>
                <a:ext uri="{FF2B5EF4-FFF2-40B4-BE49-F238E27FC236}">
                  <a16:creationId xmlns:a16="http://schemas.microsoft.com/office/drawing/2014/main" id="{00000000-0008-0000-0000-00000E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800" b="0" i="0" u="none" strike="noStrike" baseline="0">
                  <a:solidFill>
                    <a:srgbClr val="000000"/>
                  </a:solidFill>
                  <a:latin typeface="Segoe UI"/>
                  <a:cs typeface="Segoe UI"/>
                </a:rPr>
                <a:t>Ask to overwrite if RA exists in eJacket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212272</xdr:colOff>
          <xdr:row>10</xdr:row>
          <xdr:rowOff>59871</xdr:rowOff>
        </xdr:from>
        <xdr:to>
          <xdr:col>14</xdr:col>
          <xdr:colOff>59873</xdr:colOff>
          <xdr:row>10</xdr:row>
          <xdr:rowOff>250371</xdr:rowOff>
        </xdr:to>
        <xdr:sp macro="" textlink="">
          <xdr:nvSpPr>
            <xdr:cNvPr id="16399" name="Option Button 15" hidden="1">
              <a:extLst>
                <a:ext uri="{63B3BB69-23CF-44E3-9099-C40C66FF867C}">
                  <a14:compatExt spid="_x0000_s16399"/>
                </a:ext>
                <a:ext uri="{FF2B5EF4-FFF2-40B4-BE49-F238E27FC236}">
                  <a16:creationId xmlns:a16="http://schemas.microsoft.com/office/drawing/2014/main" id="{00000000-0008-0000-0000-00000F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800" b="0" i="0" u="none" strike="noStrike" baseline="0">
                  <a:solidFill>
                    <a:srgbClr val="000000"/>
                  </a:solidFill>
                  <a:latin typeface="Segoe UI"/>
                  <a:cs typeface="Segoe UI"/>
                </a:rPr>
                <a:t>Always overwrite RA in eJacket</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27214</xdr:colOff>
          <xdr:row>7</xdr:row>
          <xdr:rowOff>87089</xdr:rowOff>
        </xdr:from>
        <xdr:to>
          <xdr:col>7</xdr:col>
          <xdr:colOff>620486</xdr:colOff>
          <xdr:row>8</xdr:row>
          <xdr:rowOff>48988</xdr:rowOff>
        </xdr:to>
        <xdr:sp macro="" textlink="">
          <xdr:nvSpPr>
            <xdr:cNvPr id="16402" name="Button 18" hidden="1">
              <a:extLst>
                <a:ext uri="{63B3BB69-23CF-44E3-9099-C40C66FF867C}">
                  <a14:compatExt spid="_x0000_s16402"/>
                </a:ext>
                <a:ext uri="{FF2B5EF4-FFF2-40B4-BE49-F238E27FC236}">
                  <a16:creationId xmlns:a16="http://schemas.microsoft.com/office/drawing/2014/main" id="{00000000-0008-0000-0000-0000124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Project review docs to PDF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10885</xdr:colOff>
          <xdr:row>5</xdr:row>
          <xdr:rowOff>48986</xdr:rowOff>
        </xdr:from>
        <xdr:to>
          <xdr:col>7</xdr:col>
          <xdr:colOff>625928</xdr:colOff>
          <xdr:row>5</xdr:row>
          <xdr:rowOff>228600</xdr:rowOff>
        </xdr:to>
        <xdr:sp macro="" textlink="">
          <xdr:nvSpPr>
            <xdr:cNvPr id="16403" name="ddPropStts_RoboRA" hidden="1">
              <a:extLst>
                <a:ext uri="{63B3BB69-23CF-44E3-9099-C40C66FF867C}">
                  <a14:compatExt spid="_x0000_s16403"/>
                </a:ext>
                <a:ext uri="{FF2B5EF4-FFF2-40B4-BE49-F238E27FC236}">
                  <a16:creationId xmlns:a16="http://schemas.microsoft.com/office/drawing/2014/main" id="{00000000-0008-0000-0000-00001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92529</xdr:colOff>
          <xdr:row>8</xdr:row>
          <xdr:rowOff>152401</xdr:rowOff>
        </xdr:from>
        <xdr:to>
          <xdr:col>11</xdr:col>
          <xdr:colOff>299357</xdr:colOff>
          <xdr:row>9</xdr:row>
          <xdr:rowOff>119744</xdr:rowOff>
        </xdr:to>
        <xdr:sp macro="" textlink="">
          <xdr:nvSpPr>
            <xdr:cNvPr id="16407" name="Button 23" hidden="1">
              <a:extLst>
                <a:ext uri="{63B3BB69-23CF-44E3-9099-C40C66FF867C}">
                  <a14:compatExt spid="_x0000_s16407"/>
                </a:ext>
                <a:ext uri="{FF2B5EF4-FFF2-40B4-BE49-F238E27FC236}">
                  <a16:creationId xmlns:a16="http://schemas.microsoft.com/office/drawing/2014/main" id="{00000000-0008-0000-0000-0000174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Paste eJ MyWork</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865415</xdr:colOff>
          <xdr:row>8</xdr:row>
          <xdr:rowOff>141515</xdr:rowOff>
        </xdr:from>
        <xdr:to>
          <xdr:col>9</xdr:col>
          <xdr:colOff>195943</xdr:colOff>
          <xdr:row>9</xdr:row>
          <xdr:rowOff>119744</xdr:rowOff>
        </xdr:to>
        <xdr:sp macro="" textlink="">
          <xdr:nvSpPr>
            <xdr:cNvPr id="16409" name="Button 25" hidden="1">
              <a:extLst>
                <a:ext uri="{63B3BB69-23CF-44E3-9099-C40C66FF867C}">
                  <a14:compatExt spid="_x0000_s16409"/>
                </a:ext>
                <a:ext uri="{FF2B5EF4-FFF2-40B4-BE49-F238E27FC236}">
                  <a16:creationId xmlns:a16="http://schemas.microsoft.com/office/drawing/2014/main" id="{00000000-0008-0000-0000-0000194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Clear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59870</xdr:colOff>
          <xdr:row>1</xdr:row>
          <xdr:rowOff>16328</xdr:rowOff>
        </xdr:from>
        <xdr:to>
          <xdr:col>13</xdr:col>
          <xdr:colOff>315685</xdr:colOff>
          <xdr:row>2</xdr:row>
          <xdr:rowOff>0</xdr:rowOff>
        </xdr:to>
        <xdr:sp macro="" textlink="">
          <xdr:nvSpPr>
            <xdr:cNvPr id="16410" name="Button 26" hidden="1">
              <a:extLst>
                <a:ext uri="{63B3BB69-23CF-44E3-9099-C40C66FF867C}">
                  <a14:compatExt spid="_x0000_s16410"/>
                </a:ext>
                <a:ext uri="{FF2B5EF4-FFF2-40B4-BE49-F238E27FC236}">
                  <a16:creationId xmlns:a16="http://schemas.microsoft.com/office/drawing/2014/main" id="{1B3E63E2-368A-4E1D-BBB8-D0626F954E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Change</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0</xdr:col>
      <xdr:colOff>208605</xdr:colOff>
      <xdr:row>0</xdr:row>
      <xdr:rowOff>237375</xdr:rowOff>
    </xdr:from>
    <xdr:to>
      <xdr:col>17</xdr:col>
      <xdr:colOff>795796</xdr:colOff>
      <xdr:row>0</xdr:row>
      <xdr:rowOff>460976</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208605" y="237375"/>
          <a:ext cx="8711016" cy="223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solidFill>
                <a:srgbClr val="002060"/>
              </a:solidFill>
            </a:rPr>
            <a:t>Check coding </a:t>
          </a:r>
          <a:r>
            <a:rPr lang="en-US" sz="1100">
              <a:solidFill>
                <a:srgbClr val="002060"/>
              </a:solidFill>
            </a:rPr>
            <a:t>helps identify missing context statements, %ages, PRCs, unreleased summ/revs, differences between the leads&amp;non-leads.</a:t>
          </a:r>
        </a:p>
      </xdr:txBody>
    </xdr:sp>
    <xdr:clientData/>
  </xdr:twoCellAnchor>
  <xdr:twoCellAnchor editAs="absolute">
    <xdr:from>
      <xdr:col>0</xdr:col>
      <xdr:colOff>16663</xdr:colOff>
      <xdr:row>0</xdr:row>
      <xdr:rowOff>27770</xdr:rowOff>
    </xdr:from>
    <xdr:to>
      <xdr:col>0</xdr:col>
      <xdr:colOff>462977</xdr:colOff>
      <xdr:row>0</xdr:row>
      <xdr:rowOff>207384</xdr:rowOff>
    </xdr:to>
    <xdr:sp macro="" textlink="">
      <xdr:nvSpPr>
        <xdr:cNvPr id="3" name="Arrow: Chevron 2">
          <a:hlinkClick xmlns:r="http://schemas.openxmlformats.org/officeDocument/2006/relationships" r:id="rId1" tooltip="Return to RoboRA tab"/>
          <a:extLst>
            <a:ext uri="{FF2B5EF4-FFF2-40B4-BE49-F238E27FC236}">
              <a16:creationId xmlns:a16="http://schemas.microsoft.com/office/drawing/2014/main" id="{00000000-0008-0000-0100-000003000000}"/>
            </a:ext>
          </a:extLst>
        </xdr:cNvPr>
        <xdr:cNvSpPr/>
      </xdr:nvSpPr>
      <xdr:spPr>
        <a:xfrm flipH="1">
          <a:off x="16663" y="27770"/>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oneCellAnchor>
    <xdr:from>
      <xdr:col>28</xdr:col>
      <xdr:colOff>27769</xdr:colOff>
      <xdr:row>0</xdr:row>
      <xdr:rowOff>127740</xdr:rowOff>
    </xdr:from>
    <xdr:ext cx="6325934" cy="216603"/>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14901209" y="127740"/>
          <a:ext cx="6325934" cy="21660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US" sz="1100" b="1">
              <a:solidFill>
                <a:srgbClr val="002060"/>
              </a:solidFill>
              <a:latin typeface="+mn-lt"/>
              <a:ea typeface="+mn-ea"/>
              <a:cs typeface="+mn-cs"/>
            </a:rPr>
            <a:t>Panel </a:t>
          </a:r>
          <a:r>
            <a:rPr lang="en-US" sz="1100" b="0">
              <a:solidFill>
                <a:srgbClr val="002060"/>
              </a:solidFill>
              <a:latin typeface="+mn-lt"/>
              <a:ea typeface="+mn-ea"/>
              <a:cs typeface="+mn-cs"/>
            </a:rPr>
            <a:t>(#,unrls,</a:t>
          </a:r>
          <a:r>
            <a:rPr lang="en-US" sz="1100" b="0">
              <a:solidFill>
                <a:srgbClr val="FF0000"/>
              </a:solidFill>
              <a:latin typeface="+mn-lt"/>
              <a:ea typeface="+mn-ea"/>
              <a:cs typeface="+mn-cs"/>
            </a:rPr>
            <a:t>unmarked</a:t>
          </a:r>
          <a:r>
            <a:rPr lang="en-US" sz="1100" b="0">
              <a:solidFill>
                <a:srgbClr val="002060"/>
              </a:solidFill>
              <a:latin typeface="+mn-lt"/>
              <a:ea typeface="+mn-ea"/>
              <a:cs typeface="+mn-cs"/>
            </a:rPr>
            <a:t>) &amp;</a:t>
          </a:r>
          <a:r>
            <a:rPr lang="en-US" sz="1100" b="1">
              <a:solidFill>
                <a:srgbClr val="002060"/>
              </a:solidFill>
              <a:latin typeface="+mn-lt"/>
              <a:ea typeface="+mn-ea"/>
              <a:cs typeface="+mn-cs"/>
            </a:rPr>
            <a:t> Review </a:t>
          </a:r>
          <a:r>
            <a:rPr lang="en-US" sz="1100" b="0">
              <a:solidFill>
                <a:srgbClr val="002060"/>
              </a:solidFill>
              <a:latin typeface="+mn-lt"/>
              <a:ea typeface="+mn-ea"/>
              <a:cs typeface="+mn-cs"/>
            </a:rPr>
            <a:t>(9=E,1=P</a:t>
          </a:r>
          <a:r>
            <a:rPr lang="en-US" sz="1100" b="0" baseline="0">
              <a:solidFill>
                <a:srgbClr val="002060"/>
              </a:solidFill>
              <a:latin typeface="+mn-lt"/>
              <a:ea typeface="+mn-ea"/>
              <a:cs typeface="+mn-cs"/>
            </a:rPr>
            <a:t>) info.  (#confl,#revs, #unrls, </a:t>
          </a:r>
          <a:r>
            <a:rPr lang="en-US" sz="1100" b="0" baseline="0">
              <a:solidFill>
                <a:srgbClr val="FF0000"/>
              </a:solidFill>
              <a:latin typeface="+mn-lt"/>
              <a:ea typeface="+mn-ea"/>
              <a:cs typeface="+mn-cs"/>
            </a:rPr>
            <a:t>#unmkd,#rlsdC,#pend,#FL≠eJ</a:t>
          </a:r>
          <a:r>
            <a:rPr lang="en-US" sz="1100" b="0" baseline="0">
              <a:solidFill>
                <a:srgbClr val="002060"/>
              </a:solidFill>
              <a:latin typeface="+mn-lt"/>
              <a:ea typeface="+mn-ea"/>
              <a:cs typeface="+mn-cs"/>
            </a:rPr>
            <a:t>)</a:t>
          </a:r>
        </a:p>
      </xdr:txBody>
    </xdr:sp>
    <xdr:clientData/>
  </xdr:oneCellAnchor>
  <xdr:oneCellAnchor>
    <xdr:from>
      <xdr:col>48</xdr:col>
      <xdr:colOff>327683</xdr:colOff>
      <xdr:row>0</xdr:row>
      <xdr:rowOff>266589</xdr:rowOff>
    </xdr:from>
    <xdr:ext cx="5392872" cy="183278"/>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28158455" y="266589"/>
          <a:ext cx="5392872" cy="18327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US" sz="1100" b="1">
              <a:solidFill>
                <a:srgbClr val="002060"/>
              </a:solidFill>
              <a:latin typeface="+mn-lt"/>
              <a:ea typeface="+mn-ea"/>
              <a:cs typeface="+mn-cs"/>
            </a:rPr>
            <a:t>Latest budget</a:t>
          </a:r>
          <a:r>
            <a:rPr lang="en-US" sz="1100" b="0" baseline="0">
              <a:solidFill>
                <a:srgbClr val="002060"/>
              </a:solidFill>
              <a:latin typeface="+mn-lt"/>
              <a:ea typeface="+mn-ea"/>
              <a:cs typeface="+mn-cs"/>
            </a:rPr>
            <a:t>: total, subcontracts, foreign travel, postdoc, participant support, and months</a:t>
          </a:r>
        </a:p>
      </xdr:txBody>
    </xdr:sp>
    <xdr:clientData/>
  </xdr:oneCellAnchor>
  <xdr:oneCellAnchor>
    <xdr:from>
      <xdr:col>57</xdr:col>
      <xdr:colOff>124633</xdr:colOff>
      <xdr:row>0</xdr:row>
      <xdr:rowOff>266589</xdr:rowOff>
    </xdr:from>
    <xdr:ext cx="2924478" cy="188834"/>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33581542" y="266589"/>
          <a:ext cx="2924478" cy="18883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US" sz="1100" b="1">
              <a:solidFill>
                <a:srgbClr val="002060"/>
              </a:solidFill>
              <a:latin typeface="+mn-lt"/>
              <a:ea typeface="+mn-ea"/>
              <a:cs typeface="+mn-cs"/>
            </a:rPr>
            <a:t>PI+coPI dmog</a:t>
          </a:r>
          <a:r>
            <a:rPr lang="en-US" sz="1100" b="0">
              <a:solidFill>
                <a:srgbClr val="002060"/>
              </a:solidFill>
              <a:latin typeface="+mn-lt"/>
              <a:ea typeface="+mn-ea"/>
              <a:cs typeface="+mn-cs"/>
            </a:rPr>
            <a:t>:#Female,#Hisp,</a:t>
          </a:r>
          <a:r>
            <a:rPr lang="en-US" sz="1100" b="0" baseline="0">
              <a:solidFill>
                <a:srgbClr val="002060"/>
              </a:solidFill>
              <a:latin typeface="+mn-lt"/>
              <a:ea typeface="+mn-ea"/>
              <a:cs typeface="+mn-cs"/>
            </a:rPr>
            <a:t>#nonW/A,#Disab</a:t>
          </a:r>
        </a:p>
      </xdr:txBody>
    </xdr:sp>
    <xdr:clientData/>
  </xdr:oneCellAnchor>
</xdr:wsDr>
</file>

<file path=xl/drawings/drawing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0</xdr:col>
      <xdr:colOff>446314</xdr:colOff>
      <xdr:row>0</xdr:row>
      <xdr:rowOff>179614</xdr:rowOff>
    </xdr:to>
    <xdr:sp macro="" textlink="">
      <xdr:nvSpPr>
        <xdr:cNvPr id="2" name="Arrow: Chevron 1">
          <a:hlinkClick xmlns:r="http://schemas.openxmlformats.org/officeDocument/2006/relationships" r:id="rId1" tooltip="Return to RoboRA tab"/>
          <a:extLst>
            <a:ext uri="{FF2B5EF4-FFF2-40B4-BE49-F238E27FC236}">
              <a16:creationId xmlns:a16="http://schemas.microsoft.com/office/drawing/2014/main" id="{00000000-0008-0000-0200-000002000000}"/>
            </a:ext>
          </a:extLst>
        </xdr:cNvPr>
        <xdr:cNvSpPr/>
      </xdr:nvSpPr>
      <xdr:spPr>
        <a:xfrm flipH="1">
          <a:off x="0" y="0"/>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editAs="absolute">
    <xdr:from>
      <xdr:col>0</xdr:col>
      <xdr:colOff>473527</xdr:colOff>
      <xdr:row>0</xdr:row>
      <xdr:rowOff>43543</xdr:rowOff>
    </xdr:from>
    <xdr:to>
      <xdr:col>18</xdr:col>
      <xdr:colOff>356229</xdr:colOff>
      <xdr:row>0</xdr:row>
      <xdr:rowOff>267144</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473527" y="43543"/>
          <a:ext cx="8711016" cy="223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solidFill>
                <a:srgbClr val="002060"/>
              </a:solidFill>
            </a:rPr>
            <a:t>Check award </a:t>
          </a:r>
          <a:r>
            <a:rPr lang="en-US" sz="1100" b="0">
              <a:solidFill>
                <a:srgbClr val="002060"/>
              </a:solidFill>
            </a:rPr>
            <a:t>shows</a:t>
          </a:r>
          <a:r>
            <a:rPr lang="en-US" sz="1100">
              <a:solidFill>
                <a:srgbClr val="002060"/>
              </a:solidFill>
            </a:rPr>
            <a:t> human/vertibrate from</a:t>
          </a:r>
          <a:r>
            <a:rPr lang="en-US" sz="1100" baseline="0">
              <a:solidFill>
                <a:srgbClr val="002060"/>
              </a:solidFill>
            </a:rPr>
            <a:t> cover</a:t>
          </a:r>
          <a:r>
            <a:rPr lang="en-US" sz="1100">
              <a:solidFill>
                <a:srgbClr val="002060"/>
              </a:solidFill>
            </a:rPr>
            <a:t>, revised budget</a:t>
          </a:r>
          <a:r>
            <a:rPr lang="en-US" sz="1100" baseline="0">
              <a:solidFill>
                <a:srgbClr val="002060"/>
              </a:solidFill>
            </a:rPr>
            <a:t> #s, </a:t>
          </a:r>
          <a:r>
            <a:rPr lang="en-US" sz="1100">
              <a:solidFill>
                <a:srgbClr val="002060"/>
              </a:solidFill>
            </a:rPr>
            <a:t>abstract, title, &amp;</a:t>
          </a:r>
          <a:r>
            <a:rPr lang="en-US" sz="1100" baseline="0">
              <a:solidFill>
                <a:srgbClr val="002060"/>
              </a:solidFill>
            </a:rPr>
            <a:t> highlights </a:t>
          </a:r>
          <a:r>
            <a:rPr lang="en-US" sz="1100">
              <a:solidFill>
                <a:srgbClr val="002060"/>
              </a:solidFill>
            </a:rPr>
            <a:t>differences between the leads&amp;non-leads.</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5</xdr:col>
      <xdr:colOff>0</xdr:colOff>
      <xdr:row>0</xdr:row>
      <xdr:rowOff>0</xdr:rowOff>
    </xdr:from>
    <xdr:to>
      <xdr:col>5</xdr:col>
      <xdr:colOff>446314</xdr:colOff>
      <xdr:row>0</xdr:row>
      <xdr:rowOff>179614</xdr:rowOff>
    </xdr:to>
    <xdr:sp macro="" textlink="">
      <xdr:nvSpPr>
        <xdr:cNvPr id="2" name="Arrow: Chevron 1">
          <a:hlinkClick xmlns:r="http://schemas.openxmlformats.org/officeDocument/2006/relationships" r:id="rId1" tooltip="Return to RoboRA tab"/>
          <a:extLst>
            <a:ext uri="{FF2B5EF4-FFF2-40B4-BE49-F238E27FC236}">
              <a16:creationId xmlns:a16="http://schemas.microsoft.com/office/drawing/2014/main" id="{00000000-0008-0000-0300-000002000000}"/>
            </a:ext>
          </a:extLst>
        </xdr:cNvPr>
        <xdr:cNvSpPr/>
      </xdr:nvSpPr>
      <xdr:spPr>
        <a:xfrm flipH="1">
          <a:off x="658586" y="0"/>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152400</xdr:colOff>
          <xdr:row>0</xdr:row>
          <xdr:rowOff>65314</xdr:rowOff>
        </xdr:from>
        <xdr:to>
          <xdr:col>16</xdr:col>
          <xdr:colOff>898071</xdr:colOff>
          <xdr:row>0</xdr:row>
          <xdr:rowOff>326571</xdr:rowOff>
        </xdr:to>
        <xdr:sp macro="" textlink="">
          <xdr:nvSpPr>
            <xdr:cNvPr id="10248" name="Button 8" hidden="1">
              <a:extLst>
                <a:ext uri="{63B3BB69-23CF-44E3-9099-C40C66FF867C}">
                  <a14:compatExt spid="_x0000_s10248"/>
                </a:ext>
                <a:ext uri="{FF2B5EF4-FFF2-40B4-BE49-F238E27FC236}">
                  <a16:creationId xmlns:a16="http://schemas.microsoft.com/office/drawing/2014/main" id="{00000000-0008-0000-0600-0000082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Make Indicated RA Drafts</a:t>
              </a:r>
            </a:p>
          </xdr:txBody>
        </xdr:sp>
        <xdr:clientData fPrintsWithSheet="0"/>
      </xdr:twoCellAnchor>
    </mc:Choice>
    <mc:Fallback/>
  </mc:AlternateContent>
  <xdr:twoCellAnchor editAs="absolute">
    <xdr:from>
      <xdr:col>0</xdr:col>
      <xdr:colOff>54429</xdr:colOff>
      <xdr:row>0</xdr:row>
      <xdr:rowOff>65315</xdr:rowOff>
    </xdr:from>
    <xdr:to>
      <xdr:col>0</xdr:col>
      <xdr:colOff>500743</xdr:colOff>
      <xdr:row>0</xdr:row>
      <xdr:rowOff>244929</xdr:rowOff>
    </xdr:to>
    <xdr:sp macro="" textlink="">
      <xdr:nvSpPr>
        <xdr:cNvPr id="4" name="Arrow: Chevron 3">
          <a:hlinkClick xmlns:r="http://schemas.openxmlformats.org/officeDocument/2006/relationships" r:id="rId1" tooltip="Return to RoboRA tab"/>
          <a:extLst>
            <a:ext uri="{FF2B5EF4-FFF2-40B4-BE49-F238E27FC236}">
              <a16:creationId xmlns:a16="http://schemas.microsoft.com/office/drawing/2014/main" id="{00000000-0008-0000-0600-000004000000}"/>
            </a:ext>
          </a:extLst>
        </xdr:cNvPr>
        <xdr:cNvSpPr/>
      </xdr:nvSpPr>
      <xdr:spPr>
        <a:xfrm flipH="1">
          <a:off x="54429" y="65315"/>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179614</xdr:colOff>
          <xdr:row>5</xdr:row>
          <xdr:rowOff>21771</xdr:rowOff>
        </xdr:from>
        <xdr:to>
          <xdr:col>8</xdr:col>
          <xdr:colOff>310242</xdr:colOff>
          <xdr:row>6</xdr:row>
          <xdr:rowOff>10886</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700-000003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Change</a:t>
              </a:r>
            </a:p>
          </xdr:txBody>
        </xdr:sp>
        <xdr:clientData/>
      </xdr:twoCellAnchor>
    </mc:Choice>
    <mc:Fallback/>
  </mc:AlternateContent>
  <xdr:twoCellAnchor editAs="absolute">
    <xdr:from>
      <xdr:col>4</xdr:col>
      <xdr:colOff>763639</xdr:colOff>
      <xdr:row>0</xdr:row>
      <xdr:rowOff>0</xdr:rowOff>
    </xdr:from>
    <xdr:to>
      <xdr:col>7</xdr:col>
      <xdr:colOff>61231</xdr:colOff>
      <xdr:row>8</xdr:row>
      <xdr:rowOff>54428</xdr:rowOff>
    </xdr:to>
    <xdr:grpSp>
      <xdr:nvGrpSpPr>
        <xdr:cNvPr id="8" name="Group 7">
          <a:hlinkClick xmlns:r="http://schemas.openxmlformats.org/officeDocument/2006/relationships" r:id="rId1" tooltip="Robotlab bios project http://www.robotlab.de/bios/bible_en.htm; photo by Brett Jordan, https://www.flickr.com/photos/55497864@N00/2241318371"/>
          <a:extLst>
            <a:ext uri="{FF2B5EF4-FFF2-40B4-BE49-F238E27FC236}">
              <a16:creationId xmlns:a16="http://schemas.microsoft.com/office/drawing/2014/main" id="{00000000-0008-0000-0700-000008000000}"/>
            </a:ext>
          </a:extLst>
        </xdr:cNvPr>
        <xdr:cNvGrpSpPr>
          <a:grpSpLocks noChangeAspect="1"/>
        </xdr:cNvGrpSpPr>
      </xdr:nvGrpSpPr>
      <xdr:grpSpPr>
        <a:xfrm>
          <a:off x="3169382" y="0"/>
          <a:ext cx="2182306" cy="1665514"/>
          <a:chOff x="3257550" y="0"/>
          <a:chExt cx="2553319" cy="2054967"/>
        </a:xfrm>
      </xdr:grpSpPr>
      <xdr:pic>
        <xdr:nvPicPr>
          <xdr:cNvPr id="9" name="Picture 8">
            <a:extLst>
              <a:ext uri="{FF2B5EF4-FFF2-40B4-BE49-F238E27FC236}">
                <a16:creationId xmlns:a16="http://schemas.microsoft.com/office/drawing/2014/main" id="{00000000-0008-0000-0700-000009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18280" r="7657" b="25000"/>
          <a:stretch/>
        </xdr:blipFill>
        <xdr:spPr>
          <a:xfrm>
            <a:off x="3257550" y="163308"/>
            <a:ext cx="2490684" cy="1891659"/>
          </a:xfrm>
          <a:prstGeom prst="rect">
            <a:avLst/>
          </a:prstGeom>
          <a:scene3d>
            <a:camera prst="orthographicFront"/>
            <a:lightRig rig="threePt" dir="t"/>
          </a:scene3d>
          <a:sp3d>
            <a:bevelT prst="angle"/>
          </a:sp3d>
        </xdr:spPr>
      </xdr:pic>
      <xdr:sp macro="" textlink="">
        <xdr:nvSpPr>
          <xdr:cNvPr id="10" name="Rectangle 9">
            <a:extLst>
              <a:ext uri="{FF2B5EF4-FFF2-40B4-BE49-F238E27FC236}">
                <a16:creationId xmlns:a16="http://schemas.microsoft.com/office/drawing/2014/main" id="{00000000-0008-0000-0700-00000A000000}"/>
              </a:ext>
            </a:extLst>
          </xdr:cNvPr>
          <xdr:cNvSpPr/>
        </xdr:nvSpPr>
        <xdr:spPr>
          <a:xfrm>
            <a:off x="3377633" y="0"/>
            <a:ext cx="2433236" cy="1504581"/>
          </a:xfrm>
          <a:prstGeom prst="rect">
            <a:avLst/>
          </a:prstGeom>
          <a:noFill/>
          <a:scene3d>
            <a:camera prst="orthographicFront"/>
            <a:lightRig rig="threePt" dir="t"/>
          </a:scene3d>
          <a:sp3d>
            <a:bevelT prst="angle"/>
          </a:sp3d>
        </xdr:spPr>
        <xdr:txBody>
          <a:bodyPr wrap="none" lIns="91440" tIns="45720" rIns="91440" bIns="45720">
            <a:spAutoFit/>
          </a:bodyPr>
          <a:lstStyle/>
          <a:p>
            <a:pPr algn="r"/>
            <a:r>
              <a:rPr lang="en-US" sz="36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t>RoboRA</a:t>
            </a:r>
            <a:br>
              <a:rPr lang="en-US" sz="36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br>
            <a:r>
              <a:rPr lang="en-US" sz="36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t>Advanced</a:t>
            </a:r>
          </a:p>
        </xdr:txBody>
      </xdr:sp>
    </xdr:grpSp>
    <xdr:clientData/>
  </xdr:twoCellAnchor>
  <xdr:twoCellAnchor editAs="oneCell">
    <xdr:from>
      <xdr:col>5</xdr:col>
      <xdr:colOff>440063</xdr:colOff>
      <xdr:row>24</xdr:row>
      <xdr:rowOff>82276</xdr:rowOff>
    </xdr:from>
    <xdr:to>
      <xdr:col>5</xdr:col>
      <xdr:colOff>881742</xdr:colOff>
      <xdr:row>25</xdr:row>
      <xdr:rowOff>219684</xdr:rowOff>
    </xdr:to>
    <xdr:pic>
      <xdr:nvPicPr>
        <xdr:cNvPr id="15" name="Picture 14">
          <a:hlinkClick xmlns:r="http://schemas.openxmlformats.org/officeDocument/2006/relationships" r:id="rId3" tooltip="Jump to Help page"/>
          <a:extLst>
            <a:ext uri="{FF2B5EF4-FFF2-40B4-BE49-F238E27FC236}">
              <a16:creationId xmlns:a16="http://schemas.microsoft.com/office/drawing/2014/main" id="{00000000-0008-0000-0700-00000F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673120" y="5655762"/>
          <a:ext cx="441679" cy="393222"/>
        </a:xfrm>
        <a:prstGeom prst="rect">
          <a:avLst/>
        </a:prstGeom>
      </xdr:spPr>
    </xdr:pic>
    <xdr:clientData/>
  </xdr:twoCellAnchor>
  <xdr:twoCellAnchor editAs="oneCell">
    <xdr:from>
      <xdr:col>4</xdr:col>
      <xdr:colOff>508472</xdr:colOff>
      <xdr:row>24</xdr:row>
      <xdr:rowOff>46421</xdr:rowOff>
    </xdr:from>
    <xdr:to>
      <xdr:col>5</xdr:col>
      <xdr:colOff>188150</xdr:colOff>
      <xdr:row>27</xdr:row>
      <xdr:rowOff>71302</xdr:rowOff>
    </xdr:to>
    <xdr:pic macro="[0]!ClearData">
      <xdr:nvPicPr>
        <xdr:cNvPr id="16" name="Picture 15">
          <a:extLst>
            <a:ext uri="{FF2B5EF4-FFF2-40B4-BE49-F238E27FC236}">
              <a16:creationId xmlns:a16="http://schemas.microsoft.com/office/drawing/2014/main" id="{00000000-0008-0000-0700-000010000000}"/>
            </a:ext>
          </a:extLst>
        </xdr:cNvPr>
        <xdr:cNvPicPr>
          <a:picLocks noChangeAspect="1"/>
        </xdr:cNvPicPr>
      </xdr:nvPicPr>
      <xdr:blipFill>
        <a:blip xmlns:r="http://schemas.openxmlformats.org/officeDocument/2006/relationships" r:embed="rId5" cstate="print">
          <a:clrChange>
            <a:clrFrom>
              <a:srgbClr val="FFFFFF"/>
            </a:clrFrom>
            <a:clrTo>
              <a:srgbClr val="FFFFFF">
                <a:alpha val="0"/>
              </a:srgbClr>
            </a:clrTo>
          </a:clrChange>
          <a:extLst>
            <a:ext uri="{28A0092B-C50C-407E-A947-70E740481C1C}">
              <a14:useLocalDpi xmlns:a14="http://schemas.microsoft.com/office/drawing/2010/main" val="0"/>
            </a:ext>
          </a:extLst>
        </a:blip>
        <a:stretch>
          <a:fillRect/>
        </a:stretch>
      </xdr:blipFill>
      <xdr:spPr>
        <a:xfrm>
          <a:off x="2631186" y="5619907"/>
          <a:ext cx="790021" cy="716124"/>
        </a:xfrm>
        <a:prstGeom prst="rect">
          <a:avLst/>
        </a:prstGeom>
      </xdr:spPr>
    </xdr:pic>
    <xdr:clientData/>
  </xdr:twoCellAnchor>
  <xdr:twoCellAnchor editAs="oneCell">
    <xdr:from>
      <xdr:col>1</xdr:col>
      <xdr:colOff>474319</xdr:colOff>
      <xdr:row>23</xdr:row>
      <xdr:rowOff>169477</xdr:rowOff>
    </xdr:from>
    <xdr:to>
      <xdr:col>2</xdr:col>
      <xdr:colOff>813970</xdr:colOff>
      <xdr:row>28</xdr:row>
      <xdr:rowOff>21256</xdr:rowOff>
    </xdr:to>
    <xdr:pic macro="[0]!RefreshFromBlock">
      <xdr:nvPicPr>
        <xdr:cNvPr id="18" name="Picture 17">
          <a:extLst>
            <a:ext uri="{FF2B5EF4-FFF2-40B4-BE49-F238E27FC236}">
              <a16:creationId xmlns:a16="http://schemas.microsoft.com/office/drawing/2014/main" id="{00000000-0008-0000-0700-000012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57348" y="5487148"/>
          <a:ext cx="1074436" cy="98389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217714</xdr:colOff>
          <xdr:row>22</xdr:row>
          <xdr:rowOff>10886</xdr:rowOff>
        </xdr:from>
        <xdr:to>
          <xdr:col>6</xdr:col>
          <xdr:colOff>255814</xdr:colOff>
          <xdr:row>23</xdr:row>
          <xdr:rowOff>10886</xdr:rowOff>
        </xdr:to>
        <xdr:sp macro="" textlink="">
          <xdr:nvSpPr>
            <xdr:cNvPr id="1056" name="Drop Down 32" hidden="1">
              <a:extLst>
                <a:ext uri="{63B3BB69-23CF-44E3-9099-C40C66FF867C}">
                  <a14:compatExt spid="_x0000_s1056"/>
                </a:ext>
                <a:ext uri="{FF2B5EF4-FFF2-40B4-BE49-F238E27FC236}">
                  <a16:creationId xmlns:a16="http://schemas.microsoft.com/office/drawing/2014/main" id="{00000000-0008-0000-0700-00002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925286</xdr:colOff>
      <xdr:row>23</xdr:row>
      <xdr:rowOff>225517</xdr:rowOff>
    </xdr:from>
    <xdr:to>
      <xdr:col>4</xdr:col>
      <xdr:colOff>337456</xdr:colOff>
      <xdr:row>28</xdr:row>
      <xdr:rowOff>92530</xdr:rowOff>
    </xdr:to>
    <xdr:pic macro="[0]!makeProjText">
      <xdr:nvPicPr>
        <xdr:cNvPr id="3" name="Picture 2">
          <a:extLst>
            <a:ext uri="{FF2B5EF4-FFF2-40B4-BE49-F238E27FC236}">
              <a16:creationId xmlns:a16="http://schemas.microsoft.com/office/drawing/2014/main" id="{443E1D27-E3BA-48CF-995E-690C87B31DB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943100" y="5543188"/>
          <a:ext cx="800099" cy="99912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7</xdr:col>
          <xdr:colOff>179615</xdr:colOff>
          <xdr:row>6</xdr:row>
          <xdr:rowOff>195943</xdr:rowOff>
        </xdr:from>
        <xdr:to>
          <xdr:col>8</xdr:col>
          <xdr:colOff>310243</xdr:colOff>
          <xdr:row>8</xdr:row>
          <xdr:rowOff>5443</xdr:rowOff>
        </xdr:to>
        <xdr:sp macro="" textlink="">
          <xdr:nvSpPr>
            <xdr:cNvPr id="1059" name="Button 35" hidden="1">
              <a:extLst>
                <a:ext uri="{63B3BB69-23CF-44E3-9099-C40C66FF867C}">
                  <a14:compatExt spid="_x0000_s1059"/>
                </a:ext>
                <a:ext uri="{FF2B5EF4-FFF2-40B4-BE49-F238E27FC236}">
                  <a16:creationId xmlns:a16="http://schemas.microsoft.com/office/drawing/2014/main" id="{09263203-1EF0-4CE6-B859-869B5EA24DDA}"/>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Change</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27214</xdr:rowOff>
    </xdr:from>
    <xdr:to>
      <xdr:col>0</xdr:col>
      <xdr:colOff>446314</xdr:colOff>
      <xdr:row>0</xdr:row>
      <xdr:rowOff>206828</xdr:rowOff>
    </xdr:to>
    <xdr:sp macro="" textlink="">
      <xdr:nvSpPr>
        <xdr:cNvPr id="2" name="Arrow: Chevron 1">
          <a:hlinkClick xmlns:r="http://schemas.openxmlformats.org/officeDocument/2006/relationships" r:id="rId1" tooltip="Return to RoboRA tab"/>
          <a:extLst>
            <a:ext uri="{FF2B5EF4-FFF2-40B4-BE49-F238E27FC236}">
              <a16:creationId xmlns:a16="http://schemas.microsoft.com/office/drawing/2014/main" id="{00000000-0008-0000-0400-000002000000}"/>
            </a:ext>
          </a:extLst>
        </xdr:cNvPr>
        <xdr:cNvSpPr/>
      </xdr:nvSpPr>
      <xdr:spPr>
        <a:xfrm flipH="1">
          <a:off x="0" y="27214"/>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27214</xdr:rowOff>
    </xdr:from>
    <xdr:to>
      <xdr:col>0</xdr:col>
      <xdr:colOff>446314</xdr:colOff>
      <xdr:row>0</xdr:row>
      <xdr:rowOff>206828</xdr:rowOff>
    </xdr:to>
    <xdr:sp macro="" textlink="">
      <xdr:nvSpPr>
        <xdr:cNvPr id="2" name="Arrow: Chevron 1">
          <a:hlinkClick xmlns:r="http://schemas.openxmlformats.org/officeDocument/2006/relationships" r:id="rId1" tooltip="Return to RoboRA tab"/>
          <a:extLst>
            <a:ext uri="{FF2B5EF4-FFF2-40B4-BE49-F238E27FC236}">
              <a16:creationId xmlns:a16="http://schemas.microsoft.com/office/drawing/2014/main" id="{00000000-0008-0000-0500-000002000000}"/>
            </a:ext>
          </a:extLst>
        </xdr:cNvPr>
        <xdr:cNvSpPr/>
      </xdr:nvSpPr>
      <xdr:spPr>
        <a:xfrm flipH="1">
          <a:off x="0" y="27214"/>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489857</xdr:colOff>
      <xdr:row>0</xdr:row>
      <xdr:rowOff>32657</xdr:rowOff>
    </xdr:from>
    <xdr:to>
      <xdr:col>10</xdr:col>
      <xdr:colOff>587829</xdr:colOff>
      <xdr:row>0</xdr:row>
      <xdr:rowOff>234043</xdr:rowOff>
    </xdr:to>
    <xdr:sp macro="" textlink="">
      <xdr:nvSpPr>
        <xdr:cNvPr id="2" name="TextBox 1">
          <a:extLst>
            <a:ext uri="{FF2B5EF4-FFF2-40B4-BE49-F238E27FC236}">
              <a16:creationId xmlns:a16="http://schemas.microsoft.com/office/drawing/2014/main" id="{00000000-0008-0000-0800-000002000000}"/>
            </a:ext>
          </a:extLst>
        </xdr:cNvPr>
        <xdr:cNvSpPr txBox="1"/>
      </xdr:nvSpPr>
      <xdr:spPr>
        <a:xfrm>
          <a:off x="489857" y="32657"/>
          <a:ext cx="5840186" cy="20138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a:t>As budget splits are created, highlights</a:t>
          </a:r>
          <a:r>
            <a:rPr lang="en-US" sz="1100" baseline="0"/>
            <a:t> differences to proposal info. Summary in pivot table at right </a:t>
          </a:r>
          <a:endParaRPr lang="en-US" sz="1100"/>
        </a:p>
      </xdr:txBody>
    </xdr:sp>
    <xdr:clientData/>
  </xdr:twoCellAnchor>
  <xdr:twoCellAnchor>
    <xdr:from>
      <xdr:col>10</xdr:col>
      <xdr:colOff>571318</xdr:colOff>
      <xdr:row>0</xdr:row>
      <xdr:rowOff>81642</xdr:rowOff>
    </xdr:from>
    <xdr:to>
      <xdr:col>11</xdr:col>
      <xdr:colOff>114301</xdr:colOff>
      <xdr:row>0</xdr:row>
      <xdr:rowOff>190499</xdr:rowOff>
    </xdr:to>
    <xdr:sp macro="" textlink="">
      <xdr:nvSpPr>
        <xdr:cNvPr id="3" name="Arrow: Chevron 2">
          <a:hlinkClick xmlns:r="http://schemas.openxmlformats.org/officeDocument/2006/relationships" r:id="rId1"/>
          <a:extLst>
            <a:ext uri="{FF2B5EF4-FFF2-40B4-BE49-F238E27FC236}">
              <a16:creationId xmlns:a16="http://schemas.microsoft.com/office/drawing/2014/main" id="{00000000-0008-0000-0800-000003000000}"/>
            </a:ext>
          </a:extLst>
        </xdr:cNvPr>
        <xdr:cNvSpPr/>
      </xdr:nvSpPr>
      <xdr:spPr>
        <a:xfrm>
          <a:off x="6313532" y="81642"/>
          <a:ext cx="201569" cy="108857"/>
        </a:xfrm>
        <a:prstGeom prst="chevron">
          <a:avLst/>
        </a:prstGeom>
        <a:solidFill>
          <a:schemeClr val="bg1"/>
        </a:solidFill>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r</a:t>
          </a:r>
        </a:p>
      </xdr:txBody>
    </xdr:sp>
    <xdr:clientData/>
  </xdr:twoCellAnchor>
  <xdr:twoCellAnchor editAs="absolute">
    <xdr:from>
      <xdr:col>35</xdr:col>
      <xdr:colOff>642259</xdr:colOff>
      <xdr:row>0</xdr:row>
      <xdr:rowOff>1</xdr:rowOff>
    </xdr:from>
    <xdr:to>
      <xdr:col>36</xdr:col>
      <xdr:colOff>250373</xdr:colOff>
      <xdr:row>0</xdr:row>
      <xdr:rowOff>179615</xdr:rowOff>
    </xdr:to>
    <xdr:sp macro="" textlink="">
      <xdr:nvSpPr>
        <xdr:cNvPr id="4" name="Arrow: Chevron 3">
          <a:hlinkClick xmlns:r="http://schemas.openxmlformats.org/officeDocument/2006/relationships" r:id="rId2"/>
          <a:extLst>
            <a:ext uri="{FF2B5EF4-FFF2-40B4-BE49-F238E27FC236}">
              <a16:creationId xmlns:a16="http://schemas.microsoft.com/office/drawing/2014/main" id="{00000000-0008-0000-0800-000004000000}"/>
            </a:ext>
          </a:extLst>
        </xdr:cNvPr>
        <xdr:cNvSpPr/>
      </xdr:nvSpPr>
      <xdr:spPr>
        <a:xfrm flipH="1">
          <a:off x="27910973" y="1"/>
          <a:ext cx="446314" cy="179614"/>
        </a:xfrm>
        <a:prstGeom prst="chevron">
          <a:avLst/>
        </a:prstGeom>
        <a:solidFill>
          <a:schemeClr val="bg1"/>
        </a:solidFill>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editAs="absolute">
    <xdr:from>
      <xdr:col>0</xdr:col>
      <xdr:colOff>0</xdr:colOff>
      <xdr:row>0</xdr:row>
      <xdr:rowOff>27214</xdr:rowOff>
    </xdr:from>
    <xdr:to>
      <xdr:col>0</xdr:col>
      <xdr:colOff>446314</xdr:colOff>
      <xdr:row>0</xdr:row>
      <xdr:rowOff>206828</xdr:rowOff>
    </xdr:to>
    <xdr:sp macro="" textlink="">
      <xdr:nvSpPr>
        <xdr:cNvPr id="5" name="Arrow: Chevron 4">
          <a:hlinkClick xmlns:r="http://schemas.openxmlformats.org/officeDocument/2006/relationships" r:id="rId3" tooltip="Return to RoboRA tab"/>
          <a:extLst>
            <a:ext uri="{FF2B5EF4-FFF2-40B4-BE49-F238E27FC236}">
              <a16:creationId xmlns:a16="http://schemas.microsoft.com/office/drawing/2014/main" id="{00000000-0008-0000-0800-000005000000}"/>
            </a:ext>
          </a:extLst>
        </xdr:cNvPr>
        <xdr:cNvSpPr/>
      </xdr:nvSpPr>
      <xdr:spPr>
        <a:xfrm flipH="1">
          <a:off x="0" y="27214"/>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190500</xdr:colOff>
          <xdr:row>0</xdr:row>
          <xdr:rowOff>125186</xdr:rowOff>
        </xdr:from>
        <xdr:to>
          <xdr:col>4</xdr:col>
          <xdr:colOff>10886</xdr:colOff>
          <xdr:row>0</xdr:row>
          <xdr:rowOff>402771</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900-0000013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Make RA helper PDF</a:t>
              </a:r>
            </a:p>
          </xdr:txBody>
        </xdr:sp>
        <xdr:clientData fPrintsWithSheet="0"/>
      </xdr:twoCellAnchor>
    </mc:Choice>
    <mc:Fallback/>
  </mc:AlternateContent>
  <xdr:twoCellAnchor editAs="absolute">
    <xdr:from>
      <xdr:col>0</xdr:col>
      <xdr:colOff>130628</xdr:colOff>
      <xdr:row>0</xdr:row>
      <xdr:rowOff>114300</xdr:rowOff>
    </xdr:from>
    <xdr:to>
      <xdr:col>1</xdr:col>
      <xdr:colOff>266699</xdr:colOff>
      <xdr:row>0</xdr:row>
      <xdr:rowOff>293914</xdr:rowOff>
    </xdr:to>
    <xdr:sp macro="" textlink="">
      <xdr:nvSpPr>
        <xdr:cNvPr id="3" name="Arrow: Chevron 2">
          <a:hlinkClick xmlns:r="http://schemas.openxmlformats.org/officeDocument/2006/relationships" r:id="rId1" tooltip="Return to RoboRA tab"/>
          <a:extLst>
            <a:ext uri="{FF2B5EF4-FFF2-40B4-BE49-F238E27FC236}">
              <a16:creationId xmlns:a16="http://schemas.microsoft.com/office/drawing/2014/main" id="{00000000-0008-0000-0900-000003000000}"/>
            </a:ext>
          </a:extLst>
        </xdr:cNvPr>
        <xdr:cNvSpPr/>
      </xdr:nvSpPr>
      <xdr:spPr>
        <a:xfrm flipH="1">
          <a:off x="130628" y="114300"/>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Jack Snoeyink" refreshedDate="43089.411214699074" missingItemsLimit="0" createdVersion="6" refreshedVersion="6" minRefreshableVersion="3" recordCount="1">
  <cacheSource type="worksheet">
    <worksheetSource name="ckSplitsQTable"/>
  </cacheSource>
  <cacheFields count="34">
    <cacheField name="dd_rcom_date" numFmtId="165">
      <sharedItems containsNonDate="0" containsString="0" containsBlank="1"/>
    </cacheField>
    <cacheField name="nsf_rcvd_date" numFmtId="165">
      <sharedItems containsNonDate="0" containsString="0" containsBlank="1"/>
    </cacheField>
    <cacheField name="cntx_stmt_id" numFmtId="0">
      <sharedItems containsNonDate="0" containsString="0" containsBlank="1"/>
    </cacheField>
    <cacheField name="pgm_annc_id" numFmtId="0">
      <sharedItems containsNonDate="0" containsString="0" containsBlank="1"/>
    </cacheField>
    <cacheField name="pObj" numFmtId="22">
      <sharedItems containsNonDate="0" containsString="0" containsBlank="1"/>
    </cacheField>
    <cacheField name="bObj" numFmtId="22">
      <sharedItems containsNonDate="0" containsString="0" containsBlank="1"/>
    </cacheField>
    <cacheField name="pOrg" numFmtId="0">
      <sharedItems containsNonDate="0" containsString="0" containsBlank="1"/>
    </cacheField>
    <cacheField name="bOrg" numFmtId="0">
      <sharedItems containsNonDate="0" containsString="0" containsBlank="1"/>
    </cacheField>
    <cacheField name="pPEC" numFmtId="0">
      <sharedItems containsNonDate="0" containsString="0" containsBlank="1"/>
    </cacheField>
    <cacheField name="bPEC" numFmtId="0">
      <sharedItems containsNonDate="0" containsString="0" containsBlank="1" count="1">
        <m/>
      </sharedItems>
    </cacheField>
    <cacheField name="pPO" numFmtId="0">
      <sharedItems containsNonDate="0" containsString="0" containsBlank="1"/>
    </cacheField>
    <cacheField name="bPO" numFmtId="0">
      <sharedItems containsNonDate="0" containsString="0" containsBlank="1"/>
    </cacheField>
    <cacheField name="prop_stts_abbr" numFmtId="0">
      <sharedItems containsNonDate="0" containsString="0" containsBlank="1"/>
    </cacheField>
    <cacheField name="natr_rqst_abbr" numFmtId="22">
      <sharedItems containsNonDate="0" containsString="0" containsBlank="1"/>
    </cacheField>
    <cacheField name="rcom_istr_abbr" numFmtId="22">
      <sharedItems containsNonDate="0" containsString="0" containsBlank="1"/>
    </cacheField>
    <cacheField name="budg_yr" numFmtId="0">
      <sharedItems containsNonDate="0" containsString="0" containsBlank="1" count="1">
        <m/>
      </sharedItems>
    </cacheField>
    <cacheField name="splt_id" numFmtId="22">
      <sharedItems containsNonDate="0" containsString="0" containsBlank="1"/>
    </cacheField>
    <cacheField name="budg_splt_tot_dol" numFmtId="169">
      <sharedItems containsNonDate="0" containsString="0" containsBlank="1"/>
    </cacheField>
    <cacheField name="0" numFmtId="0">
      <sharedItems containsNonDate="0" containsString="0" containsBlank="1"/>
    </cacheField>
    <cacheField name="ILN" numFmtId="22">
      <sharedItems containsNonDate="0" containsString="0" containsBlank="1"/>
    </cacheField>
    <cacheField name="lead" numFmtId="22">
      <sharedItems containsNonDate="0" containsString="0" containsBlank="1"/>
    </cacheField>
    <cacheField name="eJ" numFmtId="22">
      <sharedItems containsNonDate="0" containsString="0" containsBlank="1"/>
    </cacheField>
    <cacheField name="Div" numFmtId="22">
      <sharedItems containsNonDate="0" containsString="0" containsBlank="1"/>
    </cacheField>
    <cacheField name="prop_id" numFmtId="22">
      <sharedItems containsNonDate="0" containsString="0" containsBlank="1" count="1">
        <m/>
      </sharedItems>
    </cacheField>
    <cacheField name="pi_last_name" numFmtId="22">
      <sharedItems containsNonDate="0" containsString="0" containsBlank="1" count="1">
        <m/>
      </sharedItems>
    </cacheField>
    <cacheField name="pi_frst_name" numFmtId="22">
      <sharedItems containsNonDate="0" containsString="0" containsBlank="1"/>
    </cacheField>
    <cacheField name="inst" numFmtId="22">
      <sharedItems containsNonDate="0" containsString="0" containsBlank="1"/>
    </cacheField>
    <cacheField name="@ pi" numFmtId="22">
      <sharedItems containsNonDate="0" containsString="0" containsBlank="1"/>
    </cacheField>
    <cacheField name="email" numFmtId="22">
      <sharedItems containsNonDate="0" containsString="0" containsBlank="1"/>
    </cacheField>
    <cacheField name="propPRCs" numFmtId="22">
      <sharedItems containsNonDate="0" containsString="0" containsBlank="1"/>
    </cacheField>
    <cacheField name="bPRCs" numFmtId="22">
      <sharedItems containsNonDate="0" containsString="0" containsBlank="1"/>
    </cacheField>
    <cacheField name="awd_id" numFmtId="22">
      <sharedItems containsNonDate="0" containsString="0" containsBlank="1"/>
    </cacheField>
    <cacheField name="prop_stts_txt" numFmtId="22">
      <sharedItems containsNonDate="0" containsString="0" containsBlank="1"/>
    </cacheField>
    <cacheField name="prop_titl_txt" numFmtId="22">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Jack Snoeyink" refreshedDate="43089.411215740744" missingItemsLimit="0" createdVersion="6" refreshedVersion="6" minRefreshableVersion="3" recordCount="1">
  <cacheSource type="worksheet">
    <worksheetSource name="RADataQTable"/>
  </cacheSource>
  <cacheFields count="136">
    <cacheField name="dd_rcom_date" numFmtId="165">
      <sharedItems containsNonDate="0" containsString="0" containsBlank="1"/>
    </cacheField>
    <cacheField name="nsf_rcvd_date" numFmtId="168">
      <sharedItems containsNonDate="0" containsString="0" containsBlank="1"/>
    </cacheField>
    <cacheField name="pgm_annc_id" numFmtId="168">
      <sharedItems containsNonDate="0" containsString="0" containsBlank="1"/>
    </cacheField>
    <cacheField name="org_code" numFmtId="165">
      <sharedItems containsNonDate="0" containsString="0" containsBlank="1"/>
    </cacheField>
    <cacheField name="pgm_ele_code" numFmtId="165">
      <sharedItems containsNonDate="0" containsString="0" containsBlank="1"/>
    </cacheField>
    <cacheField name="natr_rqst_abbr" numFmtId="165">
      <sharedItems containsNonDate="0" containsString="0" containsBlank="1"/>
    </cacheField>
    <cacheField name="prop_stts_abbr" numFmtId="165">
      <sharedItems containsNonDate="0" containsString="0" containsBlank="1"/>
    </cacheField>
    <cacheField name="obj_clas_code" numFmtId="0">
      <sharedItems containsNonDate="0" containsString="0" containsBlank="1"/>
    </cacheField>
    <cacheField name="cntx_stmt_id" numFmtId="0">
      <sharedItems containsNonDate="0" containsString="0" containsBlank="1"/>
    </cacheField>
    <cacheField name="PO" numFmtId="0">
      <sharedItems containsNonDate="0" containsString="0" containsBlank="1"/>
    </cacheField>
    <cacheField name="RAupdate" numFmtId="168">
      <sharedItems containsNonDate="0" containsString="0" containsBlank="1"/>
    </cacheField>
    <cacheField name="nPanl" numFmtId="0">
      <sharedItems containsNonDate="0" containsString="0" containsBlank="1"/>
    </cacheField>
    <cacheField name="RecRkMin" numFmtId="2">
      <sharedItems containsNonDate="0" containsString="0" containsBlank="1"/>
    </cacheField>
    <cacheField name="rec0" numFmtId="0">
      <sharedItems containsNonDate="0" containsString="0" containsBlank="1"/>
    </cacheField>
    <cacheField name="rec1" numFmtId="0">
      <sharedItems containsNonDate="0" containsString="0" containsBlank="1"/>
    </cacheField>
    <cacheField name="rec2" numFmtId="0">
      <sharedItems containsNonDate="0" containsString="0" containsBlank="1"/>
    </cacheField>
    <cacheField name="RAtemplate" numFmtId="49">
      <sharedItems containsNonDate="0" containsString="0" containsBlank="1" count="1">
        <m/>
      </sharedItems>
    </cacheField>
    <cacheField name="Radraft_filename" numFmtId="49">
      <sharedItems containsNonDate="0" containsString="0" containsBlank="1"/>
    </cacheField>
    <cacheField name="RApre_note" numFmtId="49">
      <sharedItems containsNonDate="0" containsString="0" containsBlank="1"/>
    </cacheField>
    <cacheField name="RAps_note" numFmtId="49">
      <sharedItems containsNonDate="0" containsString="0" containsBlank="1"/>
    </cacheField>
    <cacheField name="RAsigner" numFmtId="0">
      <sharedItems containsNonDate="0" containsString="0" containsBlank="1"/>
    </cacheField>
    <cacheField name="RAsigner2" numFmtId="49">
      <sharedItems containsNonDate="0" containsString="0" containsBlank="1"/>
    </cacheField>
    <cacheField name="ej" numFmtId="0">
      <sharedItems containsNonDate="0" containsString="0" containsBlank="1"/>
    </cacheField>
    <cacheField name="@PI" numFmtId="0">
      <sharedItems containsNonDate="0" containsString="0" containsBlank="1"/>
    </cacheField>
    <cacheField name="@allPIs" numFmtId="0">
      <sharedItems containsNonDate="0" containsString="0" containsBlank="1"/>
    </cacheField>
    <cacheField name="Div" numFmtId="0">
      <sharedItems containsNonDate="0" containsString="0" containsBlank="1"/>
    </cacheField>
    <cacheField name="lead" numFmtId="0">
      <sharedItems containsNonDate="0" containsString="0" containsBlank="1"/>
    </cacheField>
    <cacheField name="Nrev" numFmtId="0">
      <sharedItems containsNonDate="0" containsString="0" containsBlank="1"/>
    </cacheField>
    <cacheField name="Nunmkd" numFmtId="0">
      <sharedItems containsNonDate="0" containsString="0" containsBlank="1"/>
    </cacheField>
    <cacheField name="Nunrlsbl" numFmtId="0">
      <sharedItems containsNonDate="0" containsString="0" containsBlank="1"/>
    </cacheField>
    <cacheField name="divergentReviews" numFmtId="0">
      <sharedItems containsNonDate="0" containsString="0" containsBlank="1"/>
    </cacheField>
    <cacheField name="minScore" numFmtId="0">
      <sharedItems containsNonDate="0" containsString="0" containsBlank="1"/>
    </cacheField>
    <cacheField name="avg_score" numFmtId="2">
      <sharedItems containsNonDate="0" containsString="0" containsBlank="1"/>
    </cacheField>
    <cacheField name="maxScore" numFmtId="0">
      <sharedItems containsNonDate="0" containsString="0" containsBlank="1"/>
    </cacheField>
    <cacheField name="allReviews" numFmtId="0">
      <sharedItems containsNonDate="0" containsString="0" containsBlank="1"/>
    </cacheField>
    <cacheField name="last_rev_date" numFmtId="165">
      <sharedItems containsNonDate="0" containsString="0" containsBlank="1"/>
    </cacheField>
    <cacheField name="rqst_tot" numFmtId="166">
      <sharedItems containsNonDate="0" containsString="0" containsBlank="1"/>
    </cacheField>
    <cacheField name="budg_tot" numFmtId="166">
      <sharedItems containsNonDate="0" containsString="0" containsBlank="1"/>
    </cacheField>
    <cacheField name="budRevnMax" numFmtId="0">
      <sharedItems containsNonDate="0" containsString="0" containsBlank="1"/>
    </cacheField>
    <cacheField name="rqst_eff_date" numFmtId="165">
      <sharedItems containsNonDate="0" containsString="0" containsBlank="1"/>
    </cacheField>
    <cacheField name="rqst_mnth_cnt" numFmtId="0">
      <sharedItems containsNonDate="0" containsString="0" containsBlank="1"/>
    </cacheField>
    <cacheField name="prop_titl_txt" numFmtId="0">
      <sharedItems containsNonDate="0" containsString="0" containsBlank="1"/>
    </cacheField>
    <cacheField name="AhNrev" numFmtId="0">
      <sharedItems containsNonDate="0" containsString="0" containsBlank="1"/>
    </cacheField>
    <cacheField name="AhRevs" numFmtId="0">
      <sharedItems containsNonDate="0" containsString="0" containsBlank="1"/>
    </cacheField>
    <cacheField name="AhLast" numFmtId="165">
      <sharedItems containsNonDate="0" containsString="0" containsBlank="1"/>
    </cacheField>
    <cacheField name="panl_id0" numFmtId="0">
      <sharedItems containsNonDate="0" containsString="0" containsBlank="1"/>
    </cacheField>
    <cacheField name="RCOM_TXT0" numFmtId="0">
      <sharedItems containsNonDate="0" containsString="0" containsBlank="1"/>
    </cacheField>
    <cacheField name="rank0" numFmtId="0">
      <sharedItems containsNonDate="0" containsString="0" containsBlank="1"/>
    </cacheField>
    <cacheField name="panl_name0" numFmtId="0">
      <sharedItems containsNonDate="0" containsString="0" containsBlank="1"/>
    </cacheField>
    <cacheField name="panl_end0" numFmtId="165">
      <sharedItems containsNonDate="0" containsString="0" containsBlank="1"/>
    </cacheField>
    <cacheField name="revs0" numFmtId="0">
      <sharedItems containsNonDate="0" containsString="0" containsBlank="1"/>
    </cacheField>
    <cacheField name="PanlString0" numFmtId="0">
      <sharedItems containsNonDate="0" containsString="0" containsBlank="1"/>
    </cacheField>
    <cacheField name="pnlst0" numFmtId="0">
      <sharedItems containsNonDate="0" containsString="0" containsBlank="1"/>
    </cacheField>
    <cacheField name="confl0" numFmtId="0">
      <sharedItems containsNonDate="0" containsString="0" containsBlank="1"/>
    </cacheField>
    <cacheField name="panl_id1" numFmtId="0">
      <sharedItems containsNonDate="0" containsString="0" containsBlank="1"/>
    </cacheField>
    <cacheField name="RCOM_TXT1" numFmtId="0">
      <sharedItems containsNonDate="0" containsString="0" containsBlank="1"/>
    </cacheField>
    <cacheField name="rank1" numFmtId="0">
      <sharedItems containsNonDate="0" containsString="0" containsBlank="1"/>
    </cacheField>
    <cacheField name="panl_name1" numFmtId="0">
      <sharedItems containsNonDate="0" containsString="0" containsBlank="1"/>
    </cacheField>
    <cacheField name="panl_end1" numFmtId="165">
      <sharedItems containsNonDate="0" containsString="0" containsBlank="1"/>
    </cacheField>
    <cacheField name="revs1" numFmtId="0">
      <sharedItems containsNonDate="0" containsString="0" containsBlank="1"/>
    </cacheField>
    <cacheField name="PanlString1" numFmtId="0">
      <sharedItems containsNonDate="0" containsString="0" containsBlank="1"/>
    </cacheField>
    <cacheField name="pnlst1" numFmtId="0">
      <sharedItems containsNonDate="0" containsString="0" containsBlank="1"/>
    </cacheField>
    <cacheField name="confl1" numFmtId="0">
      <sharedItems containsNonDate="0" containsString="0" containsBlank="1"/>
    </cacheField>
    <cacheField name="panl_id2" numFmtId="0">
      <sharedItems containsNonDate="0" containsString="0" containsBlank="1"/>
    </cacheField>
    <cacheField name="RCOM_TXT2" numFmtId="0">
      <sharedItems containsNonDate="0" containsString="0" containsBlank="1"/>
    </cacheField>
    <cacheField name="rank2" numFmtId="0">
      <sharedItems containsNonDate="0" containsString="0" containsBlank="1"/>
    </cacheField>
    <cacheField name="panl_name2" numFmtId="0">
      <sharedItems containsNonDate="0" containsString="0" containsBlank="1"/>
    </cacheField>
    <cacheField name="panl_end2" numFmtId="165">
      <sharedItems containsNonDate="0" containsString="0" containsBlank="1"/>
    </cacheField>
    <cacheField name="revs2" numFmtId="0">
      <sharedItems containsNonDate="0" containsString="0" containsBlank="1"/>
    </cacheField>
    <cacheField name="PanlString2" numFmtId="0">
      <sharedItems containsNonDate="0" containsString="0" containsBlank="1"/>
    </cacheField>
    <cacheField name="pnlst2" numFmtId="0">
      <sharedItems containsNonDate="0" containsString="0" containsBlank="1"/>
    </cacheField>
    <cacheField name="confl2" numFmtId="0">
      <sharedItems containsNonDate="0" containsString="0" containsBlank="1"/>
    </cacheField>
    <cacheField name="prop_id0" numFmtId="0">
      <sharedItems containsNonDate="0" containsString="0" containsBlank="1"/>
    </cacheField>
    <cacheField name="last0" numFmtId="0">
      <sharedItems containsNonDate="0" containsString="0" containsBlank="1"/>
    </cacheField>
    <cacheField name="frst0" numFmtId="0">
      <sharedItems containsNonDate="0" containsString="0" containsBlank="1"/>
    </cacheField>
    <cacheField name="inst0" numFmtId="0">
      <sharedItems containsNonDate="0" containsString="0" containsBlank="1"/>
    </cacheField>
    <cacheField name="rqst0" numFmtId="166">
      <sharedItems containsNonDate="0" containsString="0" containsBlank="1"/>
    </cacheField>
    <cacheField name="b0tot" numFmtId="166">
      <sharedItems containsNonDate="0" containsString="0" containsBlank="1"/>
    </cacheField>
    <cacheField name="PRC0" numFmtId="0">
      <sharedItems containsNonDate="0" containsString="0" containsBlank="1"/>
    </cacheField>
    <cacheField name="prop_id1" numFmtId="0">
      <sharedItems containsNonDate="0" containsString="0" containsBlank="1"/>
    </cacheField>
    <cacheField name="last1" numFmtId="0">
      <sharedItems containsNonDate="0" containsString="0" containsBlank="1"/>
    </cacheField>
    <cacheField name="frst1" numFmtId="0">
      <sharedItems containsNonDate="0" containsString="0" containsBlank="1"/>
    </cacheField>
    <cacheField name="inst1" numFmtId="0">
      <sharedItems containsNonDate="0" containsString="0" containsBlank="1"/>
    </cacheField>
    <cacheField name="rqst1" numFmtId="166">
      <sharedItems containsNonDate="0" containsString="0" containsBlank="1"/>
    </cacheField>
    <cacheField name="b1tot" numFmtId="166">
      <sharedItems containsNonDate="0" containsString="0" containsBlank="1"/>
    </cacheField>
    <cacheField name="PRC1" numFmtId="0">
      <sharedItems containsNonDate="0" containsString="0" containsBlank="1"/>
    </cacheField>
    <cacheField name="prop_id2" numFmtId="0">
      <sharedItems containsNonDate="0" containsString="0" containsBlank="1"/>
    </cacheField>
    <cacheField name="last2" numFmtId="0">
      <sharedItems containsNonDate="0" containsString="0" containsBlank="1"/>
    </cacheField>
    <cacheField name="frst2" numFmtId="0">
      <sharedItems containsNonDate="0" containsString="0" containsBlank="1"/>
    </cacheField>
    <cacheField name="inst2" numFmtId="0">
      <sharedItems containsNonDate="0" containsString="0" containsBlank="1"/>
    </cacheField>
    <cacheField name="rqst2" numFmtId="166">
      <sharedItems containsNonDate="0" containsString="0" containsBlank="1"/>
    </cacheField>
    <cacheField name="b2tot" numFmtId="166">
      <sharedItems containsNonDate="0" containsString="0" containsBlank="1"/>
    </cacheField>
    <cacheField name="PRC2" numFmtId="0">
      <sharedItems containsNonDate="0" containsString="0" containsBlank="1"/>
    </cacheField>
    <cacheField name="prop_id3" numFmtId="0">
      <sharedItems containsNonDate="0" containsString="0" containsBlank="1"/>
    </cacheField>
    <cacheField name="last3" numFmtId="0">
      <sharedItems containsNonDate="0" containsString="0" containsBlank="1"/>
    </cacheField>
    <cacheField name="frst3" numFmtId="0">
      <sharedItems containsNonDate="0" containsString="0" containsBlank="1"/>
    </cacheField>
    <cacheField name="inst3" numFmtId="0">
      <sharedItems containsNonDate="0" containsString="0" containsBlank="1"/>
    </cacheField>
    <cacheField name="rqst3" numFmtId="166">
      <sharedItems containsNonDate="0" containsString="0" containsBlank="1"/>
    </cacheField>
    <cacheField name="b3tot" numFmtId="166">
      <sharedItems containsNonDate="0" containsString="0" containsBlank="1"/>
    </cacheField>
    <cacheField name="PRC3" numFmtId="0">
      <sharedItems containsNonDate="0" containsString="0" containsBlank="1"/>
    </cacheField>
    <cacheField name="prop_id4" numFmtId="0">
      <sharedItems containsNonDate="0" containsString="0" containsBlank="1"/>
    </cacheField>
    <cacheField name="last4" numFmtId="0">
      <sharedItems containsNonDate="0" containsString="0" containsBlank="1"/>
    </cacheField>
    <cacheField name="frst4" numFmtId="0">
      <sharedItems containsNonDate="0" containsString="0" containsBlank="1"/>
    </cacheField>
    <cacheField name="inst4" numFmtId="0">
      <sharedItems containsNonDate="0" containsString="0" containsBlank="1"/>
    </cacheField>
    <cacheField name="rqst4" numFmtId="166">
      <sharedItems containsNonDate="0" containsString="0" containsBlank="1"/>
    </cacheField>
    <cacheField name="b4tot" numFmtId="166">
      <sharedItems containsNonDate="0" containsString="0" containsBlank="1"/>
    </cacheField>
    <cacheField name="PRC4" numFmtId="0">
      <sharedItems containsNonDate="0" containsString="0" containsBlank="1"/>
    </cacheField>
    <cacheField name="prop_id5" numFmtId="0">
      <sharedItems containsNonDate="0" containsString="0" containsBlank="1"/>
    </cacheField>
    <cacheField name="last5" numFmtId="0">
      <sharedItems containsNonDate="0" containsString="0" containsBlank="1"/>
    </cacheField>
    <cacheField name="frst5" numFmtId="0">
      <sharedItems containsNonDate="0" containsString="0" containsBlank="1"/>
    </cacheField>
    <cacheField name="inst5" numFmtId="0">
      <sharedItems containsNonDate="0" containsString="0" containsBlank="1"/>
    </cacheField>
    <cacheField name="rqst5" numFmtId="166">
      <sharedItems containsNonDate="0" containsString="0" containsBlank="1"/>
    </cacheField>
    <cacheField name="b5tot" numFmtId="166">
      <sharedItems containsNonDate="0" containsString="0" containsBlank="1"/>
    </cacheField>
    <cacheField name="PRC5" numFmtId="0">
      <sharedItems containsNonDate="0" containsString="0" containsBlank="1"/>
    </cacheField>
    <cacheField name="prop_id6" numFmtId="0">
      <sharedItems containsNonDate="0" containsString="0" containsBlank="1"/>
    </cacheField>
    <cacheField name="last6" numFmtId="0">
      <sharedItems containsNonDate="0" containsString="0" containsBlank="1"/>
    </cacheField>
    <cacheField name="frst6" numFmtId="0">
      <sharedItems containsNonDate="0" containsString="0" containsBlank="1"/>
    </cacheField>
    <cacheField name="inst6" numFmtId="0">
      <sharedItems containsNonDate="0" containsString="0" containsBlank="1"/>
    </cacheField>
    <cacheField name="rqst6" numFmtId="166">
      <sharedItems containsNonDate="0" containsString="0" containsBlank="1"/>
    </cacheField>
    <cacheField name="b6tot" numFmtId="166">
      <sharedItems containsNonDate="0" containsString="0" containsBlank="1"/>
    </cacheField>
    <cacheField name="PRC6" numFmtId="0">
      <sharedItems containsNonDate="0" containsString="0" containsBlank="1"/>
    </cacheField>
    <cacheField name="solicitation" numFmtId="0">
      <sharedItems containsNonDate="0" containsString="0" containsBlank="1"/>
    </cacheField>
    <cacheField name="Div_name" numFmtId="0">
      <sharedItems containsNonDate="0" containsString="0" containsBlank="1"/>
    </cacheField>
    <cacheField name="pgm_ele_name" numFmtId="0">
      <sharedItems containsNonDate="0" containsString="0" containsBlank="1"/>
    </cacheField>
    <cacheField name="sign_blck_name" numFmtId="49">
      <sharedItems containsNonDate="0" containsString="0" containsBlank="1"/>
    </cacheField>
    <cacheField name="prop_stts_txt" numFmtId="0">
      <sharedItems containsNonDate="0" containsString="0" containsBlank="1"/>
    </cacheField>
    <cacheField name="natr_rqst_txt" numFmtId="0">
      <sharedItems containsNonDate="0" containsString="0" containsBlank="1"/>
    </cacheField>
    <cacheField name="obj_clas_name" numFmtId="0">
      <sharedItems containsNonDate="0" containsString="0" containsBlank="1"/>
    </cacheField>
    <cacheField name="Dir" numFmtId="0">
      <sharedItems containsNonDate="0" containsString="0" containsBlank="1"/>
    </cacheField>
    <cacheField name="Dir_name" numFmtId="0">
      <sharedItems containsNonDate="0" containsString="0" containsBlank="1"/>
    </cacheField>
    <cacheField name="pulldate" numFmtId="168">
      <sharedItems containsNonDate="0" containsString="0" containsBlank="1"/>
    </cacheField>
    <cacheField name="email" numFmtId="0">
      <sharedItems containsNonDate="0" containsString="0" containsBlank="1"/>
    </cacheField>
    <cacheField name="allPIemail" numFmtId="0">
      <sharedItems containsNonDate="0" containsString="0" containsBlank="1"/>
    </cacheField>
    <cacheField name="conflrev0" numFmtId="0">
      <sharedItems containsNonDate="0" containsString="0" containsBlank="1"/>
    </cacheField>
    <cacheField name="conflrev1" numFmtId="0">
      <sharedItems containsNonDate="0" containsString="0" containsBlank="1"/>
    </cacheField>
    <cacheField name="conflrev2"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m/>
    <m/>
    <m/>
    <m/>
    <m/>
    <m/>
    <m/>
    <m/>
    <m/>
    <x v="0"/>
    <m/>
    <m/>
    <m/>
    <m/>
    <m/>
    <x v="0"/>
    <m/>
    <m/>
    <m/>
    <m/>
    <m/>
    <m/>
    <m/>
    <x v="0"/>
    <x v="0"/>
    <m/>
    <m/>
    <m/>
    <m/>
    <m/>
    <m/>
    <m/>
    <m/>
    <m/>
  </r>
</pivotCacheRecords>
</file>

<file path=xl/pivotCache/pivotCacheRecords2.xml><?xml version="1.0" encoding="utf-8"?>
<pivotCacheRecords xmlns="http://schemas.openxmlformats.org/spreadsheetml/2006/main" xmlns:r="http://schemas.openxmlformats.org/officeDocument/2006/relationships" count="1">
  <r>
    <m/>
    <m/>
    <m/>
    <m/>
    <m/>
    <m/>
    <m/>
    <m/>
    <m/>
    <m/>
    <m/>
    <m/>
    <m/>
    <m/>
    <m/>
    <m/>
    <x v="0"/>
    <m/>
    <m/>
    <m/>
    <m/>
    <m/>
    <m/>
    <m/>
    <m/>
    <m/>
    <m/>
    <m/>
    <m/>
    <m/>
    <m/>
    <m/>
    <m/>
    <m/>
    <m/>
    <m/>
    <m/>
    <m/>
    <m/>
    <m/>
    <m/>
    <m/>
    <m/>
    <m/>
    <m/>
    <m/>
    <m/>
    <m/>
    <m/>
    <m/>
    <m/>
    <m/>
    <m/>
    <m/>
    <m/>
    <m/>
    <m/>
    <m/>
    <m/>
    <m/>
    <m/>
    <m/>
    <m/>
    <m/>
    <m/>
    <m/>
    <m/>
    <m/>
    <m/>
    <m/>
    <m/>
    <m/>
    <m/>
    <m/>
    <m/>
    <m/>
    <m/>
    <m/>
    <m/>
    <m/>
    <m/>
    <m/>
    <m/>
    <m/>
    <m/>
    <m/>
    <m/>
    <m/>
    <m/>
    <m/>
    <m/>
    <m/>
    <m/>
    <m/>
    <m/>
    <m/>
    <m/>
    <m/>
    <m/>
    <m/>
    <m/>
    <m/>
    <m/>
    <m/>
    <m/>
    <m/>
    <m/>
    <m/>
    <m/>
    <m/>
    <m/>
    <m/>
    <m/>
    <m/>
    <m/>
    <m/>
    <m/>
    <m/>
    <m/>
    <m/>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PivotTable1" cacheId="6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K1:AN5" firstHeaderRow="1" firstDataRow="2" firstDataCol="2"/>
  <pivotFields count="34">
    <pivotField numFmtId="165" subtotalTop="0" showAll="0"/>
    <pivotField numFmtId="165" subtotalTop="0" showAll="0"/>
    <pivotField subtotalTop="0" showAll="0"/>
    <pivotField subtotalTop="0" showAll="0"/>
    <pivotField subtotalTop="0" showAll="0"/>
    <pivotField subtotalTop="0" showAll="0"/>
    <pivotField subtotalTop="0" showAll="0"/>
    <pivotField subtotalTop="0" showAll="0"/>
    <pivotField subtotalTop="0" showAll="0"/>
    <pivotField axis="axisRow" subtotalTop="0" showAll="0">
      <items count="2">
        <item x="0"/>
        <item t="default"/>
      </items>
    </pivotField>
    <pivotField subtotalTop="0" showAll="0"/>
    <pivotField subtotalTop="0" showAll="0"/>
    <pivotField subtotalTop="0" showAll="0"/>
    <pivotField subtotalTop="0" showAll="0"/>
    <pivotField subtotalTop="0" showAll="0"/>
    <pivotField axis="axisCol" subtotalTop="0" showAll="0">
      <items count="2">
        <item x="0"/>
        <item t="default"/>
      </items>
    </pivotField>
    <pivotField subtotalTop="0" showAll="0"/>
    <pivotField dataField="1" numFmtId="169" subtotalTop="0" showAll="0"/>
    <pivotField subtotalTop="0" showAll="0"/>
    <pivotField subtotalTop="0" showAll="0"/>
    <pivotField subtotalTop="0" showAll="0"/>
    <pivotField subtotalTop="0" showAll="0"/>
    <pivotField subtotalTop="0" showAll="0"/>
    <pivotField axis="axisRow" outline="0" subtotalTop="0" showAll="0" defaultSubtotal="0">
      <items count="1">
        <item x="0"/>
      </items>
    </pivotField>
    <pivotField axis="axisRow" subtotalTop="0" showAll="0" defaultSubtotal="0">
      <items count="1">
        <item x="0"/>
      </items>
    </pivotField>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s>
  <rowFields count="3">
    <field x="23"/>
    <field x="24"/>
    <field x="9"/>
  </rowFields>
  <rowItems count="3">
    <i>
      <x/>
      <x/>
    </i>
    <i r="2">
      <x/>
    </i>
    <i t="grand">
      <x/>
    </i>
  </rowItems>
  <colFields count="1">
    <field x="15"/>
  </colFields>
  <colItems count="2">
    <i>
      <x/>
    </i>
    <i t="grand">
      <x/>
    </i>
  </colItems>
  <dataFields count="1">
    <dataField name="Sum of budg_splt_tot_dol" fld="17" baseField="0" baseItem="0" numFmtId="166"/>
  </dataFields>
  <formats count="3">
    <format dxfId="234">
      <pivotArea outline="0" collapsedLevelsAreSubtotals="1" fieldPosition="0"/>
    </format>
    <format dxfId="233">
      <pivotArea outline="0" collapsedLevelsAreSubtotals="1" fieldPosition="0"/>
    </format>
    <format dxfId="23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templatesUsed" cacheId="6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D15:E17" firstHeaderRow="1" firstDataRow="1" firstDataCol="1"/>
  <pivotFields count="136">
    <pivotField subtotalTop="0" showAll="0"/>
    <pivotField numFmtId="168"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numFmtId="2" subtotalTop="0" showAll="0"/>
    <pivotField subtotalTop="0" showAll="0"/>
    <pivotField subtotalTop="0" showAll="0"/>
    <pivotField subtotalTop="0" showAll="0"/>
    <pivotField axis="axisRow" subtotalTop="0" showAll="0">
      <items count="2">
        <item x="0"/>
        <item t="default"/>
      </items>
    </pivotField>
    <pivotField subtotalTop="0" showAll="0"/>
    <pivotField subtotalTop="0" showAll="0"/>
    <pivotField showAll="0"/>
    <pivotField subtotalTop="0" showAll="0"/>
    <pivotField subtotalTop="0" showAll="0"/>
    <pivotField subtotalTop="0" showAll="0"/>
    <pivotField subtotalTop="0" showAll="0"/>
    <pivotField subtotalTop="0" showAll="0"/>
    <pivotField subtotalTop="0" showAll="0"/>
    <pivotField dataField="1" subtotalTop="0" showAll="0"/>
    <pivotField subtotalTop="0" showAll="0"/>
    <pivotField subtotalTop="0" showAll="0"/>
    <pivotField subtotalTop="0" showAll="0"/>
    <pivotField showAll="0"/>
    <pivotField subtotalTop="0" showAll="0"/>
    <pivotField numFmtId="2" subtotalTop="0" showAll="0"/>
    <pivotField subtotalTop="0" showAll="0"/>
    <pivotField subtotalTop="0" showAll="0"/>
    <pivotField numFmtId="165" subtotalTop="0" showAll="0"/>
    <pivotField numFmtId="166" subtotalTop="0" showAll="0"/>
    <pivotField numFmtId="166" subtotalTop="0" showAll="0"/>
    <pivotField subtotalTop="0" showAll="0"/>
    <pivotField numFmtId="165"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numFmtId="165"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numFmtId="166" subtotalTop="0" showAll="0"/>
    <pivotField numFmtId="166"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numFmtId="168" subtotalTop="0" showAll="0"/>
    <pivotField subtotalTop="0" showAll="0"/>
    <pivotField subtotalTop="0" showAll="0"/>
    <pivotField showAll="0"/>
    <pivotField showAll="0"/>
    <pivotField showAll="0"/>
  </pivotFields>
  <rowFields count="1">
    <field x="16"/>
  </rowFields>
  <rowItems count="2">
    <i>
      <x/>
    </i>
    <i t="grand">
      <x/>
    </i>
  </rowItems>
  <colItems count="1">
    <i/>
  </colItems>
  <dataFields count="1">
    <dataField name="Count of lead" fld="26"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name="Query from RPTSERVER" adjustColumnWidth="0" connectionId="3" autoFormatId="16" applyNumberFormats="0" applyBorderFormats="0" applyFontFormats="0" applyPatternFormats="0" applyAlignmentFormats="0" applyWidthHeightFormats="0">
  <queryTableRefresh nextId="83">
    <queryTableFields count="64">
      <queryTableField id="1" name="dd_rcom_date" tableColumnId="123"/>
      <queryTableField id="2" name="nsf_rcvd_date" tableColumnId="124"/>
      <queryTableField id="3" name="pgm_annc_id" tableColumnId="125"/>
      <queryTableField id="4" name="org_code" tableColumnId="126"/>
      <queryTableField id="5" name="pgm_ele_code" tableColumnId="127"/>
      <queryTableField id="6" name="prop_stts_abbr" tableColumnId="128"/>
      <queryTableField id="7" name="natr_rqst_abbr" tableColumnId="129"/>
      <queryTableField id="8" name="obj_clas_code" tableColumnId="130"/>
      <queryTableField id="9" name="bas_rsch_pct" tableColumnId="131"/>
      <queryTableField id="10" name="other_pct" tableColumnId="132"/>
      <queryTableField id="11" name="cntx_stmt_id" tableColumnId="133"/>
      <queryTableField id="12" name="PO" tableColumnId="134"/>
      <queryTableField id="14" name="st_code" tableColumnId="136"/>
      <queryTableField id="68" dataBound="0" tableColumnId="187"/>
      <queryTableField id="67" dataBound="0" tableColumnId="188"/>
      <queryTableField id="66" dataBound="0" tableColumnId="189"/>
      <queryTableField id="13" name="propPRCs" tableColumnId="135"/>
      <queryTableField id="15" name="RAupdate" tableColumnId="137"/>
      <queryTableField id="65" dataBound="0" tableColumnId="186"/>
      <queryTableField id="17" name="ILN" tableColumnId="139"/>
      <queryTableField id="16" name="lead" tableColumnId="138"/>
      <queryTableField id="64" dataBound="0" tableColumnId="185"/>
      <queryTableField id="18" name="Div" tableColumnId="140"/>
      <queryTableField id="19" name="prop_id" tableColumnId="141"/>
      <queryTableField id="20" name="pi_last_name" tableColumnId="142"/>
      <queryTableField id="21" name="pi_frst_name" tableColumnId="143"/>
      <queryTableField id="22" name="inst" tableColumnId="144"/>
      <queryTableField id="75" dataBound="0" tableColumnId="2"/>
      <queryTableField id="23" name="rqst_eff_date" tableColumnId="145"/>
      <queryTableField id="24" name="rqst_mnth_cnt" tableColumnId="146"/>
      <queryTableField id="25" name="nPanl" tableColumnId="147"/>
      <queryTableField id="27" name="nPSunrls" tableColumnId="149"/>
      <queryTableField id="26" name="nPSunmrkd" tableColumnId="148"/>
      <queryTableField id="30" name="allReviews" tableColumnId="152"/>
      <queryTableField id="31" name="avg_score" tableColumnId="153"/>
      <queryTableField id="32" name="last_rev_date" tableColumnId="154"/>
      <queryTableField id="34" name="Nconfl" tableColumnId="156"/>
      <queryTableField id="29" name="nRev" tableColumnId="151"/>
      <queryTableField id="35" name="Nunrlsbl" tableColumnId="157"/>
      <queryTableField id="33" name="Nunmkd" tableColumnId="155"/>
      <queryTableField id="36" name="NrlsdCDNPS" tableColumnId="158"/>
      <queryTableField id="37" name="NpendSlct" tableColumnId="159"/>
      <queryTableField id="38" name="NdiffFLeJ" tableColumnId="160"/>
      <queryTableField id="81" dataBound="0" tableColumnId="5"/>
      <queryTableField id="39" name="prop_stts_txt" tableColumnId="161"/>
      <queryTableField id="40" name="prop_titl_txt" tableColumnId="162"/>
      <queryTableField id="74" dataBound="0" tableColumnId="1"/>
      <queryTableField id="41" name="brevn" tableColumnId="163"/>
      <queryTableField id="42" name="rqst_tot" tableColumnId="164"/>
      <queryTableField id="43" name="budg_tot" tableColumnId="165"/>
      <queryTableField id="44" name="sub_ctr_tot" tableColumnId="166"/>
      <queryTableField id="45" name="frgn_trav_tot" tableColumnId="167"/>
      <queryTableField id="46" name="pdoc_tot" tableColumnId="168"/>
      <queryTableField id="47" name="part_tot_dol" tableColumnId="169"/>
      <queryTableField id="48" name="grad_tot_cnt" tableColumnId="170"/>
      <queryTableField id="49" name="sr_tot_cnt" tableColumnId="171"/>
      <queryTableField id="50" name="sr_sumr_mnths" tableColumnId="172"/>
      <queryTableField id="51" name="sr_acad_mnths" tableColumnId="173"/>
      <queryTableField id="52" name="sr_cal_mnths" tableColumnId="174"/>
      <queryTableField id="53" name="NfmlPIs" tableColumnId="175"/>
      <queryTableField id="54" name="NhispPIs" tableColumnId="176"/>
      <queryTableField id="56" name="NnonWhtAsnPIs" tableColumnId="178"/>
      <queryTableField id="55" name="NhndcpPIs" tableColumnId="177"/>
      <queryTableField id="57" name="email" tableColumnId="179"/>
    </queryTableFields>
    <queryTableDeletedFields count="1">
      <deletedField name="RecRkMin"/>
    </queryTableDeletedFields>
  </queryTableRefresh>
</queryTable>
</file>

<file path=xl/queryTables/queryTable2.xml><?xml version="1.0" encoding="utf-8"?>
<queryTable xmlns="http://schemas.openxmlformats.org/spreadsheetml/2006/main" name="Query from RPTSERVER" adjustColumnWidth="0" connectionId="1" autoFormatId="16" applyNumberFormats="0" applyBorderFormats="0" applyFontFormats="0" applyPatternFormats="0" applyAlignmentFormats="0" applyWidthHeightFormats="0">
  <queryTableRefresh nextId="326">
    <queryTableFields count="50">
      <queryTableField id="214" name="dd_rcom_date" tableColumnId="1"/>
      <queryTableField id="4" name="nsf_rcvd_date" tableColumnId="4"/>
      <queryTableField id="5" name="pgm_annc_id" tableColumnId="5"/>
      <queryTableField id="6" name="org_code" tableColumnId="6"/>
      <queryTableField id="7" name="pgm_ele_code" tableColumnId="7"/>
      <queryTableField id="220" name="PO" tableColumnId="18"/>
      <queryTableField id="279" name="prop_stts_abbr" tableColumnId="38"/>
      <queryTableField id="280" name="natr_rqst_abbr" tableColumnId="39"/>
      <queryTableField id="281" name="rcom_istr_abbr" tableColumnId="49"/>
      <queryTableField id="221" name="obj_clas_code" tableColumnId="19"/>
      <queryTableField id="11" name="cntx_stmt_id" tableColumnId="11"/>
      <queryTableField id="254" name="RAupdate" tableColumnId="32"/>
      <queryTableField id="230" dataBound="0" tableColumnId="25"/>
      <queryTableField id="215" name="ILN" tableColumnId="2"/>
      <queryTableField id="216" name="lead" tableColumnId="3"/>
      <queryTableField id="213" dataBound="0" tableColumnId="205"/>
      <queryTableField id="282" name="Div" tableColumnId="27"/>
      <queryTableField id="12" name="prop_id" tableColumnId="12"/>
      <queryTableField id="13" name="pi_last_name" tableColumnId="13"/>
      <queryTableField id="14" name="pi_frst_name" tableColumnId="14"/>
      <queryTableField id="283" name="inst" tableColumnId="24"/>
      <queryTableField id="225" name="st_code" tableColumnId="23"/>
      <queryTableField id="212" dataBound="0" tableColumnId="206"/>
      <queryTableField id="16" name="rqst_eff_date" tableColumnId="16"/>
      <queryTableField id="17" name="rqst_mnth_cnt" tableColumnId="17"/>
      <queryTableField id="218" name="humn_date" tableColumnId="9"/>
      <queryTableField id="301" name="hum_asur" tableColumnId="28"/>
      <queryTableField id="302" name="HUM_EXPT" tableColumnId="29"/>
      <queryTableField id="219" name="vrtb_date" tableColumnId="10"/>
      <queryTableField id="303" name="vrtb_asur" tableColumnId="37"/>
      <queryTableField id="250" name="Country" tableColumnId="30"/>
      <queryTableField id="288" name="rqst_tot" tableColumnId="34"/>
      <queryTableField id="289" name="brevn" tableColumnId="35"/>
      <queryTableField id="290" name="budg_tot" tableColumnId="36"/>
      <queryTableField id="292" name="sub_ctr_tot" tableColumnId="40"/>
      <queryTableField id="293" name="frgn_trav_tot" tableColumnId="41"/>
      <queryTableField id="294" name="pdoc_tot" tableColumnId="42"/>
      <queryTableField id="295" name="part_tot_dol" tableColumnId="43"/>
      <queryTableField id="296" name="grad_tot_cnt" tableColumnId="44"/>
      <queryTableField id="297" name="sr_tot_cnt" tableColumnId="45"/>
      <queryTableField id="298" name="sr_sumr_mnths" tableColumnId="46"/>
      <queryTableField id="299" name="sr_acad_mnths" tableColumnId="47"/>
      <queryTableField id="300" name="sr_cal_mnths" tableColumnId="48"/>
      <queryTableField id="278" name="prop_stts_txt" tableColumnId="8"/>
      <queryTableField id="287" name="OTH_AGCY_SUBM_FLAG" tableColumnId="54"/>
      <queryTableField id="320" dataBound="0" tableColumnId="53"/>
      <queryTableField id="251" name="abst_narr_txt" tableColumnId="51"/>
      <queryTableField id="83" name="prop_titl_txt" tableColumnId="83"/>
      <queryTableField id="322" dataBound="0" tableColumnId="52"/>
      <queryTableField id="284" name="email" tableColumnId="26"/>
    </queryTableFields>
  </queryTableRefresh>
</queryTable>
</file>

<file path=xl/queryTables/queryTable3.xml><?xml version="1.0" encoding="utf-8"?>
<queryTable xmlns="http://schemas.openxmlformats.org/spreadsheetml/2006/main" name="Query from RPTSERVER" adjustColumnWidth="0" connectionId="2" autoFormatId="16" applyNumberFormats="0" applyBorderFormats="0" applyFontFormats="0" applyPatternFormats="0" applyAlignmentFormats="0" applyWidthHeightFormats="0">
  <queryTableRefresh nextId="101">
    <queryTableFields count="29">
      <queryTableField id="10" name="prop_id" tableColumnId="10"/>
      <queryTableField id="89" name="ILN" tableColumnId="9"/>
      <queryTableField id="98" dataBound="0" tableColumnId="31"/>
      <queryTableField id="97" dataBound="0" tableColumnId="32"/>
      <queryTableField id="63" name="nsf_rcvd_date" tableColumnId="3"/>
      <queryTableField id="64" name="pgm_annc_id" tableColumnId="4"/>
      <queryTableField id="65" name="org_code" tableColumnId="5"/>
      <queryTableField id="66" name="pgm_ele_code" tableColumnId="6"/>
      <queryTableField id="91" name="PO" tableColumnId="27"/>
      <queryTableField id="92" name="pi_email" tableColumnId="28"/>
      <queryTableField id="68" name="lead" tableColumnId="8"/>
      <queryTableField id="55" dataBound="0" tableColumnId="1"/>
      <queryTableField id="70" name="pi_last_name" tableColumnId="11"/>
      <queryTableField id="96" dataBound="0" tableColumnId="30"/>
      <queryTableField id="71" name="inst_name" tableColumnId="12"/>
      <queryTableField id="73" name="sr_pers_cnt" tableColumnId="14"/>
      <queryTableField id="74" name="sr_summ_mnth_cnt" tableColumnId="15"/>
      <queryTableField id="75" name="pdoc_grnt_dol" tableColumnId="16"/>
      <queryTableField id="76" name="frgn_trav_dol" tableColumnId="17"/>
      <queryTableField id="77" name="part_dol" tableColumnId="18"/>
      <queryTableField id="78" name="budg_tot_dol" tableColumnId="19"/>
      <queryTableField id="79" name="revn_num" tableColumnId="20"/>
      <queryTableField id="80" name="budg_seq_yr" tableColumnId="21"/>
      <queryTableField id="85" dataBound="0" tableColumnId="26"/>
      <queryTableField id="81" name="dol" tableColumnId="22"/>
      <queryTableField id="82" name="org_code" tableColumnId="23"/>
      <queryTableField id="83" name="PEC" tableColumnId="24"/>
      <queryTableField id="99" name="Obj" tableColumnId="7"/>
      <queryTableField id="84" name="PRCs" tableColumnId="25"/>
    </queryTableFields>
    <queryTableDeletedFields count="1">
      <deletedField name="seq"/>
    </queryTableDeletedFields>
  </queryTableRefresh>
</queryTable>
</file>

<file path=xl/queryTables/queryTable4.xml><?xml version="1.0" encoding="utf-8"?>
<queryTable xmlns="http://schemas.openxmlformats.org/spreadsheetml/2006/main" name="Query from RPTSERVER" adjustColumnWidth="0" connectionId="8" autoFormatId="16" applyNumberFormats="0" applyBorderFormats="0" applyFontFormats="0" applyPatternFormats="0" applyAlignmentFormats="0" applyWidthHeightFormats="0">
  <queryTableRefresh nextId="148">
    <queryTableFields count="136">
      <queryTableField id="1" name="dd_rcom_date" tableColumnId="1"/>
      <queryTableField id="2" name="nsf_rcvd_date" tableColumnId="2"/>
      <queryTableField id="3" name="pgm_annc_id" tableColumnId="3"/>
      <queryTableField id="4" name="org_code" tableColumnId="4"/>
      <queryTableField id="5" name="pgm_ele_code" tableColumnId="5"/>
      <queryTableField id="6" name="natr_rqst_abbr" tableColumnId="6"/>
      <queryTableField id="7" name="prop_stts_abbr" tableColumnId="7"/>
      <queryTableField id="8" name="obj_clas_code" tableColumnId="8"/>
      <queryTableField id="9" name="cntx_stmt_id" tableColumnId="9"/>
      <queryTableField id="10" name="PO" tableColumnId="10"/>
      <queryTableField id="11" name="RAupdate" tableColumnId="11"/>
      <queryTableField id="12" name="nPanl" tableColumnId="12"/>
      <queryTableField id="13" name="RecRkMin" tableColumnId="13"/>
      <queryTableField id="14" name="rec0" tableColumnId="14"/>
      <queryTableField id="15" name="rec1" tableColumnId="15"/>
      <queryTableField id="16" name="rec2" tableColumnId="16"/>
      <queryTableField id="17" name="RAtemplate" tableColumnId="17"/>
      <queryTableField id="135" dataBound="0" tableColumnId="133"/>
      <queryTableField id="137" dataBound="0" tableColumnId="136"/>
      <queryTableField id="136" dataBound="0" tableColumnId="137"/>
      <queryTableField id="134" dataBound="0" tableColumnId="134"/>
      <queryTableField id="133" dataBound="0" tableColumnId="135"/>
      <queryTableField id="142" dataBound="0" tableColumnId="138"/>
      <queryTableField id="141" dataBound="0" tableColumnId="139"/>
      <queryTableField id="140" dataBound="0" tableColumnId="140"/>
      <queryTableField id="18" name="Div" tableColumnId="18"/>
      <queryTableField id="19" name="lead" tableColumnId="19"/>
      <queryTableField id="20" name="Nrev" tableColumnId="20"/>
      <queryTableField id="21" name="Nunmkd" tableColumnId="21"/>
      <queryTableField id="27" name="Nunrlsbl" tableColumnId="27"/>
      <queryTableField id="144" dataBound="0" tableColumnId="125"/>
      <queryTableField id="22" name="minScore" tableColumnId="22"/>
      <queryTableField id="23" name="avg_score" tableColumnId="23"/>
      <queryTableField id="24" name="maxScore" tableColumnId="24"/>
      <queryTableField id="25" name="allReviews" tableColumnId="25"/>
      <queryTableField id="26" name="last_rev_date" tableColumnId="26"/>
      <queryTableField id="28" name="rqst_tot" tableColumnId="28"/>
      <queryTableField id="29" name="budg_tot" tableColumnId="29"/>
      <queryTableField id="30" name="budRevnMax" tableColumnId="30"/>
      <queryTableField id="31" name="rqst_eff_date" tableColumnId="31"/>
      <queryTableField id="32" name="rqst_mnth_cnt" tableColumnId="32"/>
      <queryTableField id="33" name="prop_titl_txt" tableColumnId="33"/>
      <queryTableField id="34" name="AhNrev" tableColumnId="34"/>
      <queryTableField id="35" name="AhRevs" tableColumnId="35"/>
      <queryTableField id="36" name="AhLast" tableColumnId="36"/>
      <queryTableField id="37" name="panl_id0" tableColumnId="37"/>
      <queryTableField id="38" name="RCOM_TXT0" tableColumnId="38"/>
      <queryTableField id="39" name="rank0" tableColumnId="39"/>
      <queryTableField id="40" name="panl_name0" tableColumnId="40"/>
      <queryTableField id="41" name="panl_end0" tableColumnId="41"/>
      <queryTableField id="42" name="revs0" tableColumnId="42"/>
      <queryTableField id="43" name="PanlString0" tableColumnId="43"/>
      <queryTableField id="44" name="pnlst0" tableColumnId="44"/>
      <queryTableField id="45" name="confl0" tableColumnId="45"/>
      <queryTableField id="46" name="panl_id1" tableColumnId="46"/>
      <queryTableField id="47" name="RCOM_TXT1" tableColumnId="47"/>
      <queryTableField id="48" name="rank1" tableColumnId="48"/>
      <queryTableField id="49" name="panl_name1" tableColumnId="49"/>
      <queryTableField id="50" name="panl_end1" tableColumnId="50"/>
      <queryTableField id="51" name="revs1" tableColumnId="51"/>
      <queryTableField id="52" name="PanlString1" tableColumnId="52"/>
      <queryTableField id="53" name="pnlst1" tableColumnId="53"/>
      <queryTableField id="54" name="confl1" tableColumnId="54"/>
      <queryTableField id="55" name="panl_id2" tableColumnId="55"/>
      <queryTableField id="56" name="RCOM_TXT2" tableColumnId="56"/>
      <queryTableField id="57" name="rank2" tableColumnId="57"/>
      <queryTableField id="58" name="panl_name2" tableColumnId="58"/>
      <queryTableField id="59" name="panl_end2" tableColumnId="59"/>
      <queryTableField id="60" name="revs2" tableColumnId="60"/>
      <queryTableField id="61" name="PanlString2" tableColumnId="61"/>
      <queryTableField id="62" name="pnlst2" tableColumnId="62"/>
      <queryTableField id="63" name="confl2" tableColumnId="63"/>
      <queryTableField id="64" name="prop_id0" tableColumnId="64"/>
      <queryTableField id="65" name="last0" tableColumnId="65"/>
      <queryTableField id="66" name="frst0" tableColumnId="66"/>
      <queryTableField id="67" name="inst0" tableColumnId="67"/>
      <queryTableField id="68" name="rqst0" tableColumnId="68"/>
      <queryTableField id="69" name="b0tot" tableColumnId="69"/>
      <queryTableField id="70" name="PRC0" tableColumnId="70"/>
      <queryTableField id="71" name="prop_id1" tableColumnId="71"/>
      <queryTableField id="72" name="last1" tableColumnId="72"/>
      <queryTableField id="73" name="frst1" tableColumnId="73"/>
      <queryTableField id="74" name="inst1" tableColumnId="74"/>
      <queryTableField id="75" name="rqst1" tableColumnId="75"/>
      <queryTableField id="76" name="b1tot" tableColumnId="76"/>
      <queryTableField id="77" name="PRC1" tableColumnId="77"/>
      <queryTableField id="78" name="prop_id2" tableColumnId="78"/>
      <queryTableField id="79" name="last2" tableColumnId="79"/>
      <queryTableField id="80" name="frst2" tableColumnId="80"/>
      <queryTableField id="81" name="inst2" tableColumnId="81"/>
      <queryTableField id="82" name="rqst2" tableColumnId="82"/>
      <queryTableField id="83" name="b2tot" tableColumnId="83"/>
      <queryTableField id="84" name="PRC2" tableColumnId="84"/>
      <queryTableField id="85" name="prop_id3" tableColumnId="85"/>
      <queryTableField id="86" name="last3" tableColumnId="86"/>
      <queryTableField id="87" name="frst3" tableColumnId="87"/>
      <queryTableField id="88" name="inst3" tableColumnId="88"/>
      <queryTableField id="89" name="rqst3" tableColumnId="89"/>
      <queryTableField id="90" name="b3tot" tableColumnId="90"/>
      <queryTableField id="91" name="PRC3" tableColumnId="91"/>
      <queryTableField id="92" name="prop_id4" tableColumnId="92"/>
      <queryTableField id="93" name="last4" tableColumnId="93"/>
      <queryTableField id="94" name="frst4" tableColumnId="94"/>
      <queryTableField id="95" name="inst4" tableColumnId="95"/>
      <queryTableField id="96" name="rqst4" tableColumnId="96"/>
      <queryTableField id="97" name="b4tot" tableColumnId="97"/>
      <queryTableField id="98" name="PRC4" tableColumnId="98"/>
      <queryTableField id="99" name="prop_id5" tableColumnId="99"/>
      <queryTableField id="100" name="last5" tableColumnId="100"/>
      <queryTableField id="101" name="frst5" tableColumnId="101"/>
      <queryTableField id="102" name="inst5" tableColumnId="102"/>
      <queryTableField id="103" name="rqst5" tableColumnId="103"/>
      <queryTableField id="104" name="b5tot" tableColumnId="104"/>
      <queryTableField id="105" name="PRC5" tableColumnId="105"/>
      <queryTableField id="106" name="prop_id6" tableColumnId="106"/>
      <queryTableField id="107" name="last6" tableColumnId="107"/>
      <queryTableField id="108" name="frst6" tableColumnId="108"/>
      <queryTableField id="109" name="inst6" tableColumnId="109"/>
      <queryTableField id="110" name="rqst6" tableColumnId="110"/>
      <queryTableField id="111" name="b6tot" tableColumnId="111"/>
      <queryTableField id="112" name="PRC6" tableColumnId="112"/>
      <queryTableField id="113" name="solicitation" tableColumnId="113"/>
      <queryTableField id="114" name="Div_name" tableColumnId="114"/>
      <queryTableField id="115" name="pgm_ele_name" tableColumnId="115"/>
      <queryTableField id="116" name="sign_blck_name" tableColumnId="116"/>
      <queryTableField id="117" name="prop_stts_txt" tableColumnId="117"/>
      <queryTableField id="118" name="natr_rqst_txt" tableColumnId="118"/>
      <queryTableField id="119" name="obj_clas_name" tableColumnId="119"/>
      <queryTableField id="120" name="Dir" tableColumnId="120"/>
      <queryTableField id="121" name="Dir_name" tableColumnId="121"/>
      <queryTableField id="122" name="pulldate" tableColumnId="122"/>
      <queryTableField id="123" name="email" tableColumnId="123"/>
      <queryTableField id="124" name="allPIemail" tableColumnId="124"/>
      <queryTableField id="145" name="conflrev0" tableColumnId="126"/>
      <queryTableField id="146" name="conflrev1" tableColumnId="127"/>
      <queryTableField id="147" name="conflrev2" tableColumnId="128"/>
    </queryTableFields>
  </queryTableRefresh>
</queryTable>
</file>

<file path=xl/queryTables/queryTable5.xml><?xml version="1.0" encoding="utf-8"?>
<queryTable xmlns="http://schemas.openxmlformats.org/spreadsheetml/2006/main" name="Query from RPTSERVER" adjustColumnWidth="0" connectionId="6" autoFormatId="16" applyNumberFormats="0" applyBorderFormats="0" applyFontFormats="0" applyPatternFormats="0" applyAlignmentFormats="0" applyWidthHeightFormats="0">
  <queryTableRefresh nextId="283">
    <queryTableFields count="3">
      <queryTableField id="280" name="revr_id" tableColumnId="1"/>
      <queryTableField id="281" name="inst_shrt_name" tableColumnId="2"/>
      <queryTableField id="282" name="Panelist" tableColumnId="3"/>
    </queryTableFields>
  </queryTableRefresh>
</queryTable>
</file>

<file path=xl/queryTables/queryTable6.xml><?xml version="1.0" encoding="utf-8"?>
<queryTable xmlns="http://schemas.openxmlformats.org/spreadsheetml/2006/main" name="Query from RPTSERVER" adjustColumnWidth="0" connectionId="5" autoFormatId="16" applyNumberFormats="0" applyBorderFormats="0" applyFontFormats="0" applyPatternFormats="0" applyAlignmentFormats="0" applyWidthHeightFormats="0">
  <queryTableRefresh nextId="280">
    <queryTableFields count="2">
      <queryTableField id="278" name="PRC" tableColumnId="1"/>
      <queryTableField id="279" name="PRC_Description" tableColumnId="2"/>
    </queryTableFields>
  </queryTableRefresh>
</queryTable>
</file>

<file path=xl/queryTables/queryTable7.xml><?xml version="1.0" encoding="utf-8"?>
<queryTable xmlns="http://schemas.openxmlformats.org/spreadsheetml/2006/main" name="Query from RPTSERVER_1" adjustColumnWidth="0" connectionId="4" autoFormatId="16" applyNumberFormats="0" applyBorderFormats="0" applyFontFormats="0" applyPatternFormats="0" applyAlignmentFormats="0" applyWidthHeightFormats="0">
  <queryTableRefresh nextId="282">
    <queryTableFields count="2">
      <queryTableField id="280" name="PEC" tableColumnId="1"/>
      <queryTableField id="281" name="PEC_Description" tableColumnId="2"/>
    </queryTableFields>
  </queryTableRefresh>
</queryTable>
</file>

<file path=xl/queryTables/queryTable8.xml><?xml version="1.0" encoding="utf-8"?>
<queryTable xmlns="http://schemas.openxmlformats.org/spreadsheetml/2006/main" name="Query from RPTSERVER" adjustColumnWidth="0" connectionId="9" autoFormatId="16" applyNumberFormats="0" applyBorderFormats="0" applyFontFormats="0" applyPatternFormats="0" applyAlignmentFormats="0" applyWidthHeightFormats="0">
  <queryTableRefresh nextId="43">
    <queryTableFields count="34">
      <queryTableField id="1" name="dd_rcom_date" tableColumnId="21"/>
      <queryTableField id="2" name="nsf_rcvd_date" tableColumnId="22"/>
      <queryTableField id="3" name="cntx_stmt_id" tableColumnId="23"/>
      <queryTableField id="4" name="pgm_annc_id" tableColumnId="24"/>
      <queryTableField id="13" name="pObj" tableColumnId="60"/>
      <queryTableField id="14" name="bObj" tableColumnId="61"/>
      <queryTableField id="5" name="pOrg" tableColumnId="25"/>
      <queryTableField id="6" name="bOrg" tableColumnId="26"/>
      <queryTableField id="7" name="pPEC" tableColumnId="27"/>
      <queryTableField id="8" name="bPEC" tableColumnId="28"/>
      <queryTableField id="9" name="pPO" tableColumnId="29"/>
      <queryTableField id="10" name="bPO" tableColumnId="30"/>
      <queryTableField id="11" name="prop_stts_abbr" tableColumnId="31"/>
      <queryTableField id="12" name="natr_rqst_abbr" tableColumnId="32"/>
      <queryTableField id="15" name="rcom_istr_abbr" tableColumnId="35"/>
      <queryTableField id="27" name="budg_yr" tableColumnId="57"/>
      <queryTableField id="28" name="splt_id" tableColumnId="58"/>
      <queryTableField id="29" name="budg_splt_tot_dol" tableColumnId="59"/>
      <queryTableField id="35" dataBound="0" tableColumnId="54"/>
      <queryTableField id="17" name="ILN" tableColumnId="37"/>
      <queryTableField id="16" name="lead" tableColumnId="36"/>
      <queryTableField id="36" dataBound="0" tableColumnId="55"/>
      <queryTableField id="18" name="Div" tableColumnId="38"/>
      <queryTableField id="19" name="prop_id" tableColumnId="39"/>
      <queryTableField id="20" name="pi_last_name" tableColumnId="40"/>
      <queryTableField id="21" name="pi_frst_name" tableColumnId="41"/>
      <queryTableField id="22" name="inst" tableColumnId="42"/>
      <queryTableField id="37" dataBound="0" tableColumnId="56"/>
      <queryTableField id="23" name="email" tableColumnId="43"/>
      <queryTableField id="24" name="propPRCs" tableColumnId="44"/>
      <queryTableField id="25" name="bPRCs" tableColumnId="45"/>
      <queryTableField id="26" name="awd_id" tableColumnId="46"/>
      <queryTableField id="30" name="prop_stts_txt" tableColumnId="50"/>
      <queryTableField id="31" name="prop_titl_txt" tableColumnId="51"/>
    </queryTableFields>
  </queryTableRefresh>
</queryTable>
</file>

<file path=xl/queryTables/queryTable9.xml><?xml version="1.0" encoding="utf-8"?>
<queryTable xmlns="http://schemas.openxmlformats.org/spreadsheetml/2006/main" name="Query from RPTSERVER" backgroundRefresh="0" adjustColumnWidth="0" connectionId="7" autoFormatId="16" applyNumberFormats="0" applyBorderFormats="0" applyFontFormats="0" applyPatternFormats="0" applyAlignmentFormats="0" applyWidthHeightFormats="0">
  <queryTableRefresh nextId="17" unboundColumnsLeft="1">
    <queryTableFields count="16">
      <queryTableField id="16" dataBound="0" tableColumnId="16"/>
      <queryTableField id="1" name="lead" tableColumnId="1"/>
      <queryTableField id="2" name="pi_last_name" tableColumnId="2"/>
      <queryTableField id="3" name="docType" tableColumnId="3"/>
      <queryTableField id="4" name="pm_logn_id" tableColumnId="4"/>
      <queryTableField id="5" name="panl_revr_id" tableColumnId="5"/>
      <queryTableField id="6" name="name" tableColumnId="6"/>
      <queryTableField id="7" name="info" tableColumnId="7"/>
      <queryTableField id="8" name="type" tableColumnId="8"/>
      <queryTableField id="9" name="stts" tableColumnId="9"/>
      <queryTableField id="10" name="due" tableColumnId="10"/>
      <queryTableField id="11" name="returned" tableColumnId="11"/>
      <queryTableField id="15" dataBound="0" tableColumnId="14"/>
      <queryTableField id="14" dataBound="0" tableColumnId="15"/>
      <queryTableField id="12" name="score" tableColumnId="12"/>
      <queryTableField id="13" name="text" tableColumnId="13"/>
    </queryTableFields>
  </queryTableRefresh>
</queryTable>
</file>

<file path=xl/tables/_rels/table6.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table1.xml><?xml version="1.0" encoding="utf-8"?>
<table xmlns="http://schemas.openxmlformats.org/spreadsheetml/2006/main" id="8" name="AwdPropTable" displayName="AwdPropTable" ref="B15:B16" insertRow="1" totalsRowShown="0" dataDxfId="252">
  <autoFilter ref="B15:B16"/>
  <tableColumns count="1">
    <tableColumn id="1" name="prop_id" dataDxfId="251"/>
  </tableColumns>
  <tableStyleInfo name="AddTableStyle" showFirstColumn="0" showLastColumn="0" showRowStripes="1" showColumnStripes="0"/>
</table>
</file>

<file path=xl/tables/table2.xml><?xml version="1.0" encoding="utf-8"?>
<table xmlns="http://schemas.openxmlformats.org/spreadsheetml/2006/main" id="9" name="DeclPropTable" displayName="DeclPropTable" ref="E15:E16" insertRow="1" totalsRowShown="0" dataDxfId="250">
  <autoFilter ref="E15:E16"/>
  <tableColumns count="1">
    <tableColumn id="1" name="prop_id" dataDxfId="249"/>
  </tableColumns>
  <tableStyleInfo name="TableFall" showFirstColumn="0" showLastColumn="0" showRowStripes="1" showColumnStripes="0"/>
</table>
</file>

<file path=xl/tables/table3.xml><?xml version="1.0" encoding="utf-8"?>
<table xmlns="http://schemas.openxmlformats.org/spreadsheetml/2006/main" id="10" name="StdDeclPropTable" displayName="StdDeclPropTable" ref="H15:H16" insertRow="1" totalsRowShown="0" dataDxfId="248">
  <autoFilter ref="H15:H16"/>
  <tableColumns count="1">
    <tableColumn id="1" name="prop_id" dataDxfId="247"/>
  </tableColumns>
  <tableStyleInfo name="TableStyleMedium3 2" showFirstColumn="0" showLastColumn="0" showRowStripes="1" showColumnStripes="0"/>
</table>
</file>

<file path=xl/tables/table4.xml><?xml version="1.0" encoding="utf-8"?>
<table xmlns="http://schemas.openxmlformats.org/spreadsheetml/2006/main" id="14" name="StdNDPDeclPropTable" displayName="StdNDPDeclPropTable" ref="K15:K16" insertRow="1" totalsRowShown="0" dataDxfId="246">
  <autoFilter ref="K15:K16"/>
  <tableColumns count="1">
    <tableColumn id="1" name="prop_id" dataDxfId="245"/>
  </tableColumns>
  <tableStyleInfo name="TableStyleMedium8" showFirstColumn="0" showLastColumn="0" showRowStripes="1" showColumnStripes="0"/>
</table>
</file>

<file path=xl/tables/table5.xml><?xml version="1.0" encoding="utf-8"?>
<table xmlns="http://schemas.openxmlformats.org/spreadsheetml/2006/main" id="15" name="Table15" displayName="Table15" ref="N14:O35" totalsRowShown="0" headerRowDxfId="244">
  <tableColumns count="2">
    <tableColumn id="1" name="Where to find:" dataDxfId="243"/>
    <tableColumn id="2" name="link" dataCellStyle="Hyperlink"/>
  </tableColumns>
  <tableStyleInfo name="Table Style 1" showFirstColumn="0" showLastColumn="0" showRowStripes="1" showColumnStripes="0"/>
</table>
</file>

<file path=xl/tables/table6.xml><?xml version="1.0" encoding="utf-8"?>
<table xmlns="http://schemas.openxmlformats.org/spreadsheetml/2006/main" id="3" name="ckCodingQTable" displayName="ckCodingQTable" ref="A1:BL2" tableType="queryTable" insertRow="1" totalsRowShown="0">
  <autoFilter ref="A1:BL2"/>
  <tableColumns count="64">
    <tableColumn id="123" uniqueName="123" name="dd_rcom_date" queryTableFieldId="1" dataDxfId="225"/>
    <tableColumn id="124" uniqueName="124" name="nsf_rcvd_date" queryTableFieldId="2" dataDxfId="224"/>
    <tableColumn id="125" uniqueName="125" name="pgm_annc_id" queryTableFieldId="3"/>
    <tableColumn id="126" uniqueName="126" name="org_code" queryTableFieldId="4"/>
    <tableColumn id="127" uniqueName="127" name="pgm_ele_code" queryTableFieldId="5"/>
    <tableColumn id="128" uniqueName="128" name="prop_stts_abbr" queryTableFieldId="6"/>
    <tableColumn id="129" uniqueName="129" name="natr_rqst_abbr" queryTableFieldId="7"/>
    <tableColumn id="130" uniqueName="130" name="obj_clas_code" queryTableFieldId="8" dataDxfId="223"/>
    <tableColumn id="131" uniqueName="131" name="bas_rsch_pct" queryTableFieldId="9" dataDxfId="222"/>
    <tableColumn id="132" uniqueName="132" name="other_pct" queryTableFieldId="10" dataDxfId="221"/>
    <tableColumn id="133" uniqueName="133" name="cntx_stmt_id" queryTableFieldId="11"/>
    <tableColumn id="134" uniqueName="134" name="PO" queryTableFieldId="12"/>
    <tableColumn id="136" uniqueName="136" name="st_code" queryTableFieldId="14"/>
    <tableColumn id="187" uniqueName="187" name="wmd" queryTableFieldId="68">
      <calculatedColumnFormula>IF(SUM(ckCodingQTable[[#This Row],[NfmlPIs]:[NnonWhtAsnPIs]])&gt;0,"WMD","")</calculatedColumnFormula>
    </tableColumn>
    <tableColumn id="188" uniqueName="188" name="epscor" queryTableFieldId="67">
      <calculatedColumnFormula>_xlfn.XOR(IFERROR(MATCH(ckCodingQTable[[#This Row],[st_code]],EpscorTable[],0)&gt;0,FALSE),IFERROR(FIND("9150",ckCodingQTable[[#This Row],[propPRCs]])&gt;0,FALSE))</calculatedColumnFormula>
    </tableColumn>
    <tableColumn id="189" uniqueName="189" name="dmog" queryTableFieldId="66" dataDxfId="220">
      <calculatedColumnFormula>_xlfn.XOR(ckCodingQTable[[#This Row],[wmd]]&lt;&gt;"",IFERROR(FIND("9102",ckCodingQTable[[#This Row],[propPRCs]])&gt;0,FALSE))</calculatedColumnFormula>
    </tableColumn>
    <tableColumn id="135" uniqueName="135" name="propPRCs" queryTableFieldId="13"/>
    <tableColumn id="137" uniqueName="137" name="RAupdate" queryTableFieldId="15" dataDxfId="219"/>
    <tableColumn id="186" uniqueName="186" name="0" queryTableFieldId="65" dataDxfId="218">
      <calculatedColumnFormula>S1+(ckCodingQTable[[#This Row],[ILN]]&lt;"M")</calculatedColumnFormula>
    </tableColumn>
    <tableColumn id="139" uniqueName="139" name="ILN" queryTableFieldId="17" dataDxfId="217"/>
    <tableColumn id="138" uniqueName="138" name="lead" queryTableFieldId="16"/>
    <tableColumn id="185" uniqueName="185" name="eJ" queryTableFieldId="64" dataCellStyle="Hyperlink">
      <calculatedColumnFormula>HYPERLINK("https://www.ejacket.nsf.gov/ej/showProposal.do?ID="&amp;ckCodingQTable[[#This Row],[prop_id]],"eJ")</calculatedColumnFormula>
    </tableColumn>
    <tableColumn id="140" uniqueName="140" name="Div" queryTableFieldId="18"/>
    <tableColumn id="141" uniqueName="141" name="prop_id" queryTableFieldId="19"/>
    <tableColumn id="142" uniqueName="142" name="pi_last_name" queryTableFieldId="20"/>
    <tableColumn id="143" uniqueName="143" name="pi_frst_name" queryTableFieldId="21"/>
    <tableColumn id="144" uniqueName="144" name="inst" queryTableFieldId="22"/>
    <tableColumn id="2" uniqueName="2" name="@ pi" queryTableFieldId="75" dataDxfId="216" dataCellStyle="Hyperlink">
      <calculatedColumnFormula>HYPERLINK("mailto:"&amp;ckCodingQTable[[#This Row],[email]]&amp;"&amp;subject=Your NSF Proposal:  "&amp;ckCodingQTable[[#This Row],[Div]]&amp;" "&amp;ckCodingQTable[[#This Row],[prop_id]], ckCodingQTable[[#This Row],[email]])</calculatedColumnFormula>
    </tableColumn>
    <tableColumn id="145" uniqueName="145" name="rqst_eff_date" queryTableFieldId="23" dataDxfId="215"/>
    <tableColumn id="146" uniqueName="146" name="rqst_mnth_cnt" queryTableFieldId="24"/>
    <tableColumn id="147" uniqueName="147" name="nPanl" queryTableFieldId="25"/>
    <tableColumn id="149" uniqueName="149" name="nPSunrls" queryTableFieldId="27"/>
    <tableColumn id="148" uniqueName="148" name="nPSunmrkd" queryTableFieldId="26" dataDxfId="214"/>
    <tableColumn id="152" uniqueName="152" name="allReviews" queryTableFieldId="30"/>
    <tableColumn id="153" uniqueName="153" name="avg_score" queryTableFieldId="31" dataDxfId="213"/>
    <tableColumn id="154" uniqueName="154" name="last_rev_date" queryTableFieldId="32" dataDxfId="212"/>
    <tableColumn id="156" uniqueName="156" name="Nconfl" queryTableFieldId="34" dataDxfId="211"/>
    <tableColumn id="151" uniqueName="151" name="nRev" queryTableFieldId="29"/>
    <tableColumn id="157" uniqueName="157" name="Nunrlsbl" queryTableFieldId="35"/>
    <tableColumn id="155" uniqueName="155" name="Nunmkd" queryTableFieldId="33" dataDxfId="210"/>
    <tableColumn id="158" uniqueName="158" name="NrlsdCDNPS" queryTableFieldId="36" dataDxfId="209"/>
    <tableColumn id="159" uniqueName="159" name="NpendSlct" queryTableFieldId="37" dataDxfId="208"/>
    <tableColumn id="160" uniqueName="160" name="NdiffFLeJ" queryTableFieldId="38" dataDxfId="207"/>
    <tableColumn id="5" uniqueName="5" name="eJ again" queryTableFieldId="81" dataCellStyle="Hyperlink">
      <calculatedColumnFormula>HYPERLINK("https://www.ejacket.nsf.gov/ej/showProposal.do?ID="&amp;ckCodingQTable[[#This Row],[prop_id]],"eJ")</calculatedColumnFormula>
    </tableColumn>
    <tableColumn id="161" uniqueName="161" name="prop_stts_txt" queryTableFieldId="39"/>
    <tableColumn id="162" uniqueName="162" name="prop_titl_txt" queryTableFieldId="40"/>
    <tableColumn id="1" uniqueName="1" name="titl_ck" queryTableFieldId="74">
      <calculatedColumnFormula>IF(ckCodingQTable[[#This Row],[ILN]]="N",SUBSTITUTE(AT1," ","")&lt;&gt;SUBSTITUTE(ckCodingQTable[[#This Row],[prop_titl_txt]]," ",""), FALSE)</calculatedColumnFormula>
    </tableColumn>
    <tableColumn id="163" uniqueName="163" name="brevn" queryTableFieldId="41"/>
    <tableColumn id="164" uniqueName="164" name="rqst_tot" queryTableFieldId="42" dataDxfId="206" dataCellStyle="Currency"/>
    <tableColumn id="165" uniqueName="165" name="budg_tot" queryTableFieldId="43" dataDxfId="205" dataCellStyle="Currency"/>
    <tableColumn id="166" uniqueName="166" name="sub_ctr_tot" queryTableFieldId="44" dataDxfId="204" dataCellStyle="Currency"/>
    <tableColumn id="167" uniqueName="167" name="frgn_trav_tot" queryTableFieldId="45" dataDxfId="203" dataCellStyle="Currency"/>
    <tableColumn id="168" uniqueName="168" name="pdoc_tot" queryTableFieldId="46" dataDxfId="202" dataCellStyle="Currency"/>
    <tableColumn id="169" uniqueName="169" name="part_tot_dol" queryTableFieldId="47" dataDxfId="201" dataCellStyle="Currency"/>
    <tableColumn id="170" uniqueName="170" name="grad_tot_cnt" queryTableFieldId="48"/>
    <tableColumn id="171" uniqueName="171" name="sr_tot_cnt" queryTableFieldId="49"/>
    <tableColumn id="172" uniqueName="172" name="sr_sumr_mnths" queryTableFieldId="50"/>
    <tableColumn id="173" uniqueName="173" name="sr_acad_mnths" queryTableFieldId="51"/>
    <tableColumn id="174" uniqueName="174" name="sr_cal_mnths" queryTableFieldId="52"/>
    <tableColumn id="175" uniqueName="175" name="NfmlPIs" queryTableFieldId="53"/>
    <tableColumn id="176" uniqueName="176" name="NhispPIs" queryTableFieldId="54"/>
    <tableColumn id="178" uniqueName="178" name="NnonWhtAsnPIs" queryTableFieldId="56"/>
    <tableColumn id="177" uniqueName="177" name="NhndcpPIs" queryTableFieldId="55"/>
    <tableColumn id="179" uniqueName="179" name="email" queryTableFieldId="57"/>
  </tableColumns>
  <tableStyleInfo name="TableStyleMedium2" showFirstColumn="0" showLastColumn="0" showRowStripes="0" showColumnStripes="0"/>
</table>
</file>

<file path=xl/tables/table7.xml><?xml version="1.0" encoding="utf-8"?>
<table xmlns="http://schemas.openxmlformats.org/spreadsheetml/2006/main" id="7" name="ckAwdQTable" displayName="ckAwdQTable" ref="A1:AX2" tableType="queryTable" insertRow="1" totalsRowShown="0">
  <autoFilter ref="A1:AX2"/>
  <tableColumns count="50">
    <tableColumn id="1" uniqueName="1" name="dd_rcom_date" queryTableFieldId="214" dataDxfId="77"/>
    <tableColumn id="4" uniqueName="4" name="nsf_rcvd_date" queryTableFieldId="4" dataDxfId="76"/>
    <tableColumn id="5" uniqueName="5" name="pgm_annc_id" queryTableFieldId="5"/>
    <tableColumn id="6" uniqueName="6" name="org_code" queryTableFieldId="6"/>
    <tableColumn id="7" uniqueName="7" name="pgm_ele_code" queryTableFieldId="7"/>
    <tableColumn id="18" uniqueName="18" name="PO" queryTableFieldId="220"/>
    <tableColumn id="38" uniqueName="38" name="prop_stts_abbr" queryTableFieldId="279" dataDxfId="75"/>
    <tableColumn id="39" uniqueName="39" name="natr_rqst_abbr" queryTableFieldId="280" dataDxfId="74"/>
    <tableColumn id="49" uniqueName="49" name="rcom_istr_abbr" queryTableFieldId="281" dataDxfId="73"/>
    <tableColumn id="19" uniqueName="19" name="obj_clas_code" queryTableFieldId="221"/>
    <tableColumn id="11" uniqueName="11" name="cntx_stmt_id" queryTableFieldId="11"/>
    <tableColumn id="32" uniqueName="32" name="RAupdate" queryTableFieldId="254" dataDxfId="72"/>
    <tableColumn id="25" uniqueName="25" name="0" queryTableFieldId="230" dataDxfId="71">
      <calculatedColumnFormula xml:space="preserve"> M1+(ckAwdQTable[ILN]&lt;"M")</calculatedColumnFormula>
    </tableColumn>
    <tableColumn id="2" uniqueName="2" name="ILN" queryTableFieldId="215"/>
    <tableColumn id="3" uniqueName="3" name="lead" queryTableFieldId="216"/>
    <tableColumn id="205" uniqueName="205" name="eJ" queryTableFieldId="213" dataDxfId="70" dataCellStyle="Hyperlink">
      <calculatedColumnFormula>HYPERLINK("https://www.ejacket.nsf.gov/ej/showProposal.do?ID="&amp;ckAwdQTable[[#This Row],[prop_id]],"eJ")</calculatedColumnFormula>
    </tableColumn>
    <tableColumn id="27" uniqueName="27" name="Div" queryTableFieldId="282" dataDxfId="69"/>
    <tableColumn id="12" uniqueName="12" name="prop_id" queryTableFieldId="12"/>
    <tableColumn id="13" uniqueName="13" name="pi_last_name" queryTableFieldId="13"/>
    <tableColumn id="14" uniqueName="14" name="pi_frst_name" queryTableFieldId="14"/>
    <tableColumn id="24" uniqueName="24" name="inst" queryTableFieldId="283" dataDxfId="68"/>
    <tableColumn id="23" uniqueName="23" name="st_code" queryTableFieldId="225"/>
    <tableColumn id="206" uniqueName="206" name="@pi email" queryTableFieldId="212" dataDxfId="67" dataCellStyle="Hyperlink">
      <calculatedColumnFormula>HYPERLINK("mailto:"&amp; ckAwdQTable[[#This Row],[email]]&amp;"&amp;subject=Your NSF Proposal:  "&amp;ckAwdQTable[[#This Row],[prop_id]], ckAwdQTable[[#This Row],[email]])</calculatedColumnFormula>
    </tableColumn>
    <tableColumn id="16" uniqueName="16" name="rqst_eff_date" queryTableFieldId="16" dataDxfId="66"/>
    <tableColumn id="17" uniqueName="17" name="rqst_mnth_cnt" queryTableFieldId="17"/>
    <tableColumn id="9" uniqueName="9" name="humn_date" queryTableFieldId="218"/>
    <tableColumn id="28" uniqueName="28" name="hum_asur" queryTableFieldId="301" dataDxfId="65"/>
    <tableColumn id="29" uniqueName="29" name="HUM_EXPT" queryTableFieldId="302" dataDxfId="64"/>
    <tableColumn id="10" uniqueName="10" name="vrtb_date" queryTableFieldId="219"/>
    <tableColumn id="37" uniqueName="37" name="vrtb_asur" queryTableFieldId="303" dataDxfId="63"/>
    <tableColumn id="30" uniqueName="30" name="Country" queryTableFieldId="250" dataDxfId="62"/>
    <tableColumn id="34" uniqueName="34" name="rqst_tot" queryTableFieldId="288" dataDxfId="61" dataCellStyle="Currency"/>
    <tableColumn id="35" uniqueName="35" name="brevn" queryTableFieldId="289" dataDxfId="60"/>
    <tableColumn id="36" uniqueName="36" name="budg_tot" queryTableFieldId="290" dataDxfId="59"/>
    <tableColumn id="40" uniqueName="40" name="sub_ctr_tot" queryTableFieldId="292" dataDxfId="58"/>
    <tableColumn id="41" uniqueName="41" name="frgn_trav_tot" queryTableFieldId="293" dataDxfId="57"/>
    <tableColumn id="42" uniqueName="42" name="pdoc_tot" queryTableFieldId="294" dataDxfId="56"/>
    <tableColumn id="43" uniqueName="43" name="part_tot_dol" queryTableFieldId="295" dataDxfId="55"/>
    <tableColumn id="44" uniqueName="44" name="grad_tot_cnt" queryTableFieldId="296" dataDxfId="54"/>
    <tableColumn id="45" uniqueName="45" name="sr_tot_cnt" queryTableFieldId="297" dataDxfId="53"/>
    <tableColumn id="46" uniqueName="46" name="sr_sumr_mnths" queryTableFieldId="298" dataDxfId="52"/>
    <tableColumn id="47" uniqueName="47" name="sr_acad_mnths" queryTableFieldId="299" dataDxfId="51"/>
    <tableColumn id="48" uniqueName="48" name="sr_cal_mnths" queryTableFieldId="300" dataDxfId="50"/>
    <tableColumn id="8" uniqueName="8" name="prop_stts_txt" queryTableFieldId="278" dataDxfId="49"/>
    <tableColumn id="54" uniqueName="54" name="OTH_AGCY_SUBM_FLAG" queryTableFieldId="287" dataDxfId="48"/>
    <tableColumn id="53" uniqueName="53" name="Abstr?marks" queryTableFieldId="320" dataDxfId="47">
      <calculatedColumnFormula>SummarizeQuestMarks(ckAwdQTable[[#This Row],[abst_narr_txt]])</calculatedColumnFormula>
    </tableColumn>
    <tableColumn id="51" uniqueName="51" name="abst_narr_txt" queryTableFieldId="251" dataDxfId="46"/>
    <tableColumn id="83" uniqueName="83" name="prop_titl_txt" queryTableFieldId="83"/>
    <tableColumn id="52" uniqueName="52" name="titl_ck" queryTableFieldId="322">
      <calculatedColumnFormula>AND(ckAwdQTable[[#This Row],[ILN]]&gt;"M", SUBSTITUTE(ckAwdQTable[[#This Row],[prop_titl_txt]]," ","")&lt;&gt;SUBSTITUTE(AV1," ",""))</calculatedColumnFormula>
    </tableColumn>
    <tableColumn id="26" uniqueName="26" name="email" queryTableFieldId="284" dataDxfId="45"/>
  </tableColumns>
  <tableStyleInfo name="TableStyleLight11" showFirstColumn="0" showLastColumn="0" showRowStripes="0" showColumnStripes="0"/>
</table>
</file>

<file path=xl/tables/table8.xml><?xml version="1.0" encoding="utf-8"?>
<table xmlns="http://schemas.openxmlformats.org/spreadsheetml/2006/main" id="5" name="BudgetsQTable" displayName="BudgetsQTable" ref="A3:AC4" tableType="queryTable" insertRow="1" totalsRowShown="0" dataDxfId="242">
  <autoFilter ref="A3:AC4"/>
  <tableColumns count="29">
    <tableColumn id="10" uniqueName="10" name="prop_id" queryTableFieldId="10" dataDxfId="104"/>
    <tableColumn id="9" uniqueName="9" name="ILN" queryTableFieldId="89" dataDxfId="103" dataCellStyle="Hyperlink"/>
    <tableColumn id="31" uniqueName="31" name="10" queryTableFieldId="98" dataDxfId="102" dataCellStyle="Hyperlink">
      <calculatedColumnFormula>C3+(BudgetsQTable[[#This Row],[lead]]&lt;&gt;K3)</calculatedColumnFormula>
    </tableColumn>
    <tableColumn id="32" uniqueName="32" name="0" queryTableFieldId="97" dataDxfId="101" dataCellStyle="Hyperlink">
      <calculatedColumnFormula>D3*(BudgetsQTable[[#This Row],[lead]]=K3)+(BudgetsQTable[[#This Row],[prop_id]]&lt;&gt;A3)</calculatedColumnFormula>
    </tableColumn>
    <tableColumn id="3" uniqueName="3" name="nsf_rcvd_date" queryTableFieldId="63" dataDxfId="100" dataCellStyle="Hyperlink"/>
    <tableColumn id="4" uniqueName="4" name="pgm_annc_id" queryTableFieldId="64" dataDxfId="99" dataCellStyle="Hyperlink"/>
    <tableColumn id="5" uniqueName="5" name="org_code" queryTableFieldId="65" dataDxfId="98" dataCellStyle="Hyperlink"/>
    <tableColumn id="6" uniqueName="6" name="pgm_ele_code" queryTableFieldId="66" dataDxfId="97" dataCellStyle="Hyperlink"/>
    <tableColumn id="27" uniqueName="27" name="PO" queryTableFieldId="91" dataDxfId="96" dataCellStyle="Hyperlink"/>
    <tableColumn id="28" uniqueName="28" name="pi_email" queryTableFieldId="92" dataDxfId="95" dataCellStyle="Hyperlink"/>
    <tableColumn id="8" uniqueName="8" name="lead" queryTableFieldId="68" dataDxfId="94" dataCellStyle="Hyperlink"/>
    <tableColumn id="1" uniqueName="1" name="eJ" queryTableFieldId="55" dataCellStyle="Hyperlink">
      <calculatedColumnFormula>IF(BudgetsQTable[[#This Row],[pi_last_name]]=" ","",HYPERLINK("https://www.ejacket.nsf.gov/ej/showProposal.do?Continue=Y&amp;ID="&amp;BudgetsQTable[[#This Row],[prop_id]],BudgetsQTable[[#This Row],[prop_id]]))</calculatedColumnFormula>
    </tableColumn>
    <tableColumn id="11" uniqueName="11" name="pi_last_name" queryTableFieldId="70" dataDxfId="93" dataCellStyle="Hyperlink"/>
    <tableColumn id="30" uniqueName="30" name="@pi" queryTableFieldId="96" dataCellStyle="Hyperlink">
      <calculatedColumnFormula>IF(BudgetsQTable[[#This Row],[pi_last_name]]=" ","",HYPERLINK("mailto:"&amp;BudgetsQTable[[#This Row],[pi_email]]&amp;"&amp;subject=Your NSF Proposal:  "&amp;BudgetsQTable[[#This Row],[prop_id]],BudgetsQTable[[#This Row],[pi_email]]))</calculatedColumnFormula>
    </tableColumn>
    <tableColumn id="12" uniqueName="12" name="inst_name" queryTableFieldId="71" dataDxfId="92" dataCellStyle="Hyperlink"/>
    <tableColumn id="14" uniqueName="14" name="sr_pers_cnt" queryTableFieldId="73" dataDxfId="91" dataCellStyle="Hyperlink"/>
    <tableColumn id="15" uniqueName="15" name="sr_summ_mnth_cnt" queryTableFieldId="74" dataDxfId="90" dataCellStyle="Hyperlink"/>
    <tableColumn id="16" uniqueName="16" name="pdoc_grnt_dol" queryTableFieldId="75" dataDxfId="89" dataCellStyle="Currency"/>
    <tableColumn id="17" uniqueName="17" name="frgn_trav_dol" queryTableFieldId="76" dataDxfId="88" dataCellStyle="Currency"/>
    <tableColumn id="18" uniqueName="18" name="part_dol" queryTableFieldId="77" dataDxfId="87" dataCellStyle="Currency"/>
    <tableColumn id="19" uniqueName="19" name="budg_tot_dol" queryTableFieldId="78" dataDxfId="86" dataCellStyle="Currency"/>
    <tableColumn id="20" uniqueName="20" name="revn_num" queryTableFieldId="79" dataDxfId="85" dataCellStyle="Hyperlink"/>
    <tableColumn id="21" uniqueName="21" name="budg_seq_yr" queryTableFieldId="80" dataDxfId="84" dataCellStyle="Hyperlink"/>
    <tableColumn id="26" uniqueName="26" name="Column1" queryTableFieldId="85" dataDxfId="83" dataCellStyle="Hyperlink">
      <calculatedColumnFormula>IF(ISBLANK(BudgetsQTable[[#This Row],[budg_seq_yr]]),"FY"&amp;fiscalyear,"FY"&amp;fiscalyear-1+BudgetsQTable[[#This Row],[budg_seq_yr]])</calculatedColumnFormula>
    </tableColumn>
    <tableColumn id="22" uniqueName="22" name="dol" queryTableFieldId="81" dataDxfId="82" dataCellStyle="Currency"/>
    <tableColumn id="23" uniqueName="23" name="org_code2" queryTableFieldId="82" dataDxfId="81" dataCellStyle="Hyperlink"/>
    <tableColumn id="24" uniqueName="24" name="PEC" queryTableFieldId="83" dataDxfId="80" dataCellStyle="Hyperlink"/>
    <tableColumn id="7" uniqueName="7" name="Obj" queryTableFieldId="99" dataDxfId="79" dataCellStyle="Hyperlink"/>
    <tableColumn id="25" uniqueName="25" name="PRCs" queryTableFieldId="84" dataDxfId="78" dataCellStyle="Hyperlink"/>
  </tableColumns>
  <tableStyleInfo name="AddTableStyle" showFirstColumn="0" showLastColumn="0" showRowStripes="0" showColumnStripes="0"/>
</table>
</file>

<file path=xl/tables/table9.xml><?xml version="1.0" encoding="utf-8"?>
<table xmlns="http://schemas.openxmlformats.org/spreadsheetml/2006/main" id="2" name="RADataQTable" displayName="RADataQTable" ref="A1:EF2" tableType="queryTable" insertRow="1" totalsRowShown="0">
  <autoFilter ref="A1:EF2">
    <filterColumn colId="12">
      <customFilters>
        <customFilter operator="greaterThan" val="0"/>
      </customFilters>
    </filterColumn>
  </autoFilter>
  <sortState ref="A2:EF2">
    <sortCondition ref="M1:M2"/>
  </sortState>
  <tableColumns count="136">
    <tableColumn id="1" uniqueName="1" name="dd_rcom_date" queryTableFieldId="1" dataDxfId="200"/>
    <tableColumn id="2" uniqueName="2" name="nsf_rcvd_date" queryTableFieldId="2" dataDxfId="199"/>
    <tableColumn id="3" uniqueName="3" name="pgm_annc_id" queryTableFieldId="3" dataDxfId="198"/>
    <tableColumn id="4" uniqueName="4" name="org_code" queryTableFieldId="4" dataDxfId="197"/>
    <tableColumn id="5" uniqueName="5" name="pgm_ele_code" queryTableFieldId="5" dataDxfId="196"/>
    <tableColumn id="6" uniqueName="6" name="natr_rqst_abbr" queryTableFieldId="6" dataDxfId="195"/>
    <tableColumn id="7" uniqueName="7" name="prop_stts_abbr" queryTableFieldId="7" dataDxfId="194"/>
    <tableColumn id="8" uniqueName="8" name="obj_clas_code" queryTableFieldId="8"/>
    <tableColumn id="9" uniqueName="9" name="cntx_stmt_id" queryTableFieldId="9"/>
    <tableColumn id="10" uniqueName="10" name="PO" queryTableFieldId="10"/>
    <tableColumn id="11" uniqueName="11" name="RAupdate" queryTableFieldId="11" dataDxfId="193"/>
    <tableColumn id="12" uniqueName="12" name="nPanl" queryTableFieldId="12"/>
    <tableColumn id="13" uniqueName="13" name="RecRkMin" queryTableFieldId="13" dataDxfId="192"/>
    <tableColumn id="14" uniqueName="14" name="rec0" queryTableFieldId="14"/>
    <tableColumn id="15" uniqueName="15" name="rec1" queryTableFieldId="15"/>
    <tableColumn id="16" uniqueName="16" name="rec2" queryTableFieldId="16"/>
    <tableColumn id="17" uniqueName="17" name="RAtemplate" queryTableFieldId="17" dataDxfId="191"/>
    <tableColumn id="133" uniqueName="133" name="Radraft_filename" queryTableFieldId="135" dataDxfId="190">
      <calculatedColumnFormula>IFERROR(MID(RADataQTable[[#This Row],[RAtemplate]],1,LEN(RADataQTable[[#This Row],[RAtemplate]])-8),"RA") &amp; " " &amp; RADataQTable[[#This Row],[prop_id0]] &amp; " " &amp; RADataQTable[[#This Row],[last0]]</calculatedColumnFormula>
    </tableColumn>
    <tableColumn id="136" uniqueName="136" name="RApre_note" queryTableFieldId="137" dataDxfId="189"/>
    <tableColumn id="137" uniqueName="137" name="RAps_note" queryTableFieldId="136" dataDxfId="188"/>
    <tableColumn id="134" uniqueName="134" name="RAsigner" queryTableFieldId="134" dataDxfId="187">
      <calculatedColumnFormula>IF(signer1="PD",IF(ISBLANK(RADataQTable[[#This Row],[sign_blck_name]]),"",RADataQTable[[#This Row],[sign_blck_name]]),IF(ISBLANK(signer1),"",signer1))</calculatedColumnFormula>
    </tableColumn>
    <tableColumn id="135" uniqueName="135" name="RAsigner2" queryTableFieldId="133" dataDxfId="186">
      <calculatedColumnFormula>signer2</calculatedColumnFormula>
    </tableColumn>
    <tableColumn id="138" uniqueName="138" name="ej" queryTableFieldId="142" dataDxfId="185" dataCellStyle="Hyperlink">
      <calculatedColumnFormula>HYPERLINK("https://www.ejacket.nsf.gov/ej/showProposal.do?Continue=Y&amp;ID="&amp;RADataQTable[[#This Row],[prop_id0]],"eJ")</calculatedColumnFormula>
    </tableColumn>
    <tableColumn id="139" uniqueName="139" name="@PI" queryTableFieldId="141" dataDxfId="184" dataCellStyle="Hyperlink">
      <calculatedColumnFormula>HYPERLINK("mailto:"&amp;RADataQTable[[#This Row],[email]]&amp;"&amp;subject=Your NSF Proposal:  "&amp;RADataQTable[[#This Row],[Div]]&amp;" "&amp;RADataQTable[[#This Row],[prop_id0]], RADataQTable[[#This Row],[email]])</calculatedColumnFormula>
    </tableColumn>
    <tableColumn id="140" uniqueName="140" name="@allPIs" queryTableFieldId="140" dataDxfId="183" dataCellStyle="Hyperlink">
      <calculatedColumnFormula>HYPERLINK("mailto:"&amp;RADataQTable[[#This Row],[allPIemail]]&amp;"&amp;subject=NSF Proposal:  "&amp;RADataQTable[[#This Row],[Div]]&amp;" "&amp;RADataQTable[[#This Row],[prop_id0]], "PIs@")</calculatedColumnFormula>
    </tableColumn>
    <tableColumn id="18" uniqueName="18" name="Div" queryTableFieldId="18"/>
    <tableColumn id="19" uniqueName="19" name="lead" queryTableFieldId="19"/>
    <tableColumn id="20" uniqueName="20" name="Nrev" queryTableFieldId="20"/>
    <tableColumn id="21" uniqueName="21" name="Nunmkd" queryTableFieldId="21"/>
    <tableColumn id="27" uniqueName="27" name="Nunrlsbl" queryTableFieldId="27"/>
    <tableColumn id="125" uniqueName="125" name="divergentReviews" queryTableFieldId="144">
      <calculatedColumnFormula>IF(RADataQTable[[#This Row],[maxScore]]-RADataQTable[[#This Row],[minScore]]&gt;4,"Y","")</calculatedColumnFormula>
    </tableColumn>
    <tableColumn id="22" uniqueName="22" name="minScore" queryTableFieldId="22" dataDxfId="182"/>
    <tableColumn id="23" uniqueName="23" name="avg_score" queryTableFieldId="23" dataDxfId="181"/>
    <tableColumn id="24" uniqueName="24" name="maxScore" queryTableFieldId="24"/>
    <tableColumn id="25" uniqueName="25" name="allReviews" queryTableFieldId="25"/>
    <tableColumn id="26" uniqueName="26" name="last_rev_date" queryTableFieldId="26" dataDxfId="180"/>
    <tableColumn id="28" uniqueName="28" name="rqst_tot" queryTableFieldId="28" dataDxfId="179" dataCellStyle="Currency"/>
    <tableColumn id="29" uniqueName="29" name="budg_tot" queryTableFieldId="29" dataDxfId="178" dataCellStyle="Currency"/>
    <tableColumn id="30" uniqueName="30" name="budRevnMax" queryTableFieldId="30"/>
    <tableColumn id="31" uniqueName="31" name="rqst_eff_date" queryTableFieldId="31" dataDxfId="177"/>
    <tableColumn id="32" uniqueName="32" name="rqst_mnth_cnt" queryTableFieldId="32" dataDxfId="176"/>
    <tableColumn id="33" uniqueName="33" name="prop_titl_txt" queryTableFieldId="33" dataDxfId="175"/>
    <tableColumn id="34" uniqueName="34" name="AhNrev" queryTableFieldId="34"/>
    <tableColumn id="35" uniqueName="35" name="AhRevs" queryTableFieldId="35"/>
    <tableColumn id="36" uniqueName="36" name="AhLast" queryTableFieldId="36" dataDxfId="174"/>
    <tableColumn id="37" uniqueName="37" name="panl_id0" queryTableFieldId="37"/>
    <tableColumn id="38" uniqueName="38" name="RCOM_TXT0" queryTableFieldId="38" dataDxfId="173"/>
    <tableColumn id="39" uniqueName="39" name="rank0" queryTableFieldId="39" dataDxfId="172"/>
    <tableColumn id="40" uniqueName="40" name="panl_name0" queryTableFieldId="40" dataDxfId="171"/>
    <tableColumn id="41" uniqueName="41" name="panl_end0" queryTableFieldId="41" dataDxfId="170"/>
    <tableColumn id="42" uniqueName="42" name="revs0" queryTableFieldId="42" dataDxfId="169"/>
    <tableColumn id="43" uniqueName="43" name="PanlString0" queryTableFieldId="43" dataDxfId="168"/>
    <tableColumn id="44" uniqueName="44" name="pnlst0" queryTableFieldId="44" dataDxfId="167"/>
    <tableColumn id="45" uniqueName="45" name="confl0" queryTableFieldId="45" dataDxfId="166"/>
    <tableColumn id="46" uniqueName="46" name="panl_id1" queryTableFieldId="46" dataDxfId="165"/>
    <tableColumn id="47" uniqueName="47" name="RCOM_TXT1" queryTableFieldId="47" dataDxfId="164"/>
    <tableColumn id="48" uniqueName="48" name="rank1" queryTableFieldId="48" dataDxfId="163"/>
    <tableColumn id="49" uniqueName="49" name="panl_name1" queryTableFieldId="49" dataDxfId="162"/>
    <tableColumn id="50" uniqueName="50" name="panl_end1" queryTableFieldId="50" dataDxfId="161"/>
    <tableColumn id="51" uniqueName="51" name="revs1" queryTableFieldId="51" dataDxfId="160"/>
    <tableColumn id="52" uniqueName="52" name="PanlString1" queryTableFieldId="52" dataDxfId="159"/>
    <tableColumn id="53" uniqueName="53" name="pnlst1" queryTableFieldId="53" dataDxfId="158"/>
    <tableColumn id="54" uniqueName="54" name="confl1" queryTableFieldId="54" dataDxfId="157"/>
    <tableColumn id="55" uniqueName="55" name="panl_id2" queryTableFieldId="55" dataDxfId="156"/>
    <tableColumn id="56" uniqueName="56" name="RCOM_TXT2" queryTableFieldId="56" dataDxfId="155"/>
    <tableColumn id="57" uniqueName="57" name="rank2" queryTableFieldId="57" dataDxfId="154"/>
    <tableColumn id="58" uniqueName="58" name="panl_name2" queryTableFieldId="58" dataDxfId="153"/>
    <tableColumn id="59" uniqueName="59" name="panl_end2" queryTableFieldId="59" dataDxfId="152"/>
    <tableColumn id="60" uniqueName="60" name="revs2" queryTableFieldId="60" dataDxfId="151"/>
    <tableColumn id="61" uniqueName="61" name="PanlString2" queryTableFieldId="61" dataDxfId="150"/>
    <tableColumn id="62" uniqueName="62" name="pnlst2" queryTableFieldId="62" dataDxfId="149"/>
    <tableColumn id="63" uniqueName="63" name="confl2" queryTableFieldId="63" dataDxfId="148"/>
    <tableColumn id="64" uniqueName="64" name="prop_id0" queryTableFieldId="64"/>
    <tableColumn id="65" uniqueName="65" name="last0" queryTableFieldId="65" dataDxfId="147"/>
    <tableColumn id="66" uniqueName="66" name="frst0" queryTableFieldId="66" dataDxfId="146"/>
    <tableColumn id="67" uniqueName="67" name="inst0" queryTableFieldId="67" dataDxfId="145"/>
    <tableColumn id="68" uniqueName="68" name="rqst0" queryTableFieldId="68" dataDxfId="144"/>
    <tableColumn id="69" uniqueName="69" name="b0tot" queryTableFieldId="69" dataDxfId="143"/>
    <tableColumn id="70" uniqueName="70" name="PRC0" queryTableFieldId="70"/>
    <tableColumn id="71" uniqueName="71" name="prop_id1" queryTableFieldId="71" dataDxfId="142"/>
    <tableColumn id="72" uniqueName="72" name="last1" queryTableFieldId="72" dataDxfId="141"/>
    <tableColumn id="73" uniqueName="73" name="frst1" queryTableFieldId="73" dataDxfId="140"/>
    <tableColumn id="74" uniqueName="74" name="inst1" queryTableFieldId="74" dataDxfId="139"/>
    <tableColumn id="75" uniqueName="75" name="rqst1" queryTableFieldId="75" dataDxfId="138"/>
    <tableColumn id="76" uniqueName="76" name="b1tot" queryTableFieldId="76" dataDxfId="137"/>
    <tableColumn id="77" uniqueName="77" name="PRC1" queryTableFieldId="77"/>
    <tableColumn id="78" uniqueName="78" name="prop_id2" queryTableFieldId="78" dataDxfId="136"/>
    <tableColumn id="79" uniqueName="79" name="last2" queryTableFieldId="79" dataDxfId="135"/>
    <tableColumn id="80" uniqueName="80" name="frst2" queryTableFieldId="80" dataDxfId="134"/>
    <tableColumn id="81" uniqueName="81" name="inst2" queryTableFieldId="81" dataDxfId="133"/>
    <tableColumn id="82" uniqueName="82" name="rqst2" queryTableFieldId="82" dataDxfId="132"/>
    <tableColumn id="83" uniqueName="83" name="b2tot" queryTableFieldId="83" dataDxfId="131"/>
    <tableColumn id="84" uniqueName="84" name="PRC2" queryTableFieldId="84"/>
    <tableColumn id="85" uniqueName="85" name="prop_id3" queryTableFieldId="85" dataDxfId="130"/>
    <tableColumn id="86" uniqueName="86" name="last3" queryTableFieldId="86" dataDxfId="129"/>
    <tableColumn id="87" uniqueName="87" name="frst3" queryTableFieldId="87" dataDxfId="128"/>
    <tableColumn id="88" uniqueName="88" name="inst3" queryTableFieldId="88" dataDxfId="127"/>
    <tableColumn id="89" uniqueName="89" name="rqst3" queryTableFieldId="89" dataDxfId="126"/>
    <tableColumn id="90" uniqueName="90" name="b3tot" queryTableFieldId="90" dataDxfId="125"/>
    <tableColumn id="91" uniqueName="91" name="PRC3" queryTableFieldId="91"/>
    <tableColumn id="92" uniqueName="92" name="prop_id4" queryTableFieldId="92" dataDxfId="124"/>
    <tableColumn id="93" uniqueName="93" name="last4" queryTableFieldId="93" dataDxfId="123"/>
    <tableColumn id="94" uniqueName="94" name="frst4" queryTableFieldId="94" dataDxfId="122"/>
    <tableColumn id="95" uniqueName="95" name="inst4" queryTableFieldId="95" dataDxfId="121"/>
    <tableColumn id="96" uniqueName="96" name="rqst4" queryTableFieldId="96" dataDxfId="120"/>
    <tableColumn id="97" uniqueName="97" name="b4tot" queryTableFieldId="97" dataDxfId="119"/>
    <tableColumn id="98" uniqueName="98" name="PRC4" queryTableFieldId="98"/>
    <tableColumn id="99" uniqueName="99" name="prop_id5" queryTableFieldId="99" dataDxfId="118"/>
    <tableColumn id="100" uniqueName="100" name="last5" queryTableFieldId="100" dataDxfId="117"/>
    <tableColumn id="101" uniqueName="101" name="frst5" queryTableFieldId="101" dataDxfId="116"/>
    <tableColumn id="102" uniqueName="102" name="inst5" queryTableFieldId="102" dataDxfId="115"/>
    <tableColumn id="103" uniqueName="103" name="rqst5" queryTableFieldId="103" dataDxfId="114"/>
    <tableColumn id="104" uniqueName="104" name="b5tot" queryTableFieldId="104" dataDxfId="113"/>
    <tableColumn id="105" uniqueName="105" name="PRC5" queryTableFieldId="105"/>
    <tableColumn id="106" uniqueName="106" name="prop_id6" queryTableFieldId="106" dataDxfId="112"/>
    <tableColumn id="107" uniqueName="107" name="last6" queryTableFieldId="107" dataDxfId="111"/>
    <tableColumn id="108" uniqueName="108" name="frst6" queryTableFieldId="108" dataDxfId="110"/>
    <tableColumn id="109" uniqueName="109" name="inst6" queryTableFieldId="109" dataDxfId="109"/>
    <tableColumn id="110" uniqueName="110" name="rqst6" queryTableFieldId="110" dataDxfId="108"/>
    <tableColumn id="111" uniqueName="111" name="b6tot" queryTableFieldId="111" dataDxfId="107"/>
    <tableColumn id="112" uniqueName="112" name="PRC6" queryTableFieldId="112"/>
    <tableColumn id="113" uniqueName="113" name="solicitation" queryTableFieldId="113"/>
    <tableColumn id="114" uniqueName="114" name="Div_name" queryTableFieldId="114"/>
    <tableColumn id="115" uniqueName="115" name="pgm_ele_name" queryTableFieldId="115"/>
    <tableColumn id="116" uniqueName="116" name="sign_blck_name" queryTableFieldId="116" dataDxfId="106"/>
    <tableColumn id="117" uniqueName="117" name="prop_stts_txt" queryTableFieldId="117"/>
    <tableColumn id="118" uniqueName="118" name="natr_rqst_txt" queryTableFieldId="118"/>
    <tableColumn id="119" uniqueName="119" name="obj_clas_name" queryTableFieldId="119"/>
    <tableColumn id="120" uniqueName="120" name="Dir" queryTableFieldId="120"/>
    <tableColumn id="121" uniqueName="121" name="Dir_name" queryTableFieldId="121"/>
    <tableColumn id="122" uniqueName="122" name="pulldate" queryTableFieldId="122" dataDxfId="105"/>
    <tableColumn id="123" uniqueName="123" name="email" queryTableFieldId="123"/>
    <tableColumn id="124" uniqueName="124" name="allPIemail" queryTableFieldId="124"/>
    <tableColumn id="126" uniqueName="126" name="conflrev0" queryTableFieldId="145"/>
    <tableColumn id="127" uniqueName="127" name="conflrev1" queryTableFieldId="146"/>
    <tableColumn id="128" uniqueName="128" name="conflrev2" queryTableFieldId="147"/>
  </tableColumns>
  <tableStyleInfo name="TableFall" showFirstColumn="0" showLastColumn="0" showRowStripes="1" showColumnStripes="0"/>
</table>
</file>

<file path=xl/tables/table10.xml><?xml version="1.0" encoding="utf-8"?>
<table xmlns="http://schemas.openxmlformats.org/spreadsheetml/2006/main" id="6" name="AvailableTemplates" displayName="AvailableTemplates" ref="J12:J17" totalsRowShown="0" headerRowDxfId="241" dataDxfId="240">
  <autoFilter ref="J12:J17"/>
  <tableColumns count="1">
    <tableColumn id="1" name="Available templates:" dataDxfId="239"/>
  </tableColumns>
  <tableStyleInfo name="TableStyleLight8" showFirstColumn="0" showLastColumn="0" showRowStripes="1" showColumnStripes="0"/>
</table>
</file>

<file path=xl/tables/table11.xml><?xml version="1.0" encoding="utf-8"?>
<table xmlns="http://schemas.openxmlformats.org/spreadsheetml/2006/main" id="4" name="EpscorTable" displayName="EpscorTable" ref="N2:N30" totalsRowCount="1" headerRowDxfId="238" dataDxfId="237">
  <autoFilter ref="N2:N29"/>
  <tableColumns count="1">
    <tableColumn id="1" name="Epscor" totalsRowFunction="count" dataDxfId="236" totalsRowDxfId="235"/>
  </tableColumns>
  <tableStyleInfo name="TableFall" showFirstColumn="0" showLastColumn="0" showRowStripes="1" showColumnStripes="0"/>
</table>
</file>

<file path=xl/tables/table12.xml><?xml version="1.0" encoding="utf-8"?>
<table xmlns="http://schemas.openxmlformats.org/spreadsheetml/2006/main" id="16" name="ConflictQTable" displayName="ConflictQTable" ref="A2:C3" tableType="queryTable" insertRow="1" totalsRowShown="0" headerRowCellStyle="Normal" dataCellStyle="Normal">
  <autoFilter ref="A2:C3"/>
  <tableColumns count="3">
    <tableColumn id="1" uniqueName="1" name="revr_id" queryTableFieldId="280"/>
    <tableColumn id="2" uniqueName="2" name="inst_shrt_name" queryTableFieldId="281"/>
    <tableColumn id="3" uniqueName="3" name="Panelist" queryTableFieldId="282"/>
  </tableColumns>
  <tableStyleInfo name="TableStyleMedium2" showFirstColumn="0" showLastColumn="0" showRowStripes="1" showColumnStripes="0"/>
</table>
</file>

<file path=xl/tables/table13.xml><?xml version="1.0" encoding="utf-8"?>
<table xmlns="http://schemas.openxmlformats.org/spreadsheetml/2006/main" id="11" name="PRCGlossaryQTable" displayName="PRCGlossaryQTable" ref="A2:B3" tableType="queryTable" insertRow="1" totalsRowShown="0" headerRowCellStyle="Normal" dataCellStyle="Normal">
  <autoFilter ref="A2:B3"/>
  <tableColumns count="2">
    <tableColumn id="1" uniqueName="1" name="PRC" queryTableFieldId="278" dataDxfId="230"/>
    <tableColumn id="2" uniqueName="2" name="PRC_Description" queryTableFieldId="279"/>
  </tableColumns>
  <tableStyleInfo name="TableStyleMedium2" showFirstColumn="0" showLastColumn="0" showRowStripes="1" showColumnStripes="0"/>
</table>
</file>

<file path=xl/tables/table14.xml><?xml version="1.0" encoding="utf-8"?>
<table xmlns="http://schemas.openxmlformats.org/spreadsheetml/2006/main" id="13" name="PECGlossaryQTable" displayName="PECGlossaryQTable" ref="D2:E3" tableType="queryTable" insertRow="1" totalsRowShown="0" headerRowCellStyle="Normal" dataCellStyle="Normal">
  <autoFilter ref="D2:E3"/>
  <tableColumns count="2">
    <tableColumn id="1" uniqueName="1" name="PEC" queryTableFieldId="280" dataDxfId="231"/>
    <tableColumn id="2" uniqueName="2" name="PEC_Description" queryTableFieldId="281"/>
  </tableColumns>
  <tableStyleInfo name="TableStyleMedium2" showFirstColumn="0" showLastColumn="0" showRowStripes="1" showColumnStripes="0"/>
</table>
</file>

<file path=xl/tables/table15.xml><?xml version="1.0" encoding="utf-8"?>
<table xmlns="http://schemas.openxmlformats.org/spreadsheetml/2006/main" id="12" name="ckSplitsQTable" displayName="ckSplitsQTable" ref="A1:AH2" tableType="queryTable" insertRow="1" totalsRowShown="0">
  <autoFilter ref="A1:AH2"/>
  <tableColumns count="34">
    <tableColumn id="21" uniqueName="21" name="dd_rcom_date" queryTableFieldId="1" dataDxfId="44"/>
    <tableColumn id="22" uniqueName="22" name="nsf_rcvd_date" queryTableFieldId="2" dataDxfId="43"/>
    <tableColumn id="23" uniqueName="23" name="cntx_stmt_id" queryTableFieldId="3"/>
    <tableColumn id="24" uniqueName="24" name="pgm_annc_id" queryTableFieldId="4"/>
    <tableColumn id="60" uniqueName="60" name="pObj" queryTableFieldId="13" dataDxfId="42"/>
    <tableColumn id="61" uniqueName="61" name="bObj" queryTableFieldId="14" dataDxfId="41"/>
    <tableColumn id="25" uniqueName="25" name="pOrg" queryTableFieldId="5"/>
    <tableColumn id="26" uniqueName="26" name="bOrg" queryTableFieldId="6"/>
    <tableColumn id="27" uniqueName="27" name="pPEC" queryTableFieldId="7"/>
    <tableColumn id="28" uniqueName="28" name="bPEC" queryTableFieldId="8"/>
    <tableColumn id="29" uniqueName="29" name="pPO" queryTableFieldId="9"/>
    <tableColumn id="30" uniqueName="30" name="bPO" queryTableFieldId="10"/>
    <tableColumn id="31" uniqueName="31" name="prop_stts_abbr" queryTableFieldId="11"/>
    <tableColumn id="32" uniqueName="32" name="natr_rqst_abbr" queryTableFieldId="12" dataDxfId="40"/>
    <tableColumn id="35" uniqueName="35" name="rcom_istr_abbr" queryTableFieldId="15" dataDxfId="39"/>
    <tableColumn id="57" uniqueName="57" name="budg_yr" queryTableFieldId="27" dataDxfId="38"/>
    <tableColumn id="58" uniqueName="58" name="splt_id" queryTableFieldId="28" dataDxfId="37"/>
    <tableColumn id="59" uniqueName="59" name="budg_splt_tot_dol" queryTableFieldId="29" dataDxfId="36"/>
    <tableColumn id="54" uniqueName="54" name="0" queryTableFieldId="35" dataDxfId="35">
      <calculatedColumnFormula>S1+(X2&lt;&gt;X1)</calculatedColumnFormula>
    </tableColumn>
    <tableColumn id="37" uniqueName="37" name="ILN" queryTableFieldId="17" dataDxfId="34"/>
    <tableColumn id="36" uniqueName="36" name="lead" queryTableFieldId="16" dataDxfId="33"/>
    <tableColumn id="55" uniqueName="55" name="eJ" queryTableFieldId="36" dataDxfId="32" dataCellStyle="Hyperlink">
      <calculatedColumnFormula>HYPERLINK("https://www.ejacket.nsf.gov/ej/showProposal.do?ID="&amp;ckSplitsQTable[[#This Row],[prop_id]],"eJ")</calculatedColumnFormula>
    </tableColumn>
    <tableColumn id="38" uniqueName="38" name="Div" queryTableFieldId="18" dataDxfId="31"/>
    <tableColumn id="39" uniqueName="39" name="prop_id" queryTableFieldId="19" dataDxfId="30"/>
    <tableColumn id="40" uniqueName="40" name="pi_last_name" queryTableFieldId="20" dataDxfId="29"/>
    <tableColumn id="41" uniqueName="41" name="pi_frst_name" queryTableFieldId="21" dataDxfId="28"/>
    <tableColumn id="42" uniqueName="42" name="inst" queryTableFieldId="22" dataDxfId="27"/>
    <tableColumn id="56" uniqueName="56" name="@ pi" queryTableFieldId="37" dataDxfId="26" dataCellStyle="Hyperlink">
      <calculatedColumnFormula>HYPERLINK("mailto:"&amp;ckSplitsQTable[[#This Row],[email]]&amp;"&amp;subject=Your NSF Proposal:  "&amp;ckSplitsQTable[[#This Row],[prop_id]],ckSplitsQTable[[#This Row],[email]])</calculatedColumnFormula>
    </tableColumn>
    <tableColumn id="43" uniqueName="43" name="email" queryTableFieldId="23" dataDxfId="25"/>
    <tableColumn id="44" uniqueName="44" name="propPRCs" queryTableFieldId="24" dataDxfId="24"/>
    <tableColumn id="45" uniqueName="45" name="bPRCs" queryTableFieldId="25" dataDxfId="23"/>
    <tableColumn id="46" uniqueName="46" name="awd_id" queryTableFieldId="26" dataDxfId="22"/>
    <tableColumn id="50" uniqueName="50" name="prop_stts_txt" queryTableFieldId="30" dataDxfId="21"/>
    <tableColumn id="51" uniqueName="51" name="prop_titl_txt" queryTableFieldId="31" dataDxfId="20"/>
  </tableColumns>
  <tableStyleInfo name="TableStyleLight11" showFirstColumn="0" showLastColumn="0" showRowStripes="0" showColumnStripes="0"/>
</table>
</file>

<file path=xl/tables/table16.xml><?xml version="1.0" encoding="utf-8"?>
<table xmlns="http://schemas.openxmlformats.org/spreadsheetml/2006/main" id="1" name="ProjTextQTable" displayName="ProjTextQTable" ref="A1:P3" tableType="queryTable" insertRow="1" totalsRowCount="1">
  <autoFilter ref="A1:P2"/>
  <tableColumns count="16">
    <tableColumn id="16" uniqueName="16" name="0" queryTableFieldId="16">
      <calculatedColumnFormula>A1+(B2&lt;&gt;B1)</calculatedColumnFormula>
    </tableColumn>
    <tableColumn id="1" uniqueName="1" name="lead" totalsRowLabel="Total" queryTableFieldId="1"/>
    <tableColumn id="2" uniqueName="2" name="pi_last_name" queryTableFieldId="2"/>
    <tableColumn id="3" uniqueName="3" name="docType" queryTableFieldId="3"/>
    <tableColumn id="4" uniqueName="4" name="pm_logn_id" queryTableFieldId="4"/>
    <tableColumn id="5" uniqueName="5" name="panl_revr_id" queryTableFieldId="5"/>
    <tableColumn id="6" uniqueName="6" name="name" queryTableFieldId="6"/>
    <tableColumn id="7" uniqueName="7" name="info" queryTableFieldId="7"/>
    <tableColumn id="8" uniqueName="8" name="type" queryTableFieldId="8"/>
    <tableColumn id="9" uniqueName="9" name="stts" queryTableFieldId="9"/>
    <tableColumn id="10" uniqueName="10" name="due" queryTableFieldId="10" dataDxfId="229" totalsRowDxfId="19"/>
    <tableColumn id="11" uniqueName="11" name="returned" queryTableFieldId="11" dataDxfId="228"/>
    <tableColumn id="14" uniqueName="14" name="nchars" queryTableFieldId="15" dataDxfId="227">
      <calculatedColumnFormula>LEN(ProjTextQTable[[#This Row],[text]])</calculatedColumnFormula>
    </tableColumn>
    <tableColumn id="15" uniqueName="15" name="nwords" queryTableFieldId="14" dataDxfId="226">
      <calculatedColumnFormula>LEN(TRIM(CLEAN(SUBSTITUTE(ProjTextQTable[[#This Row],[text]],CHAR(10)," "))))+1 - LEN(SUBSTITUTE(CLEAN(SUBSTITUTE(ProjTextQTable[[#This Row],[text]],CHAR(10)," "))," ",""))</calculatedColumnFormula>
    </tableColumn>
    <tableColumn id="12" uniqueName="12" name="score" queryTableFieldId="12"/>
    <tableColumn id="13" uniqueName="13" name="text" totalsRowFunction="count" queryTableFieldId="13"/>
  </tableColumns>
  <tableStyleInfo name="TableFall" showFirstColumn="0" showLastColumn="0" showRowStripes="0" showColumnStripes="0"/>
</table>
</file>

<file path=xl/theme/theme1.xml><?xml version="1.0" encoding="utf-8"?>
<a:theme xmlns:a="http://schemas.openxmlformats.org/drawingml/2006/main" name="PD-3PO Fall">
  <a:themeElements>
    <a:clrScheme name="Custom 5">
      <a:dk1>
        <a:srgbClr val="000000"/>
      </a:dk1>
      <a:lt1>
        <a:srgbClr val="FFFFFF"/>
      </a:lt1>
      <a:dk2>
        <a:srgbClr val="545454"/>
      </a:dk2>
      <a:lt2>
        <a:srgbClr val="BFBFBF"/>
      </a:lt2>
      <a:accent1>
        <a:srgbClr val="40BAD2"/>
      </a:accent1>
      <a:accent2>
        <a:srgbClr val="FAB900"/>
      </a:accent2>
      <a:accent3>
        <a:srgbClr val="90BB23"/>
      </a:accent3>
      <a:accent4>
        <a:srgbClr val="EE7008"/>
      </a:accent4>
      <a:accent5>
        <a:srgbClr val="1AB39F"/>
      </a:accent5>
      <a:accent6>
        <a:srgbClr val="D5393D"/>
      </a:accent6>
      <a:hlink>
        <a:srgbClr val="EE7008"/>
      </a:hlink>
      <a:folHlink>
        <a:srgbClr val="A72326"/>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rame">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0795" cap="flat" cmpd="sng" algn="ctr">
          <a:solidFill>
            <a:schemeClr val="phClr"/>
          </a:solidFill>
          <a:prstDash val="solid"/>
        </a:ln>
        <a:ln w="17145" cap="flat" cmpd="sng" algn="ctr">
          <a:solidFill>
            <a:schemeClr val="phClr">
              <a:shade val="95000"/>
              <a:alpha val="50000"/>
              <a:satMod val="150000"/>
            </a:schemeClr>
          </a:solidFill>
          <a:prstDash val="solid"/>
        </a:ln>
      </a:lnStyleLst>
      <a:effectStyleLst>
        <a:effectStyle>
          <a:effectLst/>
        </a:effectStyle>
        <a:effectStyle>
          <a:effectLst/>
        </a:effectStyle>
        <a:effectStyle>
          <a:effectLst>
            <a:outerShdw blurRad="44450" dist="13970" dir="5400000" algn="ctr" rotWithShape="0">
              <a:srgbClr val="000000">
                <a:alpha val="45000"/>
              </a:srgbClr>
            </a:outerShdw>
          </a:effectLst>
          <a:scene3d>
            <a:camera prst="orthographicFront">
              <a:rot lat="0" lon="0" rev="0"/>
            </a:camera>
            <a:lightRig rig="twoPt" dir="tl"/>
          </a:scene3d>
          <a:sp3d prstMaterial="flat">
            <a:bevelT w="12700" h="25400" prst="coolSlant"/>
          </a:sp3d>
        </a:effectStyle>
      </a:effectStyleLst>
      <a:bgFillStyleLst>
        <a:solidFill>
          <a:schemeClr val="phClr"/>
        </a:solidFill>
        <a:solidFill>
          <a:schemeClr val="phClr">
            <a:tint val="95000"/>
            <a:satMod val="170000"/>
          </a:schemeClr>
        </a:solidFill>
        <a:gradFill rotWithShape="1">
          <a:gsLst>
            <a:gs pos="0">
              <a:schemeClr val="phClr">
                <a:tint val="93000"/>
                <a:shade val="98000"/>
                <a:satMod val="120000"/>
                <a:lumMod val="102000"/>
              </a:schemeClr>
            </a:gs>
            <a:gs pos="48000">
              <a:schemeClr val="phClr">
                <a:tint val="98000"/>
                <a:shade val="90000"/>
                <a:satMod val="110000"/>
                <a:lumMod val="103000"/>
              </a:schemeClr>
            </a:gs>
            <a:gs pos="100000">
              <a:schemeClr val="phClr">
                <a:tint val="98000"/>
                <a:shade val="80000"/>
                <a:satMod val="100000"/>
              </a:schemeClr>
            </a:gs>
          </a:gsLst>
          <a:lin ang="5400000" scaled="0"/>
        </a:gradFill>
      </a:bgFillStyleLst>
    </a:fmtScheme>
  </a:themeElements>
  <a:objectDefaults/>
  <a:extraClrSchemeLst/>
  <a:extLst>
    <a:ext uri="{05A4C25C-085E-4340-85A3-A5531E510DB2}">
      <thm15:themeFamily xmlns:thm15="http://schemas.microsoft.com/office/thememl/2012/main" name="Frame" id="{F226E7A2-7162-461C-9490-D27D9DC04E43}" vid="{629A0216-3BBD-45C0-B63F-2683BEA18F60}"/>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table" Target="../tables/table4.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table" Target="../tables/table3.xml"/><Relationship Id="rId2" Type="http://schemas.openxmlformats.org/officeDocument/2006/relationships/drawing" Target="../drawings/drawing1.xml"/><Relationship Id="rId16" Type="http://schemas.openxmlformats.org/officeDocument/2006/relationships/table" Target="../tables/table2.xml"/><Relationship Id="rId20"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table" Target="../tables/table1.xml"/><Relationship Id="rId10" Type="http://schemas.openxmlformats.org/officeDocument/2006/relationships/ctrlProp" Target="../ctrlProps/ctrlProp7.xml"/><Relationship Id="rId19" Type="http://schemas.openxmlformats.org/officeDocument/2006/relationships/table" Target="../tables/table5.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table" Target="../tables/table6.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table" Target="../tables/table7.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omments" Target="../comments4.xml"/><Relationship Id="rId4" Type="http://schemas.openxmlformats.org/officeDocument/2006/relationships/table" Target="../tables/table8.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5.xml"/><Relationship Id="rId5" Type="http://schemas.openxmlformats.org/officeDocument/2006/relationships/table" Target="../tables/table9.xml"/><Relationship Id="rId4" Type="http://schemas.openxmlformats.org/officeDocument/2006/relationships/ctrlProp" Target="../ctrlProps/ctrlProp12.xml"/></Relationships>
</file>

<file path=xl/worksheets/_rels/sheet6.xml.rels><?xml version="1.0" encoding="UTF-8" standalone="yes"?>
<Relationships xmlns="http://schemas.openxmlformats.org/package/2006/relationships"><Relationship Id="rId8" Type="http://schemas.openxmlformats.org/officeDocument/2006/relationships/table" Target="../tables/table11.xml"/><Relationship Id="rId3" Type="http://schemas.openxmlformats.org/officeDocument/2006/relationships/vmlDrawing" Target="../drawings/vmlDrawing6.vml"/><Relationship Id="rId7" Type="http://schemas.openxmlformats.org/officeDocument/2006/relationships/table" Target="../tables/table10.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 Id="rId9"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table" Target="../tables/table14.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9.bin"/><Relationship Id="rId1" Type="http://schemas.openxmlformats.org/officeDocument/2006/relationships/pivotTable" Target="../pivotTables/pivotTable1.xml"/><Relationship Id="rId6" Type="http://schemas.openxmlformats.org/officeDocument/2006/relationships/comments" Target="../comments7.xml"/><Relationship Id="rId5" Type="http://schemas.openxmlformats.org/officeDocument/2006/relationships/table" Target="../tables/table15.xml"/><Relationship Id="rId4" Type="http://schemas.openxmlformats.org/officeDocument/2006/relationships/vmlDrawing" Target="../drawings/vmlDrawing7.v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table" Target="../tables/table16.xml"/><Relationship Id="rId4" Type="http://schemas.openxmlformats.org/officeDocument/2006/relationships/ctrlProp" Target="../ctrlProps/ctrlProp16.xml"/></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RoboRA">
    <tabColor theme="5" tint="-0.499984740745262"/>
    <pageSetUpPr fitToPage="1"/>
  </sheetPr>
  <dimension ref="B1:O35"/>
  <sheetViews>
    <sheetView showGridLines="0" tabSelected="1" workbookViewId="0">
      <selection activeCell="K24" sqref="K24"/>
    </sheetView>
  </sheetViews>
  <sheetFormatPr defaultRowHeight="14.6" x14ac:dyDescent="0.4"/>
  <cols>
    <col min="1" max="1" width="2" customWidth="1"/>
    <col min="2" max="2" width="12.4609375" customWidth="1"/>
    <col min="3" max="3" width="3.15234375" customWidth="1"/>
    <col min="4" max="4" width="2.4609375" customWidth="1"/>
    <col min="5" max="5" width="13.3046875" customWidth="1"/>
    <col min="6" max="6" width="4.84375" customWidth="1"/>
    <col min="7" max="7" width="3.61328125" customWidth="1"/>
    <col min="8" max="8" width="12.3046875" customWidth="1"/>
    <col min="9" max="9" width="4.84375" customWidth="1"/>
    <col min="10" max="10" width="4.61328125" customWidth="1"/>
    <col min="11" max="11" width="12.69140625" customWidth="1"/>
    <col min="12" max="12" width="6.3046875" customWidth="1"/>
    <col min="13" max="13" width="4.4609375" customWidth="1"/>
    <col min="14" max="14" width="26.921875" customWidth="1"/>
    <col min="15" max="15" width="21.61328125" customWidth="1"/>
  </cols>
  <sheetData>
    <row r="1" spans="2:15" ht="18" customHeight="1" x14ac:dyDescent="0.4">
      <c r="B1" s="129" t="s">
        <v>455</v>
      </c>
      <c r="C1" s="129"/>
      <c r="D1" s="129"/>
      <c r="E1" s="129"/>
      <c r="F1" s="129"/>
      <c r="G1" s="129"/>
      <c r="H1" s="129"/>
      <c r="I1" s="129"/>
      <c r="J1" s="129"/>
      <c r="K1" s="129"/>
      <c r="M1" s="3" t="s">
        <v>441</v>
      </c>
    </row>
    <row r="2" spans="2:15" ht="18" customHeight="1" x14ac:dyDescent="0.4">
      <c r="B2" s="130" t="s">
        <v>416</v>
      </c>
      <c r="C2" s="129"/>
      <c r="D2" s="129"/>
      <c r="E2" s="129"/>
      <c r="F2" s="129"/>
      <c r="G2" s="129"/>
      <c r="H2" s="129"/>
      <c r="I2" s="131"/>
      <c r="J2" s="129">
        <v>2</v>
      </c>
      <c r="K2" s="129"/>
      <c r="M2" s="126"/>
      <c r="N2" s="44" t="s">
        <v>438</v>
      </c>
    </row>
    <row r="3" spans="2:15" ht="18" customHeight="1" x14ac:dyDescent="0.4">
      <c r="B3" s="3"/>
      <c r="C3" s="35" t="s">
        <v>417</v>
      </c>
      <c r="D3" s="132">
        <v>0</v>
      </c>
      <c r="E3" s="129" t="s">
        <v>456</v>
      </c>
      <c r="F3" s="129"/>
      <c r="G3" s="129"/>
      <c r="H3" s="129"/>
      <c r="I3" s="33"/>
      <c r="M3" s="3"/>
      <c r="N3" s="7" t="s">
        <v>410</v>
      </c>
    </row>
    <row r="4" spans="2:15" ht="18" customHeight="1" x14ac:dyDescent="0.4">
      <c r="B4" s="3"/>
      <c r="C4" s="35" t="s">
        <v>440</v>
      </c>
      <c r="D4" s="132">
        <v>1</v>
      </c>
      <c r="E4" s="129" t="s">
        <v>439</v>
      </c>
      <c r="F4" s="129"/>
      <c r="G4" s="129"/>
      <c r="H4" s="129"/>
      <c r="I4" s="33"/>
      <c r="J4" t="b">
        <v>0</v>
      </c>
      <c r="M4" s="116"/>
      <c r="N4" s="44" t="s">
        <v>443</v>
      </c>
    </row>
    <row r="5" spans="2:15" ht="18.45" customHeight="1" x14ac:dyDescent="0.4">
      <c r="B5" s="3"/>
      <c r="C5" s="35" t="s">
        <v>444</v>
      </c>
      <c r="D5" s="132">
        <v>2</v>
      </c>
      <c r="E5" s="129" t="s">
        <v>457</v>
      </c>
      <c r="F5" s="129"/>
      <c r="G5" s="129"/>
      <c r="H5" s="129"/>
      <c r="I5" s="33"/>
      <c r="M5" s="3" t="s">
        <v>396</v>
      </c>
    </row>
    <row r="6" spans="2:15" ht="20.25" customHeight="1" x14ac:dyDescent="0.4">
      <c r="B6" s="3"/>
      <c r="C6" s="35" t="s">
        <v>419</v>
      </c>
      <c r="D6" s="132">
        <v>3</v>
      </c>
      <c r="E6" s="36"/>
      <c r="F6" s="36"/>
      <c r="M6" s="60" t="s">
        <v>222</v>
      </c>
      <c r="N6" s="29" t="s">
        <v>221</v>
      </c>
    </row>
    <row r="7" spans="2:15" ht="20.25" customHeight="1" x14ac:dyDescent="0.4">
      <c r="B7" s="3"/>
      <c r="C7" s="35" t="s">
        <v>436</v>
      </c>
      <c r="D7" s="132">
        <v>4</v>
      </c>
      <c r="E7" s="36"/>
      <c r="F7" s="36"/>
      <c r="M7" s="60" t="s">
        <v>223</v>
      </c>
      <c r="N7" s="29" t="s">
        <v>389</v>
      </c>
    </row>
    <row r="8" spans="2:15" ht="20.25" customHeight="1" x14ac:dyDescent="0.4">
      <c r="B8" s="3"/>
      <c r="C8" s="35" t="s">
        <v>445</v>
      </c>
      <c r="D8" s="132">
        <v>5</v>
      </c>
      <c r="E8" s="36"/>
      <c r="F8" s="36"/>
      <c r="M8" s="3" t="s">
        <v>184</v>
      </c>
    </row>
    <row r="9" spans="2:15" ht="20.25" customHeight="1" x14ac:dyDescent="0.4">
      <c r="B9" s="3"/>
      <c r="C9" s="35" t="s">
        <v>415</v>
      </c>
      <c r="D9" s="132">
        <v>6</v>
      </c>
      <c r="E9" s="129" t="s">
        <v>442</v>
      </c>
      <c r="F9" s="129"/>
      <c r="G9" s="129"/>
      <c r="H9" s="129"/>
    </row>
    <row r="10" spans="2:15" ht="20.25" customHeight="1" x14ac:dyDescent="0.4">
      <c r="B10" s="3"/>
      <c r="C10" s="35" t="s">
        <v>418</v>
      </c>
      <c r="D10" s="132">
        <v>7</v>
      </c>
      <c r="E10" s="36"/>
      <c r="F10" s="36"/>
    </row>
    <row r="11" spans="2:15" ht="19.75" customHeight="1" x14ac:dyDescent="0.4">
      <c r="B11" s="3" t="s">
        <v>437</v>
      </c>
      <c r="C11" s="35"/>
      <c r="D11" s="37"/>
      <c r="E11" s="36"/>
      <c r="F11" s="36"/>
    </row>
    <row r="12" spans="2:15" ht="18" customHeight="1" x14ac:dyDescent="0.4">
      <c r="B12" s="3"/>
      <c r="C12" s="35"/>
      <c r="D12" s="37"/>
      <c r="E12" s="36"/>
      <c r="F12" s="36"/>
      <c r="M12" s="43">
        <v>50</v>
      </c>
      <c r="N12" s="44" t="s">
        <v>191</v>
      </c>
    </row>
    <row r="13" spans="2:15" x14ac:dyDescent="0.4">
      <c r="B13" s="3" t="s">
        <v>183</v>
      </c>
      <c r="C13" s="3"/>
      <c r="D13" s="34"/>
      <c r="E13" s="3" t="s">
        <v>182</v>
      </c>
      <c r="F13" s="3"/>
      <c r="G13" s="3"/>
      <c r="H13" s="3" t="s">
        <v>185</v>
      </c>
    </row>
    <row r="14" spans="2:15" x14ac:dyDescent="0.4">
      <c r="B14" t="s">
        <v>162</v>
      </c>
      <c r="E14" t="s">
        <v>163</v>
      </c>
      <c r="H14" t="s">
        <v>164</v>
      </c>
      <c r="K14" t="s">
        <v>402</v>
      </c>
      <c r="N14" s="59" t="s">
        <v>350</v>
      </c>
      <c r="O14" s="125" t="s">
        <v>408</v>
      </c>
    </row>
    <row r="15" spans="2:15" x14ac:dyDescent="0.4">
      <c r="B15" t="s">
        <v>0</v>
      </c>
      <c r="E15" t="s">
        <v>0</v>
      </c>
      <c r="H15" t="s">
        <v>0</v>
      </c>
      <c r="K15" t="s">
        <v>0</v>
      </c>
      <c r="N15" s="3" t="s">
        <v>346</v>
      </c>
      <c r="O15" s="7" t="s">
        <v>348</v>
      </c>
    </row>
    <row r="16" spans="2:15" x14ac:dyDescent="0.4">
      <c r="B16" s="25"/>
      <c r="E16" s="25"/>
      <c r="H16" s="25"/>
      <c r="K16" s="25"/>
      <c r="N16" s="3" t="s">
        <v>447</v>
      </c>
      <c r="O16" s="7" t="s">
        <v>348</v>
      </c>
    </row>
    <row r="17" spans="3:15" x14ac:dyDescent="0.4">
      <c r="N17" s="3" t="s">
        <v>363</v>
      </c>
      <c r="O17" s="7" t="s">
        <v>364</v>
      </c>
    </row>
    <row r="18" spans="3:15" x14ac:dyDescent="0.4">
      <c r="N18" s="3" t="s">
        <v>359</v>
      </c>
      <c r="O18" s="7" t="s">
        <v>344</v>
      </c>
    </row>
    <row r="19" spans="3:15" x14ac:dyDescent="0.4">
      <c r="N19" s="3" t="s">
        <v>355</v>
      </c>
      <c r="O19" s="7" t="s">
        <v>344</v>
      </c>
    </row>
    <row r="20" spans="3:15" x14ac:dyDescent="0.4">
      <c r="N20" s="3" t="s">
        <v>345</v>
      </c>
      <c r="O20" s="7" t="s">
        <v>344</v>
      </c>
    </row>
    <row r="21" spans="3:15" x14ac:dyDescent="0.4">
      <c r="N21" s="3" t="s">
        <v>407</v>
      </c>
      <c r="O21" s="7" t="s">
        <v>344</v>
      </c>
    </row>
    <row r="22" spans="3:15" x14ac:dyDescent="0.4">
      <c r="N22" s="3" t="s">
        <v>399</v>
      </c>
      <c r="O22" s="7" t="s">
        <v>344</v>
      </c>
    </row>
    <row r="23" spans="3:15" x14ac:dyDescent="0.4">
      <c r="N23" s="3" t="s">
        <v>406</v>
      </c>
      <c r="O23" s="7" t="s">
        <v>342</v>
      </c>
    </row>
    <row r="24" spans="3:15" x14ac:dyDescent="0.4">
      <c r="C24" s="42"/>
      <c r="N24" s="3" t="s">
        <v>398</v>
      </c>
      <c r="O24" s="7" t="s">
        <v>342</v>
      </c>
    </row>
    <row r="25" spans="3:15" x14ac:dyDescent="0.4">
      <c r="N25" s="3" t="s">
        <v>358</v>
      </c>
      <c r="O25" s="7" t="s">
        <v>342</v>
      </c>
    </row>
    <row r="26" spans="3:15" x14ac:dyDescent="0.4">
      <c r="N26" s="3" t="s">
        <v>375</v>
      </c>
      <c r="O26" s="7" t="s">
        <v>11</v>
      </c>
    </row>
    <row r="27" spans="3:15" x14ac:dyDescent="0.4">
      <c r="N27" s="3" t="s">
        <v>448</v>
      </c>
      <c r="O27" s="7" t="s">
        <v>446</v>
      </c>
    </row>
    <row r="28" spans="3:15" x14ac:dyDescent="0.4">
      <c r="N28" s="3" t="s">
        <v>400</v>
      </c>
      <c r="O28" s="7" t="s">
        <v>449</v>
      </c>
    </row>
    <row r="29" spans="3:15" x14ac:dyDescent="0.4">
      <c r="N29" s="3" t="s">
        <v>362</v>
      </c>
      <c r="O29" s="7" t="s">
        <v>352</v>
      </c>
    </row>
    <row r="30" spans="3:15" x14ac:dyDescent="0.4">
      <c r="N30" s="3" t="s">
        <v>361</v>
      </c>
      <c r="O30" s="7" t="s">
        <v>352</v>
      </c>
    </row>
    <row r="31" spans="3:15" x14ac:dyDescent="0.4">
      <c r="N31" s="3" t="s">
        <v>372</v>
      </c>
      <c r="O31" s="7" t="s">
        <v>343</v>
      </c>
    </row>
    <row r="32" spans="3:15" x14ac:dyDescent="0.4">
      <c r="N32" s="3" t="s">
        <v>366</v>
      </c>
      <c r="O32" s="7" t="s">
        <v>365</v>
      </c>
    </row>
    <row r="33" spans="14:15" x14ac:dyDescent="0.4">
      <c r="N33" s="3" t="s">
        <v>353</v>
      </c>
      <c r="O33" s="7" t="s">
        <v>354</v>
      </c>
    </row>
    <row r="34" spans="14:15" x14ac:dyDescent="0.4">
      <c r="N34" s="3" t="s">
        <v>351</v>
      </c>
      <c r="O34" s="7" t="s">
        <v>347</v>
      </c>
    </row>
    <row r="35" spans="14:15" x14ac:dyDescent="0.4">
      <c r="N35" s="3" t="s">
        <v>357</v>
      </c>
      <c r="O35" s="7" t="s">
        <v>356</v>
      </c>
    </row>
  </sheetData>
  <dataValidations count="1">
    <dataValidation type="list" allowBlank="1" showInputMessage="1" showErrorMessage="1" sqref="B14 E14 H14 K14">
      <formula1>INDIRECT("AvailableTemplates[Available templates:]")</formula1>
    </dataValidation>
  </dataValidations>
  <hyperlinks>
    <hyperlink ref="O18" location="ckCoding!I1" tooltip="Highlighed when total &lt; 100%" display="ckCoding"/>
    <hyperlink ref="O17" location="ProjText!A1" tooltip="see step 5 above-left; Makes a bookmarked pdf with these documents.  Not only good for quoting while writing RAs, but also to review/search during a panel, or for bulk DD concur." display="pdf from ProjText"/>
    <hyperlink ref="O35" location="RAData!T1" tooltip="Text in RAps_note is added to RA drafts after signature without modifying the template" display="RAData, or edit template"/>
    <hyperlink ref="O34" location="RAData!R1" tooltip="to change all, set above and 'Pull Data'; set individually in RAdata, or leave blank for Word to fill in." display="above, or RAData"/>
    <hyperlink ref="O33" location="ckSplits!AM1" tooltip="Feel free to edit pivot table" display="Pivot table on ckSplits"/>
    <hyperlink ref="O31" location="Budgets!L1" tooltip="Latest budget revisions shown" display="Budgets"/>
    <hyperlink ref="O29" location="Advanced!H7" tooltip="Set the template folder to your R: drive or your local machine, and RoboRA will copy the templates for you to customize. I suggest saving RoboRA in the folder with the templates. " display="Advanced"/>
    <hyperlink ref="O28" location="dirRAoutput" tooltip="Pick a folder on your R drive for archiving, your local drive to work while offline, or a shared drive to share with others." display="above or Advanced"/>
    <hyperlink ref="O30" location="Advanced!M1" tooltip="Add/remove state abbreviations here" display="Advanced"/>
    <hyperlink ref="O26" location="PRCs!A1" tooltip="Shows only those in use by projects" display="PRCs"/>
    <hyperlink ref="O24" location="ckAwd!AT1" tooltip="Shows question marks except those after a letter &amp; before a space.  Non-lead abstracts highlighted if they differ from lead." display="ckAwd"/>
    <hyperlink ref="O25" location="ckAwd!AE1" tooltip="See countries from cover and total frgn_trav bugdet" display="ckAwd"/>
    <hyperlink ref="O23" location="ckAwd!Z1" tooltip="Information from the cover pages." display="ckAwd"/>
    <hyperlink ref="O15" location="RAData!X1" tooltip="Links create outlook email to just the project lead, or to all PIs &amp; co-PIs on project." display="RAData"/>
    <hyperlink ref="O32" location="ckSplits!A1" tooltip="Mostly for IAS use; compare budget and proposal codes &amp; PRCs." display="ckSplits"/>
    <hyperlink ref="O19" location="ckCoding!M1" tooltip="Highlights state when epscor code is wrong and WMD when cover has women, minority, or disabled. " display="ckCoding"/>
    <hyperlink ref="O20" location="ckCoding!C1" tooltip="Highlights mismatches (coding, title, ...) throughout tab" display="ckCoding"/>
    <hyperlink ref="O22" location="ckCoding!AE1" tooltip="Black numbers (of panels, conflicts, reviews, unreleasable) are information.  Red numbers (unreleased, released conflicts, received reviews marked pending) should be checked out." display="ckCoding"/>
    <hyperlink ref="O21" location="ckCoding!C1" tooltip="Highlights when there aren't at least three releasable reviews." display="ckCoding"/>
    <hyperlink ref="O27" location="Conflict!A1" tooltip="You'll want to check the affiliations for reviewers that have registered conflicts, because they may be out of date in PARS." display="Conflict"/>
    <hyperlink ref="O16" location="RAData!Q1" tooltip="Green highlighting means there is an E or E/V review. Check before clicking &quot;Create RA Drafts&quot;.  " display="RAData"/>
  </hyperlinks>
  <pageMargins left="0.7" right="0.7" top="0.75" bottom="0.75" header="0.3" footer="0.3"/>
  <pageSetup scale="8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387" r:id="rId4" name="Button 3">
              <controlPr defaultSize="0" autoFill="0" autoPict="0" macro="[0]!PullDataFromTables">
                <anchor>
                  <from>
                    <xdr:col>4</xdr:col>
                    <xdr:colOff>27214</xdr:colOff>
                    <xdr:row>6</xdr:row>
                    <xdr:rowOff>65314</xdr:rowOff>
                  </from>
                  <to>
                    <xdr:col>7</xdr:col>
                    <xdr:colOff>620486</xdr:colOff>
                    <xdr:row>7</xdr:row>
                    <xdr:rowOff>32657</xdr:rowOff>
                  </to>
                </anchor>
              </controlPr>
            </control>
          </mc:Choice>
        </mc:AlternateContent>
        <mc:AlternateContent xmlns:mc="http://schemas.openxmlformats.org/markup-compatibility/2006">
          <mc:Choice Requires="x14">
            <control shapeId="16388" r:id="rId5" name="Button 4">
              <controlPr defaultSize="0" autoFill="0" autoPict="0" macro="[0]!MakeIndicatedRAs">
                <anchor>
                  <from>
                    <xdr:col>4</xdr:col>
                    <xdr:colOff>16329</xdr:colOff>
                    <xdr:row>9</xdr:row>
                    <xdr:rowOff>76200</xdr:rowOff>
                  </from>
                  <to>
                    <xdr:col>7</xdr:col>
                    <xdr:colOff>571500</xdr:colOff>
                    <xdr:row>10</xdr:row>
                    <xdr:rowOff>21771</xdr:rowOff>
                  </to>
                </anchor>
              </controlPr>
            </control>
          </mc:Choice>
        </mc:AlternateContent>
        <mc:AlternateContent xmlns:mc="http://schemas.openxmlformats.org/markup-compatibility/2006">
          <mc:Choice Requires="x14">
            <control shapeId="16395" r:id="rId6" name="cbAutoloadAll">
              <controlPr defaultSize="0" autoFill="0" autoLine="0" autoPict="0">
                <anchor moveWithCells="1">
                  <from>
                    <xdr:col>12</xdr:col>
                    <xdr:colOff>212271</xdr:colOff>
                    <xdr:row>7</xdr:row>
                    <xdr:rowOff>212271</xdr:rowOff>
                  </from>
                  <to>
                    <xdr:col>13</xdr:col>
                    <xdr:colOff>1687286</xdr:colOff>
                    <xdr:row>8</xdr:row>
                    <xdr:rowOff>206829</xdr:rowOff>
                  </to>
                </anchor>
              </controlPr>
            </control>
          </mc:Choice>
        </mc:AlternateContent>
        <mc:AlternateContent xmlns:mc="http://schemas.openxmlformats.org/markup-compatibility/2006">
          <mc:Choice Requires="x14">
            <control shapeId="16397" r:id="rId7" name="obtnNeverOverwrite">
              <controlPr defaultSize="0" autoFill="0" autoLine="0" autoPict="0">
                <anchor moveWithCells="1">
                  <from>
                    <xdr:col>12</xdr:col>
                    <xdr:colOff>212271</xdr:colOff>
                    <xdr:row>8</xdr:row>
                    <xdr:rowOff>195943</xdr:rowOff>
                  </from>
                  <to>
                    <xdr:col>14</xdr:col>
                    <xdr:colOff>59871</xdr:colOff>
                    <xdr:row>9</xdr:row>
                    <xdr:rowOff>130629</xdr:rowOff>
                  </to>
                </anchor>
              </controlPr>
            </control>
          </mc:Choice>
        </mc:AlternateContent>
        <mc:AlternateContent xmlns:mc="http://schemas.openxmlformats.org/markup-compatibility/2006">
          <mc:Choice Requires="x14">
            <control shapeId="16398" r:id="rId8" name="obtnAskOverwrite">
              <controlPr defaultSize="0" autoFill="0" autoLine="0" autoPict="0">
                <anchor moveWithCells="1">
                  <from>
                    <xdr:col>12</xdr:col>
                    <xdr:colOff>212271</xdr:colOff>
                    <xdr:row>9</xdr:row>
                    <xdr:rowOff>146957</xdr:rowOff>
                  </from>
                  <to>
                    <xdr:col>14</xdr:col>
                    <xdr:colOff>163286</xdr:colOff>
                    <xdr:row>10</xdr:row>
                    <xdr:rowOff>48986</xdr:rowOff>
                  </to>
                </anchor>
              </controlPr>
            </control>
          </mc:Choice>
        </mc:AlternateContent>
        <mc:AlternateContent xmlns:mc="http://schemas.openxmlformats.org/markup-compatibility/2006">
          <mc:Choice Requires="x14">
            <control shapeId="16399" r:id="rId9" name="Option Button 15">
              <controlPr defaultSize="0" autoFill="0" autoLine="0" autoPict="0" macro="[0]!OptionButton_AreYouSure">
                <anchor moveWithCells="1">
                  <from>
                    <xdr:col>12</xdr:col>
                    <xdr:colOff>212271</xdr:colOff>
                    <xdr:row>10</xdr:row>
                    <xdr:rowOff>59871</xdr:rowOff>
                  </from>
                  <to>
                    <xdr:col>14</xdr:col>
                    <xdr:colOff>59871</xdr:colOff>
                    <xdr:row>11</xdr:row>
                    <xdr:rowOff>0</xdr:rowOff>
                  </to>
                </anchor>
              </controlPr>
            </control>
          </mc:Choice>
        </mc:AlternateContent>
        <mc:AlternateContent xmlns:mc="http://schemas.openxmlformats.org/markup-compatibility/2006">
          <mc:Choice Requires="x14">
            <control shapeId="16402" r:id="rId10" name="Button 18">
              <controlPr defaultSize="0" autoFill="0" autoPict="0" macro="[0]!makeProjText">
                <anchor>
                  <from>
                    <xdr:col>4</xdr:col>
                    <xdr:colOff>27214</xdr:colOff>
                    <xdr:row>7</xdr:row>
                    <xdr:rowOff>87086</xdr:rowOff>
                  </from>
                  <to>
                    <xdr:col>7</xdr:col>
                    <xdr:colOff>620486</xdr:colOff>
                    <xdr:row>8</xdr:row>
                    <xdr:rowOff>48986</xdr:rowOff>
                  </to>
                </anchor>
              </controlPr>
            </control>
          </mc:Choice>
        </mc:AlternateContent>
        <mc:AlternateContent xmlns:mc="http://schemas.openxmlformats.org/markup-compatibility/2006">
          <mc:Choice Requires="x14">
            <control shapeId="16403" r:id="rId11" name="ddPropStts_RoboRA">
              <controlPr defaultSize="0" autoLine="0" autoPict="0">
                <anchor moveWithCells="1">
                  <from>
                    <xdr:col>4</xdr:col>
                    <xdr:colOff>10886</xdr:colOff>
                    <xdr:row>5</xdr:row>
                    <xdr:rowOff>48986</xdr:rowOff>
                  </from>
                  <to>
                    <xdr:col>7</xdr:col>
                    <xdr:colOff>625929</xdr:colOff>
                    <xdr:row>5</xdr:row>
                    <xdr:rowOff>228600</xdr:rowOff>
                  </to>
                </anchor>
              </controlPr>
            </control>
          </mc:Choice>
        </mc:AlternateContent>
        <mc:AlternateContent xmlns:mc="http://schemas.openxmlformats.org/markup-compatibility/2006">
          <mc:Choice Requires="x14">
            <control shapeId="16407" r:id="rId12" name="Button 23">
              <controlPr defaultSize="0" autoFill="0" autoPict="0" macro="[0]!PasteFromMyWork">
                <anchor>
                  <from>
                    <xdr:col>10</xdr:col>
                    <xdr:colOff>92529</xdr:colOff>
                    <xdr:row>8</xdr:row>
                    <xdr:rowOff>152400</xdr:rowOff>
                  </from>
                  <to>
                    <xdr:col>11</xdr:col>
                    <xdr:colOff>299357</xdr:colOff>
                    <xdr:row>9</xdr:row>
                    <xdr:rowOff>119743</xdr:rowOff>
                  </to>
                </anchor>
              </controlPr>
            </control>
          </mc:Choice>
        </mc:AlternateContent>
        <mc:AlternateContent xmlns:mc="http://schemas.openxmlformats.org/markup-compatibility/2006">
          <mc:Choice Requires="x14">
            <control shapeId="16409" r:id="rId13" name="Button 25">
              <controlPr defaultSize="0" autoFill="0" autoPict="0" macro="[0]!ClearData">
                <anchor>
                  <from>
                    <xdr:col>7</xdr:col>
                    <xdr:colOff>865414</xdr:colOff>
                    <xdr:row>8</xdr:row>
                    <xdr:rowOff>141514</xdr:rowOff>
                  </from>
                  <to>
                    <xdr:col>9</xdr:col>
                    <xdr:colOff>195943</xdr:colOff>
                    <xdr:row>9</xdr:row>
                    <xdr:rowOff>119743</xdr:rowOff>
                  </to>
                </anchor>
              </controlPr>
            </control>
          </mc:Choice>
        </mc:AlternateContent>
        <mc:AlternateContent xmlns:mc="http://schemas.openxmlformats.org/markup-compatibility/2006">
          <mc:Choice Requires="x14">
            <control shapeId="16410" r:id="rId14" name="Button 26">
              <controlPr defaultSize="0" autoFill="0" autoPict="0" macro="[0]!Picker_dirRAoutput">
                <anchor moveWithCells="1">
                  <from>
                    <xdr:col>12</xdr:col>
                    <xdr:colOff>59871</xdr:colOff>
                    <xdr:row>1</xdr:row>
                    <xdr:rowOff>16329</xdr:rowOff>
                  </from>
                  <to>
                    <xdr:col>13</xdr:col>
                    <xdr:colOff>315686</xdr:colOff>
                    <xdr:row>2</xdr:row>
                    <xdr:rowOff>0</xdr:rowOff>
                  </to>
                </anchor>
              </controlPr>
            </control>
          </mc:Choice>
        </mc:AlternateContent>
      </controls>
    </mc:Choice>
  </mc:AlternateContent>
  <tableParts count="5">
    <tablePart r:id="rId15"/>
    <tablePart r:id="rId16"/>
    <tablePart r:id="rId17"/>
    <tablePart r:id="rId18"/>
    <tablePart r:id="rId19"/>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kCoding">
    <tabColor theme="4" tint="-0.249977111117893"/>
  </sheetPr>
  <dimension ref="A1:BL2"/>
  <sheetViews>
    <sheetView zoomScale="84" zoomScaleNormal="84" workbookViewId="0">
      <selection activeCell="AJ354" sqref="AJ354"/>
    </sheetView>
  </sheetViews>
  <sheetFormatPr defaultRowHeight="14.6" x14ac:dyDescent="0.4"/>
  <cols>
    <col min="1" max="1" width="8.69140625" style="17" customWidth="1"/>
    <col min="2" max="2" width="8.69140625" style="30" customWidth="1"/>
    <col min="3" max="3" width="11.3046875" customWidth="1"/>
    <col min="4" max="4" width="9.84375" customWidth="1"/>
    <col min="5" max="5" width="5.3828125" customWidth="1"/>
    <col min="6" max="6" width="5.69140625" style="18" customWidth="1"/>
    <col min="7" max="7" width="5.53515625" style="18" customWidth="1"/>
    <col min="8" max="8" width="5.3046875" style="21" customWidth="1"/>
    <col min="9" max="9" width="5.69140625" customWidth="1"/>
    <col min="10" max="10" width="5.15234375" customWidth="1"/>
    <col min="11" max="11" width="11.53515625" customWidth="1"/>
    <col min="12" max="12" width="9.3046875" bestFit="1" customWidth="1"/>
    <col min="13" max="13" width="4.3046875" customWidth="1"/>
    <col min="14" max="14" width="3.84375" customWidth="1"/>
    <col min="15" max="15" width="5.53515625" hidden="1" customWidth="1"/>
    <col min="16" max="16" width="6.53515625" style="21" hidden="1" customWidth="1"/>
    <col min="17" max="17" width="14.15234375" customWidth="1"/>
    <col min="18" max="18" width="14.3046875" style="22" customWidth="1"/>
    <col min="19" max="19" width="4.15234375" style="106" customWidth="1"/>
    <col min="20" max="20" width="2.15234375" style="89" customWidth="1"/>
    <col min="21" max="21" width="8.15234375" style="38" customWidth="1"/>
    <col min="22" max="22" width="2.69140625" style="38" customWidth="1"/>
    <col min="23" max="23" width="3.69140625" customWidth="1"/>
    <col min="24" max="24" width="8.15234375" customWidth="1"/>
    <col min="25" max="25" width="11.15234375" customWidth="1"/>
    <col min="26" max="26" width="9.53515625" style="17" customWidth="1"/>
    <col min="27" max="27" width="18.3828125" customWidth="1"/>
    <col min="28" max="28" width="8.15234375" style="107" customWidth="1"/>
    <col min="29" max="29" width="8.69140625" style="30" customWidth="1"/>
    <col min="30" max="30" width="3.53515625" style="18" customWidth="1"/>
    <col min="31" max="33" width="2.15234375" customWidth="1"/>
    <col min="34" max="34" width="14.3828125" customWidth="1"/>
    <col min="35" max="35" width="4.53515625" customWidth="1"/>
    <col min="36" max="36" width="14.3828125" style="26" customWidth="1"/>
    <col min="37" max="37" width="2.15234375" style="21" customWidth="1"/>
    <col min="38" max="44" width="2.84375" customWidth="1"/>
    <col min="45" max="45" width="23" customWidth="1"/>
    <col min="46" max="46" width="80.53515625" bestFit="1" customWidth="1"/>
    <col min="47" max="47" width="7.84375" hidden="1" customWidth="1"/>
    <col min="48" max="48" width="4.53515625" customWidth="1"/>
    <col min="49" max="49" width="11.69140625" customWidth="1"/>
    <col min="50" max="50" width="11.3828125" customWidth="1"/>
    <col min="51" max="51" width="11.15234375" customWidth="1"/>
    <col min="52" max="52" width="10.84375" customWidth="1"/>
    <col min="53" max="53" width="11.15234375" customWidth="1"/>
    <col min="54" max="54" width="9.84375" customWidth="1"/>
    <col min="55" max="59" width="4.69140625" customWidth="1"/>
    <col min="60" max="63" width="4.3046875" customWidth="1"/>
    <col min="64" max="64" width="18.3046875" customWidth="1"/>
  </cols>
  <sheetData>
    <row r="1" spans="1:64" ht="53.15" customHeight="1" x14ac:dyDescent="0.4">
      <c r="A1" s="17" t="s">
        <v>85</v>
      </c>
      <c r="B1" s="30" t="s">
        <v>6</v>
      </c>
      <c r="C1" t="s">
        <v>7</v>
      </c>
      <c r="D1" t="s">
        <v>4</v>
      </c>
      <c r="E1" t="s">
        <v>3</v>
      </c>
      <c r="F1" t="s">
        <v>160</v>
      </c>
      <c r="G1" t="s">
        <v>158</v>
      </c>
      <c r="H1" s="89" t="s">
        <v>90</v>
      </c>
      <c r="I1" s="38" t="s">
        <v>121</v>
      </c>
      <c r="J1" s="38" t="s">
        <v>122</v>
      </c>
      <c r="K1" t="s">
        <v>15</v>
      </c>
      <c r="L1" t="s">
        <v>89</v>
      </c>
      <c r="M1" t="s">
        <v>91</v>
      </c>
      <c r="N1" t="s">
        <v>332</v>
      </c>
      <c r="O1" t="s">
        <v>333</v>
      </c>
      <c r="P1" s="21" t="s">
        <v>334</v>
      </c>
      <c r="Q1" t="s">
        <v>247</v>
      </c>
      <c r="R1" s="22" t="s">
        <v>14</v>
      </c>
      <c r="S1" s="106" t="s">
        <v>97</v>
      </c>
      <c r="T1" s="21" t="s">
        <v>86</v>
      </c>
      <c r="U1" t="s">
        <v>8</v>
      </c>
      <c r="V1" t="s">
        <v>1</v>
      </c>
      <c r="W1" s="14" t="s">
        <v>138</v>
      </c>
      <c r="X1" t="s">
        <v>0</v>
      </c>
      <c r="Y1" t="s">
        <v>9</v>
      </c>
      <c r="Z1" t="s">
        <v>16</v>
      </c>
      <c r="AA1" t="s">
        <v>246</v>
      </c>
      <c r="AB1" s="108" t="s">
        <v>327</v>
      </c>
      <c r="AC1" s="30" t="s">
        <v>17</v>
      </c>
      <c r="AD1" t="s">
        <v>18</v>
      </c>
      <c r="AE1" s="104" t="s">
        <v>146</v>
      </c>
      <c r="AF1" s="105" t="s">
        <v>248</v>
      </c>
      <c r="AG1" s="104" t="s">
        <v>147</v>
      </c>
      <c r="AH1" t="s">
        <v>250</v>
      </c>
      <c r="AI1" s="26" t="s">
        <v>21</v>
      </c>
      <c r="AJ1" s="22" t="s">
        <v>142</v>
      </c>
      <c r="AK1" s="119" t="s">
        <v>320</v>
      </c>
      <c r="AL1" s="104" t="s">
        <v>249</v>
      </c>
      <c r="AM1" s="104" t="s">
        <v>251</v>
      </c>
      <c r="AN1" s="104" t="s">
        <v>141</v>
      </c>
      <c r="AO1" s="104" t="s">
        <v>252</v>
      </c>
      <c r="AP1" s="104" t="s">
        <v>253</v>
      </c>
      <c r="AQ1" s="104" t="s">
        <v>254</v>
      </c>
      <c r="AR1" t="s">
        <v>378</v>
      </c>
      <c r="AS1" t="s">
        <v>161</v>
      </c>
      <c r="AT1" t="s">
        <v>34</v>
      </c>
      <c r="AU1" t="s">
        <v>335</v>
      </c>
      <c r="AV1" t="s">
        <v>255</v>
      </c>
      <c r="AW1" t="s">
        <v>19</v>
      </c>
      <c r="AX1" t="s">
        <v>20</v>
      </c>
      <c r="AY1" t="s">
        <v>256</v>
      </c>
      <c r="AZ1" t="s">
        <v>257</v>
      </c>
      <c r="BA1" t="s">
        <v>258</v>
      </c>
      <c r="BB1" t="s">
        <v>259</v>
      </c>
      <c r="BC1" t="s">
        <v>260</v>
      </c>
      <c r="BD1" t="s">
        <v>261</v>
      </c>
      <c r="BE1" t="s">
        <v>262</v>
      </c>
      <c r="BF1" t="s">
        <v>263</v>
      </c>
      <c r="BG1" t="s">
        <v>264</v>
      </c>
      <c r="BH1" t="s">
        <v>129</v>
      </c>
      <c r="BI1" t="s">
        <v>130</v>
      </c>
      <c r="BJ1" t="s">
        <v>132</v>
      </c>
      <c r="BK1" t="s">
        <v>131</v>
      </c>
      <c r="BL1" t="s">
        <v>140</v>
      </c>
    </row>
    <row r="2" spans="1:64" x14ac:dyDescent="0.4">
      <c r="A2" s="30"/>
      <c r="F2"/>
      <c r="G2"/>
      <c r="I2" s="85"/>
      <c r="J2" s="85"/>
      <c r="T2" s="21"/>
      <c r="U2"/>
      <c r="V2" s="7"/>
      <c r="Z2"/>
      <c r="AB2" s="109"/>
      <c r="AD2"/>
      <c r="AG2" s="110"/>
      <c r="AI2" s="26"/>
      <c r="AJ2" s="22"/>
      <c r="AN2" s="110"/>
      <c r="AO2" s="110"/>
      <c r="AP2" s="110"/>
      <c r="AQ2" s="110"/>
      <c r="AR2" s="7"/>
      <c r="AW2" s="13"/>
      <c r="AX2" s="13"/>
      <c r="AY2" s="13"/>
      <c r="AZ2" s="13"/>
      <c r="BA2" s="13"/>
      <c r="BB2" s="13"/>
    </row>
  </sheetData>
  <conditionalFormatting sqref="A2:BL2">
    <cfRule type="expression" dxfId="18" priority="6">
      <formula>MOD($S2,2)</formula>
    </cfRule>
  </conditionalFormatting>
  <conditionalFormatting sqref="AL2:AM2">
    <cfRule type="expression" dxfId="17" priority="5">
      <formula>AND($T2&lt;"M",$AL2&lt;$AM2+3)</formula>
    </cfRule>
  </conditionalFormatting>
  <conditionalFormatting sqref="C2:L2">
    <cfRule type="expression" dxfId="16" priority="4">
      <formula>AND($T2="N", C2&lt;&gt;C1)</formula>
    </cfRule>
  </conditionalFormatting>
  <conditionalFormatting sqref="AT2">
    <cfRule type="expression" dxfId="15" priority="3">
      <formula>$AU2</formula>
    </cfRule>
  </conditionalFormatting>
  <conditionalFormatting sqref="I2:J2">
    <cfRule type="expression" dxfId="14" priority="2">
      <formula>($J2+$I2)&lt;&gt;1</formula>
    </cfRule>
  </conditionalFormatting>
  <conditionalFormatting sqref="M2:N2">
    <cfRule type="expression" dxfId="13" priority="1">
      <formula>O2</formula>
    </cfRule>
  </conditionalFormatting>
  <pageMargins left="0.7" right="0.7" top="0.75" bottom="0.75" header="0.3" footer="0.3"/>
  <pageSetup orientation="portrait" r:id="rId1"/>
  <drawing r:id="rId2"/>
  <legacyDrawing r:id="rId3"/>
  <tableParts count="1">
    <tablePart r:id="rId4"/>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kAwd">
    <tabColor rgb="FF6C8B1B"/>
    <pageSetUpPr fitToPage="1"/>
  </sheetPr>
  <dimension ref="A1:BU4"/>
  <sheetViews>
    <sheetView zoomScale="98" workbookViewId="0">
      <selection activeCell="F67" sqref="F67"/>
    </sheetView>
  </sheetViews>
  <sheetFormatPr defaultRowHeight="14.6" x14ac:dyDescent="0.4"/>
  <cols>
    <col min="1" max="1" width="8.69140625" style="30" customWidth="1"/>
    <col min="2" max="2" width="8.53515625" customWidth="1"/>
    <col min="3" max="3" width="10.3828125" customWidth="1"/>
    <col min="4" max="4" width="8.84375" customWidth="1"/>
    <col min="5" max="5" width="5.53515625" customWidth="1"/>
    <col min="6" max="6" width="7.69140625" style="30" customWidth="1"/>
    <col min="7" max="9" width="5.84375" style="30" customWidth="1"/>
    <col min="10" max="10" width="5.3046875" style="30" customWidth="1"/>
    <col min="11" max="11" width="8.53515625" customWidth="1"/>
    <col min="12" max="12" width="14.3046875" customWidth="1"/>
    <col min="13" max="13" width="4.3828125" style="107" customWidth="1"/>
    <col min="14" max="14" width="1.84375" customWidth="1"/>
    <col min="15" max="15" width="8.3828125" style="22" customWidth="1"/>
    <col min="16" max="16" width="2.84375" style="38" customWidth="1"/>
    <col min="17" max="17" width="3.53515625" style="38" customWidth="1"/>
    <col min="18" max="18" width="8.3828125" style="38" customWidth="1"/>
    <col min="19" max="19" width="10.84375" customWidth="1"/>
    <col min="20" max="20" width="10.3046875" customWidth="1"/>
    <col min="21" max="21" width="13.69140625" customWidth="1"/>
    <col min="22" max="22" width="3.69140625" style="30" customWidth="1"/>
    <col min="23" max="23" width="9.53515625" style="107" customWidth="1"/>
    <col min="24" max="24" width="9.3046875" style="30"/>
    <col min="25" max="25" width="4.3046875" style="30" customWidth="1"/>
    <col min="26" max="26" width="9" customWidth="1"/>
    <col min="27" max="27" width="10" customWidth="1"/>
    <col min="28" max="28" width="8.84375" style="81" customWidth="1"/>
    <col min="29" max="30" width="8.84375" style="21" customWidth="1"/>
    <col min="31" max="31" width="17.3828125" style="21" customWidth="1"/>
    <col min="32" max="32" width="11.69140625" customWidth="1"/>
    <col min="33" max="33" width="3.53515625" style="122" customWidth="1"/>
    <col min="34" max="34" width="10.69140625" customWidth="1"/>
    <col min="35" max="35" width="11.3828125" style="13" customWidth="1"/>
    <col min="36" max="36" width="7.53515625" customWidth="1"/>
    <col min="37" max="38" width="10.3828125" style="1" customWidth="1"/>
    <col min="39" max="41" width="4.84375" style="1" customWidth="1"/>
    <col min="42" max="43" width="4.84375" style="81" customWidth="1"/>
    <col min="44" max="44" width="22.15234375" style="122" customWidth="1"/>
    <col min="45" max="45" width="3.53515625" customWidth="1"/>
    <col min="46" max="46" width="18.53515625" customWidth="1"/>
    <col min="47" max="47" width="5.3046875" style="29" customWidth="1"/>
    <col min="48" max="48" width="90" customWidth="1"/>
    <col min="49" max="49" width="7.3046875" hidden="1" customWidth="1"/>
    <col min="50" max="50" width="29.3828125" hidden="1" customWidth="1"/>
    <col min="51" max="51" width="10.15234375" style="21" customWidth="1"/>
    <col min="52" max="52" width="58.84375" style="21" customWidth="1"/>
    <col min="53" max="53" width="21.3046875" style="21" customWidth="1"/>
    <col min="54" max="56" width="5.53515625" style="21" customWidth="1"/>
    <col min="57" max="57" width="4.3828125" customWidth="1"/>
    <col min="58" max="63" width="3" customWidth="1"/>
    <col min="64" max="64" width="9.3046875" style="1"/>
    <col min="66" max="66" width="85.53515625" customWidth="1"/>
    <col min="67" max="67" width="10.3828125" customWidth="1"/>
    <col min="68" max="68" width="9.53515625" style="13" customWidth="1"/>
    <col min="69" max="69" width="10.3828125" customWidth="1"/>
    <col min="70" max="70" width="15.3828125" customWidth="1"/>
    <col min="71" max="71" width="11.69140625" customWidth="1"/>
    <col min="72" max="72" width="9.3046875" hidden="1" customWidth="1"/>
    <col min="73" max="73" width="11" hidden="1" customWidth="1"/>
    <col min="74" max="77" width="4.3046875" customWidth="1"/>
  </cols>
  <sheetData>
    <row r="1" spans="1:68" ht="37.4" customHeight="1" x14ac:dyDescent="0.4">
      <c r="A1" s="30" t="s">
        <v>85</v>
      </c>
      <c r="B1" s="30" t="s">
        <v>6</v>
      </c>
      <c r="C1" t="s">
        <v>7</v>
      </c>
      <c r="D1" t="s">
        <v>4</v>
      </c>
      <c r="E1" t="s">
        <v>3</v>
      </c>
      <c r="F1" t="s">
        <v>89</v>
      </c>
      <c r="G1" t="s">
        <v>160</v>
      </c>
      <c r="H1" t="s">
        <v>158</v>
      </c>
      <c r="I1" t="s">
        <v>305</v>
      </c>
      <c r="J1" t="s">
        <v>90</v>
      </c>
      <c r="K1" t="s">
        <v>15</v>
      </c>
      <c r="L1" s="22" t="s">
        <v>14</v>
      </c>
      <c r="M1" s="108" t="s">
        <v>97</v>
      </c>
      <c r="N1" t="s">
        <v>86</v>
      </c>
      <c r="O1" t="s">
        <v>8</v>
      </c>
      <c r="P1" t="s">
        <v>1</v>
      </c>
      <c r="Q1" t="s">
        <v>138</v>
      </c>
      <c r="R1" t="s">
        <v>0</v>
      </c>
      <c r="S1" t="s">
        <v>9</v>
      </c>
      <c r="T1" t="s">
        <v>16</v>
      </c>
      <c r="U1" t="s">
        <v>246</v>
      </c>
      <c r="V1" t="s">
        <v>91</v>
      </c>
      <c r="W1" s="108" t="s">
        <v>126</v>
      </c>
      <c r="X1" s="30" t="s">
        <v>17</v>
      </c>
      <c r="Y1" t="s">
        <v>18</v>
      </c>
      <c r="Z1" t="s">
        <v>87</v>
      </c>
      <c r="AA1" s="21" t="s">
        <v>321</v>
      </c>
      <c r="AB1" s="21" t="s">
        <v>322</v>
      </c>
      <c r="AC1" t="s">
        <v>88</v>
      </c>
      <c r="AD1" s="21" t="s">
        <v>323</v>
      </c>
      <c r="AE1" s="21" t="s">
        <v>127</v>
      </c>
      <c r="AF1" s="13" t="s">
        <v>19</v>
      </c>
      <c r="AG1" s="121" t="s">
        <v>255</v>
      </c>
      <c r="AH1" s="1" t="s">
        <v>20</v>
      </c>
      <c r="AI1" s="1" t="s">
        <v>256</v>
      </c>
      <c r="AJ1" s="1" t="s">
        <v>257</v>
      </c>
      <c r="AK1" s="1" t="s">
        <v>258</v>
      </c>
      <c r="AL1" s="1" t="s">
        <v>259</v>
      </c>
      <c r="AM1" s="21" t="s">
        <v>260</v>
      </c>
      <c r="AN1" s="21" t="s">
        <v>261</v>
      </c>
      <c r="AO1" s="21" t="s">
        <v>262</v>
      </c>
      <c r="AP1" s="21" t="s">
        <v>263</v>
      </c>
      <c r="AQ1" s="21" t="s">
        <v>264</v>
      </c>
      <c r="AR1" s="122" t="s">
        <v>161</v>
      </c>
      <c r="AS1" s="21" t="s">
        <v>312</v>
      </c>
      <c r="AT1" s="21" t="s">
        <v>349</v>
      </c>
      <c r="AU1" s="29" t="s">
        <v>128</v>
      </c>
      <c r="AV1" t="s">
        <v>34</v>
      </c>
      <c r="AW1" t="s">
        <v>335</v>
      </c>
      <c r="AX1" t="s">
        <v>140</v>
      </c>
      <c r="AY1"/>
      <c r="AZ1"/>
      <c r="BA1"/>
      <c r="BB1"/>
      <c r="BC1"/>
      <c r="BD1"/>
      <c r="BL1"/>
      <c r="BP1"/>
    </row>
    <row r="2" spans="1:68" ht="15" customHeight="1" x14ac:dyDescent="0.4">
      <c r="B2" s="30"/>
      <c r="F2"/>
      <c r="G2" s="8"/>
      <c r="H2" s="8"/>
      <c r="I2" s="8"/>
      <c r="J2"/>
      <c r="L2" s="22"/>
      <c r="O2"/>
      <c r="P2" s="15"/>
      <c r="Q2" s="8"/>
      <c r="R2"/>
      <c r="U2" s="8"/>
      <c r="V2"/>
      <c r="W2" s="111"/>
      <c r="Y2"/>
      <c r="AA2" s="21"/>
      <c r="AB2" s="21"/>
      <c r="AC2"/>
      <c r="AF2" s="13"/>
      <c r="AG2" s="121"/>
      <c r="AH2" s="1"/>
      <c r="AI2" s="1"/>
      <c r="AJ2" s="1"/>
      <c r="AM2" s="21"/>
      <c r="AN2" s="21"/>
      <c r="AO2" s="21"/>
      <c r="AP2" s="21"/>
      <c r="AQ2" s="21"/>
      <c r="AR2" s="123"/>
      <c r="AS2" s="21"/>
      <c r="AT2" s="21"/>
      <c r="AU2" s="124"/>
      <c r="AX2" s="8"/>
      <c r="AY2"/>
      <c r="AZ2"/>
      <c r="BA2"/>
      <c r="BB2"/>
      <c r="BC2"/>
      <c r="BD2"/>
      <c r="BL2"/>
      <c r="BP2"/>
    </row>
    <row r="3" spans="1:68" ht="15" customHeight="1" x14ac:dyDescent="0.4"/>
    <row r="4" spans="1:68" ht="15" customHeight="1" x14ac:dyDescent="0.4"/>
  </sheetData>
  <conditionalFormatting sqref="A2:AX2">
    <cfRule type="expression" dxfId="12" priority="4">
      <formula>MOD($M2,2)</formula>
    </cfRule>
  </conditionalFormatting>
  <conditionalFormatting sqref="C2:K2">
    <cfRule type="expression" dxfId="11" priority="3">
      <formula>AND($N2="N",C2&lt;&gt;C1)</formula>
    </cfRule>
  </conditionalFormatting>
  <conditionalFormatting sqref="X2:AE2">
    <cfRule type="expression" dxfId="10" priority="2">
      <formula>AND($N2="N",TRIM(X2)&lt;&gt;TRIM(X1))</formula>
    </cfRule>
  </conditionalFormatting>
  <conditionalFormatting sqref="AV2">
    <cfRule type="expression" dxfId="9" priority="1">
      <formula>$AW2</formula>
    </cfRule>
  </conditionalFormatting>
  <pageMargins left="0.25" right="0.25" top="0.75" bottom="0.75" header="0.3" footer="0.3"/>
  <pageSetup paperSize="5" scale="41" fitToHeight="0" orientation="landscape" r:id="rId1"/>
  <drawing r:id="rId2"/>
  <legacyDrawing r:id="rId3"/>
  <tableParts count="1">
    <tablePart r:id="rId4"/>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udgets">
    <tabColor rgb="FFFFC000"/>
    <pageSetUpPr fitToPage="1"/>
  </sheetPr>
  <dimension ref="A1:AC4"/>
  <sheetViews>
    <sheetView topLeftCell="E1" workbookViewId="0">
      <selection activeCell="M7" sqref="M7"/>
    </sheetView>
  </sheetViews>
  <sheetFormatPr defaultRowHeight="14.6" x14ac:dyDescent="0.4"/>
  <cols>
    <col min="1" max="1" width="6.3828125" style="6" hidden="1" customWidth="1"/>
    <col min="2" max="2" width="1.69140625" hidden="1" customWidth="1"/>
    <col min="3" max="3" width="2.84375" hidden="1" customWidth="1"/>
    <col min="4" max="4" width="2.15234375" hidden="1" customWidth="1"/>
    <col min="5" max="5" width="9.3046875" customWidth="1"/>
    <col min="6" max="6" width="11.84375" customWidth="1"/>
    <col min="7" max="7" width="9" style="30" customWidth="1"/>
    <col min="8" max="8" width="5.84375" customWidth="1"/>
    <col min="9" max="9" width="6.765625" customWidth="1"/>
    <col min="10" max="10" width="5.84375" hidden="1" customWidth="1"/>
    <col min="11" max="11" width="8.3828125" customWidth="1"/>
    <col min="12" max="12" width="8.69140625" customWidth="1"/>
    <col min="13" max="13" width="7.84375" customWidth="1"/>
    <col min="14" max="14" width="7.3046875" customWidth="1"/>
    <col min="15" max="15" width="4.69140625" customWidth="1"/>
    <col min="16" max="16" width="3.3046875" customWidth="1"/>
    <col min="17" max="17" width="2.3828125" customWidth="1"/>
    <col min="18" max="18" width="10.3046875" style="13" customWidth="1"/>
    <col min="19" max="20" width="10.3046875" customWidth="1"/>
    <col min="21" max="21" width="10.53515625" customWidth="1"/>
    <col min="22" max="22" width="3.69140625" customWidth="1"/>
    <col min="23" max="23" width="3.69140625" style="6" customWidth="1"/>
    <col min="24" max="24" width="4.3046875" customWidth="1"/>
    <col min="25" max="25" width="11.15234375" customWidth="1"/>
    <col min="26" max="26" width="9.15234375" customWidth="1"/>
    <col min="27" max="27" width="6.15234375" customWidth="1"/>
    <col min="28" max="28" width="6.3828125" customWidth="1"/>
    <col min="29" max="29" width="19.53515625" customWidth="1"/>
  </cols>
  <sheetData>
    <row r="1" spans="1:29" x14ac:dyDescent="0.4">
      <c r="A1" s="6" t="s">
        <v>125</v>
      </c>
      <c r="P1" s="3"/>
    </row>
    <row r="2" spans="1:29" s="98" customFormat="1" x14ac:dyDescent="0.4">
      <c r="A2" s="97"/>
      <c r="F2" s="99" t="s">
        <v>13</v>
      </c>
      <c r="G2" s="99"/>
      <c r="I2" s="100"/>
      <c r="K2" s="100" t="s">
        <v>12</v>
      </c>
      <c r="L2" s="98">
        <f ca="1">YEAR(NOW())+(MONTH(NOW())&gt;9)-2000</f>
        <v>18</v>
      </c>
      <c r="P2" s="99" t="s">
        <v>123</v>
      </c>
      <c r="Q2" s="99"/>
      <c r="R2" s="101"/>
      <c r="T2" s="98" t="s">
        <v>124</v>
      </c>
      <c r="X2" s="98" t="s">
        <v>360</v>
      </c>
    </row>
    <row r="3" spans="1:29" ht="33" customHeight="1" x14ac:dyDescent="0.4">
      <c r="A3" s="6" t="s">
        <v>0</v>
      </c>
      <c r="B3" t="s">
        <v>86</v>
      </c>
      <c r="C3" t="s">
        <v>287</v>
      </c>
      <c r="D3" t="s">
        <v>97</v>
      </c>
      <c r="E3" s="30" t="s">
        <v>6</v>
      </c>
      <c r="F3" t="s">
        <v>7</v>
      </c>
      <c r="G3" t="s">
        <v>4</v>
      </c>
      <c r="H3" t="s">
        <v>3</v>
      </c>
      <c r="I3" t="s">
        <v>89</v>
      </c>
      <c r="J3" t="s">
        <v>311</v>
      </c>
      <c r="K3" t="s">
        <v>8</v>
      </c>
      <c r="L3" t="s">
        <v>1</v>
      </c>
      <c r="M3" t="s">
        <v>9</v>
      </c>
      <c r="N3" s="14" t="s">
        <v>340</v>
      </c>
      <c r="O3" t="s">
        <v>10</v>
      </c>
      <c r="P3" t="s">
        <v>288</v>
      </c>
      <c r="Q3" t="s">
        <v>289</v>
      </c>
      <c r="R3" s="13" t="s">
        <v>290</v>
      </c>
      <c r="S3" t="s">
        <v>291</v>
      </c>
      <c r="T3" t="s">
        <v>292</v>
      </c>
      <c r="U3" s="6" t="s">
        <v>293</v>
      </c>
      <c r="V3" t="s">
        <v>294</v>
      </c>
      <c r="W3" t="s">
        <v>295</v>
      </c>
      <c r="X3" t="s">
        <v>5</v>
      </c>
      <c r="Y3" t="s">
        <v>296</v>
      </c>
      <c r="Z3" t="s">
        <v>297</v>
      </c>
      <c r="AA3" t="s">
        <v>298</v>
      </c>
      <c r="AB3" t="s">
        <v>369</v>
      </c>
      <c r="AC3" t="s">
        <v>11</v>
      </c>
    </row>
    <row r="4" spans="1:29" x14ac:dyDescent="0.4">
      <c r="A4" s="10"/>
      <c r="B4" s="76"/>
      <c r="C4" s="76"/>
      <c r="D4" s="76"/>
      <c r="E4" s="77"/>
      <c r="F4" s="78"/>
      <c r="G4" s="78"/>
      <c r="H4" s="78"/>
      <c r="I4" s="76"/>
      <c r="J4" s="76"/>
      <c r="K4" s="78"/>
      <c r="L4" s="7"/>
      <c r="M4" s="78"/>
      <c r="N4" s="7"/>
      <c r="O4" s="78"/>
      <c r="P4" s="78"/>
      <c r="Q4" s="78"/>
      <c r="R4" s="79"/>
      <c r="S4" s="79"/>
      <c r="T4" s="79"/>
      <c r="U4" s="80"/>
      <c r="V4" s="78"/>
      <c r="W4" s="78"/>
      <c r="X4" s="11"/>
      <c r="Y4" s="79"/>
      <c r="Z4" s="78"/>
      <c r="AA4" s="78"/>
      <c r="AB4" s="102"/>
      <c r="AC4" s="78"/>
    </row>
  </sheetData>
  <conditionalFormatting sqref="A4:AC4">
    <cfRule type="expression" dxfId="8" priority="1684">
      <formula>MOD($C4,2)</formula>
    </cfRule>
  </conditionalFormatting>
  <conditionalFormatting sqref="L4:AC4">
    <cfRule type="expression" dxfId="7" priority="1689">
      <formula>MOD($D4+1,2)</formula>
    </cfRule>
    <cfRule type="expression" dxfId="6" priority="1690">
      <formula>ISBLANK($W4)</formula>
    </cfRule>
  </conditionalFormatting>
  <pageMargins left="0.25" right="0.25" top="0.75" bottom="0.75" header="0.3" footer="0.3"/>
  <pageSetup paperSize="3" scale="65" fitToHeight="0" orientation="portrait" r:id="rId1"/>
  <drawing r:id="rId2"/>
  <legacyDrawing r:id="rId3"/>
  <tableParts count="1">
    <tablePart r:id="rId4"/>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RAData">
    <tabColor theme="3" tint="-0.249977111117893"/>
  </sheetPr>
  <dimension ref="A1:EF2"/>
  <sheetViews>
    <sheetView zoomScale="95" workbookViewId="0">
      <selection activeCell="R13" sqref="R13"/>
    </sheetView>
  </sheetViews>
  <sheetFormatPr defaultRowHeight="14.6" x14ac:dyDescent="0.4"/>
  <cols>
    <col min="1" max="1" width="8.3828125" customWidth="1"/>
    <col min="2" max="2" width="13.84375" style="22" customWidth="1"/>
    <col min="3" max="3" width="11.3828125" style="22" customWidth="1"/>
    <col min="4" max="4" width="8.53515625" customWidth="1"/>
    <col min="5" max="5" width="4.69140625" style="5" customWidth="1"/>
    <col min="6" max="6" width="4.53515625" customWidth="1"/>
    <col min="7" max="7" width="4.69140625" customWidth="1"/>
    <col min="8" max="8" width="4.84375" customWidth="1"/>
    <col min="9" max="9" width="10.53515625" customWidth="1"/>
    <col min="10" max="10" width="9.3046875" bestFit="1" customWidth="1"/>
    <col min="11" max="11" width="13.3828125" style="22" bestFit="1" customWidth="1"/>
    <col min="12" max="12" width="3.3046875" customWidth="1"/>
    <col min="13" max="13" width="6" style="26" customWidth="1"/>
    <col min="14" max="16" width="4.15234375" customWidth="1"/>
    <col min="17" max="17" width="19.3828125" style="29" customWidth="1"/>
    <col min="18" max="18" width="20.53515625" style="29" customWidth="1"/>
    <col min="19" max="19" width="8.84375" style="29" customWidth="1"/>
    <col min="20" max="22" width="7.3046875" style="29" customWidth="1"/>
    <col min="23" max="23" width="2.84375" style="21" customWidth="1"/>
    <col min="24" max="24" width="7.3046875" style="21" customWidth="1"/>
    <col min="25" max="25" width="5.3828125" style="21" customWidth="1"/>
    <col min="26" max="26" width="5.3046875" customWidth="1"/>
    <col min="27" max="27" width="7.84375" bestFit="1" customWidth="1"/>
    <col min="28" max="29" width="3.53515625" customWidth="1"/>
    <col min="30" max="30" width="3.53515625" style="21" customWidth="1"/>
    <col min="31" max="31" width="2.3828125" style="21" customWidth="1"/>
    <col min="32" max="32" width="3.3046875" style="26" customWidth="1"/>
    <col min="33" max="33" width="4.3828125" customWidth="1"/>
    <col min="34" max="34" width="3.3828125" customWidth="1"/>
    <col min="35" max="35" width="13.69140625" style="30" customWidth="1"/>
    <col min="36" max="36" width="9.3046875" customWidth="1"/>
    <col min="37" max="38" width="12.69140625" style="13" customWidth="1"/>
    <col min="39" max="39" width="4.53515625" style="5" customWidth="1"/>
    <col min="40" max="40" width="9.3046875" customWidth="1"/>
    <col min="41" max="41" width="4.3828125" style="21" customWidth="1"/>
    <col min="42" max="42" width="72" style="21" bestFit="1" customWidth="1"/>
    <col min="43" max="43" width="3.3046875" customWidth="1"/>
    <col min="44" max="44" width="7.69140625" customWidth="1"/>
    <col min="45" max="45" width="8.69140625" style="26" bestFit="1" customWidth="1"/>
    <col min="46" max="46" width="9.15234375" customWidth="1"/>
    <col min="47" max="47" width="13.3828125" style="21" customWidth="1"/>
    <col min="48" max="48" width="4.15234375" style="21" customWidth="1"/>
    <col min="49" max="49" width="17.53515625" style="21" customWidth="1"/>
    <col min="50" max="50" width="8.69140625" style="26" customWidth="1"/>
    <col min="51" max="51" width="11.53515625" style="21" customWidth="1"/>
    <col min="52" max="52" width="34.15234375" style="21" customWidth="1"/>
    <col min="53" max="53" width="4.3828125" style="21" customWidth="1"/>
    <col min="54" max="54" width="3.53515625" style="21" customWidth="1"/>
    <col min="55" max="58" width="2.84375" style="21" customWidth="1"/>
    <col min="59" max="59" width="2.84375" customWidth="1"/>
    <col min="60" max="67" width="2.84375" style="21" customWidth="1"/>
    <col min="68" max="68" width="2.84375" style="27" customWidth="1"/>
    <col min="69" max="72" width="2.84375" style="21" customWidth="1"/>
    <col min="73" max="73" width="10.53515625" bestFit="1" customWidth="1"/>
    <col min="74" max="74" width="14.3828125" style="21" customWidth="1"/>
    <col min="75" max="75" width="11.3828125" style="21" customWidth="1"/>
    <col min="76" max="76" width="24.53515625" style="21" bestFit="1" customWidth="1"/>
    <col min="77" max="77" width="12" bestFit="1" customWidth="1"/>
    <col min="78" max="78" width="12" customWidth="1"/>
    <col min="79" max="79" width="18.3828125" customWidth="1"/>
    <col min="80" max="83" width="2.69140625" style="21" customWidth="1"/>
    <col min="84" max="86" width="2.69140625" customWidth="1"/>
    <col min="87" max="90" width="2.69140625" style="21" customWidth="1"/>
    <col min="91" max="93" width="2.69140625" customWidth="1"/>
    <col min="94" max="97" width="2.69140625" style="21" customWidth="1"/>
    <col min="98" max="100" width="2.69140625" customWidth="1"/>
    <col min="101" max="104" width="2.69140625" style="21" customWidth="1"/>
    <col min="105" max="107" width="2.69140625" customWidth="1"/>
    <col min="108" max="111" width="2.69140625" style="21" customWidth="1"/>
    <col min="112" max="114" width="2.69140625" customWidth="1"/>
    <col min="115" max="118" width="2.69140625" style="21" customWidth="1"/>
    <col min="119" max="121" width="2.69140625" customWidth="1"/>
    <col min="122" max="122" width="36.53515625" customWidth="1"/>
    <col min="123" max="123" width="45.69140625" customWidth="1"/>
    <col min="124" max="124" width="27.15234375" customWidth="1"/>
    <col min="125" max="125" width="15.3046875" customWidth="1"/>
    <col min="126" max="126" width="30" bestFit="1" customWidth="1"/>
    <col min="127" max="127" width="11.69140625" customWidth="1"/>
    <col min="128" max="128" width="27.3046875" bestFit="1" customWidth="1"/>
    <col min="129" max="129" width="5.3828125" bestFit="1" customWidth="1"/>
    <col min="130" max="130" width="35.15234375" customWidth="1"/>
    <col min="131" max="131" width="13.3828125" style="22" bestFit="1" customWidth="1"/>
    <col min="132" max="132" width="29.3046875" hidden="1" customWidth="1"/>
    <col min="133" max="133" width="72" hidden="1" customWidth="1"/>
    <col min="134" max="136" width="72" customWidth="1"/>
  </cols>
  <sheetData>
    <row r="1" spans="1:136" ht="41.7" customHeight="1" x14ac:dyDescent="0.4">
      <c r="A1" s="5" t="s">
        <v>85</v>
      </c>
      <c r="B1" s="22" t="s">
        <v>6</v>
      </c>
      <c r="C1" s="22" t="s">
        <v>7</v>
      </c>
      <c r="D1" s="30" t="s">
        <v>4</v>
      </c>
      <c r="E1" t="s">
        <v>3</v>
      </c>
      <c r="F1" t="s">
        <v>158</v>
      </c>
      <c r="G1" s="2" t="s">
        <v>160</v>
      </c>
      <c r="H1" t="s">
        <v>90</v>
      </c>
      <c r="I1" t="s">
        <v>15</v>
      </c>
      <c r="J1" t="s">
        <v>89</v>
      </c>
      <c r="K1" s="22" t="s">
        <v>14</v>
      </c>
      <c r="L1" t="s">
        <v>146</v>
      </c>
      <c r="M1" s="45" t="s">
        <v>166</v>
      </c>
      <c r="N1" t="s">
        <v>265</v>
      </c>
      <c r="O1" s="6" t="s">
        <v>266</v>
      </c>
      <c r="P1" s="6" t="s">
        <v>267</v>
      </c>
      <c r="Q1" s="91" t="s">
        <v>336</v>
      </c>
      <c r="R1" s="91" t="s">
        <v>337</v>
      </c>
      <c r="S1" s="91" t="s">
        <v>137</v>
      </c>
      <c r="T1" s="91" t="s">
        <v>370</v>
      </c>
      <c r="U1" s="91" t="s">
        <v>136</v>
      </c>
      <c r="V1" s="91" t="s">
        <v>338</v>
      </c>
      <c r="W1" s="92" t="s">
        <v>339</v>
      </c>
      <c r="X1" s="93" t="s">
        <v>181</v>
      </c>
      <c r="Y1" s="93" t="s">
        <v>341</v>
      </c>
      <c r="Z1" s="6" t="s">
        <v>138</v>
      </c>
      <c r="AA1" s="6" t="s">
        <v>8</v>
      </c>
      <c r="AB1" t="s">
        <v>133</v>
      </c>
      <c r="AC1" s="14" t="s">
        <v>141</v>
      </c>
      <c r="AD1" s="14" t="s">
        <v>251</v>
      </c>
      <c r="AE1" s="14" t="s">
        <v>371</v>
      </c>
      <c r="AF1" s="21" t="s">
        <v>268</v>
      </c>
      <c r="AG1" s="90" t="s">
        <v>21</v>
      </c>
      <c r="AH1" s="14" t="s">
        <v>269</v>
      </c>
      <c r="AI1" s="14" t="s">
        <v>250</v>
      </c>
      <c r="AJ1" s="94" t="s">
        <v>142</v>
      </c>
      <c r="AK1" s="95" t="s">
        <v>19</v>
      </c>
      <c r="AL1" s="13" t="s">
        <v>20</v>
      </c>
      <c r="AM1" t="s">
        <v>154</v>
      </c>
      <c r="AN1" s="94" t="s">
        <v>17</v>
      </c>
      <c r="AO1" s="21" t="s">
        <v>18</v>
      </c>
      <c r="AP1" s="21" t="s">
        <v>34</v>
      </c>
      <c r="AQ1" s="21" t="s">
        <v>143</v>
      </c>
      <c r="AR1" s="21" t="s">
        <v>144</v>
      </c>
      <c r="AS1" s="30" t="s">
        <v>145</v>
      </c>
      <c r="AT1" s="21" t="s">
        <v>22</v>
      </c>
      <c r="AU1" s="21" t="s">
        <v>25</v>
      </c>
      <c r="AV1" s="21" t="s">
        <v>23</v>
      </c>
      <c r="AW1" s="21" t="s">
        <v>24</v>
      </c>
      <c r="AX1" s="30" t="s">
        <v>148</v>
      </c>
      <c r="AY1" s="21" t="s">
        <v>149</v>
      </c>
      <c r="AZ1" s="21" t="s">
        <v>270</v>
      </c>
      <c r="BA1" s="96" t="s">
        <v>271</v>
      </c>
      <c r="BB1" s="21" t="s">
        <v>272</v>
      </c>
      <c r="BC1" s="21" t="s">
        <v>26</v>
      </c>
      <c r="BD1" s="21" t="s">
        <v>29</v>
      </c>
      <c r="BE1" s="21" t="s">
        <v>27</v>
      </c>
      <c r="BF1" s="21" t="s">
        <v>28</v>
      </c>
      <c r="BG1" s="27" t="s">
        <v>150</v>
      </c>
      <c r="BH1" s="21" t="s">
        <v>151</v>
      </c>
      <c r="BI1" s="21" t="s">
        <v>273</v>
      </c>
      <c r="BJ1" s="21" t="s">
        <v>274</v>
      </c>
      <c r="BK1" s="21" t="s">
        <v>275</v>
      </c>
      <c r="BL1" s="21" t="s">
        <v>30</v>
      </c>
      <c r="BM1" s="21" t="s">
        <v>33</v>
      </c>
      <c r="BN1" s="21" t="s">
        <v>31</v>
      </c>
      <c r="BO1" s="21" t="s">
        <v>32</v>
      </c>
      <c r="BP1" s="30" t="s">
        <v>152</v>
      </c>
      <c r="BQ1" s="21" t="s">
        <v>153</v>
      </c>
      <c r="BR1" s="21" t="s">
        <v>276</v>
      </c>
      <c r="BS1" s="21" t="s">
        <v>277</v>
      </c>
      <c r="BT1" s="21" t="s">
        <v>278</v>
      </c>
      <c r="BU1" t="s">
        <v>35</v>
      </c>
      <c r="BV1" s="21" t="s">
        <v>36</v>
      </c>
      <c r="BW1" s="21" t="s">
        <v>37</v>
      </c>
      <c r="BX1" s="21" t="s">
        <v>38</v>
      </c>
      <c r="BY1" s="13" t="s">
        <v>39</v>
      </c>
      <c r="BZ1" s="13" t="s">
        <v>40</v>
      </c>
      <c r="CA1" t="s">
        <v>41</v>
      </c>
      <c r="CB1" s="21" t="s">
        <v>42</v>
      </c>
      <c r="CC1" s="21" t="s">
        <v>43</v>
      </c>
      <c r="CD1" s="96" t="s">
        <v>44</v>
      </c>
      <c r="CE1" s="96" t="s">
        <v>45</v>
      </c>
      <c r="CF1" s="13" t="s">
        <v>46</v>
      </c>
      <c r="CG1" s="13" t="s">
        <v>47</v>
      </c>
      <c r="CH1" t="s">
        <v>48</v>
      </c>
      <c r="CI1" s="21" t="s">
        <v>49</v>
      </c>
      <c r="CJ1" s="21" t="s">
        <v>50</v>
      </c>
      <c r="CK1" s="96" t="s">
        <v>51</v>
      </c>
      <c r="CL1" s="96" t="s">
        <v>52</v>
      </c>
      <c r="CM1" s="13" t="s">
        <v>53</v>
      </c>
      <c r="CN1" s="13" t="s">
        <v>54</v>
      </c>
      <c r="CO1" t="s">
        <v>55</v>
      </c>
      <c r="CP1" s="21" t="s">
        <v>56</v>
      </c>
      <c r="CQ1" s="21" t="s">
        <v>57</v>
      </c>
      <c r="CR1" s="96" t="s">
        <v>58</v>
      </c>
      <c r="CS1" s="96" t="s">
        <v>59</v>
      </c>
      <c r="CT1" s="13" t="s">
        <v>60</v>
      </c>
      <c r="CU1" s="13" t="s">
        <v>61</v>
      </c>
      <c r="CV1" t="s">
        <v>62</v>
      </c>
      <c r="CW1" s="21" t="s">
        <v>63</v>
      </c>
      <c r="CX1" s="21" t="s">
        <v>64</v>
      </c>
      <c r="CY1" s="96" t="s">
        <v>65</v>
      </c>
      <c r="CZ1" s="96" t="s">
        <v>66</v>
      </c>
      <c r="DA1" s="13" t="s">
        <v>67</v>
      </c>
      <c r="DB1" s="13" t="s">
        <v>68</v>
      </c>
      <c r="DC1" t="s">
        <v>69</v>
      </c>
      <c r="DD1" s="21" t="s">
        <v>70</v>
      </c>
      <c r="DE1" s="21" t="s">
        <v>71</v>
      </c>
      <c r="DF1" s="96" t="s">
        <v>72</v>
      </c>
      <c r="DG1" s="96" t="s">
        <v>73</v>
      </c>
      <c r="DH1" s="13" t="s">
        <v>74</v>
      </c>
      <c r="DI1" s="13" t="s">
        <v>75</v>
      </c>
      <c r="DJ1" t="s">
        <v>76</v>
      </c>
      <c r="DK1" s="21" t="s">
        <v>77</v>
      </c>
      <c r="DL1" s="21" t="s">
        <v>78</v>
      </c>
      <c r="DM1" s="96" t="s">
        <v>79</v>
      </c>
      <c r="DN1" s="96" t="s">
        <v>80</v>
      </c>
      <c r="DO1" s="13" t="s">
        <v>81</v>
      </c>
      <c r="DP1" s="13" t="s">
        <v>82</v>
      </c>
      <c r="DQ1" t="s">
        <v>83</v>
      </c>
      <c r="DR1" t="s">
        <v>2</v>
      </c>
      <c r="DS1" t="s">
        <v>279</v>
      </c>
      <c r="DT1" t="s">
        <v>157</v>
      </c>
      <c r="DU1" t="s">
        <v>165</v>
      </c>
      <c r="DV1" t="s">
        <v>161</v>
      </c>
      <c r="DW1" t="s">
        <v>280</v>
      </c>
      <c r="DX1" t="s">
        <v>159</v>
      </c>
      <c r="DY1" t="s">
        <v>155</v>
      </c>
      <c r="DZ1" t="s">
        <v>156</v>
      </c>
      <c r="EA1" s="22" t="s">
        <v>139</v>
      </c>
      <c r="EB1" t="s">
        <v>140</v>
      </c>
      <c r="EC1" t="s">
        <v>84</v>
      </c>
      <c r="ED1" t="s">
        <v>433</v>
      </c>
      <c r="EE1" t="s">
        <v>434</v>
      </c>
      <c r="EF1" t="s">
        <v>435</v>
      </c>
    </row>
    <row r="2" spans="1:136" hidden="1" x14ac:dyDescent="0.4">
      <c r="A2" s="30"/>
      <c r="D2" s="30"/>
      <c r="E2" s="30"/>
      <c r="F2" s="30"/>
      <c r="G2" s="30"/>
      <c r="U2" s="21"/>
      <c r="W2" s="15"/>
      <c r="X2" s="15"/>
      <c r="Y2" s="15"/>
      <c r="AD2"/>
      <c r="AE2"/>
      <c r="AF2" s="21"/>
      <c r="AG2" s="26"/>
      <c r="AI2"/>
      <c r="AJ2" s="30"/>
      <c r="AM2"/>
      <c r="AN2" s="30"/>
      <c r="AS2" s="30"/>
      <c r="AX2" s="30"/>
      <c r="BG2" s="30"/>
      <c r="BP2" s="30"/>
      <c r="BY2" s="31"/>
      <c r="BZ2" s="31"/>
      <c r="CF2" s="31"/>
      <c r="CG2" s="31"/>
      <c r="CM2" s="31"/>
      <c r="CN2" s="31"/>
      <c r="CT2" s="31"/>
      <c r="CU2" s="31"/>
      <c r="DA2" s="31"/>
      <c r="DB2" s="31"/>
      <c r="DH2" s="31"/>
      <c r="DI2" s="31"/>
      <c r="DO2" s="31"/>
      <c r="DP2" s="31"/>
      <c r="DU2" s="29"/>
    </row>
  </sheetData>
  <conditionalFormatting sqref="Q2">
    <cfRule type="expression" dxfId="5" priority="1">
      <formula>LEFT($AI2,1)="E"</formula>
    </cfRule>
  </conditionalFormatting>
  <dataValidations count="1">
    <dataValidation type="list" allowBlank="1" showInputMessage="1" showErrorMessage="1" sqref="Q2 O2">
      <formula1>INDIRECT("AvailableTemplates[Available templates:]")</formula1>
    </dataValidation>
  </dataValidations>
  <pageMargins left="0.25" right="0.25" top="0.75" bottom="0.75" header="0.3" footer="0.3"/>
  <pageSetup scale="90" fitToWidth="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48" r:id="rId4" name="Button 8">
              <controlPr defaultSize="0" print="0" autoFill="0" autoPict="0" macro="[0]!MakeIndicatedRAs">
                <anchor moveWithCells="1" sizeWithCells="1">
                  <from>
                    <xdr:col>13</xdr:col>
                    <xdr:colOff>152400</xdr:colOff>
                    <xdr:row>0</xdr:row>
                    <xdr:rowOff>65314</xdr:rowOff>
                  </from>
                  <to>
                    <xdr:col>16</xdr:col>
                    <xdr:colOff>898071</xdr:colOff>
                    <xdr:row>0</xdr:row>
                    <xdr:rowOff>326571</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Advanced!#REF!</xm:f>
          </x14:formula1>
          <xm:sqref>AG2</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dvanced">
    <tabColor theme="3" tint="-0.249977111117893"/>
    <pageSetUpPr fitToPage="1"/>
  </sheetPr>
  <dimension ref="A1:N31"/>
  <sheetViews>
    <sheetView showGridLines="0" workbookViewId="0">
      <selection activeCell="I1" sqref="I1"/>
    </sheetView>
  </sheetViews>
  <sheetFormatPr defaultRowHeight="14.6" x14ac:dyDescent="0.4"/>
  <cols>
    <col min="1" max="1" width="4" customWidth="1"/>
    <col min="2" max="2" width="10.3828125" style="6" customWidth="1"/>
    <col min="3" max="3" width="16.3046875" customWidth="1"/>
    <col min="4" max="4" width="3.3046875" style="5" customWidth="1"/>
    <col min="5" max="5" width="15.69140625" style="23" customWidth="1"/>
    <col min="6" max="6" width="14.3828125" customWidth="1"/>
    <col min="7" max="7" width="10.69140625" customWidth="1"/>
    <col min="8" max="8" width="6.23046875" customWidth="1"/>
    <col min="9" max="9" width="4.61328125" customWidth="1"/>
    <col min="10" max="10" width="24.69140625" customWidth="1"/>
    <col min="11" max="11" width="6.84375" customWidth="1"/>
    <col min="12" max="12" width="9.84375" customWidth="1"/>
    <col min="13" max="13" width="5.69140625" customWidth="1"/>
    <col min="14" max="14" width="12.53515625" style="6" customWidth="1"/>
    <col min="15" max="15" width="4" customWidth="1"/>
    <col min="16" max="16" width="23.3828125" customWidth="1"/>
    <col min="17" max="17" width="12" customWidth="1"/>
    <col min="18" max="18" width="9.3828125" customWidth="1"/>
    <col min="19" max="19" width="10" customWidth="1"/>
    <col min="20" max="20" width="14" customWidth="1"/>
    <col min="21" max="22" width="11.15234375" customWidth="1"/>
    <col min="23" max="23" width="81.15234375" bestFit="1" customWidth="1"/>
    <col min="24" max="24" width="20.53515625" bestFit="1" customWidth="1"/>
    <col min="25" max="25" width="18.3046875" bestFit="1" customWidth="1"/>
    <col min="26" max="26" width="45.84375" bestFit="1" customWidth="1"/>
    <col min="27" max="27" width="36.69140625" bestFit="1" customWidth="1"/>
    <col min="28" max="28" width="10.53515625" bestFit="1" customWidth="1"/>
    <col min="29" max="29" width="9.84375" bestFit="1" customWidth="1"/>
    <col min="30" max="30" width="20.53515625" customWidth="1"/>
    <col min="31" max="31" width="37.15234375" customWidth="1"/>
    <col min="32" max="32" width="19" customWidth="1"/>
    <col min="33" max="33" width="19.15234375" bestFit="1" customWidth="1"/>
    <col min="34" max="34" width="14.53515625" bestFit="1" customWidth="1"/>
    <col min="35" max="35" width="10" bestFit="1" customWidth="1"/>
  </cols>
  <sheetData>
    <row r="1" spans="1:14" ht="16" customHeight="1" x14ac:dyDescent="0.4">
      <c r="A1" s="59" t="s">
        <v>220</v>
      </c>
      <c r="N1" s="20" t="s">
        <v>98</v>
      </c>
    </row>
    <row r="2" spans="1:14" ht="16" customHeight="1" x14ac:dyDescent="0.4">
      <c r="B2" s="9" t="s">
        <v>454</v>
      </c>
      <c r="I2" s="3" t="s">
        <v>190</v>
      </c>
      <c r="K2" s="29"/>
      <c r="N2" s="19" t="s">
        <v>99</v>
      </c>
    </row>
    <row r="3" spans="1:14" ht="16" customHeight="1" x14ac:dyDescent="0.4">
      <c r="B3" s="9" t="s">
        <v>392</v>
      </c>
      <c r="I3" t="s">
        <v>460</v>
      </c>
      <c r="K3" s="133"/>
      <c r="L3" s="133"/>
      <c r="M3" s="133"/>
      <c r="N3" s="19" t="s">
        <v>94</v>
      </c>
    </row>
    <row r="4" spans="1:14" ht="16" customHeight="1" x14ac:dyDescent="0.4">
      <c r="B4" s="9" t="s">
        <v>391</v>
      </c>
      <c r="D4" s="16"/>
      <c r="F4" s="4"/>
      <c r="G4" s="29"/>
      <c r="J4" s="134" t="s">
        <v>462</v>
      </c>
      <c r="K4" s="133"/>
      <c r="L4" s="133"/>
      <c r="M4" s="133"/>
      <c r="N4" s="19" t="s">
        <v>100</v>
      </c>
    </row>
    <row r="5" spans="1:14" ht="16" customHeight="1" x14ac:dyDescent="0.4">
      <c r="B5" s="9" t="s">
        <v>451</v>
      </c>
      <c r="C5" s="4"/>
      <c r="F5" s="4"/>
      <c r="G5" s="29"/>
      <c r="I5" s="117" t="s">
        <v>461</v>
      </c>
      <c r="J5" s="118"/>
      <c r="K5" s="29"/>
      <c r="N5" s="19" t="s">
        <v>95</v>
      </c>
    </row>
    <row r="6" spans="1:14" ht="16" customHeight="1" x14ac:dyDescent="0.4">
      <c r="B6" s="128" t="s">
        <v>452</v>
      </c>
      <c r="F6" s="4"/>
      <c r="G6" s="29"/>
      <c r="J6" s="7" t="s">
        <v>411</v>
      </c>
      <c r="K6" s="30"/>
      <c r="N6" s="19" t="s">
        <v>101</v>
      </c>
    </row>
    <row r="7" spans="1:14" ht="16" customHeight="1" x14ac:dyDescent="0.4">
      <c r="B7" s="9" t="s">
        <v>394</v>
      </c>
      <c r="F7" s="4"/>
      <c r="G7" s="29"/>
      <c r="I7" s="25" t="s">
        <v>397</v>
      </c>
      <c r="J7" s="24"/>
      <c r="K7" s="24"/>
      <c r="N7" s="19" t="s">
        <v>102</v>
      </c>
    </row>
    <row r="8" spans="1:14" ht="16" customHeight="1" x14ac:dyDescent="0.4">
      <c r="B8" s="9" t="s">
        <v>395</v>
      </c>
      <c r="F8" s="4"/>
      <c r="G8" s="42"/>
      <c r="I8" s="25"/>
      <c r="J8" s="25" t="str">
        <f>dirRAoutput</f>
        <v>C:\Users\JSNOEYIN\Desktop\eng demo</v>
      </c>
      <c r="K8" s="24"/>
      <c r="N8" s="19" t="s">
        <v>96</v>
      </c>
    </row>
    <row r="9" spans="1:14" ht="16" customHeight="1" x14ac:dyDescent="0.4">
      <c r="B9" s="9"/>
      <c r="F9" s="4"/>
      <c r="G9" s="30"/>
      <c r="I9" s="3" t="s">
        <v>135</v>
      </c>
      <c r="N9" s="19" t="s">
        <v>103</v>
      </c>
    </row>
    <row r="10" spans="1:14" ht="18.45" x14ac:dyDescent="0.4">
      <c r="B10" s="46"/>
      <c r="C10" s="127" t="s">
        <v>219</v>
      </c>
      <c r="D10" s="127"/>
      <c r="E10" s="127"/>
      <c r="F10" s="47"/>
      <c r="I10" s="3" t="s">
        <v>458</v>
      </c>
      <c r="L10" s="6"/>
      <c r="N10" s="19" t="s">
        <v>104</v>
      </c>
    </row>
    <row r="11" spans="1:14" ht="15.9" x14ac:dyDescent="0.4">
      <c r="B11" s="48"/>
      <c r="C11" s="49" t="s">
        <v>193</v>
      </c>
      <c r="D11" s="49"/>
      <c r="E11" s="49" t="s">
        <v>194</v>
      </c>
      <c r="F11" s="49"/>
      <c r="I11" s="3" t="s">
        <v>459</v>
      </c>
      <c r="L11" s="6"/>
      <c r="N11" s="19" t="s">
        <v>92</v>
      </c>
    </row>
    <row r="12" spans="1:14" ht="20.149999999999999" customHeight="1" x14ac:dyDescent="0.4">
      <c r="C12" s="50" t="s">
        <v>195</v>
      </c>
      <c r="D12" s="50"/>
      <c r="E12" s="58">
        <v>42644</v>
      </c>
      <c r="F12" s="51" t="s">
        <v>212</v>
      </c>
      <c r="J12" s="25" t="s">
        <v>134</v>
      </c>
      <c r="L12" s="6"/>
      <c r="N12" s="19" t="s">
        <v>105</v>
      </c>
    </row>
    <row r="13" spans="1:14" ht="20.149999999999999" customHeight="1" x14ac:dyDescent="0.4">
      <c r="C13" s="50" t="s">
        <v>206</v>
      </c>
      <c r="D13" s="50"/>
      <c r="E13" s="52" t="s">
        <v>453</v>
      </c>
      <c r="F13" s="53"/>
      <c r="J13" s="25" t="s">
        <v>162</v>
      </c>
      <c r="L13" s="6"/>
      <c r="N13" s="19" t="s">
        <v>106</v>
      </c>
    </row>
    <row r="14" spans="1:14" ht="20.149999999999999" customHeight="1" x14ac:dyDescent="0.4">
      <c r="C14" s="50" t="s">
        <v>200</v>
      </c>
      <c r="D14" s="50"/>
      <c r="E14" s="52" t="s">
        <v>201</v>
      </c>
      <c r="F14" s="53"/>
      <c r="J14" s="25" t="s">
        <v>163</v>
      </c>
      <c r="L14" s="6"/>
      <c r="N14" s="19" t="s">
        <v>107</v>
      </c>
    </row>
    <row r="15" spans="1:14" ht="20.149999999999999" customHeight="1" x14ac:dyDescent="0.4">
      <c r="C15" s="50" t="s">
        <v>196</v>
      </c>
      <c r="D15" s="50"/>
      <c r="E15" s="52"/>
      <c r="F15" s="53"/>
      <c r="H15" s="21"/>
      <c r="J15" s="25" t="s">
        <v>164</v>
      </c>
      <c r="L15" s="6"/>
      <c r="N15" s="19" t="s">
        <v>393</v>
      </c>
    </row>
    <row r="16" spans="1:14" ht="20.149999999999999" customHeight="1" x14ac:dyDescent="0.4">
      <c r="C16" s="50" t="s">
        <v>197</v>
      </c>
      <c r="D16" s="50"/>
      <c r="E16" s="54" t="s">
        <v>450</v>
      </c>
      <c r="F16" s="55"/>
      <c r="H16" s="21"/>
      <c r="J16" s="25" t="s">
        <v>412</v>
      </c>
      <c r="L16" s="6"/>
      <c r="N16" s="19" t="s">
        <v>108</v>
      </c>
    </row>
    <row r="17" spans="3:14" ht="20.149999999999999" customHeight="1" x14ac:dyDescent="0.4">
      <c r="C17" s="50" t="s">
        <v>198</v>
      </c>
      <c r="D17" s="50"/>
      <c r="E17" s="52" t="s">
        <v>213</v>
      </c>
      <c r="F17" s="53"/>
      <c r="H17" s="21"/>
      <c r="J17" s="25" t="s">
        <v>402</v>
      </c>
      <c r="L17" s="6"/>
      <c r="N17" s="19" t="s">
        <v>109</v>
      </c>
    </row>
    <row r="18" spans="3:14" ht="20.149999999999999" customHeight="1" x14ac:dyDescent="0.4">
      <c r="C18" s="50" t="s">
        <v>199</v>
      </c>
      <c r="D18" s="50"/>
      <c r="E18" s="52" t="s">
        <v>217</v>
      </c>
      <c r="F18" s="53"/>
      <c r="L18" s="6"/>
      <c r="N18" s="19" t="s">
        <v>110</v>
      </c>
    </row>
    <row r="19" spans="3:14" ht="20.149999999999999" customHeight="1" x14ac:dyDescent="0.4">
      <c r="C19" s="50" t="s">
        <v>203</v>
      </c>
      <c r="D19" s="50"/>
      <c r="E19" s="52" t="s">
        <v>218</v>
      </c>
      <c r="F19" s="53"/>
      <c r="L19" s="6"/>
      <c r="N19" s="19" t="s">
        <v>111</v>
      </c>
    </row>
    <row r="20" spans="3:14" ht="20.149999999999999" customHeight="1" x14ac:dyDescent="0.4">
      <c r="C20" s="50" t="s">
        <v>204</v>
      </c>
      <c r="D20" s="50"/>
      <c r="E20" s="52" t="s">
        <v>205</v>
      </c>
      <c r="F20" s="53"/>
      <c r="L20" s="6"/>
      <c r="N20" s="19" t="s">
        <v>112</v>
      </c>
    </row>
    <row r="21" spans="3:14" ht="20.149999999999999" customHeight="1" x14ac:dyDescent="0.4">
      <c r="C21" s="50" t="s">
        <v>207</v>
      </c>
      <c r="D21" s="50"/>
      <c r="E21" s="52" t="s">
        <v>208</v>
      </c>
      <c r="F21" s="53"/>
      <c r="L21" s="6"/>
      <c r="N21" s="19" t="s">
        <v>113</v>
      </c>
    </row>
    <row r="22" spans="3:14" ht="20.149999999999999" customHeight="1" x14ac:dyDescent="0.4">
      <c r="C22" s="50" t="s">
        <v>209</v>
      </c>
      <c r="D22" s="50"/>
      <c r="E22" s="52" t="s">
        <v>210</v>
      </c>
      <c r="F22" s="53"/>
      <c r="L22" s="6"/>
      <c r="N22" s="19" t="s">
        <v>114</v>
      </c>
    </row>
    <row r="23" spans="3:14" ht="20.149999999999999" customHeight="1" x14ac:dyDescent="0.4">
      <c r="C23" s="50" t="s">
        <v>202</v>
      </c>
      <c r="D23" s="56"/>
      <c r="E23" s="115" t="str">
        <f>INDEX(codes_prop_stts,select_prop_stts)</f>
        <v>02</v>
      </c>
      <c r="F23" s="57"/>
      <c r="N23" s="19" t="s">
        <v>93</v>
      </c>
    </row>
    <row r="24" spans="3:14" ht="20.149999999999999" customHeight="1" x14ac:dyDescent="0.4">
      <c r="C24" s="3"/>
      <c r="D24" s="3"/>
      <c r="E24" s="3"/>
      <c r="F24" s="3"/>
      <c r="N24" s="19" t="s">
        <v>115</v>
      </c>
    </row>
    <row r="25" spans="3:14" ht="20.149999999999999" customHeight="1" x14ac:dyDescent="0.4">
      <c r="D25"/>
      <c r="E25"/>
      <c r="N25" s="19" t="s">
        <v>116</v>
      </c>
    </row>
    <row r="26" spans="3:14" ht="19.75" customHeight="1" x14ac:dyDescent="0.4">
      <c r="D26"/>
      <c r="E26"/>
      <c r="N26" s="19" t="s">
        <v>117</v>
      </c>
    </row>
    <row r="27" spans="3:14" x14ac:dyDescent="0.4">
      <c r="C27" s="25"/>
      <c r="D27"/>
      <c r="E27" s="25"/>
      <c r="F27" s="25"/>
      <c r="J27" s="23"/>
      <c r="N27" s="19" t="s">
        <v>118</v>
      </c>
    </row>
    <row r="28" spans="3:14" x14ac:dyDescent="0.4">
      <c r="C28" s="25"/>
      <c r="D28"/>
      <c r="E28" s="25"/>
      <c r="F28" s="25"/>
      <c r="J28" s="23"/>
      <c r="N28" s="19" t="s">
        <v>119</v>
      </c>
    </row>
    <row r="29" spans="3:14" x14ac:dyDescent="0.4">
      <c r="C29" s="25"/>
      <c r="D29"/>
      <c r="E29" s="25"/>
      <c r="H29" s="12"/>
      <c r="I29" s="5"/>
      <c r="J29" s="23"/>
      <c r="N29" s="19" t="s">
        <v>120</v>
      </c>
    </row>
    <row r="30" spans="3:14" x14ac:dyDescent="0.4">
      <c r="I30" s="5"/>
      <c r="J30" s="23"/>
      <c r="N30" s="120">
        <f>SUBTOTAL(103,EpscorTable[Epscor])</f>
        <v>27</v>
      </c>
    </row>
    <row r="31" spans="3:14" x14ac:dyDescent="0.4">
      <c r="I31" s="5"/>
    </row>
  </sheetData>
  <mergeCells count="1">
    <mergeCell ref="C10:E10"/>
  </mergeCells>
  <conditionalFormatting sqref="E12:F22">
    <cfRule type="expression" dxfId="4" priority="1">
      <formula>SEARCH("eg:",E12)=1</formula>
    </cfRule>
  </conditionalFormatting>
  <dataValidations count="1">
    <dataValidation type="list" allowBlank="1" showInputMessage="1" showErrorMessage="1" sqref="C25 E25:F25">
      <formula1>INDIRECT("AvailableTemplates[Available templates:]")</formula1>
    </dataValidation>
  </dataValidations>
  <pageMargins left="0.25" right="0.25" top="0.75" bottom="0.75" header="0.3" footer="0.3"/>
  <pageSetup scale="8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autoFill="0" autoPict="0" macro="[0]!Picker_dirRAtemplate">
                <anchor moveWithCells="1">
                  <from>
                    <xdr:col>7</xdr:col>
                    <xdr:colOff>179614</xdr:colOff>
                    <xdr:row>5</xdr:row>
                    <xdr:rowOff>21771</xdr:rowOff>
                  </from>
                  <to>
                    <xdr:col>8</xdr:col>
                    <xdr:colOff>310243</xdr:colOff>
                    <xdr:row>6</xdr:row>
                    <xdr:rowOff>10886</xdr:rowOff>
                  </to>
                </anchor>
              </controlPr>
            </control>
          </mc:Choice>
        </mc:AlternateContent>
        <mc:AlternateContent xmlns:mc="http://schemas.openxmlformats.org/markup-compatibility/2006">
          <mc:Choice Requires="x14">
            <control shapeId="1056" r:id="rId5" name="Drop Down 32">
              <controlPr defaultSize="0" autoLine="0" autoPict="0">
                <anchor moveWithCells="1">
                  <from>
                    <xdr:col>3</xdr:col>
                    <xdr:colOff>217714</xdr:colOff>
                    <xdr:row>22</xdr:row>
                    <xdr:rowOff>10886</xdr:rowOff>
                  </from>
                  <to>
                    <xdr:col>6</xdr:col>
                    <xdr:colOff>255814</xdr:colOff>
                    <xdr:row>23</xdr:row>
                    <xdr:rowOff>10886</xdr:rowOff>
                  </to>
                </anchor>
              </controlPr>
            </control>
          </mc:Choice>
        </mc:AlternateContent>
        <mc:AlternateContent xmlns:mc="http://schemas.openxmlformats.org/markup-compatibility/2006">
          <mc:Choice Requires="x14">
            <control shapeId="1059" r:id="rId6" name="Button 35">
              <controlPr defaultSize="0" autoFill="0" autoPict="0" macro="[0]!Picker_dirRAoutput">
                <anchor moveWithCells="1">
                  <from>
                    <xdr:col>7</xdr:col>
                    <xdr:colOff>179614</xdr:colOff>
                    <xdr:row>6</xdr:row>
                    <xdr:rowOff>195943</xdr:rowOff>
                  </from>
                  <to>
                    <xdr:col>8</xdr:col>
                    <xdr:colOff>310243</xdr:colOff>
                    <xdr:row>8</xdr:row>
                    <xdr:rowOff>5443</xdr:rowOff>
                  </to>
                </anchor>
              </controlPr>
            </control>
          </mc:Choice>
        </mc:AlternateContent>
      </controls>
    </mc:Choice>
  </mc:AlternateContent>
  <tableParts count="2">
    <tablePart r:id="rId7"/>
    <tablePart r:id="rId8"/>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nflict">
    <tabColor theme="4" tint="-0.499984740745262"/>
  </sheetPr>
  <dimension ref="A1:AZ2"/>
  <sheetViews>
    <sheetView workbookViewId="0">
      <selection activeCell="E20" sqref="E20"/>
    </sheetView>
  </sheetViews>
  <sheetFormatPr defaultRowHeight="14.6" x14ac:dyDescent="0.4"/>
  <cols>
    <col min="1" max="1" width="10.921875" customWidth="1"/>
    <col min="2" max="2" width="23.3828125" customWidth="1"/>
    <col min="3" max="3" width="29.84375" customWidth="1"/>
  </cols>
  <sheetData>
    <row r="1" spans="1:3" ht="34" customHeight="1" x14ac:dyDescent="0.4">
      <c r="A1" s="62" t="s">
        <v>420</v>
      </c>
    </row>
    <row r="2" spans="1:3" x14ac:dyDescent="0.4">
      <c r="A2" s="6" t="s">
        <v>430</v>
      </c>
      <c r="B2" s="6" t="s">
        <v>431</v>
      </c>
      <c r="C2" s="6" t="s">
        <v>432</v>
      </c>
    </row>
  </sheetData>
  <pageMargins left="0.7" right="0.7" top="0.75" bottom="0.75" header="0.3" footer="0.3"/>
  <pageSetup orientation="portrait"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RCs">
    <tabColor theme="4" tint="-0.499984740745262"/>
  </sheetPr>
  <dimension ref="A1:AX3"/>
  <sheetViews>
    <sheetView workbookViewId="0">
      <selection activeCell="E4" sqref="E4"/>
    </sheetView>
  </sheetViews>
  <sheetFormatPr defaultRowHeight="14.6" x14ac:dyDescent="0.4"/>
  <cols>
    <col min="1" max="1" width="6.69140625" customWidth="1"/>
    <col min="2" max="2" width="38.3828125" customWidth="1"/>
    <col min="3" max="3" width="11.3828125" customWidth="1"/>
    <col min="4" max="4" width="6.69140625" customWidth="1"/>
    <col min="5" max="5" width="41.84375" customWidth="1"/>
    <col min="6" max="6" width="7.3046875" customWidth="1"/>
    <col min="7" max="7" width="41" customWidth="1"/>
    <col min="8" max="10" width="5.84375" style="30" customWidth="1"/>
    <col min="11" max="11" width="3.3046875" style="30" customWidth="1"/>
    <col min="12" max="12" width="3.53515625" style="30" customWidth="1"/>
    <col min="13" max="13" width="13.53515625" customWidth="1"/>
    <col min="14" max="14" width="3.84375" customWidth="1"/>
    <col min="15" max="16" width="7.3828125" hidden="1" customWidth="1"/>
    <col min="17" max="17" width="5.3828125" customWidth="1"/>
    <col min="18" max="18" width="11" customWidth="1"/>
    <col min="19" max="19" width="14.3046875" style="22" customWidth="1"/>
    <col min="20" max="20" width="5.3046875" style="38" customWidth="1"/>
    <col min="21" max="21" width="4.53515625" style="38" customWidth="1"/>
    <col min="22" max="22" width="11.84375" customWidth="1"/>
    <col min="23" max="23" width="4.3828125" customWidth="1"/>
    <col min="24" max="24" width="3.69140625" customWidth="1"/>
    <col min="25" max="25" width="8.69140625" style="30" customWidth="1"/>
    <col min="26" max="26" width="3.69140625" customWidth="1"/>
    <col min="27" max="27" width="9.3046875" style="30"/>
    <col min="28" max="28" width="9.53515625" style="30" customWidth="1"/>
    <col min="29" max="29" width="11.53515625" customWidth="1"/>
    <col min="30" max="30" width="12.15234375" customWidth="1"/>
    <col min="31" max="31" width="9.84375" customWidth="1"/>
    <col min="32" max="32" width="10.15234375" customWidth="1"/>
    <col min="33" max="33" width="4.3828125" customWidth="1"/>
    <col min="34" max="39" width="3" customWidth="1"/>
    <col min="40" max="40" width="9.3046875" style="1"/>
    <col min="42" max="42" width="85.53515625" customWidth="1"/>
    <col min="43" max="43" width="10.3828125" customWidth="1"/>
    <col min="44" max="44" width="9.53515625" style="13" customWidth="1"/>
    <col min="45" max="45" width="10.3828125" customWidth="1"/>
    <col min="46" max="46" width="15.3828125" customWidth="1"/>
    <col min="47" max="47" width="11.69140625" customWidth="1"/>
    <col min="48" max="48" width="9.3046875" hidden="1" customWidth="1"/>
    <col min="49" max="49" width="11" hidden="1" customWidth="1"/>
    <col min="50" max="53" width="4.3046875" customWidth="1"/>
  </cols>
  <sheetData>
    <row r="1" spans="1:50" ht="34" customHeight="1" x14ac:dyDescent="0.4">
      <c r="A1" s="62" t="s">
        <v>243</v>
      </c>
      <c r="D1" s="62" t="s">
        <v>373</v>
      </c>
      <c r="V1" s="39" t="s">
        <v>192</v>
      </c>
      <c r="AH1" s="39" t="s">
        <v>187</v>
      </c>
      <c r="AI1" s="39"/>
      <c r="AJ1" s="39"/>
      <c r="AK1" s="39"/>
      <c r="AL1" s="39"/>
      <c r="AM1" s="39"/>
      <c r="AN1" s="40" t="s">
        <v>188</v>
      </c>
      <c r="AO1" s="39"/>
      <c r="AP1" s="39"/>
      <c r="AQ1" s="39"/>
      <c r="AR1" s="41" t="s">
        <v>186</v>
      </c>
      <c r="AS1" s="39"/>
      <c r="AT1" s="39"/>
      <c r="AU1" s="39"/>
      <c r="AV1" s="39"/>
      <c r="AW1" s="39"/>
      <c r="AX1" s="39" t="s">
        <v>189</v>
      </c>
    </row>
    <row r="2" spans="1:50" x14ac:dyDescent="0.4">
      <c r="A2" s="25" t="s">
        <v>244</v>
      </c>
      <c r="B2" t="s">
        <v>245</v>
      </c>
      <c r="D2" s="6" t="s">
        <v>298</v>
      </c>
      <c r="E2" s="6" t="s">
        <v>374</v>
      </c>
      <c r="H2"/>
      <c r="I2"/>
      <c r="J2"/>
      <c r="K2"/>
      <c r="L2"/>
      <c r="S2"/>
      <c r="T2"/>
      <c r="U2"/>
      <c r="Y2"/>
      <c r="AA2"/>
      <c r="AB2"/>
      <c r="AN2"/>
      <c r="AR2"/>
    </row>
    <row r="3" spans="1:50" x14ac:dyDescent="0.4">
      <c r="A3" s="103"/>
      <c r="D3" s="103"/>
      <c r="H3"/>
      <c r="I3"/>
      <c r="J3"/>
      <c r="K3"/>
      <c r="L3"/>
      <c r="S3"/>
      <c r="T3"/>
      <c r="U3"/>
      <c r="Y3"/>
      <c r="AA3"/>
      <c r="AB3"/>
      <c r="AN3"/>
      <c r="AR3"/>
    </row>
  </sheetData>
  <pageMargins left="0.7" right="0.7" top="0.75" bottom="0.75" header="0.3" footer="0.3"/>
  <pageSetup orientation="portrait" r:id="rId1"/>
  <drawing r:id="rId2"/>
  <tableParts count="2">
    <tablePart r:id="rId3"/>
    <tablePart r:id="rId4"/>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kSplits">
    <tabColor theme="6" tint="-0.499984740745262"/>
    <pageSetUpPr fitToPage="1"/>
  </sheetPr>
  <dimension ref="A1:BX10"/>
  <sheetViews>
    <sheetView workbookViewId="0">
      <selection activeCell="E21" sqref="E21"/>
    </sheetView>
  </sheetViews>
  <sheetFormatPr defaultRowHeight="14.6" x14ac:dyDescent="0.4"/>
  <cols>
    <col min="1" max="2" width="8.69140625" style="30" customWidth="1"/>
    <col min="3" max="3" width="12.3828125" customWidth="1"/>
    <col min="4" max="4" width="12.15234375" style="30" customWidth="1"/>
    <col min="5" max="5" width="5.3828125" style="30" customWidth="1"/>
    <col min="6" max="6" width="5.3046875" style="30" customWidth="1"/>
    <col min="7" max="7" width="8.84375" style="30" bestFit="1" customWidth="1"/>
    <col min="8" max="8" width="8.84375" bestFit="1" customWidth="1"/>
    <col min="9" max="9" width="5.3046875" customWidth="1"/>
    <col min="10" max="10" width="5.53515625" customWidth="1"/>
    <col min="11" max="12" width="9.3046875" bestFit="1" customWidth="1"/>
    <col min="13" max="13" width="6.3046875" style="22" customWidth="1"/>
    <col min="14" max="14" width="5.84375" style="38" customWidth="1"/>
    <col min="15" max="16" width="6.15234375" customWidth="1"/>
    <col min="17" max="17" width="3.3828125" customWidth="1"/>
    <col min="18" max="18" width="11.3828125" customWidth="1"/>
    <col min="19" max="19" width="4.3828125" style="21" customWidth="1"/>
    <col min="20" max="20" width="2.3046875" customWidth="1"/>
    <col min="21" max="21" width="7.84375" customWidth="1"/>
    <col min="22" max="22" width="3.15234375" customWidth="1"/>
    <col min="23" max="23" width="4.3046875" customWidth="1"/>
    <col min="24" max="24" width="9.53515625" bestFit="1" customWidth="1"/>
    <col min="25" max="25" width="10.84375" customWidth="1"/>
    <col min="26" max="26" width="10.15234375" customWidth="1"/>
    <col min="27" max="27" width="22.69140625" customWidth="1"/>
    <col min="28" max="28" width="9.3046875" customWidth="1"/>
    <col min="29" max="29" width="14.3046875" hidden="1" customWidth="1"/>
    <col min="30" max="30" width="18.15234375" bestFit="1" customWidth="1"/>
    <col min="31" max="31" width="18.53515625" bestFit="1" customWidth="1"/>
    <col min="32" max="32" width="9.15234375" bestFit="1" customWidth="1"/>
    <col min="33" max="33" width="23.53515625" bestFit="1" customWidth="1"/>
    <col min="34" max="34" width="80.53515625" bestFit="1" customWidth="1"/>
    <col min="35" max="36" width="11.84375" customWidth="1"/>
    <col min="37" max="37" width="22.53515625" style="21" customWidth="1"/>
    <col min="38" max="38" width="14.23046875" style="81" customWidth="1"/>
    <col min="39" max="39" width="15.15234375" style="81" customWidth="1"/>
    <col min="40" max="40" width="10.69140625" style="81" customWidth="1"/>
    <col min="41" max="42" width="9.61328125" style="81" customWidth="1"/>
    <col min="43" max="43" width="9.61328125" style="21" customWidth="1"/>
    <col min="44" max="44" width="11.15234375" style="21" customWidth="1"/>
    <col min="45" max="47" width="5.53515625" style="21" customWidth="1"/>
    <col min="48" max="49" width="11.84375" customWidth="1"/>
    <col min="50" max="50" width="4.3828125" customWidth="1"/>
    <col min="51" max="51" width="3.69140625" customWidth="1"/>
    <col min="52" max="52" width="8.69140625" style="30" customWidth="1"/>
    <col min="53" max="53" width="3.69140625" customWidth="1"/>
    <col min="54" max="54" width="9.3046875" style="30"/>
    <col min="55" max="55" width="9.53515625" style="30" customWidth="1"/>
    <col min="56" max="56" width="11.53515625" customWidth="1"/>
    <col min="57" max="57" width="12.15234375" customWidth="1"/>
    <col min="58" max="58" width="9.84375" customWidth="1"/>
    <col min="59" max="59" width="10.15234375" customWidth="1"/>
    <col min="60" max="60" width="4.3828125" customWidth="1"/>
    <col min="61" max="66" width="3" customWidth="1"/>
    <col min="67" max="67" width="9.3046875" style="1"/>
    <col min="69" max="69" width="85.53515625" customWidth="1"/>
    <col min="70" max="70" width="10.3828125" customWidth="1"/>
    <col min="71" max="71" width="9.53515625" style="13" customWidth="1"/>
    <col min="72" max="72" width="10.3828125" customWidth="1"/>
    <col min="73" max="73" width="15.3828125" customWidth="1"/>
    <col min="74" max="74" width="11.69140625" customWidth="1"/>
    <col min="75" max="75" width="9.3046875" hidden="1" customWidth="1"/>
    <col min="76" max="76" width="11" hidden="1" customWidth="1"/>
    <col min="77" max="80" width="4.3046875" customWidth="1"/>
  </cols>
  <sheetData>
    <row r="1" spans="1:71" ht="36.450000000000003" customHeight="1" x14ac:dyDescent="0.4">
      <c r="A1" s="30" t="s">
        <v>85</v>
      </c>
      <c r="B1" s="30" t="s">
        <v>6</v>
      </c>
      <c r="C1" t="s">
        <v>15</v>
      </c>
      <c r="D1" s="14" t="s">
        <v>7</v>
      </c>
      <c r="E1" t="s">
        <v>324</v>
      </c>
      <c r="F1" t="s">
        <v>325</v>
      </c>
      <c r="G1" t="s">
        <v>299</v>
      </c>
      <c r="H1" t="s">
        <v>300</v>
      </c>
      <c r="I1" t="s">
        <v>301</v>
      </c>
      <c r="J1" t="s">
        <v>302</v>
      </c>
      <c r="K1" t="s">
        <v>303</v>
      </c>
      <c r="L1" t="s">
        <v>304</v>
      </c>
      <c r="M1" t="s">
        <v>160</v>
      </c>
      <c r="N1" t="s">
        <v>158</v>
      </c>
      <c r="O1" t="s">
        <v>305</v>
      </c>
      <c r="P1" s="21" t="s">
        <v>307</v>
      </c>
      <c r="Q1" t="s">
        <v>308</v>
      </c>
      <c r="R1" s="32" t="s">
        <v>309</v>
      </c>
      <c r="S1" s="21" t="s">
        <v>97</v>
      </c>
      <c r="T1" t="s">
        <v>86</v>
      </c>
      <c r="U1" t="s">
        <v>8</v>
      </c>
      <c r="V1" t="s">
        <v>1</v>
      </c>
      <c r="W1" t="s">
        <v>138</v>
      </c>
      <c r="X1" t="s">
        <v>0</v>
      </c>
      <c r="Y1" t="s">
        <v>9</v>
      </c>
      <c r="Z1" t="s">
        <v>16</v>
      </c>
      <c r="AA1" t="s">
        <v>246</v>
      </c>
      <c r="AB1" s="14" t="s">
        <v>327</v>
      </c>
      <c r="AC1" t="s">
        <v>140</v>
      </c>
      <c r="AD1" t="s">
        <v>247</v>
      </c>
      <c r="AE1" t="s">
        <v>310</v>
      </c>
      <c r="AF1" t="s">
        <v>306</v>
      </c>
      <c r="AG1" t="s">
        <v>161</v>
      </c>
      <c r="AH1" t="s">
        <v>34</v>
      </c>
      <c r="AK1" s="87" t="s">
        <v>330</v>
      </c>
      <c r="AL1"/>
      <c r="AM1" s="87" t="s">
        <v>328</v>
      </c>
      <c r="AN1"/>
      <c r="AO1"/>
      <c r="AP1"/>
      <c r="AQ1"/>
      <c r="AR1"/>
      <c r="AS1"/>
      <c r="AT1"/>
      <c r="AU1"/>
      <c r="AZ1"/>
      <c r="BB1"/>
      <c r="BC1"/>
      <c r="BO1"/>
      <c r="BS1"/>
    </row>
    <row r="2" spans="1:71" x14ac:dyDescent="0.4">
      <c r="D2"/>
      <c r="E2" s="8"/>
      <c r="F2" s="8"/>
      <c r="G2"/>
      <c r="M2"/>
      <c r="N2" s="8"/>
      <c r="O2" s="8"/>
      <c r="P2" s="21"/>
      <c r="Q2" s="8"/>
      <c r="R2" s="32"/>
      <c r="T2" s="8"/>
      <c r="U2" s="8"/>
      <c r="V2" s="86"/>
      <c r="W2" s="8"/>
      <c r="X2" s="8"/>
      <c r="Y2" s="8"/>
      <c r="Z2" s="8"/>
      <c r="AA2" s="8"/>
      <c r="AB2" s="86"/>
      <c r="AC2" s="8"/>
      <c r="AD2" s="8"/>
      <c r="AE2" s="8"/>
      <c r="AF2" s="8"/>
      <c r="AG2" s="8"/>
      <c r="AH2" s="8"/>
      <c r="AK2" s="87" t="s">
        <v>331</v>
      </c>
      <c r="AL2" s="87" t="s">
        <v>9</v>
      </c>
      <c r="AM2" t="s">
        <v>409</v>
      </c>
      <c r="AN2" t="s">
        <v>329</v>
      </c>
      <c r="AO2"/>
      <c r="AP2"/>
      <c r="AQ2"/>
      <c r="AR2"/>
      <c r="AS2"/>
      <c r="AT2"/>
      <c r="AU2"/>
      <c r="AZ2"/>
      <c r="BB2"/>
      <c r="BC2"/>
      <c r="BO2"/>
      <c r="BS2"/>
    </row>
    <row r="3" spans="1:71" x14ac:dyDescent="0.4">
      <c r="AK3" s="25" t="s">
        <v>409</v>
      </c>
      <c r="AL3" s="25" t="s">
        <v>409</v>
      </c>
      <c r="AM3" s="31"/>
      <c r="AN3" s="31"/>
      <c r="AO3"/>
      <c r="AP3"/>
      <c r="AQ3"/>
      <c r="AR3"/>
      <c r="AS3"/>
      <c r="AT3"/>
      <c r="AU3"/>
      <c r="AZ3"/>
      <c r="BB3"/>
      <c r="BC3"/>
      <c r="BO3"/>
      <c r="BS3"/>
    </row>
    <row r="4" spans="1:71" x14ac:dyDescent="0.4">
      <c r="AK4"/>
      <c r="AL4" s="88" t="s">
        <v>409</v>
      </c>
      <c r="AM4" s="31"/>
      <c r="AN4" s="31"/>
      <c r="AO4"/>
      <c r="AP4"/>
      <c r="AQ4"/>
      <c r="AR4"/>
      <c r="AS4"/>
      <c r="AT4"/>
      <c r="AU4"/>
      <c r="AZ4"/>
      <c r="BB4"/>
      <c r="BC4"/>
      <c r="BO4"/>
      <c r="BS4"/>
    </row>
    <row r="5" spans="1:71" x14ac:dyDescent="0.4">
      <c r="AK5" s="25" t="s">
        <v>329</v>
      </c>
      <c r="AL5"/>
      <c r="AM5" s="31"/>
      <c r="AN5" s="31"/>
      <c r="AO5"/>
      <c r="AP5"/>
      <c r="AQ5"/>
      <c r="AR5"/>
      <c r="AS5"/>
      <c r="AT5"/>
      <c r="AU5"/>
      <c r="AZ5"/>
      <c r="BB5"/>
      <c r="BC5"/>
      <c r="BO5"/>
      <c r="BS5"/>
    </row>
    <row r="6" spans="1:71" x14ac:dyDescent="0.4">
      <c r="AK6"/>
      <c r="AL6"/>
      <c r="AM6"/>
      <c r="AN6"/>
      <c r="AO6"/>
      <c r="AP6"/>
      <c r="AQ6"/>
      <c r="AR6"/>
      <c r="AS6"/>
      <c r="AT6"/>
      <c r="AU6"/>
      <c r="AZ6"/>
      <c r="BB6"/>
      <c r="BC6"/>
      <c r="BO6"/>
      <c r="BS6"/>
    </row>
    <row r="7" spans="1:71" x14ac:dyDescent="0.4">
      <c r="AK7"/>
      <c r="AL7"/>
      <c r="AM7"/>
      <c r="AN7"/>
      <c r="AO7"/>
      <c r="AP7"/>
      <c r="AQ7"/>
      <c r="AR7"/>
      <c r="AS7"/>
      <c r="AT7"/>
      <c r="AU7"/>
      <c r="AZ7"/>
      <c r="BB7"/>
      <c r="BC7"/>
      <c r="BO7"/>
      <c r="BS7"/>
    </row>
    <row r="8" spans="1:71" x14ac:dyDescent="0.4">
      <c r="AK8"/>
      <c r="AL8"/>
      <c r="AM8"/>
      <c r="AN8"/>
      <c r="AO8"/>
      <c r="AP8"/>
      <c r="AQ8"/>
      <c r="AR8"/>
      <c r="AS8"/>
      <c r="AT8"/>
      <c r="AU8"/>
      <c r="AZ8"/>
      <c r="BB8"/>
      <c r="BC8"/>
      <c r="BO8"/>
      <c r="BS8"/>
    </row>
    <row r="9" spans="1:71" x14ac:dyDescent="0.4">
      <c r="AK9"/>
      <c r="AL9"/>
      <c r="AM9"/>
      <c r="AN9"/>
      <c r="AO9"/>
      <c r="AP9"/>
      <c r="AQ9"/>
      <c r="AR9"/>
      <c r="AS9"/>
      <c r="AT9"/>
      <c r="AU9"/>
      <c r="AZ9"/>
      <c r="BB9"/>
      <c r="BC9"/>
      <c r="BO9"/>
      <c r="BS9"/>
    </row>
    <row r="10" spans="1:71" x14ac:dyDescent="0.4">
      <c r="AK10"/>
      <c r="AL10"/>
      <c r="AM10"/>
      <c r="AN10"/>
      <c r="AO10"/>
      <c r="AP10"/>
      <c r="AQ10"/>
      <c r="AR10"/>
    </row>
  </sheetData>
  <conditionalFormatting sqref="F2 H2 J2 L2 AE2">
    <cfRule type="expression" dxfId="3" priority="1">
      <formula>E2&lt;&gt;F2</formula>
    </cfRule>
  </conditionalFormatting>
  <conditionalFormatting sqref="A2:AH2">
    <cfRule type="expression" dxfId="2" priority="2">
      <formula>$U1&lt;&gt;$U2</formula>
    </cfRule>
    <cfRule type="expression" dxfId="1" priority="3">
      <formula>MOD($S2,2)</formula>
    </cfRule>
  </conditionalFormatting>
  <pageMargins left="0.25" right="0.25" top="0.75" bottom="0.75" header="0.3" footer="0.3"/>
  <pageSetup paperSize="5" scale="34" fitToHeight="0" orientation="landscape" r:id="rId2"/>
  <drawing r:id="rId3"/>
  <legacyDrawing r:id="rId4"/>
  <tableParts count="1">
    <tablePart r:id="rId5"/>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rojText">
    <tabColor theme="7" tint="-0.499984740745262"/>
  </sheetPr>
  <dimension ref="A1:P3"/>
  <sheetViews>
    <sheetView workbookViewId="0">
      <selection activeCell="P17" sqref="P17"/>
    </sheetView>
  </sheetViews>
  <sheetFormatPr defaultRowHeight="14.6" x14ac:dyDescent="0.4"/>
  <cols>
    <col min="1" max="1" width="4.3828125" customWidth="1"/>
    <col min="2" max="2" width="7.84375" bestFit="1" customWidth="1"/>
    <col min="3" max="3" width="12.15234375" customWidth="1"/>
    <col min="4" max="4" width="10.15234375" bestFit="1" customWidth="1"/>
    <col min="5" max="5" width="12.84375" bestFit="1" customWidth="1"/>
    <col min="6" max="6" width="13.53515625" bestFit="1" customWidth="1"/>
    <col min="7" max="7" width="14.84375" bestFit="1" customWidth="1"/>
    <col min="8" max="8" width="25.69140625" customWidth="1"/>
    <col min="9" max="10" width="3.84375" customWidth="1"/>
    <col min="11" max="11" width="8.69140625" style="28" customWidth="1"/>
    <col min="12" max="12" width="16.15234375" customWidth="1"/>
    <col min="13" max="14" width="6.3046875" style="21" customWidth="1"/>
    <col min="15" max="15" width="5.15234375" customWidth="1"/>
    <col min="16" max="16" width="80.53515625" bestFit="1" customWidth="1"/>
  </cols>
  <sheetData>
    <row r="1" spans="1:16" ht="51.45" customHeight="1" x14ac:dyDescent="0.4">
      <c r="A1" t="s">
        <v>97</v>
      </c>
      <c r="B1" t="s">
        <v>8</v>
      </c>
      <c r="C1" t="s">
        <v>9</v>
      </c>
      <c r="D1" t="s">
        <v>167</v>
      </c>
      <c r="E1" t="s">
        <v>168</v>
      </c>
      <c r="F1" t="s">
        <v>169</v>
      </c>
      <c r="G1" t="s">
        <v>170</v>
      </c>
      <c r="H1" t="s">
        <v>171</v>
      </c>
      <c r="I1" t="s">
        <v>172</v>
      </c>
      <c r="J1" t="s">
        <v>173</v>
      </c>
      <c r="K1" s="28" t="s">
        <v>174</v>
      </c>
      <c r="L1" t="s">
        <v>175</v>
      </c>
      <c r="M1" s="21" t="s">
        <v>176</v>
      </c>
      <c r="N1" s="21" t="s">
        <v>177</v>
      </c>
      <c r="O1" t="s">
        <v>178</v>
      </c>
      <c r="P1" t="s">
        <v>179</v>
      </c>
    </row>
    <row r="2" spans="1:16" x14ac:dyDescent="0.4">
      <c r="K2" s="30"/>
      <c r="L2" s="8"/>
    </row>
    <row r="3" spans="1:16" x14ac:dyDescent="0.4">
      <c r="B3" t="s">
        <v>180</v>
      </c>
      <c r="K3" s="30"/>
      <c r="M3"/>
      <c r="N3"/>
      <c r="P3">
        <f>SUBTOTAL(103,ProjTextQTable[text])</f>
        <v>0</v>
      </c>
    </row>
  </sheetData>
  <conditionalFormatting sqref="A2:P2">
    <cfRule type="expression" dxfId="0" priority="1">
      <formula>MOD($A2,2)</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makeProjText">
                <anchor moveWithCells="1" sizeWithCells="1">
                  <from>
                    <xdr:col>2</xdr:col>
                    <xdr:colOff>190500</xdr:colOff>
                    <xdr:row>0</xdr:row>
                    <xdr:rowOff>125186</xdr:rowOff>
                  </from>
                  <to>
                    <xdr:col>4</xdr:col>
                    <xdr:colOff>10886</xdr:colOff>
                    <xdr:row>0</xdr:row>
                    <xdr:rowOff>402771</xdr:rowOff>
                  </to>
                </anchor>
              </controlPr>
            </control>
          </mc:Choice>
        </mc:AlternateContent>
      </controls>
    </mc:Choice>
  </mc:AlternateContent>
  <tableParts count="1">
    <tablePart r:id="rId5"/>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iddenSettings">
    <tabColor theme="1"/>
  </sheetPr>
  <dimension ref="A1:E41"/>
  <sheetViews>
    <sheetView zoomScale="80" zoomScaleNormal="80" workbookViewId="0">
      <selection activeCell="E6" sqref="E6"/>
    </sheetView>
  </sheetViews>
  <sheetFormatPr defaultColWidth="9.3046875" defaultRowHeight="14.6" x14ac:dyDescent="0.4"/>
  <cols>
    <col min="1" max="1" width="16.69140625" style="63" customWidth="1"/>
    <col min="2" max="2" width="16.53515625" style="63" customWidth="1"/>
    <col min="3" max="3" width="98.53515625" style="82" customWidth="1"/>
    <col min="4" max="4" width="13.07421875" style="61" customWidth="1"/>
    <col min="5" max="5" width="12" style="61" customWidth="1"/>
    <col min="6" max="16384" width="9.3046875" style="61"/>
  </cols>
  <sheetData>
    <row r="1" spans="1:5" x14ac:dyDescent="0.4">
      <c r="A1" s="63" t="s">
        <v>224</v>
      </c>
    </row>
    <row r="2" spans="1:5" x14ac:dyDescent="0.4">
      <c r="A2" s="64" t="s">
        <v>225</v>
      </c>
      <c r="B2" s="65" t="s">
        <v>413</v>
      </c>
    </row>
    <row r="3" spans="1:5" x14ac:dyDescent="0.4">
      <c r="A3" s="64" t="s">
        <v>226</v>
      </c>
      <c r="B3" s="66" t="s">
        <v>414</v>
      </c>
    </row>
    <row r="4" spans="1:5" x14ac:dyDescent="0.4">
      <c r="A4" s="63" t="s">
        <v>227</v>
      </c>
      <c r="B4" s="65" t="s">
        <v>228</v>
      </c>
    </row>
    <row r="5" spans="1:5" x14ac:dyDescent="0.4">
      <c r="A5" s="63" t="s">
        <v>229</v>
      </c>
      <c r="B5" s="65" t="s">
        <v>230</v>
      </c>
    </row>
    <row r="6" spans="1:5" x14ac:dyDescent="0.4">
      <c r="A6" s="63" t="s">
        <v>403</v>
      </c>
      <c r="B6" s="6" t="s">
        <v>404</v>
      </c>
      <c r="D6" s="61" t="s">
        <v>380</v>
      </c>
      <c r="E6" s="61">
        <v>1</v>
      </c>
    </row>
    <row r="7" spans="1:5" ht="15.9" x14ac:dyDescent="0.45">
      <c r="B7"/>
      <c r="D7" s="114" t="s">
        <v>405</v>
      </c>
      <c r="E7" s="112" t="s">
        <v>383</v>
      </c>
    </row>
    <row r="8" spans="1:5" ht="15.9" x14ac:dyDescent="0.45">
      <c r="A8" s="67" t="s">
        <v>211</v>
      </c>
      <c r="B8" s="68" t="s">
        <v>212</v>
      </c>
      <c r="D8" s="114" t="s">
        <v>385</v>
      </c>
      <c r="E8" s="113" t="s">
        <v>381</v>
      </c>
    </row>
    <row r="9" spans="1:5" ht="15.9" x14ac:dyDescent="0.45">
      <c r="A9" s="69" t="s">
        <v>216</v>
      </c>
      <c r="B9" s="70"/>
      <c r="D9" s="114" t="s">
        <v>386</v>
      </c>
      <c r="E9" s="113" t="s">
        <v>382</v>
      </c>
    </row>
    <row r="10" spans="1:5" ht="15.9" x14ac:dyDescent="0.45">
      <c r="A10" s="69" t="s">
        <v>201</v>
      </c>
      <c r="B10" s="70"/>
      <c r="D10" s="114" t="s">
        <v>387</v>
      </c>
      <c r="E10" s="113" t="s">
        <v>384</v>
      </c>
    </row>
    <row r="11" spans="1:5" ht="15.9" x14ac:dyDescent="0.45">
      <c r="A11" s="69" t="s">
        <v>215</v>
      </c>
      <c r="B11" s="70"/>
      <c r="D11" s="114" t="s">
        <v>388</v>
      </c>
      <c r="E11" s="113" t="s">
        <v>379</v>
      </c>
    </row>
    <row r="12" spans="1:5" x14ac:dyDescent="0.4">
      <c r="A12" s="69" t="s">
        <v>214</v>
      </c>
      <c r="B12" s="70"/>
    </row>
    <row r="13" spans="1:5" x14ac:dyDescent="0.4">
      <c r="A13" s="69" t="s">
        <v>213</v>
      </c>
      <c r="B13" s="70"/>
    </row>
    <row r="14" spans="1:5" x14ac:dyDescent="0.4">
      <c r="A14" s="69" t="s">
        <v>217</v>
      </c>
      <c r="B14" s="70"/>
    </row>
    <row r="15" spans="1:5" x14ac:dyDescent="0.4">
      <c r="A15" s="69" t="s">
        <v>218</v>
      </c>
      <c r="B15" s="70"/>
      <c r="D15" s="87" t="s">
        <v>331</v>
      </c>
      <c r="E15" t="s">
        <v>367</v>
      </c>
    </row>
    <row r="16" spans="1:5" x14ac:dyDescent="0.4">
      <c r="A16" s="69" t="s">
        <v>205</v>
      </c>
      <c r="B16" s="70"/>
      <c r="D16" s="25" t="s">
        <v>409</v>
      </c>
      <c r="E16" s="21"/>
    </row>
    <row r="17" spans="1:5" x14ac:dyDescent="0.4">
      <c r="A17" s="69" t="s">
        <v>208</v>
      </c>
      <c r="B17" s="70"/>
      <c r="D17" s="25" t="s">
        <v>329</v>
      </c>
      <c r="E17" s="21"/>
    </row>
    <row r="18" spans="1:5" x14ac:dyDescent="0.4">
      <c r="A18" s="71" t="s">
        <v>210</v>
      </c>
      <c r="B18" s="72"/>
      <c r="D18"/>
      <c r="E18"/>
    </row>
    <row r="19" spans="1:5" x14ac:dyDescent="0.4">
      <c r="D19"/>
      <c r="E19"/>
    </row>
    <row r="20" spans="1:5" x14ac:dyDescent="0.4">
      <c r="D20"/>
      <c r="E20"/>
    </row>
    <row r="21" spans="1:5" x14ac:dyDescent="0.4">
      <c r="D21"/>
      <c r="E21"/>
    </row>
    <row r="22" spans="1:5" ht="22.75" customHeight="1" x14ac:dyDescent="0.4">
      <c r="A22" s="73" t="s">
        <v>170</v>
      </c>
      <c r="B22" s="74" t="s">
        <v>231</v>
      </c>
      <c r="C22" s="83" t="s">
        <v>232</v>
      </c>
    </row>
    <row r="23" spans="1:5" ht="35.700000000000003" customHeight="1" x14ac:dyDescent="0.4">
      <c r="A23" s="63" t="s">
        <v>233</v>
      </c>
      <c r="B23" s="75">
        <v>43088.782083333332</v>
      </c>
      <c r="C23" s="84" t="s">
        <v>284</v>
      </c>
    </row>
    <row r="24" spans="1:5" ht="35.700000000000003" customHeight="1" x14ac:dyDescent="0.4">
      <c r="A24" s="63" t="s">
        <v>234</v>
      </c>
      <c r="B24" s="75">
        <v>43088.782083333332</v>
      </c>
      <c r="C24" s="84" t="s">
        <v>313</v>
      </c>
    </row>
    <row r="25" spans="1:5" ht="35.700000000000003" customHeight="1" x14ac:dyDescent="0.4">
      <c r="A25" s="63" t="s">
        <v>235</v>
      </c>
      <c r="B25" s="75">
        <v>43088.782083333332</v>
      </c>
      <c r="C25" s="84" t="s">
        <v>314</v>
      </c>
    </row>
    <row r="26" spans="1:5" ht="35.700000000000003" customHeight="1" x14ac:dyDescent="0.4">
      <c r="A26" s="63" t="s">
        <v>236</v>
      </c>
      <c r="B26" s="75">
        <v>43088.782083333332</v>
      </c>
      <c r="C26" s="84" t="s">
        <v>315</v>
      </c>
    </row>
    <row r="27" spans="1:5" ht="35.700000000000003" customHeight="1" x14ac:dyDescent="0.4">
      <c r="A27" s="63" t="s">
        <v>237</v>
      </c>
      <c r="B27" s="75">
        <v>43088.782083333332</v>
      </c>
      <c r="C27" s="84" t="s">
        <v>316</v>
      </c>
    </row>
    <row r="28" spans="1:5" ht="35.700000000000003" customHeight="1" x14ac:dyDescent="0.4">
      <c r="A28" s="63" t="s">
        <v>238</v>
      </c>
      <c r="B28" s="75">
        <v>43088.782083333332</v>
      </c>
      <c r="C28" s="84" t="s">
        <v>426</v>
      </c>
    </row>
    <row r="29" spans="1:5" ht="35.700000000000003" customHeight="1" x14ac:dyDescent="0.4">
      <c r="A29" s="63" t="s">
        <v>239</v>
      </c>
      <c r="B29" s="75">
        <v>43088.782083333332</v>
      </c>
      <c r="C29" s="84" t="s">
        <v>427</v>
      </c>
    </row>
    <row r="30" spans="1:5" ht="35.700000000000003" customHeight="1" x14ac:dyDescent="0.4">
      <c r="A30" s="63" t="s">
        <v>240</v>
      </c>
      <c r="B30" s="75">
        <v>43088.782083333332</v>
      </c>
      <c r="C30" s="84" t="s">
        <v>285</v>
      </c>
    </row>
    <row r="31" spans="1:5" ht="35.700000000000003" customHeight="1" x14ac:dyDescent="0.4">
      <c r="A31" s="63" t="s">
        <v>241</v>
      </c>
      <c r="B31" s="75">
        <v>43088.782083333332</v>
      </c>
      <c r="C31" s="84" t="s">
        <v>319</v>
      </c>
    </row>
    <row r="32" spans="1:5" ht="35.700000000000003" customHeight="1" x14ac:dyDescent="0.4">
      <c r="A32" s="63" t="s">
        <v>242</v>
      </c>
      <c r="B32" s="75">
        <v>43088.782083333332</v>
      </c>
      <c r="C32" s="84" t="s">
        <v>318</v>
      </c>
    </row>
    <row r="33" spans="1:3" ht="35.700000000000003" customHeight="1" x14ac:dyDescent="0.4">
      <c r="A33" s="63" t="s">
        <v>281</v>
      </c>
      <c r="B33" s="75">
        <v>43088.782083333332</v>
      </c>
      <c r="C33" s="84" t="s">
        <v>401</v>
      </c>
    </row>
    <row r="34" spans="1:3" ht="35.700000000000003" customHeight="1" x14ac:dyDescent="0.4">
      <c r="A34" s="63" t="s">
        <v>283</v>
      </c>
      <c r="B34" s="75">
        <v>43088.782083333332</v>
      </c>
      <c r="C34" s="84" t="s">
        <v>368</v>
      </c>
    </row>
    <row r="35" spans="1:3" ht="36" customHeight="1" x14ac:dyDescent="0.4">
      <c r="A35" s="63" t="s">
        <v>282</v>
      </c>
      <c r="B35" s="75">
        <v>43088.782083333332</v>
      </c>
      <c r="C35" s="84" t="s">
        <v>326</v>
      </c>
    </row>
    <row r="36" spans="1:3" ht="36" customHeight="1" x14ac:dyDescent="0.4">
      <c r="A36" s="63" t="s">
        <v>317</v>
      </c>
      <c r="B36" s="75">
        <v>43088.782083333332</v>
      </c>
      <c r="C36" s="84" t="s">
        <v>377</v>
      </c>
    </row>
    <row r="37" spans="1:3" ht="35.6" customHeight="1" x14ac:dyDescent="0.4">
      <c r="A37" s="63" t="s">
        <v>286</v>
      </c>
      <c r="B37" s="75">
        <v>43088.782083333332</v>
      </c>
      <c r="C37" s="84" t="s">
        <v>390</v>
      </c>
    </row>
    <row r="38" spans="1:3" ht="35.6" customHeight="1" x14ac:dyDescent="0.4">
      <c r="A38" s="63" t="s">
        <v>376</v>
      </c>
      <c r="B38" s="75">
        <v>43088.782083333332</v>
      </c>
      <c r="C38" s="84" t="s">
        <v>421</v>
      </c>
    </row>
    <row r="39" spans="1:3" ht="35.6" customHeight="1" x14ac:dyDescent="0.4">
      <c r="A39" s="63" t="s">
        <v>422</v>
      </c>
      <c r="B39" s="75">
        <v>43088.782083333332</v>
      </c>
      <c r="C39" s="84" t="s">
        <v>423</v>
      </c>
    </row>
    <row r="40" spans="1:3" ht="35.6" customHeight="1" x14ac:dyDescent="0.4">
      <c r="A40" s="63" t="s">
        <v>424</v>
      </c>
      <c r="B40" s="75">
        <v>43088.782083333332</v>
      </c>
      <c r="C40" s="84" t="s">
        <v>425</v>
      </c>
    </row>
    <row r="41" spans="1:3" ht="35.6" customHeight="1" x14ac:dyDescent="0.4">
      <c r="A41" s="63" t="s">
        <v>428</v>
      </c>
      <c r="B41" s="75">
        <v>43088.782083333332</v>
      </c>
      <c r="C41" s="84" t="s">
        <v>429</v>
      </c>
    </row>
  </sheetData>
  <pageMargins left="0.7" right="0.7" top="0.75" bottom="0.75" header="0.3" footer="0.3"/>
  <pageSetup orientation="portrait"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EE06AAFA8F9984CAFC6287E16BADFE6" ma:contentTypeVersion="0" ma:contentTypeDescription="Create a new document." ma:contentTypeScope="" ma:versionID="3bfdfc741f4cc3bdc45d9a9ab868a840">
  <xsd:schema xmlns:xsd="http://www.w3.org/2001/XMLSchema" xmlns:xs="http://www.w3.org/2001/XMLSchema" xmlns:p="http://schemas.microsoft.com/office/2006/metadata/properties" targetNamespace="http://schemas.microsoft.com/office/2006/metadata/properties" ma:root="true" ma:fieldsID="1b05d82d297216baf5b26c55225140df">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1D5C83E-ADB6-400A-B9F2-B1A74DA31AE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2ADB11A6-7F28-4369-9B55-3636E52D10EF}">
  <ds:schemaRefs>
    <ds:schemaRef ds:uri="http://purl.org/dc/elements/1.1/"/>
    <ds:schemaRef ds:uri="http://schemas.microsoft.com/office/2006/metadata/propertie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www.w3.org/XML/1998/namespace"/>
    <ds:schemaRef ds:uri="http://purl.org/dc/dcmitype/"/>
  </ds:schemaRefs>
</ds:datastoreItem>
</file>

<file path=customXml/itemProps3.xml><?xml version="1.0" encoding="utf-8"?>
<ds:datastoreItem xmlns:ds="http://schemas.openxmlformats.org/officeDocument/2006/customXml" ds:itemID="{8602AF29-2074-4C67-B827-8D84F341BCB4}">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11</vt:i4>
      </vt:variant>
      <vt:variant>
        <vt:lpstr>Named Ranges</vt:lpstr>
      </vt:variant>
      <vt:variant>
        <vt:i4>54</vt:i4>
      </vt:variant>
    </vt:vector>
  </HeadingPairs>
  <TitlesOfParts>
    <vt:vector size="65" baseType="lpstr">
      <vt:lpstr>RoboRA</vt:lpstr>
      <vt:lpstr>ckCoding</vt:lpstr>
      <vt:lpstr>ckAwd</vt:lpstr>
      <vt:lpstr>Budgets</vt:lpstr>
      <vt:lpstr>RAData</vt:lpstr>
      <vt:lpstr>Advanced</vt:lpstr>
      <vt:lpstr>Conflict</vt:lpstr>
      <vt:lpstr>PRCs</vt:lpstr>
      <vt:lpstr>ckSplits</vt:lpstr>
      <vt:lpstr>ProjText</vt:lpstr>
      <vt:lpstr>HiddenSettings</vt:lpstr>
      <vt:lpstr>AwdTemplate</vt:lpstr>
      <vt:lpstr>codes_prop_stts</vt:lpstr>
      <vt:lpstr>DeclTemplate</vt:lpstr>
      <vt:lpstr>delaytime</vt:lpstr>
      <vt:lpstr>dir_div_abbr</vt:lpstr>
      <vt:lpstr>dirRAoutput</vt:lpstr>
      <vt:lpstr>dirRAtemplate</vt:lpstr>
      <vt:lpstr>Budgets!fiscalyear</vt:lpstr>
      <vt:lpstr>from_date</vt:lpstr>
      <vt:lpstr>HiddenSettings!Mac_connect_string</vt:lpstr>
      <vt:lpstr>menu_prop_stts</vt:lpstr>
      <vt:lpstr>natr_rqst_abbr</vt:lpstr>
      <vt:lpstr>obj_clas_code</vt:lpstr>
      <vt:lpstr>org_code</vt:lpstr>
      <vt:lpstr>overwrite_option</vt:lpstr>
      <vt:lpstr>panl_id</vt:lpstr>
      <vt:lpstr>HiddenSettings!PC_connect_string</vt:lpstr>
      <vt:lpstr>pgm_annc_id</vt:lpstr>
      <vt:lpstr>pgm_ele_code</vt:lpstr>
      <vt:lpstr>pm_ibm_logn_id</vt:lpstr>
      <vt:lpstr>prop_atr_code</vt:lpstr>
      <vt:lpstr>Advanced!prop_stts_code</vt:lpstr>
      <vt:lpstr>prop_titl_txt</vt:lpstr>
      <vt:lpstr>Advanced!query_params</vt:lpstr>
      <vt:lpstr>HiddenSettings!query_params</vt:lpstr>
      <vt:lpstr>HiddenSettings!RA_allRAdata</vt:lpstr>
      <vt:lpstr>HiddenSettings!RA_allRAdata2</vt:lpstr>
      <vt:lpstr>HiddenSettings!RA_awdCheck</vt:lpstr>
      <vt:lpstr>HiddenSettings!RA_budgBlocks</vt:lpstr>
      <vt:lpstr>HiddenSettings!RA_ckConfRevrInst</vt:lpstr>
      <vt:lpstr>HiddenSettings!RA_confl</vt:lpstr>
      <vt:lpstr>HiddenSettings!RA_leads</vt:lpstr>
      <vt:lpstr>HiddenSettings!RA_panl</vt:lpstr>
      <vt:lpstr>HiddenSettings!RA_PECglossary</vt:lpstr>
      <vt:lpstr>HiddenSettings!RA_pidCreate</vt:lpstr>
      <vt:lpstr>HiddenSettings!RA_pidSelect</vt:lpstr>
      <vt:lpstr>HiddenSettings!RA_PRCglossary</vt:lpstr>
      <vt:lpstr>HiddenSettings!RA_projText</vt:lpstr>
      <vt:lpstr>HiddenSettings!RA_prop</vt:lpstr>
      <vt:lpstr>HiddenSettings!RA_propCheck</vt:lpstr>
      <vt:lpstr>HiddenSettings!RA_propPRCs</vt:lpstr>
      <vt:lpstr>HiddenSettings!RA_revs</vt:lpstr>
      <vt:lpstr>HiddenSettings!RA_splits</vt:lpstr>
      <vt:lpstr>HiddenSettings!revtable</vt:lpstr>
      <vt:lpstr>RoboRAFolder</vt:lpstr>
      <vt:lpstr>HiddenSettings!rpt_pwd</vt:lpstr>
      <vt:lpstr>select_prop_stts</vt:lpstr>
      <vt:lpstr>SharedRAtemplate</vt:lpstr>
      <vt:lpstr>signer1</vt:lpstr>
      <vt:lpstr>signer2</vt:lpstr>
      <vt:lpstr>StdDeclTemplate</vt:lpstr>
      <vt:lpstr>RoboRA!StdNDPDeclTemplate</vt:lpstr>
      <vt:lpstr>to_date</vt:lpstr>
      <vt:lpstr>HiddenSettings!user_id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Jack Snoeyink</dc:creator>
  <cp:lastModifiedBy>Jack Snoeyink</cp:lastModifiedBy>
  <cp:lastPrinted>2017-12-05T19:03:22Z</cp:lastPrinted>
  <dcterms:created xsi:type="dcterms:W3CDTF">2015-12-15T02:29:55Z</dcterms:created>
  <dcterms:modified xsi:type="dcterms:W3CDTF">2017-12-20T15:17:04Z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atr_code" linkTarget="prop_atr_code">
    <vt:lpwstr>eg: 9150</vt:lpwstr>
  </property>
  <property fmtid="{D5CDD505-2E9C-101B-9397-08002B2CF9AE}" pid="4" name="stts_abbr" linkTarget="prop_stts_abbr">
    <vt:r8>0</vt:r8>
  </property>
  <property fmtid="{D5CDD505-2E9C-101B-9397-08002B2CF9AE}" pid="5" name="titl_txt" linkTarget="prop_titl_txt">
    <vt:lpwstr>eg: %Medium%</vt:lpwstr>
  </property>
  <property fmtid="{D5CDD505-2E9C-101B-9397-08002B2CF9AE}" pid="6" name="stts_code" linkTarget="prop_stts_code">
    <vt:lpwstr>02</vt:lpwstr>
  </property>
  <property fmtid="{D5CDD505-2E9C-101B-9397-08002B2CF9AE}" pid="7" name="ContentTypeId">
    <vt:lpwstr>0x0101008EE06AAFA8F9984CAFC6287E16BADFE6</vt:lpwstr>
  </property>
</Properties>
</file>