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firstSheet="3" activeTab="9"/>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Budgets!$A$3:$Z$165</definedName>
    <definedName name="Query_from_RPTSERVER" localSheetId="3" hidden="1">ckAwd!$A$1:$AW$32</definedName>
    <definedName name="Query_from_RPTSERVER" localSheetId="1" hidden="1">ckCoding!$A$1:$BJ$32</definedName>
    <definedName name="Query_from_RPTSERVER" localSheetId="4" hidden="1">ckSplits!$A$1:$AT$32</definedName>
    <definedName name="Query_from_RPTSERVER" localSheetId="6" hidden="1">PRCs!$A$2:$B$9</definedName>
    <definedName name="Query_from_RPTSERVER" localSheetId="5" hidden="1">ProjText!$B$1:$P$177</definedName>
    <definedName name="Query_from_RPTSERVER" localSheetId="8" hidden="1">RAData!$A$1:$EA$33</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HiddenSettings!$C$36</definedName>
    <definedName name="RA_leads" localSheetId="9">HiddenSettings!$C$26</definedName>
    <definedName name="RA_panl" localSheetId="9">HiddenSettings!$C$30</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0" l="1"/>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F2" i="12"/>
  <c r="F3" i="12" s="1"/>
  <c r="F4" i="12" s="1"/>
  <c r="F5" i="12" s="1"/>
  <c r="F6" i="12" s="1"/>
  <c r="F7" i="12" s="1"/>
  <c r="F8" i="12" s="1"/>
  <c r="F9" i="12" s="1"/>
  <c r="F10" i="12" s="1"/>
  <c r="F11" i="12" s="1"/>
  <c r="F12" i="12" s="1"/>
  <c r="F13" i="12" s="1"/>
  <c r="F14" i="12" s="1"/>
  <c r="F15" i="12" s="1"/>
  <c r="F16" i="12" s="1"/>
  <c r="F17" i="12" s="1"/>
  <c r="F18" i="12" s="1"/>
  <c r="F19" i="12" s="1"/>
  <c r="F20" i="12" s="1"/>
  <c r="F21" i="12" s="1"/>
  <c r="F22" i="12" s="1"/>
  <c r="F23" i="12" s="1"/>
  <c r="F24" i="12" s="1"/>
  <c r="F25" i="12" s="1"/>
  <c r="F26" i="12" s="1"/>
  <c r="F27" i="12" s="1"/>
  <c r="F28" i="12" s="1"/>
  <c r="F29" i="12" s="1"/>
  <c r="F30" i="12" s="1"/>
  <c r="F31" i="12" s="1"/>
  <c r="F32" i="12" s="1"/>
  <c r="I2"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L2" i="10"/>
  <c r="L3" i="10"/>
  <c r="L4" i="10" s="1"/>
  <c r="L5" i="10" s="1"/>
  <c r="L6" i="10" s="1"/>
  <c r="L7" i="10" s="1"/>
  <c r="L8" i="10" s="1"/>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P32" i="2"/>
  <c r="P19" i="2"/>
  <c r="P20" i="2"/>
  <c r="P7" i="2"/>
  <c r="P3" i="2"/>
  <c r="P15" i="2"/>
  <c r="P12" i="2"/>
  <c r="P11" i="2"/>
  <c r="P21" i="2"/>
  <c r="P22" i="2"/>
  <c r="P33" i="2"/>
  <c r="P23" i="2"/>
  <c r="P10" i="2"/>
  <c r="P8" i="2"/>
  <c r="P24" i="2"/>
  <c r="P4" i="2"/>
  <c r="P25" i="2"/>
  <c r="P13" i="2"/>
  <c r="P26" i="2"/>
  <c r="P17" i="2"/>
  <c r="P16" i="2"/>
  <c r="P14" i="2"/>
  <c r="P27" i="2"/>
  <c r="P28" i="2"/>
  <c r="P18" i="2"/>
  <c r="P5" i="2"/>
  <c r="P6" i="2"/>
  <c r="P29" i="2"/>
  <c r="P30" i="2"/>
  <c r="P31" i="2"/>
  <c r="P9" i="2"/>
  <c r="P2" i="2"/>
  <c r="X32" i="2"/>
  <c r="X19" i="2"/>
  <c r="X20" i="2"/>
  <c r="X7" i="2"/>
  <c r="X3" i="2"/>
  <c r="X15" i="2"/>
  <c r="X12" i="2"/>
  <c r="X11" i="2"/>
  <c r="X21" i="2"/>
  <c r="X22" i="2"/>
  <c r="X33" i="2"/>
  <c r="X23" i="2"/>
  <c r="X10" i="2"/>
  <c r="X8" i="2"/>
  <c r="X24" i="2"/>
  <c r="X4" i="2"/>
  <c r="X25" i="2"/>
  <c r="X13" i="2"/>
  <c r="X26" i="2"/>
  <c r="X17" i="2"/>
  <c r="X16" i="2"/>
  <c r="X14" i="2"/>
  <c r="X27" i="2"/>
  <c r="X28" i="2"/>
  <c r="X18" i="2"/>
  <c r="X5" i="2"/>
  <c r="X6" i="2"/>
  <c r="X29" i="2"/>
  <c r="X30" i="2"/>
  <c r="X31" i="2"/>
  <c r="X9" i="2"/>
  <c r="X2" i="2"/>
  <c r="Y32" i="2"/>
  <c r="Y19" i="2"/>
  <c r="Y20" i="2"/>
  <c r="Y7" i="2"/>
  <c r="Y3" i="2"/>
  <c r="Y15" i="2"/>
  <c r="Y12" i="2"/>
  <c r="Y11" i="2"/>
  <c r="Y21" i="2"/>
  <c r="Y22" i="2"/>
  <c r="Y33" i="2"/>
  <c r="Y23" i="2"/>
  <c r="Y10" i="2"/>
  <c r="Y8" i="2"/>
  <c r="Y24" i="2"/>
  <c r="Y4" i="2"/>
  <c r="Y25" i="2"/>
  <c r="Y13" i="2"/>
  <c r="Y26" i="2"/>
  <c r="Y17" i="2"/>
  <c r="Y16" i="2"/>
  <c r="Y14" i="2"/>
  <c r="Y27" i="2"/>
  <c r="Y28" i="2"/>
  <c r="Y18" i="2"/>
  <c r="Y5" i="2"/>
  <c r="Y6" i="2"/>
  <c r="Y29" i="2"/>
  <c r="Y30" i="2"/>
  <c r="Y31" i="2"/>
  <c r="Y9" i="2"/>
  <c r="Y2" i="2"/>
  <c r="Z32" i="2"/>
  <c r="Z19" i="2"/>
  <c r="Z20" i="2"/>
  <c r="Z7" i="2"/>
  <c r="Z3" i="2"/>
  <c r="Z15" i="2"/>
  <c r="Z12" i="2"/>
  <c r="Z11" i="2"/>
  <c r="Z21" i="2"/>
  <c r="Z22" i="2"/>
  <c r="Z33" i="2"/>
  <c r="Z23" i="2"/>
  <c r="Z10" i="2"/>
  <c r="Z8" i="2"/>
  <c r="Z24" i="2"/>
  <c r="Z4" i="2"/>
  <c r="Z25" i="2"/>
  <c r="Z13" i="2"/>
  <c r="Z26" i="2"/>
  <c r="Z17" i="2"/>
  <c r="Z16" i="2"/>
  <c r="Z14" i="2"/>
  <c r="Z27" i="2"/>
  <c r="Z28" i="2"/>
  <c r="Z18" i="2"/>
  <c r="Z5" i="2"/>
  <c r="Z6" i="2"/>
  <c r="Z29" i="2"/>
  <c r="Z30" i="2"/>
  <c r="Z31" i="2"/>
  <c r="Z9" i="2"/>
  <c r="Z2" i="2"/>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J2" i="3"/>
  <c r="I2" i="3" s="1"/>
  <c r="J3" i="3"/>
  <c r="I3" i="3" s="1"/>
  <c r="J4" i="3"/>
  <c r="I4" i="3" s="1"/>
  <c r="J5" i="3"/>
  <c r="I5" i="3" s="1"/>
  <c r="J6" i="3"/>
  <c r="I6" i="3" s="1"/>
  <c r="J7" i="3"/>
  <c r="I7" i="3" s="1"/>
  <c r="J8" i="3"/>
  <c r="I8" i="3" s="1"/>
  <c r="J9" i="3"/>
  <c r="I9" i="3" s="1"/>
  <c r="J10" i="3"/>
  <c r="I10" i="3" s="1"/>
  <c r="J11" i="3"/>
  <c r="I11" i="3" s="1"/>
  <c r="J12" i="3"/>
  <c r="I12" i="3" s="1"/>
  <c r="J13" i="3"/>
  <c r="I13" i="3" s="1"/>
  <c r="J14" i="3"/>
  <c r="I14" i="3" s="1"/>
  <c r="J15" i="3"/>
  <c r="I15" i="3" s="1"/>
  <c r="J16" i="3"/>
  <c r="I16" i="3" s="1"/>
  <c r="J17" i="3"/>
  <c r="I17" i="3" s="1"/>
  <c r="J18" i="3"/>
  <c r="I18" i="3" s="1"/>
  <c r="J19" i="3"/>
  <c r="I19" i="3" s="1"/>
  <c r="J20" i="3"/>
  <c r="I20" i="3" s="1"/>
  <c r="J21" i="3"/>
  <c r="I21" i="3" s="1"/>
  <c r="J22" i="3"/>
  <c r="I22" i="3" s="1"/>
  <c r="J23" i="3"/>
  <c r="I23" i="3" s="1"/>
  <c r="J24" i="3"/>
  <c r="I24" i="3" s="1"/>
  <c r="J25" i="3"/>
  <c r="I25" i="3" s="1"/>
  <c r="J26" i="3"/>
  <c r="I26" i="3" s="1"/>
  <c r="J27" i="3"/>
  <c r="I27" i="3" s="1"/>
  <c r="J28" i="3"/>
  <c r="I28" i="3" s="1"/>
  <c r="J29" i="3"/>
  <c r="I29" i="3" s="1"/>
  <c r="J30" i="3"/>
  <c r="I30" i="3" s="1"/>
  <c r="J31" i="3"/>
  <c r="I31" i="3" s="1"/>
  <c r="J32" i="3"/>
  <c r="I32"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P2" i="3"/>
  <c r="P3" i="3" s="1"/>
  <c r="P4" i="3" s="1"/>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P178"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J2" i="13" l="1"/>
  <c r="H2" i="13"/>
  <c r="T4" i="13" l="1"/>
  <c r="T6" i="13"/>
  <c r="T8" i="13"/>
  <c r="T10" i="13"/>
  <c r="T12" i="13"/>
  <c r="T14" i="13"/>
  <c r="T16" i="13"/>
  <c r="T18" i="13"/>
  <c r="T20" i="13"/>
  <c r="T22" i="13"/>
  <c r="T24" i="13"/>
  <c r="T26" i="13"/>
  <c r="T28" i="13"/>
  <c r="T30" i="13"/>
  <c r="T32" i="13"/>
  <c r="T34" i="13"/>
  <c r="T36" i="13"/>
  <c r="T38" i="13"/>
  <c r="T40" i="13"/>
  <c r="T42" i="13"/>
  <c r="T44" i="13"/>
  <c r="T46" i="13"/>
  <c r="T48" i="13"/>
  <c r="T50" i="13"/>
  <c r="T52" i="13"/>
  <c r="T54" i="13"/>
  <c r="T56" i="13"/>
  <c r="T58" i="13"/>
  <c r="T60" i="13"/>
  <c r="T62" i="13"/>
  <c r="T64" i="13"/>
  <c r="T66" i="13"/>
  <c r="T68" i="13"/>
  <c r="T70" i="13"/>
  <c r="T72" i="13"/>
  <c r="T74" i="13"/>
  <c r="T76" i="13"/>
  <c r="T78" i="13"/>
  <c r="T80" i="13"/>
  <c r="T82" i="13"/>
  <c r="T84" i="13"/>
  <c r="T86" i="13"/>
  <c r="T88" i="13"/>
  <c r="T90" i="13"/>
  <c r="T92" i="13"/>
  <c r="T94" i="13"/>
  <c r="T96" i="13"/>
  <c r="T98" i="13"/>
  <c r="T100" i="13"/>
  <c r="T102" i="13"/>
  <c r="T104" i="13"/>
  <c r="T106" i="13"/>
  <c r="T108" i="13"/>
  <c r="T110" i="13"/>
  <c r="T112" i="13"/>
  <c r="T114" i="13"/>
  <c r="T116" i="13"/>
  <c r="T118" i="13"/>
  <c r="T120" i="13"/>
  <c r="T122" i="13"/>
  <c r="T124" i="13"/>
  <c r="T126" i="13"/>
  <c r="T128" i="13"/>
  <c r="T130" i="13"/>
  <c r="T132" i="13"/>
  <c r="T134" i="13"/>
  <c r="T136" i="13"/>
  <c r="T138" i="13"/>
  <c r="T140" i="13"/>
  <c r="T142" i="13"/>
  <c r="T144" i="13"/>
  <c r="T146" i="13"/>
  <c r="T148" i="13"/>
  <c r="T150" i="13"/>
  <c r="T152" i="13"/>
  <c r="T154" i="13"/>
  <c r="T156" i="13"/>
  <c r="T158" i="13"/>
  <c r="T160" i="13"/>
  <c r="T162" i="13"/>
  <c r="T164" i="13"/>
  <c r="T5" i="13"/>
  <c r="T7" i="13"/>
  <c r="T9" i="13"/>
  <c r="T11" i="13"/>
  <c r="T15" i="13"/>
  <c r="T19" i="13"/>
  <c r="T23" i="13"/>
  <c r="T27" i="13"/>
  <c r="T31" i="13"/>
  <c r="T35" i="13"/>
  <c r="T39" i="13"/>
  <c r="T43" i="13"/>
  <c r="T47" i="13"/>
  <c r="T51" i="13"/>
  <c r="T55" i="13"/>
  <c r="T59" i="13"/>
  <c r="T63" i="13"/>
  <c r="T67" i="13"/>
  <c r="T71" i="13"/>
  <c r="T75" i="13"/>
  <c r="T79" i="13"/>
  <c r="T83" i="13"/>
  <c r="T87" i="13"/>
  <c r="T91" i="13"/>
  <c r="T95" i="13"/>
  <c r="T99" i="13"/>
  <c r="T103" i="13"/>
  <c r="T107" i="13"/>
  <c r="T111" i="13"/>
  <c r="T115" i="13"/>
  <c r="T119" i="13"/>
  <c r="T123" i="13"/>
  <c r="T127" i="13"/>
  <c r="T131" i="13"/>
  <c r="T135" i="13"/>
  <c r="T139" i="13"/>
  <c r="T143" i="13"/>
  <c r="T147" i="13"/>
  <c r="T151" i="13"/>
  <c r="T155" i="13"/>
  <c r="T159" i="13"/>
  <c r="T163" i="13"/>
  <c r="T13" i="13"/>
  <c r="T17" i="13"/>
  <c r="T21" i="13"/>
  <c r="T25" i="13"/>
  <c r="T29" i="13"/>
  <c r="T33" i="13"/>
  <c r="T37" i="13"/>
  <c r="T41" i="13"/>
  <c r="T45" i="13"/>
  <c r="T49" i="13"/>
  <c r="T53" i="13"/>
  <c r="T57" i="13"/>
  <c r="T61" i="13"/>
  <c r="T65" i="13"/>
  <c r="T69" i="13"/>
  <c r="T73" i="13"/>
  <c r="T77" i="13"/>
  <c r="T81" i="13"/>
  <c r="T85" i="13"/>
  <c r="T89" i="13"/>
  <c r="T93" i="13"/>
  <c r="T97" i="13"/>
  <c r="T101" i="13"/>
  <c r="T105" i="13"/>
  <c r="T109" i="13"/>
  <c r="T113" i="13"/>
  <c r="T117" i="13"/>
  <c r="T121" i="13"/>
  <c r="T125" i="13"/>
  <c r="T129" i="13"/>
  <c r="T133" i="13"/>
  <c r="T137" i="13"/>
  <c r="T141" i="13"/>
  <c r="T145" i="13"/>
  <c r="T149" i="13"/>
  <c r="T153" i="13"/>
  <c r="T157" i="13"/>
  <c r="T161" i="13"/>
  <c r="T165"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J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M1" authorId="0" shapeId="0">
      <text>
        <r>
          <rPr>
            <b/>
            <sz val="9"/>
            <color indexed="81"/>
            <rFont val="Tahoma"/>
            <family val="2"/>
          </rPr>
          <t>Snoeyink, Jack S.:</t>
        </r>
        <r>
          <rPr>
            <sz val="9"/>
            <color indexed="81"/>
            <rFont val="Tahoma"/>
            <family val="2"/>
          </rPr>
          <t xml:space="preserve">
Basic research percentage, usually set to 100%</t>
        </r>
      </text>
    </comment>
    <comment ref="O1" authorId="0" shapeId="0">
      <text>
        <r>
          <rPr>
            <b/>
            <sz val="9"/>
            <color indexed="81"/>
            <rFont val="Tahoma"/>
            <family val="2"/>
          </rPr>
          <t>Snoeyink, Jack S.:</t>
        </r>
        <r>
          <rPr>
            <sz val="9"/>
            <color indexed="81"/>
            <rFont val="Tahoma"/>
            <family val="2"/>
          </rPr>
          <t xml:space="preserve">
Click link to send email to project lead PI
</t>
        </r>
      </text>
    </comment>
    <comment ref="S1" authorId="0" shapeId="0">
      <text>
        <r>
          <rPr>
            <b/>
            <sz val="9"/>
            <color indexed="81"/>
            <rFont val="Tahoma"/>
            <family val="2"/>
          </rPr>
          <t>Snoeyink, Jack S.:</t>
        </r>
        <r>
          <rPr>
            <sz val="9"/>
            <color indexed="81"/>
            <rFont val="Tahoma"/>
            <family val="2"/>
          </rPr>
          <t xml:space="preserve">
Click link to visit proposal in eJacket</t>
        </r>
      </text>
    </comment>
    <comment ref="Y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A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K1" authorId="0" shapeId="0">
      <text>
        <r>
          <rPr>
            <b/>
            <sz val="9"/>
            <color indexed="81"/>
            <rFont val="Tahoma"/>
            <family val="2"/>
          </rPr>
          <t>Snoeyink, Jack S.:</t>
        </r>
        <r>
          <rPr>
            <sz val="9"/>
            <color indexed="81"/>
            <rFont val="Tahoma"/>
            <family val="2"/>
          </rPr>
          <t xml:space="preserve">
Click link to send email to project lead PI
</t>
        </r>
      </text>
    </comment>
    <comment ref="O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Y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Pid),RA_propPRCs(#myPRCs),RA_prop(#myProp,#myPropBudg),RA_revs(#myRevs, #myRevMarks, #myRevPanl), RA_panl(#myPanl, #myProjPanl, #myProjPanlSumm)_x000d__x000a_--DROP TABLE #myCtry, #myCovrInfo, #myBudgPRC_x000d__x000a_SELECT prop_id,R,id=identity(18), 0 as 'seq'_x000d__x000a_INTO #myBudgPRC FROM (SELECT DISTINCT p.prop_id,bpr.pgm_ref_code AS R_x000d__x000a_      FROM #myPid p_x000d__x000a_      JOIN csd.budg_pgm_ref bpr ON bpr.prop_id = p.prop_id) bpr_x000d__x000a_ORDER BY prop_id,R_x000d__x000a_SELECT prop_id,MIN(id) as 'start'INTO #mySt2 FROM #myBudgPRC _x000d__x000a_GROUP BY prop_id_x000d__x000a_UPDATE #myBudgPRC set seq = id-M.start FROM #myBudgPRC rb, #mySt2 M_x000d__x000a_WHERE rb.prop_id = M.prop_id _x000d__x000a_CREATE INDEX myBudgPRC ON #myBudgPRC(prop_id, seq)_x000d__x000a_drop table #mySt2_x000d__x000a__x000d__x000a__x000d__x000a_SELECT p.prop_id, ctry.ctry_name, id=identity(18), 0 as 'seq' _x000d__x000a_INTO #myCtry 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 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PO, prop_stts_abbr,natr_rqst.natr_rqst_abbr,prop.obj_clas_code,ai.awd_istr_abbr as rcom_istr_abbr,_x000d__x000a_org.dir_div_abbr as Div, p.lead, p.ILN, p.prop_id,_x000d__x000a_p.L AS pi_last_name, p.F AS pi_frst_name, p.I AS inst, p.st_code, p.M as email, 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id), RA_propPRCs(#myPRCs)_x000d__x000a_--DROP TABLE #myBudg_x000d__x000a_SELECT p.lead, p.prop_id, eb.revn_num, eb.budg_seq_yr, eb.budg_tot_dol, _x000d__x000a_eb.sr_pers_cnt, eb.sr_summ_mnth_cnt, eb.pdoc_grnt_dol, eb.frgn_trav_dol, eb.part_dol_x000d__x000a_INTO #myBudg FROM #myPid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id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id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id,#myRA),RA_prop(#myProp,#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id p _x000d__x000a_      UNION ALL SELECT p.prop_id, a.pi_id FROM #myPid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sf_rcvd_date, prop_stts_txt, nullif(dd_rcom_date,'1900-01-01') AS dd_rcom_date, ra.RAupdate, _x000d__x000a_cntx_stmt_id, prop.pgm_annc_id, prop.org_code, prop.pgm_ele_code,_x000d__x000a_prop.pm_ibm_logn_id as PO, prop_stts_abbr,natr_rqst.natr_rqst_abbr,prop.obj_clas_code,_x000d__x000a_org.dir_div_abbr as Div, p.lead, p.ILN, p.prop_id,_x000d__x000a_p.L AS pi_last_name, p.F AS pi_frst_name, p.I AS inst, p.st_code, p.M as email, _x000d__x000a_p.R as propPRCs, _x000d__x000a_bas_rsch_pct, apld_rsch_pct+educ_trng_pct+land_buld_fix_equp_pct+mjr_equp_pct+non_invt_pct AS other_pct,  _x000d__x000a_nPanl, nPSunmrkd, nPSunrls, RecRkMin, _x000d__x000a_rs.nRev, rs.allReviews, rs.avg_score, rs.last_rev_date,_x000d__x000a_Nunmkd, Nunrlsbl, NrlsdCDNPS, NpendSlct, NdiffFLeJ,_x000d__x000a_prop.rqst_eff_date,prop.rqst_mnth_cnt,_x000d__x000a_p.D AS rqst_tot, b.RN as brevn, b.T as budg_tot,  _x000d__x000a_b.sub_ctr_tot, b.frgn_trav_tot, b.pdoc_tot,b.part_tot_dol, b.grad_tot_cnt, _x000d__x000a_b.sr_tot_cnt, b.sr_sumr_mnths, b.sr_acad_mnths, b.sr_cal_mnths,_x000d__x000a_NfmlPIs,NhispPIs,NhndcpPIs,NnonWhtAsnPI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id,#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id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id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id p, FLflpdb.flp.ej_diry_note d WHERE d.prop_id = p.prop_id_x000d__x000a_ORDER BY lead, docType, revr_last_name, revr_id_x000d__x000a_DROP TABLE #myPid, #myLead, #myRA DROP TABLE #myRevInfo, #mySumm"/>
  </connection>
  <connection id="6" name="RAMailMerge"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myPropBudg),RA_revs(#myRevs, #myRevMarks, #myRevPanl), RA_panl(#myPanl, #myProjPanl, #myProjPanlSumm)_x000d__x000a_SELECT getdate() AS pulldate, nsf_rcvd_date, _x000d__x000a_nullif(dd_rcom_date,'1900-01-01') AS dd_rcom_date, ra.RAupdate, _x000d__x000a_cntx_stmt_id, prop.pgm_annc_id, prop.org_code, prop.pgm_ele_code,p.PO,_x000d__x000a_prop_stts_abbr,natr_rqst.natr_rqst_abbr,prop.obj_clas_code,org.dir_div_abbr as Div, _x000d__x000a_nPanl, isnull(RecRkMin,99) AS RecRkMin, pn0.RA as rec0, pn1.RA as rec1, pn2.RA as rec2, _x000d__x000a_rs.*, -- lead, Nrev, Nunmkd, min, avg, max scores, allReviews, last_rev_date _x000d__x000a_rm.Nunrlsbl, projTot.rqst_tot,budg_tot,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 mp WHERE mp.seq = 0) p0 ON p0.lead = p.lead_x000d__x000a_LEFT JOIN (SELECT * FROM #myProp mp WHERE mp.seq = 1) p1 ON p1.lead = p.lead_x000d__x000a_LEFT JOIN (SELECT * FROM #myProp mp WHERE mp.seq = 2) p2 ON p2.lead = p.lead_x000d__x000a_LEFT JOIN (SELECT * FROM #myProp mp WHERE mp.seq = 3) p3 ON p3.lead = p.lead_x000d__x000a_LEFT JOIN (SELECT * FROM #myProp mp WHERE mp.seq = 4) p4 ON p4.lead = p.lead_x000d__x000a_LEFT JOIN (SELECT * FROM #myProp mp WHERE mp.seq = 5) p5 ON p5.lead = p.lead_x000d__x000a_LEFT JOIN (SELECT * FROM #myProp mp WHERE mp.seq = 6) p6 ON p6.lead = p.lead_x000d__x000a_LEFT JOIN (SELECT lead, SUM(D) AS rqst_tot, SUM(T) AS budg_tot, MAX(RN) AS budRevnMax_x000d__x000a_           FROM #myProp GROUP BY lead) projTot ON projTot.lead = p.lead_x000d__x000a__x000d__x000a_UNION ALL SELECT @olddate,@olddate,@olddate,@olddate -- example to set mail merge format.  _x000d__x000a_,'cntxt stmt','NSF 00-000','12345678','1234','12345678','1234','12345','1234','1234'_x000d__x000a_,0,-0.99999999,'NRFP','NRFP','NRFP','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PO signature name string','Proposal status details','Nature of request full name','Object Class full name','DIR'_x000d__x000a_,'Directorate name retrieved by modified org_code from org. This example is for formatting; please do not remove this line............'_x000d__x000a_,'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Needs: RA_lead(#myPid,#myRA), RA_propPRCs, RA_prop(#myPropBudg,#myProp), RA_budgPRCs(#myBudgPRC)_x000d__x000a_--DROP TABLE #myBSprc_x000d__x000a_SELECT prop_id,splt_id,budg_yr,R,id=identity(18), 0 as 'seq'_x000d__x000a_INTO #myBSprc FROM (SELECT DISTINCT p.prop_id,splt_id,budg_yr,bpr.pgm_ref_code AS R_x000d__x000a_      FROM #myPid p_x000d__x000a_      JOIN csd.budg_pgm_ref bpr ON bpr.prop_id = p.prop_id) bpr_x000d__x000a_ORDER BY prop_id,splt_id,budg_yr,R_x000d__x000a_SELECT prop_id,splt_id,budg_yr,MIN(id) as 'start'INTO #myBSst FROM #myBSprc _x000d__x000a_GROUP BY prop_id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sf_rcvd_date, prop_stts_txt, nullif(dd_rcom_date,'1900-01-01') AS dd_rcom_date, ra.RAupdate, _x000d__x000a_cntx_stmt_id, prop.pgm_annc_id, prop.org_code as pOrg, bs.org_code as bOrg, _x000d__x000a_prop.pgm_ele_code as pPEC,bs.pgm_ele_code as bPEC,p.PO as pPO, bs.pm_ibm_logn_id as bPO,_x000d__x000a_prop_stts_abbr,natr_rqst.natr_rqst_abbr,prop.obj_clas_code,bs.obj_clas_code,_x000d__x000a_ai.awd_istr_abbr as rcom_istr_abbr, org.dir_div_abbr as Div, p.lead,p.ILN,bs.awd_id,_x000d__x000a_p.L AS pi_last_name, p.F AS pi_frst_name, p.I AS inst, p.M as email,_x000d__x000a_bs.prop_id, bs.budg_yr, bs.splt_id, bs.budg_splt_tot_dol,b.*,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 _x000d__x000a_    WHERE bp.prop_id = bs.prop_id AND bp.budg_yr = bs.budg_yr _x000d__x000a_          AND bp.splt_id = bs.splt_id ) AS bPRC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budg_splt bs on bs.prop_id=p.prop_id _x000d__x000a_LEFT JOIN csd.awd_istr ai on prop.rcom_awd_istr = ai.awd_istr_code_x000d__x000a_LEFT JOIN #myRA ra ON ra.lead = p.lead_x000d__x000a_LEFT JOIN #myPropBudg b ON b.prop_id = p.prop_id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<sst xmlns="http://schemas.openxmlformats.org/spreadsheetml/2006/main" count="7774" uniqueCount="1003">
  <si>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</si>
  <si>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</si>
  <si>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</si>
  <si>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</si>
  <si>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</si>
  <si>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</si>
  <si>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</si>
  <si>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</si>
  <si>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</si>
  <si>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</si>
  <si>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</si>
  <si>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</si>
  <si>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</si>
  <si>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</si>
  <si>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</si>
  <si>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</si>
  <si>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</si>
  <si>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</si>
  <si>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</si>
  <si>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</si>
  <si>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</si>
  <si>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</si>
  <si>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</si>
  <si>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</si>
  <si>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</si>
  <si>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</si>
  <si>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</si>
  <si>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</si>
  <si>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</si>
  <si>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</si>
  <si>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</si>
  <si>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</si>
  <si>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</si>
  <si>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</si>
  <si>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</si>
  <si>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</si>
  <si>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</si>
  <si>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</si>
  <si>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</si>
  <si>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</si>
  <si>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</si>
  <si>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</si>
  <si>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</si>
  <si>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</si>
  <si>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</si>
  <si>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</si>
  <si>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</si>
  <si>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</si>
  <si>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</si>
  <si>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</si>
  <si>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</si>
  <si>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</si>
  <si>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</si>
  <si>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</si>
  <si>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</si>
  <si>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</si>
  <si>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</si>
  <si>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</si>
  <si>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</si>
  <si>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</si>
  <si>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</si>
  <si>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</si>
  <si>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</si>
  <si>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</si>
  <si>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</si>
  <si>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</si>
  <si>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</si>
  <si>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</si>
  <si>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</si>
  <si>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</si>
  <si>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</si>
  <si>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</si>
  <si>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</si>
  <si>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</si>
  <si>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</si>
  <si>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</si>
  <si>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</si>
  <si>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</si>
  <si>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</si>
  <si>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</si>
  <si>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</si>
  <si>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</si>
  <si>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</si>
  <si>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</si>
  <si>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</si>
  <si>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</si>
  <si>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</si>
  <si>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</si>
  <si>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</si>
  <si>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</si>
  <si>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</si>
  <si>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</si>
  <si>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</si>
  <si>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</si>
  <si>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</si>
  <si>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</si>
  <si>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</si>
  <si>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</si>
  <si>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</si>
  <si>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</si>
  <si>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</si>
  <si>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</si>
  <si>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</si>
  <si>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</si>
  <si>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</si>
  <si>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</si>
  <si>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</si>
  <si>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</si>
  <si>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</si>
  <si>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</si>
  <si>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</si>
  <si>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</si>
  <si>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</si>
  <si>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</si>
  <si>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</si>
  <si>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</si>
  <si>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</si>
  <si>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</si>
  <si>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</si>
  <si>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</si>
  <si>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</si>
  <si>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</si>
  <si>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</si>
  <si>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</si>
  <si>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</si>
  <si>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</si>
  <si>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</si>
  <si>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</si>
  <si>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</si>
  <si>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</si>
  <si>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</si>
  <si>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</si>
  <si>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</si>
  <si>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</si>
  <si>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</si>
  <si>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</si>
  <si>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</si>
  <si>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</si>
  <si>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</si>
  <si>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NfmlPIs</t>
  </si>
  <si>
    <t>NhispPIs</t>
  </si>
  <si>
    <t>NhndcpPIs</t>
  </si>
  <si>
    <t>NnonWhtAsnPIs</t>
  </si>
  <si>
    <t>WMD</t>
  </si>
  <si>
    <t>WMD?9102</t>
  </si>
  <si>
    <t>Nrev</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</si>
  <si>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</si>
  <si>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</si>
  <si>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</si>
  <si>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</si>
  <si>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</si>
  <si>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</si>
  <si>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</si>
  <si>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</si>
  <si>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</si>
  <si>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</si>
  <si>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</si>
  <si>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</si>
  <si>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</si>
  <si>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</si>
  <si>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</si>
  <si>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</si>
  <si>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</si>
  <si>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</si>
  <si>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</si>
  <si>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</si>
  <si>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</si>
  <si>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</si>
  <si>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</si>
  <si>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</si>
  <si>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</si>
  <si>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</si>
  <si>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</si>
  <si>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</si>
  <si>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</si>
  <si>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</si>
  <si>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</si>
  <si>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</si>
  <si>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</si>
  <si>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</si>
  <si>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</si>
  <si>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</si>
  <si>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</si>
  <si>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</si>
  <si>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</si>
  <si>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</si>
  <si>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</si>
  <si>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</si>
  <si>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</si>
  <si>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</si>
  <si>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</si>
  <si>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</si>
  <si>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</si>
  <si>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</si>
  <si>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</si>
  <si>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</si>
  <si>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</si>
  <si>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</si>
  <si>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</si>
  <si>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</si>
  <si>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</si>
  <si>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</si>
  <si>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</si>
  <si>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</si>
  <si>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</si>
  <si>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</si>
  <si>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</si>
  <si>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</si>
  <si>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</si>
  <si>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</si>
  <si>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</si>
  <si>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</si>
  <si>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</si>
  <si>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</si>
  <si>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</si>
  <si>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</si>
  <si>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</si>
  <si>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</si>
  <si>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</si>
  <si>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</si>
  <si>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</si>
  <si>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</si>
  <si>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</si>
  <si>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</si>
  <si>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</si>
  <si>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</si>
  <si>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</si>
  <si>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</si>
  <si>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</si>
  <si>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</si>
  <si>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</si>
  <si>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</si>
  <si>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</si>
  <si>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</si>
  <si>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</si>
  <si>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</si>
  <si>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</si>
  <si>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</si>
  <si>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</si>
  <si>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</si>
  <si>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</si>
  <si>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</si>
  <si>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</si>
  <si>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</si>
  <si>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</si>
  <si>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</si>
  <si>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</si>
  <si>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</si>
  <si>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</si>
  <si>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</si>
  <si>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</si>
  <si>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</si>
  <si>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</si>
  <si>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</si>
  <si>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</si>
  <si>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</si>
  <si>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</si>
  <si>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</si>
  <si>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</si>
  <si>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</si>
  <si>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</si>
  <si>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</si>
  <si>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</si>
  <si>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</si>
  <si>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</si>
  <si>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</si>
  <si>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</si>
  <si>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</si>
  <si>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</si>
  <si>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</si>
  <si>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</si>
  <si>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</si>
  <si>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</si>
  <si>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</si>
  <si>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</si>
  <si>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</si>
  <si>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</si>
  <si>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</si>
  <si>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</si>
  <si>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</si>
  <si>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</si>
  <si>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</si>
  <si>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</si>
  <si>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</si>
  <si>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</si>
  <si>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</si>
  <si>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</si>
  <si>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</si>
  <si>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</si>
  <si>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</si>
  <si>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</si>
  <si>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</si>
  <si>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</si>
  <si>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</si>
  <si>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</si>
  <si>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</si>
  <si>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</si>
  <si>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</si>
  <si>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</si>
  <si>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</si>
  <si>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</si>
  <si>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</si>
  <si>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</si>
  <si>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</si>
  <si>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</si>
  <si>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</si>
  <si>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</si>
  <si>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</si>
  <si>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</si>
  <si>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</si>
  <si>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</si>
  <si>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</si>
  <si>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</si>
  <si>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</si>
  <si>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</si>
  <si>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</si>
  <si>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</si>
  <si>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</si>
  <si>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</si>
  <si>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</si>
  <si>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</si>
  <si>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</si>
  <si>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</si>
  <si>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</si>
  <si>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</si>
  <si>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</si>
  <si>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</si>
  <si>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</si>
  <si>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</si>
  <si>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</si>
  <si>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</si>
  <si>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</si>
  <si>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</si>
  <si>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</si>
  <si>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</si>
  <si>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</si>
  <si>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</si>
  <si>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</si>
  <si>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</si>
  <si>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</si>
  <si>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</si>
  <si>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</si>
  <si>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</si>
  <si>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</si>
  <si>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</si>
  <si>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</si>
  <si>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</si>
  <si>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</si>
  <si>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</si>
  <si>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</si>
  <si>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</si>
  <si>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</si>
  <si>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</si>
  <si>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</si>
  <si>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</si>
  <si>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</si>
  <si>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</si>
  <si>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</si>
  <si>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</si>
  <si>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</si>
  <si>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</si>
  <si>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</si>
  <si>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</si>
  <si>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</si>
  <si>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</si>
  <si>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</si>
  <si>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</si>
  <si>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</si>
  <si>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</si>
  <si>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</si>
  <si>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</si>
  <si>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</si>
  <si>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</si>
  <si>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</si>
  <si>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</si>
  <si>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</si>
  <si>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</si>
  <si>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</si>
  <si>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</si>
  <si>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</si>
  <si>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</si>
  <si>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</si>
  <si>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</si>
  <si>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</si>
  <si>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</si>
  <si>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</si>
  <si>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</si>
  <si>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</si>
  <si>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</si>
  <si>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</si>
  <si>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</si>
  <si>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</si>
  <si>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</si>
  <si>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</si>
  <si>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</si>
  <si>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</si>
  <si>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</si>
  <si>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</si>
  <si>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</si>
  <si>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</si>
  <si>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</si>
  <si>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</si>
  <si>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</si>
  <si>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</si>
  <si>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</si>
  <si>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</si>
  <si>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</si>
  <si>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</si>
  <si>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</si>
  <si>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</si>
  <si>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</si>
  <si>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</si>
  <si>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</si>
  <si>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</si>
  <si>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</si>
  <si>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</si>
  <si>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</si>
  <si>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</si>
  <si>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</si>
  <si>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</si>
  <si>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</si>
  <si>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</si>
  <si>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</si>
  <si>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</si>
  <si>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</si>
  <si>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</si>
  <si>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</si>
  <si>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</si>
  <si>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</si>
  <si>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</si>
  <si>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</si>
  <si>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</si>
  <si>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</si>
  <si>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</si>
  <si>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</si>
  <si>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</si>
  <si>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</si>
  <si>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</si>
  <si>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</si>
  <si>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</si>
  <si>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</si>
  <si>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</si>
  <si>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</si>
  <si>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</si>
  <si>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</si>
  <si>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</si>
  <si>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</si>
  <si>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</si>
  <si>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</si>
  <si>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</si>
  <si>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</si>
  <si>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</si>
  <si>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</si>
  <si>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</si>
  <si>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</si>
  <si>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</si>
  <si>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</si>
  <si>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</si>
  <si>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</si>
  <si>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</si>
  <si>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</si>
  <si>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</si>
  <si>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</si>
  <si>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</si>
  <si>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</si>
  <si>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</si>
  <si>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</si>
  <si>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</si>
  <si>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</si>
  <si>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</si>
  <si>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</si>
  <si>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</si>
  <si>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</si>
  <si>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</si>
  <si>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</si>
  <si>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</si>
  <si>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</si>
  <si>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</si>
  <si>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</si>
  <si>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</si>
  <si>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</si>
  <si>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</si>
  <si>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</si>
  <si>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</si>
  <si>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</si>
  <si>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</si>
  <si>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</si>
  <si>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</si>
  <si>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</si>
  <si>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</si>
  <si>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</si>
  <si>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</si>
  <si>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</si>
  <si>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</si>
  <si>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</si>
  <si>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</si>
  <si>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</si>
  <si>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</si>
  <si>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</si>
  <si>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</si>
  <si>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</si>
  <si>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</si>
  <si>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</si>
  <si>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</si>
  <si>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</si>
  <si>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</si>
  <si>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</si>
  <si>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</si>
  <si>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</si>
  <si>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</si>
  <si>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</si>
  <si>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</si>
  <si>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</si>
  <si>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</si>
  <si>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</si>
  <si>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</si>
  <si>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</si>
  <si>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</si>
  <si>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</si>
  <si>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</si>
  <si>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</si>
  <si>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</si>
  <si>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</si>
  <si>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</si>
  <si>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</si>
  <si>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</si>
  <si>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</si>
  <si>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</si>
  <si>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</si>
  <si>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</si>
  <si>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</si>
  <si>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</si>
  <si>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</si>
  <si>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</si>
  <si>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</si>
  <si>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</si>
  <si>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</si>
  <si>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</si>
  <si>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</si>
  <si>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</si>
  <si>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</si>
  <si>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</si>
  <si>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</si>
  <si>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</si>
  <si>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</si>
  <si>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</si>
  <si>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</si>
  <si>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</si>
  <si>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</si>
  <si>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</si>
  <si>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</si>
  <si>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</si>
  <si>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</si>
  <si>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</si>
  <si>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</si>
  <si>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</si>
  <si>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</si>
  <si>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</si>
  <si>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</si>
  <si>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</si>
  <si>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</si>
  <si>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</si>
  <si>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</si>
  <si>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</si>
  <si>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</si>
  <si>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</si>
  <si>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</si>
  <si>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</si>
  <si>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</si>
  <si>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</si>
  <si>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</si>
  <si>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</si>
  <si>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</si>
  <si>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</si>
  <si>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</si>
  <si>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</si>
  <si>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</si>
  <si>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</si>
  <si>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</si>
  <si>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</si>
  <si>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</si>
  <si>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</si>
  <si>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</si>
  <si>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</si>
  <si>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</si>
  <si>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</si>
  <si>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</si>
  <si>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</si>
  <si>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</si>
  <si>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</si>
  <si>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</si>
  <si>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</si>
  <si>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</si>
  <si>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</si>
  <si>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</si>
  <si>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</si>
  <si>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</si>
  <si>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</si>
  <si>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</si>
  <si>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</si>
  <si>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</si>
  <si>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</si>
  <si>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</si>
  <si>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</si>
  <si>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</si>
  <si>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</si>
  <si>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</si>
  <si>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</si>
  <si>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</si>
  <si>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</si>
  <si>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</si>
  <si>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</si>
  <si>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</si>
  <si>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</si>
  <si>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</si>
  <si>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</si>
  <si>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</si>
  <si>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</si>
  <si>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</si>
  <si>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</si>
  <si>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</si>
  <si>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</si>
  <si>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</si>
  <si>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</si>
  <si>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</si>
  <si>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</si>
  <si>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</si>
  <si>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</si>
  <si>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</si>
  <si>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</si>
  <si>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</si>
  <si>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</si>
  <si>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</si>
  <si>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</si>
  <si>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</si>
  <si>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</si>
  <si>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</si>
  <si>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</si>
  <si>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</si>
  <si>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</si>
  <si>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</si>
  <si>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</si>
  <si>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</si>
  <si>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</si>
  <si>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</si>
  <si>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</si>
  <si>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</si>
  <si>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</si>
  <si>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</si>
  <si>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</si>
  <si>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</si>
  <si>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</si>
  <si>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</si>
  <si>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</si>
  <si>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</si>
  <si>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</si>
  <si>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</si>
  <si>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</si>
  <si>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</si>
  <si>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</si>
  <si>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</si>
  <si>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</si>
  <si>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</si>
  <si>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</si>
  <si>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</si>
  <si>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</si>
  <si>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</si>
  <si>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</si>
  <si>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</si>
  <si>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</si>
  <si>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</si>
  <si>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</si>
  <si>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</si>
  <si>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</si>
  <si>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</si>
  <si>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</si>
  <si>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</si>
  <si>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</si>
  <si>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</si>
  <si>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</si>
  <si>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</si>
  <si>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</si>
  <si>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</si>
  <si>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</si>
  <si>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</si>
  <si>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</si>
  <si>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</si>
  <si>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</si>
  <si>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</si>
  <si>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</si>
  <si>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</si>
  <si>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</si>
  <si>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</si>
  <si>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</si>
  <si>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</si>
  <si>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</si>
  <si>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cntxt stmt</t>
  </si>
  <si>
    <t>NSF 00-000</t>
  </si>
  <si>
    <t>12345678</t>
  </si>
  <si>
    <t>1234</t>
  </si>
  <si>
    <t>12345</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</si>
  <si>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</si>
  <si>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</si>
  <si>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</si>
  <si>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</si>
  <si>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</si>
  <si>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</si>
  <si>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</si>
  <si>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</si>
  <si>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</si>
  <si>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</si>
  <si>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</si>
  <si>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</si>
  <si>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</si>
  <si>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</si>
  <si>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</si>
  <si>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PO signature name string</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</si>
  <si>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</si>
  <si>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</si>
  <si>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</si>
  <si>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</si>
  <si>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</si>
  <si>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</si>
  <si>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</si>
  <si>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</si>
  <si>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RA_budgBlocks</t>
  </si>
  <si>
    <t xml:space="preserve">-- Needs: RA_lead(#myPid)_x000D_
-- DROP TABLE #myPRCs, #myPRCdata_x000D_
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</si>
  <si>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RA_lead(#myPid), RA_propPRCs(#myPRCs)_x000D_
--DROP TABLE #myPropBudg, #myProp_x000D_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 FROM #myPid pid_x000D_
JOIN csd.prop p ON p.prop_id = pid.prop_id_x000D_
LEFT JOIN #myPRCs prc ON prc.prop_id = pid.prop_id_x000D_
LEFT JOIN #myPropBudg b ON b.prop_id = p.prop_id_x000D_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</si>
  <si>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</si>
  <si>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</si>
  <si>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</si>
  <si>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 Needs: RA_lead(#myPid,#myRA),RA_prop(#myProp,#myPropBudg),RA_revs(#myRevMarks,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</si>
  <si>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</si>
  <si>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 xml:space="preserve">--Needs: RA_lead(#myPid,#myLead),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#myPid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#myPid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#myPid p, FLflpdb.flp.ej_diry_note d WHERE d.prop_id = p.prop_id_x000D_
ORDER BY lead, docType, revr_last_name, revr_id_x000D_
</t>
  </si>
  <si>
    <t xml:space="preserve">-- Needs: RA_lead(#myPid),RA_propPRCs(#myPRCs),RA_prop(#myProp,#myPropBudg),RA_revs(#myRevs, #myRevMarks, #myRevPanl), RA_panl(#myPanl, #myProjPanl, #myProjPanlSumm)_x000D_
--DROP TABLE #myCtry, #myCovrInfo, #myBudgPRC_x000D_
SELECT prop_id,R,id=identity(18), 0 as 'seq'_x000D_
INTO #myBudgPRC FROM (SELECT DISTINCT p.prop_id,bpr.pgm_ref_code AS R_x000D_
      FROM #myPid p_x000D_
      JOIN csd.budg_pgm_ref bpr ON bpr.prop_id = p.prop_id) bpr_x000D_
ORDER BY prop_id,R_x000D_
SELECT prop_id,MIN(id) as 'start'INTO #mySt2 FROM #myBudgPRC _x000D_
GROUP BY prop_id_x000D_
UPDATE #myBudgPRC set seq = id-M.start FROM #myBudgPRC rb, #mySt2 M_x000D_
WHERE rb.prop_id = M.prop_id _x000D_
CREATE INDEX myBudgPRC ON #myBudgPRC(prop_id, seq)_x000D_
drop table #mySt2_x000D_
_x000D_
_x000D_
SELECT p.prop_id, ctry.ctry_name, id=identity(18), 0 as 'seq' _x000D_
INTO #myCtry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p.PO, prop_stts_abbr,natr_rqst.natr_rqst_abbr,prop.obj_clas_code,ai.awd_istr_abbr as rcom_istr_abbr,_x000D_
org.dir_div_abbr as Div, p.lead, p.ILN, p.prop_id,_x000D_
p.L AS pi_last_name, p.F AS pi_frst_name, p.I AS inst, p.st_code, p.M as email,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</si>
  <si>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RA_lead(#myPid), RA_propPRCs(#myPRCs)_x000D_
--DROP TABLE #myBudg_x000D_
SELECT p.lead, p.prop_id, eb.revn_num, eb.budg_seq_yr, eb.budg_tot_dol, _x000D_
eb.sr_pers_cnt, eb.sr_summ_mnth_cnt, eb.pdoc_grnt_dol, eb.frgn_trav_dol, eb.part_dol_x000D_
INTO #myBudg FROM #myPid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#myPid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#myPid pid_x000D_
JOIN csd.prop p ON p.prop_id = pid.prop_id_x000D_
LEFT OUTER JOIN #myPRCs prc ON prc.prop_id = pid.prop_id_x000D_
ORDER BY pid.lead, pid.ILN, pid.prop_id, eb.budg_seq_yr _x000D_
</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</si>
  <si>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</si>
  <si>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</si>
  <si>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</si>
  <si>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</si>
  <si>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</si>
  <si>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</si>
  <si>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</si>
  <si>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</si>
  <si>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</si>
  <si>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</si>
  <si>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</si>
  <si>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</si>
  <si>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</si>
  <si>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</si>
  <si>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</si>
  <si>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</si>
  <si>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</si>
  <si>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</si>
  <si>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</si>
  <si>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</si>
  <si>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</si>
  <si>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</si>
  <si>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</si>
  <si>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</si>
  <si>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</si>
  <si>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</si>
  <si>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</si>
  <si>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</si>
  <si>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</si>
  <si>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</si>
  <si>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</si>
  <si>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</si>
  <si>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</si>
  <si>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</si>
  <si>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</si>
  <si>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</si>
  <si>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</si>
  <si>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</si>
  <si>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</si>
  <si>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</si>
  <si>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</si>
  <si>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</si>
  <si>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</si>
  <si>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</si>
  <si>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</si>
  <si>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</si>
  <si>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</si>
  <si>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</si>
  <si>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</si>
  <si>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</si>
  <si>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</si>
  <si>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</si>
  <si>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</si>
  <si>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</si>
  <si>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</si>
  <si>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</si>
  <si>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</si>
  <si>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</si>
  <si>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</si>
  <si>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</si>
  <si>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</si>
  <si>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</si>
  <si>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</si>
  <si>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</si>
  <si>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</si>
  <si>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</si>
  <si>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</si>
  <si>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</si>
  <si>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</si>
  <si>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</si>
  <si>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</si>
  <si>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</si>
  <si>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</si>
  <si>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</si>
  <si>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</si>
  <si>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</si>
  <si>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</si>
  <si>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</si>
  <si>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</si>
  <si>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</si>
  <si>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</si>
  <si>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</si>
  <si>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</si>
  <si>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</si>
  <si>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</si>
  <si>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</si>
  <si>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</si>
  <si>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</si>
  <si>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</si>
  <si>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</si>
  <si>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</si>
  <si>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</si>
  <si>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</si>
  <si>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</si>
  <si>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</si>
  <si>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</si>
  <si>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</si>
  <si>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</si>
  <si>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</si>
  <si>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</si>
  <si>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</si>
  <si>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</si>
  <si>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</si>
  <si>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</si>
  <si>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</si>
  <si>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</si>
  <si>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</si>
  <si>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</si>
  <si>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</si>
  <si>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</si>
  <si>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</si>
  <si>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</si>
  <si>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</si>
  <si>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</si>
  <si>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</si>
  <si>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</si>
  <si>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</si>
  <si>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</si>
  <si>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</si>
  <si>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</si>
  <si>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</si>
  <si>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</si>
  <si>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</si>
  <si>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</si>
  <si>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</si>
  <si>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</si>
  <si>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</si>
  <si>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</si>
  <si>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</si>
  <si>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</si>
  <si>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</si>
  <si>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</si>
  <si>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</si>
  <si>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</si>
  <si>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</si>
  <si>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</si>
  <si>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</si>
  <si>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</si>
  <si>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</si>
  <si>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</si>
  <si>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</si>
  <si>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</si>
  <si>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</si>
  <si>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</si>
  <si>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</si>
  <si>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</si>
  <si>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</si>
  <si>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</si>
  <si>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</si>
  <si>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</si>
  <si>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</si>
  <si>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</si>
  <si>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</si>
  <si>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</si>
  <si>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</si>
  <si>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</si>
  <si>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</si>
  <si>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</si>
  <si>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</si>
  <si>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</si>
  <si>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</si>
  <si>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</si>
  <si>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</si>
  <si>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</si>
  <si>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</si>
  <si>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</si>
  <si>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</si>
  <si>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</si>
  <si>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</si>
  <si>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</si>
  <si>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</si>
  <si>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</si>
  <si>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</si>
  <si>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</si>
  <si>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</si>
  <si>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</si>
  <si>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</si>
  <si>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</si>
  <si>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</si>
  <si>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</si>
  <si>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</si>
  <si>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</si>
  <si>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</si>
  <si>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</si>
  <si>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</si>
  <si>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</si>
  <si>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</si>
  <si>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</si>
  <si>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</si>
  <si>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</si>
  <si>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</si>
  <si>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</si>
  <si>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</si>
  <si>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</si>
  <si>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</si>
  <si>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</si>
  <si>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</si>
  <si>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</si>
  <si>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</si>
  <si>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</si>
  <si>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</si>
  <si>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</si>
  <si>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</si>
  <si>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</si>
  <si>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</si>
  <si>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</si>
  <si>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</si>
  <si>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</si>
  <si>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</si>
  <si>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</si>
  <si>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</si>
  <si>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</si>
  <si>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</si>
  <si>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</si>
  <si>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</si>
  <si>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</si>
  <si>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</si>
  <si>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</si>
  <si>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</si>
  <si>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</si>
  <si>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</si>
  <si>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</si>
  <si>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</si>
  <si>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</si>
  <si>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</si>
  <si>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</si>
  <si>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</si>
  <si>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</si>
  <si>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</si>
  <si>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</si>
  <si>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</si>
  <si>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</si>
  <si>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</si>
  <si>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</si>
  <si>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</si>
  <si>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</si>
  <si>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</si>
  <si>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</si>
  <si>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</si>
  <si>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</si>
  <si>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</si>
  <si>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</si>
  <si>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</si>
  <si>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</si>
  <si>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</si>
  <si>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</si>
  <si>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</si>
  <si>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</si>
  <si>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RN</t>
  </si>
  <si>
    <t>T</t>
  </si>
  <si>
    <t>bPRCs</t>
  </si>
  <si>
    <t>STND</t>
  </si>
  <si>
    <t>obj_clas_code2</t>
  </si>
  <si>
    <t>pi_email</t>
  </si>
  <si>
    <t>OTH_AGCY_SUBM_FLAG</t>
  </si>
  <si>
    <t>splt_tot</t>
  </si>
  <si>
    <t>N</t>
  </si>
  <si>
    <t xml:space="preserve">Finland; Hungary      </t>
  </si>
  <si>
    <t xml:space="preserve">Czech Republic; Finland; Swaziland     </t>
  </si>
  <si>
    <t>Pend</t>
  </si>
  <si>
    <t xml:space="preserve">Germany       </t>
  </si>
  <si>
    <t xml:space="preserve">Worldwide       </t>
  </si>
  <si>
    <t>using mail merge to fill  RAtemplates with reportserver data.</t>
  </si>
  <si>
    <t>&gt;ra</t>
  </si>
  <si>
    <t/>
  </si>
  <si>
    <t xml:space="preserve">-- DROP TABLE #myPid, #myLead, #myRA_x000D_
CREATE INDEX myPid_idx ON #myPid(prop_id)_x000D_
INSERT INTO #myPid _x000D_
SELECT DISTINCT CASE WHEN p.lead_prop_id IS NULL THEN 'I' WHEN p.lead_prop_id &lt;&gt; p.prop_id THEN 'N' ELSE 'L' END AS ILN,pm_ibm_logn_id AS PO,_x000D_
  isnull(p.lead_prop_id,p.prop_id) AS lead, p.prop_id, p.pi_id, pi_last_name as L, pi_frst_name as F, inst_shrt_name as I, inst.st_code, pi_emai_addr AS M, _x000D_
  pid.RAtemplate, pid.RAsigner, pid.RAsign2_x000D_
FROM #myPid pid_x000D_
JOIN csd.prop p ON p.lead_prop_id = pid.lead_x000D_
LEFT JOIN csd.pi_vw pi ON pi.pi_id = p.pi_id AND pi.prim_addr_flag='Y'_x000D_
LEFT JOIN csd.inst inst ON inst.inst_id = p.inst_id_x000D_
WHERE pid.ILN &lt; 'M' AND NOT EXISTS (SELECT * FROM #myPid px WHERE px.prop_id = p.prop_id)_x000D_
-- project leads_x000D_
SELECT p.ILN, p.PO, p.lead, p.L, p.RAtemplate, p.RAsigner, p.RAsign2_x000D_
INTO #myLead FROM #myPid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</si>
  <si>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RA_lead(#myLead,#myRA),RA_propPRCs(#myPRCs),RA_prop(#myProp,#myPropBudg),RA_revs(#myRevs, #myRevMarks, #myRevPanl), RA_panl(#myPanl, #myProjPanl, #myProjPanlSumm)_x000D_
SELECT getdate() AS pulldate, nsf_rcvd_date, _x000D_
nullif(dd_rcom_date,'1900-01-01') AS dd_rcom_date, ra.RAupdate, _x000D_
cntx_stmt_id, prop.pgm_annc_id, prop.org_code, prop.pgm_ele_code,p.PO,_x000D_
prop_stts_abbr,natr_rqst.natr_rqst_abbr,prop.obj_clas_code,org.dir_div_abbr as Div, _x000D_
nPanl, isnull(RecRkMin,99) AS RecRkMin, pn0.RA as rec0, pn1.RA as rec1, pn2.RA as rec2, _x000D_
p.RAtemplate, _x000D_
CASE WHEN p.RAsigner='PD' THEN po_vw.sign_blck_name ELSE p.RAsigner END AS RAsigner,_x000D_
p.RAsign2,rs.*,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,0,-0.99999999,'NRFP','NRFP','NRFP'_x000D_
,'templateFilename_RAt.docx','RA signer name(s)','RA signer title(s)'_x000D_
,'1234567',0,0,1,4.5,9,'E,E/V,V,V/G,G,G/F,F,F/P,P',@olddate,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</si>
</sst>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91">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0" fontId="25" fillId="3" borderId="0" xfId="0" applyFont="1" applyFill="1" applyAlignment="1">
      <alignment horizontal="center" vertical="center"/>
    </xf>
    <xf numFmtId="49" fontId="0" fillId="0" borderId="0" xfId="0" applyNumberFormat="1" applyAlignment="1" applyProtection="1">
      <alignment horizontal="left" vertical="top"/>
      <protection locked="0"/>
    </xf>
    <xf numFmtId="49" fontId="22"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cellXfs>
  <cellStyles count="6">
    <cellStyle name="Currency" xfId="2" builtinId="4"/>
    <cellStyle name="Hyperlink" xfId="1" builtinId="8"/>
    <cellStyle name="Normal" xfId="0" builtinId="0"/>
    <cellStyle name="Percent" xfId="5" builtinId="5"/>
    <cellStyle name="Subtotal" xfId="4"/>
    <cellStyle name="Subtotal Label" xfId="3"/>
  </cellStyles>
  <dxfs count="225">
    <dxf>
      <fill>
        <patternFill>
          <bgColor rgb="FFFEFECE"/>
        </patternFill>
      </fill>
    </dxf>
    <dxf>
      <font>
        <b val="0"/>
        <i/>
        <strike val="0"/>
        <color theme="0" tint="-0.34998626667073579"/>
      </font>
    </dxf>
    <dxf>
      <fill>
        <patternFill>
          <bgColor rgb="FFFEEFE2"/>
        </patternFill>
      </fill>
    </dxf>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DFF5E2"/>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7979"/>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69" formatCode="_([$$-409]* #,##0_);_([$$-409]* \(#,##0\);_([$$-409]* &quot;-&quot;??_);_(@_)"/>
    </dxf>
    <dxf>
      <numFmt numFmtId="169"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8" formatCode="mm/dd/yy\ hh:mm"/>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167" formatCode="&quot;$&quot;#,##0.0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0" formatCode="General"/>
    </dxf>
    <dxf>
      <numFmt numFmtId="0" formatCode="General"/>
    </dxf>
    <dxf>
      <numFmt numFmtId="168" formatCode="mm/dd/yy\ hh:mm"/>
    </dxf>
    <dxf>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27" formatCode="m/d/yyyy\ h:mm"/>
    </dxf>
    <dxf>
      <numFmt numFmtId="165" formatCode="mm/dd/yy;@"/>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68" formatCode="mm/dd/yy\ hh:mm"/>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24"/>
      <tableStyleElement type="headerRow" dxfId="223"/>
      <tableStyleElement type="totalRow" dxfId="222"/>
      <tableStyleElement type="firstRowStripe" dxfId="221"/>
    </tableStyle>
    <tableStyle name="OmitTableStyle" pivot="0" count="6">
      <tableStyleElement type="wholeTable" dxfId="220"/>
      <tableStyleElement type="headerRow" dxfId="219"/>
      <tableStyleElement type="totalRow" dxfId="218"/>
      <tableStyleElement type="firstColumn" dxfId="217"/>
      <tableStyleElement type="lastColumn" dxfId="216"/>
      <tableStyleElement type="firstRowStripe" dxfId="215"/>
    </tableStyle>
    <tableStyle name="TableFall" pivot="0" count="4">
      <tableStyleElement type="wholeTable" dxfId="214"/>
      <tableStyleElement type="headerRow" dxfId="213"/>
      <tableStyleElement type="totalRow" dxfId="212"/>
      <tableStyleElement type="firstRowStripe" dxfId="211"/>
    </tableStyle>
    <tableStyle name="TableStyleMedium3 2" pivot="0" count="7">
      <tableStyleElement type="wholeTable" dxfId="210"/>
      <tableStyleElement type="headerRow" dxfId="209"/>
      <tableStyleElement type="totalRow" dxfId="208"/>
      <tableStyleElement type="firstColumn" dxfId="207"/>
      <tableStyleElement type="lastColumn" dxfId="206"/>
      <tableStyleElement type="firstRowStripe" dxfId="205"/>
      <tableStyleElement type="firstColumnStripe" dxfId="204"/>
    </tableStyle>
    <tableStyle name="TableStyleMedium7 2" pivot="0" count="7">
      <tableStyleElement type="wholeTable" dxfId="203"/>
      <tableStyleElement type="headerRow" dxfId="202"/>
      <tableStyleElement type="totalRow" dxfId="201"/>
      <tableStyleElement type="firstColumn" dxfId="200"/>
      <tableStyleElement type="lastColumn" dxfId="199"/>
      <tableStyleElement type="firstRowStripe" dxfId="198"/>
      <tableStyleElement type="firstColumnStripe" dxfId="197"/>
    </tableStyle>
  </tableStyles>
  <colors>
    <mruColors>
      <color rgb="FFDFF5E2"/>
      <color rgb="FFFEEFE2"/>
      <color rgb="FF6C8B1B"/>
      <color rgb="FFFEFECE"/>
      <color rgb="FFFABDB8"/>
      <color rgb="FFC81E0F"/>
      <color rgb="FFE11E1E"/>
      <color rgb="FFFFC1C1"/>
      <color rgb="FFFFFFD9"/>
      <color rgb="FFFBFE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4.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87086</xdr:colOff>
      <xdr:row>0</xdr:row>
      <xdr:rowOff>16329</xdr:rowOff>
    </xdr:from>
    <xdr:to>
      <xdr:col>14</xdr:col>
      <xdr:colOff>81643</xdr:colOff>
      <xdr:row>0</xdr:row>
      <xdr:rowOff>228600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7086" y="201386"/>
          <a:ext cx="7777843"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125186</xdr:colOff>
          <xdr:row>0</xdr:row>
          <xdr:rowOff>174171</xdr:rowOff>
        </xdr:from>
        <xdr:to>
          <xdr:col>16</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scratch\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sheetData sheetId="1"/>
      <sheetData sheetId="2"/>
      <sheetData sheetId="3">
        <row r="14">
          <cell r="D14" t="str">
            <v>eg: jsnoeyi, not 8-letter lan id</v>
          </cell>
        </row>
      </sheetData>
      <sheetData sheetId="4"/>
      <sheetData sheetId="5"/>
      <sheetData sheetId="6"/>
    </sheetDataSet>
  </externalBook>
</externalLink>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308">
    <queryTableFields count="62">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66" name="Nrev" tableColumnId="40"/>
      <queryTableField id="269" name="Npanl" tableColumnId="43"/>
      <queryTableField id="83" name="prop_titl_txt" tableColumnId="83"/>
      <queryTableField id="214" name="dd_rcom_date" tableColumnId="1"/>
      <queryTableField id="260" name="NfmlPIs" tableColumnId="34"/>
      <queryTableField id="261" name="NhispPIs" tableColumnId="35"/>
      <queryTableField id="262" name="NhndcpPIs" tableColumnId="36"/>
      <queryTableField id="263" name="NnonWhtAsnPIs" tableColumnId="37"/>
      <queryTableField id="278" name="prop_stts_txt" tableColumnId="8"/>
      <queryTableField id="279" name="prop_stts_abbr" tableColumnId="9"/>
      <queryTableField id="280" name="natr_rqst_abbr" tableColumnId="10"/>
      <queryTableField id="281" name="Div" tableColumnId="15"/>
      <queryTableField id="282" name="inst" tableColumnId="20"/>
      <queryTableField id="283" name="email" tableColumnId="21"/>
      <queryTableField id="284" name="propPRCs" tableColumnId="22"/>
      <queryTableField id="285" name="nPSunmrkd" tableColumnId="24"/>
      <queryTableField id="286" name="nPSunrls" tableColumnId="26"/>
      <queryTableField id="287" name="RecRkMin" tableColumnId="30"/>
      <queryTableField id="288" name="allReviews" tableColumnId="31"/>
      <queryTableField id="289" name="avg_score" tableColumnId="33"/>
      <queryTableField id="290" name="last_rev_date" tableColumnId="41"/>
      <queryTableField id="291" name="Nunmkd" tableColumnId="42"/>
      <queryTableField id="292" name="Nunrlsbl" tableColumnId="44"/>
      <queryTableField id="293" name="NrlsdCDNPS" tableColumnId="45"/>
      <queryTableField id="294" name="NpendSlct" tableColumnId="46"/>
      <queryTableField id="295" name="NdiffFLeJ" tableColumnId="47"/>
      <queryTableField id="296" name="rqst_tot" tableColumnId="48"/>
      <queryTableField id="297" name="brevn" tableColumnId="49"/>
      <queryTableField id="298" name="budg_tot" tableColumnId="50"/>
      <queryTableField id="299" name="sub_ctr_tot" tableColumnId="51"/>
      <queryTableField id="300" name="frgn_trav_tot" tableColumnId="52"/>
      <queryTableField id="301" name="pdoc_tot" tableColumnId="53"/>
      <queryTableField id="302" name="part_tot_dol" tableColumnId="54"/>
      <queryTableField id="303" name="grad_tot_cnt" tableColumnId="55"/>
      <queryTableField id="304" name="sr_tot_cnt" tableColumnId="56"/>
      <queryTableField id="305" name="sr_sumr_mnths" tableColumnId="57"/>
      <queryTableField id="306" name="sr_acad_mnths" tableColumnId="58"/>
      <queryTableField id="307" name="sr_cal_mnths" tableColumnId="5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3">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8" name="lead" tableColumnId="8"/>
      <queryTableField id="55" dataBound="0" tableColumnId="1"/>
      <queryTableField id="58" dataBound="0" tableColumnId="2"/>
      <queryTableField id="70" name="pi_last_name" tableColumnId="11"/>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 id="91" name="PO" tableColumnId="7"/>
      <queryTableField id="92" name="pi_email" tableColumnId="13"/>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01">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11" name="cntx_stmt_id" tableColumnId="11"/>
      <queryTableField id="254" name="RAupdate" tableColumnId="32"/>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18" name="humn_date" tableColumnId="9"/>
      <queryTableField id="219" name="vrtb_date" tableColumnId="10"/>
      <queryTableField id="83" name="prop_titl_txt" tableColumnId="83"/>
      <queryTableField id="251" name="abst_narr_txt" tableColumnId="31"/>
      <queryTableField id="250" name="Country" tableColumnId="30"/>
      <queryTableField id="214" name="dd_rcom_date" tableColumnId="1"/>
      <queryTableField id="278" name="prop_stts_txt" tableColumnId="8"/>
      <queryTableField id="279" name="prop_stts_abbr" tableColumnId="15"/>
      <queryTableField id="280" name="natr_rqst_abbr" tableColumnId="20"/>
      <queryTableField id="281" name="rcom_istr_abbr" tableColumnId="21"/>
      <queryTableField id="282" name="Div" tableColumnId="22"/>
      <queryTableField id="283" name="inst" tableColumnId="24"/>
      <queryTableField id="284" name="email" tableColumnId="26"/>
      <queryTableField id="285" name="propPRCs" tableColumnId="28"/>
      <queryTableField id="286" name="bPRCs" tableColumnId="29"/>
      <queryTableField id="287" name="OTH_AGCY_SUBM_FLAG" tableColumnId="33"/>
      <queryTableField id="288" name="rqst_tot" tableColumnId="34"/>
      <queryTableField id="289" name="brevn" tableColumnId="35"/>
      <queryTableField id="290" name="budg_tot" tableColumnId="36"/>
      <queryTableField id="291" name="splt_tot" tableColumnId="37"/>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310">
    <queryTableFields count="46">
      <queryTableField id="4" name="nsf_rcvd_date" tableColumnId="4"/>
      <queryTableField id="5" name="pgm_annc_id" tableColumnId="5"/>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83" name="prop_titl_txt" tableColumnId="83"/>
      <queryTableField id="214" name="dd_rcom_date" tableColumnId="1"/>
      <queryTableField id="278" name="prop_stts_txt" tableColumnId="6"/>
      <queryTableField id="279" name="pOrg" tableColumnId="7"/>
      <queryTableField id="280" name="bOrg" tableColumnId="8"/>
      <queryTableField id="281" name="pPEC" tableColumnId="9"/>
      <queryTableField id="282" name="bPEC" tableColumnId="10"/>
      <queryTableField id="283" name="pPO" tableColumnId="15"/>
      <queryTableField id="284" name="bPO" tableColumnId="16"/>
      <queryTableField id="285" name="prop_stts_abbr" tableColumnId="17"/>
      <queryTableField id="286" name="natr_rqst_abbr" tableColumnId="18"/>
      <queryTableField id="287" name="obj_clas_code" tableColumnId="20"/>
      <queryTableField id="288" name="rcom_istr_abbr" tableColumnId="21"/>
      <queryTableField id="289" name="Div" tableColumnId="22"/>
      <queryTableField id="290" name="awd_id" tableColumnId="23"/>
      <queryTableField id="291" name="inst" tableColumnId="24"/>
      <queryTableField id="292" name="email" tableColumnId="26"/>
      <queryTableField id="293" name="budg_yr" tableColumnId="28"/>
      <queryTableField id="294" name="splt_id" tableColumnId="29"/>
      <queryTableField id="295" name="budg_splt_tot_dol" tableColumnId="30"/>
      <queryTableField id="296" name="prop_id" tableColumnId="31"/>
      <queryTableField id="297" name="RN" tableColumnId="33"/>
      <queryTableField id="298" name="T" tableColumnId="34"/>
      <queryTableField id="299" name="sub_ctr_tot" tableColumnId="35"/>
      <queryTableField id="300" name="frgn_trav_tot" tableColumnId="36"/>
      <queryTableField id="301" name="pdoc_tot" tableColumnId="37"/>
      <queryTableField id="302" name="part_tot_dol" tableColumnId="40"/>
      <queryTableField id="303" name="grad_tot_cnt" tableColumnId="41"/>
      <queryTableField id="304" name="sr_tot_cnt" tableColumnId="42"/>
      <queryTableField id="305" name="sr_sumr_mnths" tableColumnId="43"/>
      <queryTableField id="306" name="sr_acad_mnths" tableColumnId="44"/>
      <queryTableField id="307" name="sr_cal_mnths" tableColumnId="45"/>
      <queryTableField id="308" name="propPRCs" tableColumnId="46"/>
      <queryTableField id="309" name="bPRCs" tableColumnId="47"/>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67">
    <queryTableFields count="131">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196">
  <autoFilter ref="A12:A31"/>
  <tableColumns count="1">
    <tableColumn id="1" name="prop_id" dataDxfId="19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194">
  <autoFilter ref="D12:D32"/>
  <tableColumns count="1">
    <tableColumn id="1" name="prop_id" dataDxfId="19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92">
  <autoFilter ref="G12:G14"/>
  <tableColumns count="1">
    <tableColumn id="1" name="prop_id" dataDxfId="191"/>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J32" tableType="queryTable" totalsRowShown="0">
  <autoFilter ref="A1:BJ32"/>
  <tableColumns count="62">
    <tableColumn id="4" uniqueName="4" name="nsf_rcvd_date" queryTableFieldId="4" dataDxfId="190"/>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_xlfn.XOR(IFERROR(MATCH(ckCodingTable[[#This Row],[st_code]],EpscorTable[],0)&gt;0,FALSE),IFERROR(FIND("9150",#REF!)&gt;0,FALSE))</calculatedColumnFormula>
    </tableColumn>
    <tableColumn id="39" uniqueName="39" name="WMD?9102" queryTableFieldId="265">
      <calculatedColumnFormula>_xlfn.XOR(ckCodingTable[[#This Row],[WMD]]&lt;&gt;"",IFERROR(FIND("9102",#REF!)&gt;0,FALSE))</calculatedColumnFormula>
    </tableColumn>
    <tableColumn id="38" uniqueName="38" name="WMD" queryTableFieldId="264">
      <calculatedColumnFormula>IF(SUM(AC2:AF2)&gt;0,"WMD","")</calculatedColumnFormula>
    </tableColumn>
    <tableColumn id="11" uniqueName="11" name="cntx_stmt_id" queryTableFieldId="11"/>
    <tableColumn id="32" uniqueName="32" name="RAupdate" queryTableFieldId="254" dataDxfId="189"/>
    <tableColumn id="28" uniqueName="28" name="bas_rsch_pct" queryTableFieldId="243" dataDxfId="188" dataCellStyle="Percent"/>
    <tableColumn id="29" uniqueName="29" name="other_pct" queryTableFieldId="244" dataDxfId="187" dataCellStyle="Percent"/>
    <tableColumn id="206" uniqueName="206" name="@pi email" queryTableFieldId="212" dataDxfId="186" dataCellStyle="Hyperlink">
      <calculatedColumnFormula xml:space="preserve"> HYPERLINK("mailto:"&amp;ckCodingTable[[#This Row],[email]]&amp;"&amp;subject=Your NSF Proposal:  "&amp;ckCodingTable[[#This Row],[prop_id]],ckCodingTable[[#This Row],[email]])</calculatedColumnFormula>
    </tableColumn>
    <tableColumn id="25" uniqueName="25" name="0" queryTableFieldId="230">
      <calculatedColumnFormula xml:space="preserve"> P1+(ckCodingTable[ILN]&lt;"M")</calculatedColumnFormula>
    </tableColumn>
    <tableColumn id="2" uniqueName="2" name="ILN" queryTableFieldId="215"/>
    <tableColumn id="3" uniqueName="3" name="lead" queryTableFieldId="216"/>
    <tableColumn id="205" uniqueName="205" name="eJ" queryTableFieldId="213" dataDxfId="185" dataCellStyle="Hyperlink">
      <calculatedColumnFormula>HYPERLINK("https://www.ejacket.nsf.gov/ej/showProposal.do?ID="&amp;ckCodingTable[[#This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84"/>
    <tableColumn id="17" uniqueName="17" name="rqst_mnth_cnt" queryTableFieldId="17"/>
    <tableColumn id="40" uniqueName="40" name="nRev" queryTableFieldId="266"/>
    <tableColumn id="43" uniqueName="43" name="nPanl" queryTableFieldId="269"/>
    <tableColumn id="83" uniqueName="83" name="prop_titl_txt" queryTableFieldId="83"/>
    <tableColumn id="1" uniqueName="1" name="dd_rcom_date" queryTableFieldId="214" dataDxfId="183"/>
    <tableColumn id="34" uniqueName="34" name="NfmlPIs" queryTableFieldId="260"/>
    <tableColumn id="35" uniqueName="35" name="NhispPIs" queryTableFieldId="261"/>
    <tableColumn id="36" uniqueName="36" name="NhndcpPIs" queryTableFieldId="262"/>
    <tableColumn id="37" uniqueName="37" name="NnonWhtAsnPIs" queryTableFieldId="263"/>
    <tableColumn id="8" uniqueName="8" name="prop_stts_txt" queryTableFieldId="278"/>
    <tableColumn id="9" uniqueName="9" name="prop_stts_abbr" queryTableFieldId="279"/>
    <tableColumn id="10" uniqueName="10" name="natr_rqst_abbr" queryTableFieldId="280"/>
    <tableColumn id="15" uniqueName="15" name="Div" queryTableFieldId="281"/>
    <tableColumn id="20" uniqueName="20" name="inst" queryTableFieldId="282"/>
    <tableColumn id="21" uniqueName="21" name="email" queryTableFieldId="283"/>
    <tableColumn id="22" uniqueName="22" name="propPRCs" queryTableFieldId="284"/>
    <tableColumn id="24" uniqueName="24" name="nPSunmrkd" queryTableFieldId="285"/>
    <tableColumn id="26" uniqueName="26" name="nPSunrls" queryTableFieldId="286"/>
    <tableColumn id="30" uniqueName="30" name="RecRkMin" queryTableFieldId="287"/>
    <tableColumn id="31" uniqueName="31" name="allReviews" queryTableFieldId="288"/>
    <tableColumn id="33" uniqueName="33" name="avg_score" queryTableFieldId="289"/>
    <tableColumn id="41" uniqueName="41" name="last_rev_date" queryTableFieldId="290" dataDxfId="182"/>
    <tableColumn id="42" uniqueName="42" name="Nunmkd" queryTableFieldId="291"/>
    <tableColumn id="44" uniqueName="44" name="Nunrlsbl" queryTableFieldId="292"/>
    <tableColumn id="45" uniqueName="45" name="NrlsdCDNPS" queryTableFieldId="293"/>
    <tableColumn id="46" uniqueName="46" name="NpendSlct" queryTableFieldId="294"/>
    <tableColumn id="47" uniqueName="47" name="NdiffFLeJ" queryTableFieldId="295"/>
    <tableColumn id="48" uniqueName="48" name="rqst_tot" queryTableFieldId="296"/>
    <tableColumn id="49" uniqueName="49" name="brevn" queryTableFieldId="297"/>
    <tableColumn id="50" uniqueName="50" name="budg_tot" queryTableFieldId="298"/>
    <tableColumn id="51" uniqueName="51" name="sub_ctr_tot" queryTableFieldId="299"/>
    <tableColumn id="52" uniqueName="52" name="frgn_trav_tot" queryTableFieldId="300"/>
    <tableColumn id="53" uniqueName="53" name="pdoc_tot" queryTableFieldId="301"/>
    <tableColumn id="54" uniqueName="54" name="part_tot_dol" queryTableFieldId="302"/>
    <tableColumn id="55" uniqueName="55" name="grad_tot_cnt" queryTableFieldId="303"/>
    <tableColumn id="56" uniqueName="56" name="sr_tot_cnt" queryTableFieldId="304"/>
    <tableColumn id="57" uniqueName="57" name="sr_sumr_mnths" queryTableFieldId="305"/>
    <tableColumn id="58" uniqueName="58" name="sr_acad_mnths" queryTableFieldId="306"/>
    <tableColumn id="59" uniqueName="59" name="sr_cal_mnths" queryTableFieldId="30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Z165" tableType="queryTable" totalsRowShown="0" dataDxfId="181">
  <autoFilter ref="A3:Z165"/>
  <tableColumns count="26">
    <tableColumn id="10" uniqueName="10" name="prop_id" queryTableFieldId="10" dataDxfId="180"/>
    <tableColumn id="9" uniqueName="9" name="ILN" queryTableFieldId="89" dataDxfId="179" dataCellStyle="Hyperlink"/>
    <tableColumn id="3" uniqueName="3" name="nsf_rcvd_date" queryTableFieldId="63" dataDxfId="178" dataCellStyle="Hyperlink"/>
    <tableColumn id="4" uniqueName="4" name="pgm_annc_id" queryTableFieldId="64" dataDxfId="177" dataCellStyle="Hyperlink"/>
    <tableColumn id="5" uniqueName="5" name="org_code" queryTableFieldId="65" dataDxfId="176" dataCellStyle="Hyperlink"/>
    <tableColumn id="6" uniqueName="6" name="pgm_ele_code" queryTableFieldId="66" dataDxfId="175" dataCellStyle="Hyperlink"/>
    <tableColumn id="8" uniqueName="8" name="lead" queryTableFieldId="68" dataDxfId="174"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CellStyle="Hyperlink"/>
    <tableColumn id="11" uniqueName="11" name="pi_last_name" queryTableFieldId="70" dataDxfId="173" dataCellStyle="Hyperlink"/>
    <tableColumn id="12" uniqueName="12" name="inst_name" queryTableFieldId="71" dataDxfId="172" dataCellStyle="Hyperlink"/>
    <tableColumn id="14" uniqueName="14" name="sr_pers_cnt" queryTableFieldId="73" dataDxfId="171" dataCellStyle="Hyperlink"/>
    <tableColumn id="15" uniqueName="15" name="sr_summ_mnth_cnt" queryTableFieldId="74" dataDxfId="170" dataCellStyle="Hyperlink"/>
    <tableColumn id="16" uniqueName="16" name="pdoc_grnt_dol" queryTableFieldId="75" dataDxfId="169" dataCellStyle="Currency"/>
    <tableColumn id="17" uniqueName="17" name="frgn_trav_dol" queryTableFieldId="76" dataDxfId="168" dataCellStyle="Currency"/>
    <tableColumn id="18" uniqueName="18" name="part_dol" queryTableFieldId="77" dataDxfId="167" dataCellStyle="Currency"/>
    <tableColumn id="19" uniqueName="19" name="budg_tot_dol" queryTableFieldId="78" dataDxfId="166" dataCellStyle="Currency"/>
    <tableColumn id="20" uniqueName="20" name="revn_num" queryTableFieldId="79" dataDxfId="165" dataCellStyle="Hyperlink"/>
    <tableColumn id="21" uniqueName="21" name="budg_seq_yr" queryTableFieldId="80" dataDxfId="164" dataCellStyle="Hyperlink"/>
    <tableColumn id="26" uniqueName="26" name="Column1" queryTableFieldId="85" dataDxfId="163" dataCellStyle="Hyperlink">
      <calculatedColumnFormula>IF(ISBLANK(BudgetsTable[[#This Row],[budg_seq_yr]]),"FY"&amp;fiscalyear,"FY"&amp;fiscalyear-1+BudgetsTable[[#This Row],[budg_seq_yr]])</calculatedColumnFormula>
    </tableColumn>
    <tableColumn id="22" uniqueName="22" name="dol" queryTableFieldId="81" dataDxfId="162" dataCellStyle="Currency"/>
    <tableColumn id="23" uniqueName="23" name="org_code2" queryTableFieldId="82" dataDxfId="161" dataCellStyle="Hyperlink"/>
    <tableColumn id="24" uniqueName="24" name="PEC" queryTableFieldId="83" dataDxfId="160" dataCellStyle="Hyperlink"/>
    <tableColumn id="25" uniqueName="25" name="PRCs" queryTableFieldId="84" dataDxfId="159" dataCellStyle="Hyperlink"/>
    <tableColumn id="7" uniqueName="7" name="PO" queryTableFieldId="91" dataDxfId="158" dataCellStyle="Hyperlink"/>
    <tableColumn id="13" uniqueName="13" name="pi_email" queryTableFieldId="92" dataDxfId="157"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32" tableType="queryTable" totalsRowShown="0">
  <autoFilter ref="A1:AW32"/>
  <tableColumns count="49">
    <tableColumn id="4" uniqueName="4" name="nsf_rcvd_date" queryTableFieldId="4" dataDxfId="156"/>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_xlfn.XOR(IFERROR(MATCH(ckAwdTable[[#This Row],[st_code]],EpscorTable[],0)&gt;0,FALSE),IFERROR(FIND("9150",#REF!)&gt;0,FALSE))</calculatedColumnFormula>
    </tableColumn>
    <tableColumn id="11" uniqueName="11" name="cntx_stmt_id" queryTableFieldId="11"/>
    <tableColumn id="32" uniqueName="32" name="RAupdate" queryTableFieldId="254" dataDxfId="155"/>
    <tableColumn id="206" uniqueName="206" name="@pi email" queryTableFieldId="212" dataDxfId="154" dataCellStyle="Hyperlink">
      <calculatedColumnFormula>HYPERLINK("mailto:"&amp; ckAwdTable[[#This Row],[email]]&amp;"&amp;subject=Your NSF Proposal:  "&amp;ckAwdTable[[#This Row],[prop_id]], ckAwdTable[[#This Row],[email]])</calculatedColumnFormula>
    </tableColumn>
    <tableColumn id="25" uniqueName="25" name="0" queryTableFieldId="230">
      <calculatedColumnFormula xml:space="preserve"> L1+(ckAwdTable[ILN]&lt;"M")</calculatedColumnFormula>
    </tableColumn>
    <tableColumn id="2" uniqueName="2" name="ILN" queryTableFieldId="215"/>
    <tableColumn id="3" uniqueName="3" name="lead" queryTableFieldId="216"/>
    <tableColumn id="205" uniqueName="205" name="eJ" queryTableFieldId="213" dataDxfId="153"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52"/>
    <tableColumn id="17" uniqueName="17" name="rqst_mnth_cnt" queryTableFieldId="17"/>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0" uniqueName="30" name="Country" queryTableFieldId="250"/>
    <tableColumn id="1" uniqueName="1" name="dd_rcom_date" queryTableFieldId="214" dataDxfId="151"/>
    <tableColumn id="8" uniqueName="8" name="prop_stts_txt" queryTableFieldId="278" dataDxfId="150"/>
    <tableColumn id="15" uniqueName="15" name="prop_stts_abbr" queryTableFieldId="279" dataDxfId="149"/>
    <tableColumn id="20" uniqueName="20" name="natr_rqst_abbr" queryTableFieldId="280" dataDxfId="148"/>
    <tableColumn id="21" uniqueName="21" name="rcom_istr_abbr" queryTableFieldId="281" dataDxfId="147"/>
    <tableColumn id="22" uniqueName="22" name="Div" queryTableFieldId="282" dataDxfId="146"/>
    <tableColumn id="24" uniqueName="24" name="inst" queryTableFieldId="283" dataDxfId="145"/>
    <tableColumn id="26" uniqueName="26" name="email" queryTableFieldId="284" dataDxfId="144"/>
    <tableColumn id="28" uniqueName="28" name="propPRCs" queryTableFieldId="285" dataDxfId="143"/>
    <tableColumn id="29" uniqueName="29" name="bPRCs" queryTableFieldId="286" dataDxfId="142"/>
    <tableColumn id="33" uniqueName="33" name="OTH_AGCY_SUBM_FLAG" queryTableFieldId="287" dataDxfId="141"/>
    <tableColumn id="34" uniqueName="34" name="rqst_tot" queryTableFieldId="288" dataDxfId="140"/>
    <tableColumn id="35" uniqueName="35" name="brevn" queryTableFieldId="289" dataDxfId="139"/>
    <tableColumn id="36" uniqueName="36" name="budg_tot" queryTableFieldId="290" dataDxfId="138"/>
    <tableColumn id="37" uniqueName="37" name="splt_tot" queryTableFieldId="291" dataDxfId="137"/>
    <tableColumn id="40" uniqueName="40" name="sub_ctr_tot" queryTableFieldId="292" dataDxfId="136"/>
    <tableColumn id="41" uniqueName="41" name="frgn_trav_tot" queryTableFieldId="293" dataDxfId="135"/>
    <tableColumn id="42" uniqueName="42" name="pdoc_tot" queryTableFieldId="294" dataDxfId="134"/>
    <tableColumn id="43" uniqueName="43" name="part_tot_dol" queryTableFieldId="295" dataDxfId="133"/>
    <tableColumn id="44" uniqueName="44" name="grad_tot_cnt" queryTableFieldId="296" dataDxfId="132"/>
    <tableColumn id="45" uniqueName="45" name="sr_tot_cnt" queryTableFieldId="297" dataDxfId="131"/>
    <tableColumn id="46" uniqueName="46" name="sr_sumr_mnths" queryTableFieldId="298" dataDxfId="130"/>
    <tableColumn id="47" uniqueName="47" name="sr_acad_mnths" queryTableFieldId="299" dataDxfId="129"/>
    <tableColumn id="48" uniqueName="48" name="sr_cal_mnths" queryTableFieldId="300" dataDxfId="128"/>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T32" tableType="queryTable" totalsRowShown="0">
  <autoFilter ref="A1:AT32"/>
  <tableColumns count="46">
    <tableColumn id="4" uniqueName="4" name="nsf_rcvd_date" queryTableFieldId="4" dataDxfId="127"/>
    <tableColumn id="5" uniqueName="5" name="pgm_annc_id" queryTableFieldId="5"/>
    <tableColumn id="19" uniqueName="19" name="obj_clas_code" queryTableFieldId="221"/>
    <tableColumn id="11" uniqueName="11" name="cntx_stmt_id" queryTableFieldId="11"/>
    <tableColumn id="32" uniqueName="32" name="RAupdate" queryTableFieldId="254" dataDxfId="126"/>
    <tableColumn id="25" uniqueName="25" name="0" queryTableFieldId="230">
      <calculatedColumnFormula xml:space="preserve"> F1+(ckSplitTable[ILN]&lt;"M")</calculatedColumnFormula>
    </tableColumn>
    <tableColumn id="2" uniqueName="2" name="ILN" queryTableFieldId="215"/>
    <tableColumn id="3" uniqueName="3" name="lead" queryTableFieldId="216"/>
    <tableColumn id="205" uniqueName="205" name="eJ" queryTableFieldId="213" dataDxfId="125" dataCellStyle="Hyperlink">
      <calculatedColumnFormula>HYPERLINK("https://www.ejacket.nsf.gov/ej/showProposal.do?ID="&amp;ckSplitTable[[#This Row],[prop_id]],"eJ")</calculatedColumnFormula>
    </tableColumn>
    <tableColumn id="12" uniqueName="12" name="prop_id" queryTableFieldId="12"/>
    <tableColumn id="13" uniqueName="13" name="pi_last_name" queryTableFieldId="13"/>
    <tableColumn id="14" uniqueName="14" name="pi_frst_name" queryTableFieldId="14"/>
    <tableColumn id="83" uniqueName="83" name="prop_titl_txt" queryTableFieldId="83"/>
    <tableColumn id="1" uniqueName="1" name="dd_rcom_date" queryTableFieldId="214" dataDxfId="124"/>
    <tableColumn id="6" uniqueName="6" name="prop_stts_txt" queryTableFieldId="278" dataDxfId="123"/>
    <tableColumn id="7" uniqueName="7" name="pOrg" queryTableFieldId="279" dataDxfId="122"/>
    <tableColumn id="8" uniqueName="8" name="bOrg" queryTableFieldId="280" dataDxfId="121"/>
    <tableColumn id="9" uniqueName="9" name="pPEC" queryTableFieldId="281" dataDxfId="120"/>
    <tableColumn id="10" uniqueName="10" name="bPEC" queryTableFieldId="282" dataDxfId="119"/>
    <tableColumn id="15" uniqueName="15" name="pPO" queryTableFieldId="283" dataDxfId="118"/>
    <tableColumn id="16" uniqueName="16" name="bPO" queryTableFieldId="284" dataDxfId="117"/>
    <tableColumn id="17" uniqueName="17" name="prop_stts_abbr" queryTableFieldId="285" dataDxfId="116"/>
    <tableColumn id="18" uniqueName="18" name="natr_rqst_abbr" queryTableFieldId="286" dataDxfId="115"/>
    <tableColumn id="20" uniqueName="20" name="obj_clas_code2" queryTableFieldId="287" dataDxfId="114"/>
    <tableColumn id="21" uniqueName="21" name="rcom_istr_abbr" queryTableFieldId="288" dataDxfId="113"/>
    <tableColumn id="22" uniqueName="22" name="Div" queryTableFieldId="289" dataDxfId="112"/>
    <tableColumn id="23" uniqueName="23" name="awd_id" queryTableFieldId="290" dataDxfId="111"/>
    <tableColumn id="24" uniqueName="24" name="inst" queryTableFieldId="291" dataDxfId="110"/>
    <tableColumn id="26" uniqueName="26" name="email" queryTableFieldId="292" dataDxfId="109"/>
    <tableColumn id="28" uniqueName="28" name="budg_yr" queryTableFieldId="293" dataDxfId="108"/>
    <tableColumn id="29" uniqueName="29" name="splt_id" queryTableFieldId="294" dataDxfId="107"/>
    <tableColumn id="30" uniqueName="30" name="budg_splt_tot_dol" queryTableFieldId="295" dataDxfId="106"/>
    <tableColumn id="31" uniqueName="31" name="prop_id3" queryTableFieldId="296" dataDxfId="105"/>
    <tableColumn id="33" uniqueName="33" name="RN" queryTableFieldId="297" dataDxfId="104"/>
    <tableColumn id="34" uniqueName="34" name="T" queryTableFieldId="298" dataDxfId="103"/>
    <tableColumn id="35" uniqueName="35" name="sub_ctr_tot" queryTableFieldId="299" dataDxfId="102"/>
    <tableColumn id="36" uniqueName="36" name="frgn_trav_tot" queryTableFieldId="300" dataDxfId="101"/>
    <tableColumn id="37" uniqueName="37" name="pdoc_tot" queryTableFieldId="301" dataDxfId="100"/>
    <tableColumn id="40" uniqueName="40" name="part_tot_dol" queryTableFieldId="302" dataDxfId="99"/>
    <tableColumn id="41" uniqueName="41" name="grad_tot_cnt" queryTableFieldId="303" dataDxfId="98"/>
    <tableColumn id="42" uniqueName="42" name="sr_tot_cnt" queryTableFieldId="304" dataDxfId="97"/>
    <tableColumn id="43" uniqueName="43" name="sr_sumr_mnths" queryTableFieldId="305" dataDxfId="96"/>
    <tableColumn id="44" uniqueName="44" name="sr_acad_mnths" queryTableFieldId="306" dataDxfId="95"/>
    <tableColumn id="45" uniqueName="45" name="sr_cal_mnths" queryTableFieldId="307" dataDxfId="94"/>
    <tableColumn id="46" uniqueName="46" name="propPRCs" queryTableFieldId="308" dataDxfId="93"/>
    <tableColumn id="47" uniqueName="47" name="bPRCs" queryTableFieldId="309" dataDxfId="92"/>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178" tableType="queryTable" totalsRowCount="1">
  <autoFilter ref="A1:P17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91" totalsRowDxfId="90"/>
    <tableColumn id="11" uniqueName="11" name="returned" queryTableFieldId="11" dataDxfId="89"/>
    <tableColumn id="14" uniqueName="14" name="nchars" queryTableFieldId="15" dataDxfId="88">
      <calculatedColumnFormula>LEN(ProjTextTable[[#This Row],[text]])</calculatedColumnFormula>
    </tableColumn>
    <tableColumn id="15" uniqueName="15" name="nwords" queryTableFieldId="14" dataDxfId="87">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CellStyle="Normal"/>
    <tableColumn id="2" uniqueName="2" name="PRC_Description" queryTableFieldId="279"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86" dataDxfId="85">
  <autoFilter ref="I14:I21"/>
  <tableColumns count="1">
    <tableColumn id="1" name="Available templates:" dataDxfId="84"/>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83" dataDxfId="82">
  <autoFilter ref="M2:M30"/>
  <tableColumns count="1">
    <tableColumn id="1" name="Epscor" dataDxfId="81"/>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A33" tableType="queryTable" totalsRowShown="0">
  <autoFilter ref="A1:EA33">
    <filterColumn colId="12">
      <customFilters>
        <customFilter operator="greaterThanOrEqual" val="0"/>
      </customFilters>
    </filterColumn>
  </autoFilter>
  <sortState ref="A2:EA33">
    <sortCondition ref="M1:M33"/>
  </sortState>
  <tableColumns count="131">
    <tableColumn id="1" uniqueName="1" name="pulldate" queryTableFieldId="1" dataDxfId="80"/>
    <tableColumn id="2" uniqueName="2" name="nsf_rcvd_date" queryTableFieldId="2" dataDxfId="79"/>
    <tableColumn id="3" uniqueName="3" name="RAupdate" queryTableFieldId="3" dataDxfId="78"/>
    <tableColumn id="4" uniqueName="4" name="dd_rcom_date" queryTableFieldId="4" dataDxfId="77"/>
    <tableColumn id="10" uniqueName="10" name="prop_stts_abbr" queryTableFieldId="10" dataDxfId="76"/>
    <tableColumn id="11" uniqueName="11" name="natr_rqst_abbr" queryTableFieldId="11" dataDxfId="75"/>
    <tableColumn id="12" uniqueName="12" name="obj_clas_code" queryTableFieldId="12" dataDxfId="74"/>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73"/>
    <tableColumn id="18" uniqueName="18" name="avg_score" queryTableFieldId="18"/>
    <tableColumn id="134" uniqueName="134" name="RATemplate" queryTableFieldId="137"/>
    <tableColumn id="135" uniqueName="135" name="RAfname" queryTableFieldId="136" dataDxfId="72">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71"/>
    <tableColumn id="23" uniqueName="23" name="nPanl" queryTableFieldId="23"/>
    <tableColumn id="139" uniqueName="139" name="eJ" queryTableFieldId="145" dataDxfId="70" dataCellStyle="Hyperlink">
      <calculatedColumnFormula>HYPERLINK("https://www.ejacket.nsf.gov/ej/showProposal.do?Continue=Y&amp;ID="&amp;RADataTable[[#This Row],[prop_id0]],"eJ")</calculatedColumnFormula>
    </tableColumn>
    <tableColumn id="140" uniqueName="140" name="@PI" queryTableFieldId="147" dataDxfId="69"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68"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67"/>
    <tableColumn id="29" uniqueName="29" name="frst0" queryTableFieldId="29"/>
    <tableColumn id="30" uniqueName="30" name="inst0" queryTableFieldId="30"/>
    <tableColumn id="31" uniqueName="31" name="rqst0" queryTableFieldId="31" dataDxfId="66"/>
    <tableColumn id="32" uniqueName="32" name="b0tot" queryTableFieldId="32" dataDxfId="65"/>
    <tableColumn id="33" uniqueName="33" name="AhNrev" queryTableFieldId="33" dataDxfId="64"/>
    <tableColumn id="34" uniqueName="34" name="AhRevs" queryTableFieldId="34"/>
    <tableColumn id="35" uniqueName="35" name="AhLast" queryTableFieldId="35" dataDxfId="63"/>
    <tableColumn id="36" uniqueName="36" name="panl_id0" queryTableFieldId="36"/>
    <tableColumn id="37" uniqueName="37" name="RCOM_TXT0" queryTableFieldId="37"/>
    <tableColumn id="39" uniqueName="39" name="panl_name0" queryTableFieldId="39" dataDxfId="62"/>
    <tableColumn id="40" uniqueName="40" name="panl_end0" queryTableFieldId="40" dataDxfId="61"/>
    <tableColumn id="38" uniqueName="38" name="rank0" queryTableFieldId="38" dataDxfId="60"/>
    <tableColumn id="41" uniqueName="41" name="revs0" queryTableFieldId="41"/>
    <tableColumn id="43" uniqueName="43" name="panl_id1" queryTableFieldId="43"/>
    <tableColumn id="44" uniqueName="44" name="RCOM_TXT1" queryTableFieldId="44" dataDxfId="59"/>
    <tableColumn id="46" uniqueName="46" name="panl_name1" queryTableFieldId="46"/>
    <tableColumn id="47" uniqueName="47" name="panl_end1" queryTableFieldId="47" dataDxfId="58"/>
    <tableColumn id="45" uniqueName="45" name="rank1" queryTableFieldId="45" dataDxfId="57"/>
    <tableColumn id="48" uniqueName="48" name="revs1" queryTableFieldId="48" dataDxfId="56"/>
    <tableColumn id="50" uniqueName="50" name="panl_id2" queryTableFieldId="50"/>
    <tableColumn id="51" uniqueName="51" name="RCOM_TXT2" queryTableFieldId="51" dataDxfId="55"/>
    <tableColumn id="52" uniqueName="52" name="rank2" queryTableFieldId="52"/>
    <tableColumn id="53" uniqueName="53" name="panl_name2" queryTableFieldId="53"/>
    <tableColumn id="54" uniqueName="54" name="panl_end2" queryTableFieldId="54" dataDxfId="54"/>
    <tableColumn id="55" uniqueName="55" name="revs2" queryTableFieldId="55"/>
    <tableColumn id="57" uniqueName="57" name="prop_titl_txt" queryTableFieldId="57"/>
    <tableColumn id="58" uniqueName="58" name="rqst_tot" queryTableFieldId="58" dataDxfId="53"/>
    <tableColumn id="59" uniqueName="59" name="budg_tot" queryTableFieldId="59" dataDxfId="52"/>
    <tableColumn id="60" uniqueName="60" name="budRevnMax" queryTableFieldId="60"/>
    <tableColumn id="61" uniqueName="61" name="rqst_eff_date" queryTableFieldId="61" dataDxfId="51"/>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50"/>
    <tableColumn id="69" uniqueName="69" name="Dir" queryTableFieldId="69"/>
    <tableColumn id="70" uniqueName="70" name="Dir_name" queryTableFieldId="70"/>
    <tableColumn id="71" uniqueName="71" name="PRC0" queryTableFieldId="71" dataDxfId="49"/>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48"/>
    <tableColumn id="78" uniqueName="78" name="b1tot" queryTableFieldId="78" dataDxfId="47"/>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46"/>
    <tableColumn id="85" uniqueName="85" name="rqst2" queryTableFieldId="85" dataDxfId="45"/>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44"/>
    <tableColumn id="92" uniqueName="92" name="inst3" queryTableFieldId="92" dataDxfId="43"/>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42"/>
    <tableColumn id="99" uniqueName="99" name="frst4" queryTableFieldId="99" dataDxfId="41"/>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40"/>
    <tableColumn id="106" uniqueName="106" name="last5" queryTableFieldId="106" dataDxfId="39"/>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38"/>
    <tableColumn id="114" uniqueName="114" name="last6" queryTableFieldId="114"/>
    <tableColumn id="115" uniqueName="115" name="frst6" queryTableFieldId="115"/>
    <tableColumn id="116" uniqueName="116" name="inst6" queryTableFieldId="116"/>
    <tableColumn id="117" uniqueName="117" name="rqst6" queryTableFieldId="117" dataDxfId="37"/>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4.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workbookViewId="0">
      <selection activeCell="E7" sqref="E7"/>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39" t="s">
        <v>248</v>
      </c>
      <c r="B1" s="39"/>
      <c r="C1" s="39"/>
      <c r="D1" s="39"/>
      <c r="E1" s="39"/>
      <c r="F1" s="39"/>
      <c r="K1" s="3" t="s">
        <v>237</v>
      </c>
    </row>
    <row r="2" spans="1:12" ht="18" customHeight="1" x14ac:dyDescent="0.4">
      <c r="A2" s="39" t="s">
        <v>998</v>
      </c>
      <c r="B2" s="39"/>
      <c r="C2" s="39"/>
      <c r="D2" s="39"/>
      <c r="E2" s="39"/>
      <c r="F2" s="39"/>
      <c r="H2" s="36"/>
      <c r="I2">
        <v>2</v>
      </c>
    </row>
    <row r="3" spans="1:12" ht="18" customHeight="1" x14ac:dyDescent="0.4">
      <c r="A3" s="3" t="s">
        <v>239</v>
      </c>
      <c r="B3" s="3"/>
      <c r="C3" s="40" t="s">
        <v>240</v>
      </c>
      <c r="D3" s="39"/>
      <c r="E3" s="39"/>
      <c r="H3" s="36"/>
      <c r="I3" t="b">
        <v>0</v>
      </c>
      <c r="K3" s="3" t="s">
        <v>238</v>
      </c>
    </row>
    <row r="4" spans="1:12" ht="18" customHeight="1" x14ac:dyDescent="0.4">
      <c r="A4" s="3"/>
      <c r="B4" s="38" t="s">
        <v>246</v>
      </c>
      <c r="C4" s="41" t="s">
        <v>241</v>
      </c>
      <c r="D4" s="39" t="s">
        <v>251</v>
      </c>
      <c r="E4" s="39"/>
      <c r="H4" s="36"/>
      <c r="I4" t="b">
        <v>0</v>
      </c>
    </row>
    <row r="5" spans="1:12" ht="18" customHeight="1" x14ac:dyDescent="0.4">
      <c r="A5" s="3"/>
      <c r="B5" s="38"/>
      <c r="C5" s="41" t="s">
        <v>242</v>
      </c>
      <c r="D5" s="39" t="s">
        <v>252</v>
      </c>
      <c r="E5" s="39"/>
      <c r="H5" s="36"/>
    </row>
    <row r="6" spans="1:12" ht="18" customHeight="1" x14ac:dyDescent="0.4">
      <c r="A6" s="3"/>
      <c r="B6" s="38" t="s">
        <v>247</v>
      </c>
      <c r="C6" s="41" t="s">
        <v>243</v>
      </c>
      <c r="D6" s="39"/>
      <c r="E6" s="39"/>
    </row>
    <row r="7" spans="1:12" ht="18" customHeight="1" x14ac:dyDescent="0.4">
      <c r="A7" s="3"/>
      <c r="B7" s="38" t="s">
        <v>249</v>
      </c>
      <c r="C7" s="41" t="s">
        <v>244</v>
      </c>
      <c r="D7" s="39"/>
      <c r="E7" s="39"/>
    </row>
    <row r="8" spans="1:12" ht="18" customHeight="1" x14ac:dyDescent="0.4">
      <c r="A8" s="3"/>
      <c r="B8" s="38" t="s">
        <v>250</v>
      </c>
      <c r="C8" s="41" t="s">
        <v>245</v>
      </c>
      <c r="D8" s="39"/>
      <c r="E8" s="39"/>
      <c r="K8" s="47">
        <v>50</v>
      </c>
      <c r="L8" s="48" t="s">
        <v>261</v>
      </c>
    </row>
    <row r="9" spans="1:12" ht="18" customHeight="1" x14ac:dyDescent="0.4">
      <c r="A9" s="3"/>
      <c r="B9" s="38"/>
      <c r="C9" s="41"/>
      <c r="D9" s="39"/>
      <c r="E9" s="39"/>
      <c r="K9" s="3" t="s">
        <v>325</v>
      </c>
    </row>
    <row r="10" spans="1:12" ht="18" customHeight="1" x14ac:dyDescent="0.4">
      <c r="A10" s="3" t="s">
        <v>236</v>
      </c>
      <c r="B10" s="3"/>
      <c r="C10" s="37"/>
      <c r="D10" s="3" t="s">
        <v>235</v>
      </c>
      <c r="E10" s="3"/>
      <c r="F10" s="3"/>
      <c r="G10" s="3" t="s">
        <v>253</v>
      </c>
      <c r="K10" s="65" t="s">
        <v>326</v>
      </c>
      <c r="L10" t="s">
        <v>323</v>
      </c>
    </row>
    <row r="11" spans="1:12" ht="18" customHeight="1" x14ac:dyDescent="0.4">
      <c r="A11" t="s">
        <v>183</v>
      </c>
      <c r="D11" t="s">
        <v>184</v>
      </c>
      <c r="G11" t="s">
        <v>186</v>
      </c>
      <c r="K11" s="65" t="s">
        <v>327</v>
      </c>
      <c r="L11" t="s">
        <v>324</v>
      </c>
    </row>
    <row r="12" spans="1:12" ht="18" customHeight="1" x14ac:dyDescent="0.4">
      <c r="A12" t="s">
        <v>0</v>
      </c>
      <c r="D12" t="s">
        <v>0</v>
      </c>
      <c r="G12" t="s">
        <v>0</v>
      </c>
    </row>
    <row r="13" spans="1:12" x14ac:dyDescent="0.4">
      <c r="A13" s="27"/>
      <c r="D13" s="27"/>
      <c r="G13" s="27">
        <v>1234567</v>
      </c>
    </row>
    <row r="14" spans="1:12" x14ac:dyDescent="0.4">
      <c r="A14" s="27"/>
      <c r="D14" s="27">
        <v>1749173</v>
      </c>
      <c r="G14" s="27">
        <v>1802840</v>
      </c>
    </row>
    <row r="15" spans="1:12" x14ac:dyDescent="0.4">
      <c r="A15" s="27">
        <v>1420750</v>
      </c>
      <c r="D15" s="27">
        <v>1749385</v>
      </c>
    </row>
    <row r="16" spans="1:12" x14ac:dyDescent="0.4">
      <c r="A16" s="27">
        <v>1217462</v>
      </c>
      <c r="D16" s="27">
        <v>1749563</v>
      </c>
    </row>
    <row r="17" spans="1:4" x14ac:dyDescent="0.4">
      <c r="A17" s="27">
        <v>1218620</v>
      </c>
      <c r="D17" s="27">
        <v>1749609</v>
      </c>
    </row>
    <row r="18" spans="1:4" x14ac:dyDescent="0.4">
      <c r="A18" s="27">
        <v>1546098</v>
      </c>
      <c r="D18" s="27">
        <v>1749748</v>
      </c>
    </row>
    <row r="19" spans="1:4" x14ac:dyDescent="0.4">
      <c r="A19" s="27">
        <v>1320835</v>
      </c>
      <c r="D19" s="27">
        <v>1749855</v>
      </c>
    </row>
    <row r="20" spans="1:4" x14ac:dyDescent="0.4">
      <c r="A20" s="27">
        <v>1423560</v>
      </c>
      <c r="D20" s="27">
        <v>1749977</v>
      </c>
    </row>
    <row r="21" spans="1:4" x14ac:dyDescent="0.4">
      <c r="A21" s="27">
        <v>1421161</v>
      </c>
      <c r="B21" s="46"/>
      <c r="D21" s="27">
        <v>1750039</v>
      </c>
    </row>
    <row r="22" spans="1:4" x14ac:dyDescent="0.4">
      <c r="A22" s="27">
        <v>1422102</v>
      </c>
      <c r="D22" s="27">
        <v>1750076</v>
      </c>
    </row>
    <row r="23" spans="1:4" x14ac:dyDescent="0.4">
      <c r="A23" s="27">
        <v>1637564</v>
      </c>
      <c r="D23" s="27">
        <v>1750780</v>
      </c>
    </row>
    <row r="24" spans="1:4" x14ac:dyDescent="0.4">
      <c r="A24" s="27">
        <v>1540634</v>
      </c>
      <c r="D24" s="27">
        <v>1751047</v>
      </c>
    </row>
    <row r="25" spans="1:4" x14ac:dyDescent="0.4">
      <c r="A25" s="27">
        <v>1565641</v>
      </c>
      <c r="D25" s="27">
        <v>1751102</v>
      </c>
    </row>
    <row r="26" spans="1:4" x14ac:dyDescent="0.4">
      <c r="A26" s="27">
        <v>1422668</v>
      </c>
      <c r="D26" s="27">
        <v>1751135</v>
      </c>
    </row>
    <row r="27" spans="1:4" x14ac:dyDescent="0.4">
      <c r="A27" s="27">
        <v>1618657</v>
      </c>
      <c r="D27" s="27">
        <v>1755702</v>
      </c>
    </row>
    <row r="28" spans="1:4" x14ac:dyDescent="0.4">
      <c r="A28" s="27">
        <v>1317143</v>
      </c>
      <c r="D28" s="27">
        <v>1755847</v>
      </c>
    </row>
    <row r="29" spans="1:4" x14ac:dyDescent="0.4">
      <c r="A29" s="27">
        <v>1421163</v>
      </c>
      <c r="D29" s="27">
        <v>1755881</v>
      </c>
    </row>
    <row r="30" spans="1:4" x14ac:dyDescent="0.4">
      <c r="A30" s="27">
        <v>1527822</v>
      </c>
      <c r="D30" s="27">
        <v>1755954</v>
      </c>
    </row>
    <row r="31" spans="1:4" x14ac:dyDescent="0.4">
      <c r="A31" s="27">
        <v>1735569</v>
      </c>
      <c r="D31" s="27">
        <v>1755978</v>
      </c>
    </row>
    <row r="32" spans="1:4" x14ac:dyDescent="0.4">
      <c r="D32" s="27">
        <v>1735569</v>
      </c>
    </row>
    <row r="36" spans="7:7" x14ac:dyDescent="0.4">
      <c r="G36" s="46"/>
    </row>
    <row r="46" spans="7:7" x14ac:dyDescent="0.4">
      <c r="G46" s="46"/>
    </row>
    <row r="47" spans="7:7" x14ac:dyDescent="0.4">
      <c r="G47" s="46"/>
    </row>
    <row r="48" spans="7:7" x14ac:dyDescent="0.4">
      <c r="G48" s="46"/>
    </row>
    <row r="49" spans="7:7" x14ac:dyDescent="0.4">
      <c r="G49" s="46"/>
    </row>
    <row r="50" spans="7:7" x14ac:dyDescent="0.4">
      <c r="G50" s="46"/>
    </row>
    <row r="51" spans="7:7" x14ac:dyDescent="0.4">
      <c r="G51" s="46"/>
    </row>
    <row r="52" spans="7:7" x14ac:dyDescent="0.4">
      <c r="G52" s="46"/>
    </row>
    <row r="53" spans="7:7" x14ac:dyDescent="0.4">
      <c r="G53" s="46"/>
    </row>
    <row r="54" spans="7:7" x14ac:dyDescent="0.4">
      <c r="G54" s="46"/>
    </row>
    <row r="55" spans="7:7" x14ac:dyDescent="0.4">
      <c r="G55" s="46"/>
    </row>
    <row r="56" spans="7:7" x14ac:dyDescent="0.4">
      <c r="G56" s="46"/>
    </row>
    <row r="57" spans="7:7" x14ac:dyDescent="0.4">
      <c r="G57" s="46"/>
    </row>
    <row r="58" spans="7:7" x14ac:dyDescent="0.4">
      <c r="G58" s="46"/>
    </row>
    <row r="59" spans="7:7" x14ac:dyDescent="0.4">
      <c r="G59" s="46"/>
    </row>
    <row r="60" spans="7:7" x14ac:dyDescent="0.4">
      <c r="G60" s="46"/>
    </row>
    <row r="61" spans="7:7" x14ac:dyDescent="0.4">
      <c r="G61" s="46"/>
    </row>
    <row r="62" spans="7:7" x14ac:dyDescent="0.4">
      <c r="G62" s="46"/>
    </row>
    <row r="63" spans="7:7" x14ac:dyDescent="0.4">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W32"/>
  <sheetViews>
    <sheetView workbookViewId="0">
      <selection activeCell="M40" sqref="M40"/>
    </sheetView>
  </sheetViews>
  <sheetFormatPr defaultRowHeight="14.6" x14ac:dyDescent="0.4"/>
  <cols>
    <col min="1" max="1" width="9.3046875" style="17" customWidth="1"/>
    <col min="2" max="2" width="11.15234375" customWidth="1"/>
    <col min="3" max="3" width="11.3828125" bestFit="1" customWidth="1"/>
    <col min="4" max="4" width="5.3828125" customWidth="1"/>
    <col min="6" max="6" width="5.84375" style="18" customWidth="1"/>
    <col min="7" max="7" width="3.3046875" style="18" customWidth="1"/>
    <col min="8" max="8" width="7.3828125" style="18" customWidth="1"/>
    <col min="9" max="9" width="9.3046875" customWidth="1"/>
    <col min="10" max="10" width="3.84375" customWidth="1"/>
    <col min="11" max="11" width="7.3828125" customWidth="1"/>
    <col min="12" max="12" width="10.15234375" customWidth="1"/>
    <col min="13" max="13" width="5.3828125" customWidth="1"/>
    <col min="14" max="14" width="11" customWidth="1"/>
    <col min="15" max="15" width="14.3046875" style="24" customWidth="1"/>
    <col min="16" max="16" width="5.3046875" style="42" customWidth="1"/>
    <col min="17" max="17" width="4.53515625" style="42" customWidth="1"/>
    <col min="18" max="18" width="11.84375" customWidth="1"/>
    <col min="19" max="19" width="3.3046875" customWidth="1"/>
    <col min="20" max="20" width="9.53515625" customWidth="1"/>
    <col min="21" max="21" width="8.69140625" style="17" customWidth="1"/>
    <col min="22" max="22" width="3.69140625" customWidth="1"/>
    <col min="23" max="23" width="9" style="18"/>
    <col min="24" max="24" width="9.53515625" style="18" customWidth="1"/>
    <col min="25" max="25" width="11.53515625" customWidth="1"/>
    <col min="26" max="26" width="12.15234375" customWidth="1"/>
    <col min="27" max="27" width="9.84375" customWidth="1"/>
    <col min="28" max="28" width="10.15234375" bestFit="1" customWidth="1"/>
    <col min="29" max="29" width="4.3828125" customWidth="1"/>
    <col min="30" max="37" width="3" customWidth="1"/>
    <col min="38" max="38" width="7.53515625" customWidth="1"/>
    <col min="39" max="39" width="8.3828125" customWidth="1"/>
    <col min="40" max="65" width="3" customWidth="1"/>
    <col min="66" max="66" width="9" style="1"/>
    <col min="68" max="68" width="85.53515625" customWidth="1"/>
    <col min="69" max="69" width="10.3828125" customWidth="1"/>
    <col min="70" max="70" width="9.53515625" style="13" customWidth="1"/>
    <col min="71" max="71" width="10.3828125" customWidth="1"/>
    <col min="72" max="72" width="15.3828125" customWidth="1"/>
    <col min="73" max="73" width="11.69140625" customWidth="1"/>
    <col min="74" max="74" width="9.3046875" hidden="1" customWidth="1"/>
    <col min="75" max="75" width="11" hidden="1" customWidth="1"/>
    <col min="76" max="79" width="4.3046875" customWidth="1"/>
  </cols>
  <sheetData>
    <row r="1" spans="1:70" ht="34.4" customHeight="1" x14ac:dyDescent="0.4">
      <c r="A1" s="17" t="s">
        <v>7</v>
      </c>
      <c r="B1" t="s">
        <v>8</v>
      </c>
      <c r="C1" t="s">
        <v>5</v>
      </c>
      <c r="D1" t="s">
        <v>4</v>
      </c>
      <c r="E1" t="s">
        <v>91</v>
      </c>
      <c r="F1" t="s">
        <v>92</v>
      </c>
      <c r="G1" t="s">
        <v>93</v>
      </c>
      <c r="H1" t="s">
        <v>130</v>
      </c>
      <c r="I1" t="s">
        <v>144</v>
      </c>
      <c r="J1" t="s">
        <v>143</v>
      </c>
      <c r="K1" t="s">
        <v>17</v>
      </c>
      <c r="L1" s="24" t="s">
        <v>16</v>
      </c>
      <c r="M1" s="42" t="s">
        <v>128</v>
      </c>
      <c r="N1" s="42" t="s">
        <v>129</v>
      </c>
      <c r="O1" s="14" t="s">
        <v>136</v>
      </c>
      <c r="P1" s="14" t="s">
        <v>102</v>
      </c>
      <c r="Q1" t="s">
        <v>88</v>
      </c>
      <c r="R1" t="s">
        <v>9</v>
      </c>
      <c r="S1" t="s">
        <v>1</v>
      </c>
      <c r="T1" t="s">
        <v>0</v>
      </c>
      <c r="U1" t="s">
        <v>10</v>
      </c>
      <c r="V1" t="s">
        <v>18</v>
      </c>
      <c r="W1" s="17" t="s">
        <v>19</v>
      </c>
      <c r="X1" t="s">
        <v>20</v>
      </c>
      <c r="Y1" t="s">
        <v>400</v>
      </c>
      <c r="Z1" t="s">
        <v>161</v>
      </c>
      <c r="AA1" t="s">
        <v>36</v>
      </c>
      <c r="AB1" t="s">
        <v>87</v>
      </c>
      <c r="AC1" t="s">
        <v>139</v>
      </c>
      <c r="AD1" t="s">
        <v>140</v>
      </c>
      <c r="AE1" t="s">
        <v>141</v>
      </c>
      <c r="AF1" t="s">
        <v>142</v>
      </c>
      <c r="AG1" t="s">
        <v>176</v>
      </c>
      <c r="AH1" t="s">
        <v>175</v>
      </c>
      <c r="AI1" t="s">
        <v>173</v>
      </c>
      <c r="AJ1" t="s">
        <v>153</v>
      </c>
      <c r="AK1" t="s">
        <v>397</v>
      </c>
      <c r="AL1" t="s">
        <v>155</v>
      </c>
      <c r="AM1" t="s">
        <v>398</v>
      </c>
      <c r="AN1" t="s">
        <v>162</v>
      </c>
      <c r="AO1" t="s">
        <v>399</v>
      </c>
      <c r="AP1" t="s">
        <v>189</v>
      </c>
      <c r="AQ1" t="s">
        <v>401</v>
      </c>
      <c r="AR1" t="s">
        <v>23</v>
      </c>
      <c r="AS1" t="s">
        <v>157</v>
      </c>
      <c r="AT1" t="s">
        <v>156</v>
      </c>
      <c r="AU1" t="s">
        <v>402</v>
      </c>
      <c r="AV1" t="s">
        <v>403</v>
      </c>
      <c r="AW1" t="s">
        <v>404</v>
      </c>
      <c r="AX1" t="s">
        <v>405</v>
      </c>
      <c r="AY1" t="s">
        <v>21</v>
      </c>
      <c r="AZ1" t="s">
        <v>406</v>
      </c>
      <c r="BA1" t="s">
        <v>22</v>
      </c>
      <c r="BB1" t="s">
        <v>407</v>
      </c>
      <c r="BC1" t="s">
        <v>408</v>
      </c>
      <c r="BD1" t="s">
        <v>409</v>
      </c>
      <c r="BE1" t="s">
        <v>410</v>
      </c>
      <c r="BF1" t="s">
        <v>411</v>
      </c>
      <c r="BG1" t="s">
        <v>412</v>
      </c>
      <c r="BH1" t="s">
        <v>413</v>
      </c>
      <c r="BI1" t="s">
        <v>414</v>
      </c>
      <c r="BJ1" t="s">
        <v>415</v>
      </c>
      <c r="BN1"/>
      <c r="BR1"/>
    </row>
    <row r="2" spans="1:70" x14ac:dyDescent="0.4">
      <c r="A2" s="33">
        <v>42930.554166666669</v>
      </c>
      <c r="B2" t="s">
        <v>266</v>
      </c>
      <c r="C2" t="s">
        <v>231</v>
      </c>
      <c r="D2" t="s">
        <v>417</v>
      </c>
      <c r="E2" t="s">
        <v>418</v>
      </c>
      <c r="F2" t="s">
        <v>94</v>
      </c>
      <c r="G2" t="s">
        <v>285</v>
      </c>
      <c r="H2" t="b">
        <f>_xlfn.XOR(IFERROR(MATCH(ckCodingTable[[#This Row],[st_code]],EpscorTable[],0)&gt;0,FALSE),IFERROR(FIND("9150",#REF!)&gt;0,FALSE))</f>
        <v>0</v>
      </c>
      <c r="I2" t="b">
        <f>_xlfn.XOR(ckCodingTable[[#This Row],[WMD]]&lt;&gt;"",IFERROR(FIND("9102",#REF!)&gt;0,FALSE))</f>
        <v>0</v>
      </c>
      <c r="J2" t="str">
        <f t="shared" ref="J2:J32" si="0">IF(SUM(AC2:AF2)&gt;0,"WMD","")</f>
        <v/>
      </c>
      <c r="K2" t="s">
        <v>416</v>
      </c>
      <c r="L2" s="24"/>
      <c r="M2" s="42">
        <v>1</v>
      </c>
      <c r="N2" s="42">
        <v>0</v>
      </c>
      <c r="O2" s="15" t="str">
        <f xml:space="preserve"> HYPERLINK("mailto:"&amp;ckCodingTable[[#This Row],[email]]&amp;"&amp;subject=Your NSF Proposal:  "&amp;ckCodingTable[[#This Row],[prop_id]],ckCodingTable[[#This Row],[email]])</f>
        <v>steffen.borgwardt@ucdenver.edu</v>
      </c>
      <c r="P2">
        <f xml:space="preserve"> P1+(ckCodingTable[ILN]&lt;"M")</f>
        <v>1</v>
      </c>
      <c r="Q2" t="s">
        <v>96</v>
      </c>
      <c r="R2" t="s">
        <v>366</v>
      </c>
      <c r="S2" s="15" t="str">
        <f>HYPERLINK("https://www.ejacket.nsf.gov/ej/showProposal.do?ID="&amp;ckCodingTable[[#This Row],[prop_id]],"eJ")</f>
        <v>eJ</v>
      </c>
      <c r="T2" t="s">
        <v>366</v>
      </c>
      <c r="U2" t="s">
        <v>419</v>
      </c>
      <c r="V2" t="s">
        <v>420</v>
      </c>
      <c r="W2" s="33">
        <v>43101</v>
      </c>
      <c r="X2">
        <v>60</v>
      </c>
      <c r="Y2">
        <v>4</v>
      </c>
      <c r="Z2">
        <v>1</v>
      </c>
      <c r="AA2" t="s">
        <v>425</v>
      </c>
      <c r="AB2" s="8"/>
      <c r="AC2">
        <v>0</v>
      </c>
      <c r="AD2">
        <v>0</v>
      </c>
      <c r="AE2">
        <v>0</v>
      </c>
      <c r="AF2">
        <v>0</v>
      </c>
      <c r="AG2" t="s">
        <v>182</v>
      </c>
      <c r="AH2" t="s">
        <v>181</v>
      </c>
      <c r="AI2" t="s">
        <v>179</v>
      </c>
      <c r="AJ2" t="s">
        <v>233</v>
      </c>
      <c r="AK2" t="s">
        <v>421</v>
      </c>
      <c r="AL2" t="s">
        <v>422</v>
      </c>
      <c r="AM2" t="s">
        <v>423</v>
      </c>
      <c r="AN2">
        <v>1</v>
      </c>
      <c r="AP2">
        <v>4.22</v>
      </c>
      <c r="AQ2" t="s">
        <v>424</v>
      </c>
      <c r="AR2">
        <v>3.75</v>
      </c>
      <c r="AS2" s="8">
        <v>43031.583333333336</v>
      </c>
      <c r="AT2">
        <v>4</v>
      </c>
      <c r="AY2">
        <v>470400</v>
      </c>
      <c r="AZ2">
        <v>0</v>
      </c>
      <c r="BA2">
        <v>470400</v>
      </c>
      <c r="BC2">
        <v>9600</v>
      </c>
      <c r="BF2">
        <v>5</v>
      </c>
      <c r="BG2">
        <v>5</v>
      </c>
      <c r="BH2">
        <v>7.5</v>
      </c>
      <c r="BN2"/>
      <c r="BR2"/>
    </row>
    <row r="3" spans="1:70" x14ac:dyDescent="0.4">
      <c r="A3" s="33">
        <v>42933.547222222223</v>
      </c>
      <c r="B3" t="s">
        <v>266</v>
      </c>
      <c r="C3" t="s">
        <v>231</v>
      </c>
      <c r="D3" t="s">
        <v>417</v>
      </c>
      <c r="E3" t="s">
        <v>418</v>
      </c>
      <c r="F3" t="s">
        <v>94</v>
      </c>
      <c r="G3" t="s">
        <v>429</v>
      </c>
      <c r="H3" t="b">
        <f>_xlfn.XOR(IFERROR(MATCH(ckCodingTable[[#This Row],[st_code]],EpscorTable[],0)&gt;0,FALSE),IFERROR(FIND("9150",#REF!)&gt;0,FALSE))</f>
        <v>0</v>
      </c>
      <c r="I3" t="b">
        <f>_xlfn.XOR(ckCodingTable[[#This Row],[WMD]]&lt;&gt;"",IFERROR(FIND("9102",#REF!)&gt;0,FALSE))</f>
        <v>0</v>
      </c>
      <c r="J3" t="str">
        <f t="shared" si="0"/>
        <v/>
      </c>
      <c r="K3" t="s">
        <v>416</v>
      </c>
      <c r="L3" s="24"/>
      <c r="M3" s="42">
        <v>1</v>
      </c>
      <c r="N3" s="42">
        <v>0</v>
      </c>
      <c r="O3" s="15" t="str">
        <f xml:space="preserve"> HYPERLINK("mailto:"&amp;ckCodingTable[[#This Row],[email]]&amp;"&amp;subject=Your NSF Proposal:  "&amp;ckCodingTable[[#This Row],[prop_id]],ckCodingTable[[#This Row],[email]])</f>
        <v>haitao.wang@usu.edu</v>
      </c>
      <c r="P3">
        <f xml:space="preserve"> P2+(ckCodingTable[ILN]&lt;"M")</f>
        <v>2</v>
      </c>
      <c r="Q3" t="s">
        <v>96</v>
      </c>
      <c r="R3" t="s">
        <v>367</v>
      </c>
      <c r="S3" s="15" t="str">
        <f>HYPERLINK("https://www.ejacket.nsf.gov/ej/showProposal.do?ID="&amp;ckCodingTable[[#This Row],[prop_id]],"eJ")</f>
        <v>eJ</v>
      </c>
      <c r="T3" t="s">
        <v>367</v>
      </c>
      <c r="U3" t="s">
        <v>426</v>
      </c>
      <c r="V3" t="s">
        <v>427</v>
      </c>
      <c r="W3" s="33">
        <v>43221</v>
      </c>
      <c r="X3">
        <v>60</v>
      </c>
      <c r="Y3">
        <v>4</v>
      </c>
      <c r="Z3">
        <v>1</v>
      </c>
      <c r="AA3" t="s">
        <v>433</v>
      </c>
      <c r="AB3" s="8"/>
      <c r="AC3">
        <v>0</v>
      </c>
      <c r="AD3">
        <v>0</v>
      </c>
      <c r="AE3">
        <v>0</v>
      </c>
      <c r="AF3">
        <v>0</v>
      </c>
      <c r="AG3" t="s">
        <v>182</v>
      </c>
      <c r="AH3" t="s">
        <v>181</v>
      </c>
      <c r="AI3" t="s">
        <v>179</v>
      </c>
      <c r="AJ3" t="s">
        <v>233</v>
      </c>
      <c r="AK3" t="s">
        <v>428</v>
      </c>
      <c r="AL3" t="s">
        <v>430</v>
      </c>
      <c r="AM3" t="s">
        <v>431</v>
      </c>
      <c r="AN3">
        <v>1</v>
      </c>
      <c r="AP3">
        <v>3.13</v>
      </c>
      <c r="AQ3" t="s">
        <v>432</v>
      </c>
      <c r="AR3">
        <v>6.25</v>
      </c>
      <c r="AS3" s="8">
        <v>43030.179166666669</v>
      </c>
      <c r="AT3">
        <v>4</v>
      </c>
      <c r="AY3">
        <v>524898</v>
      </c>
      <c r="AZ3">
        <v>0</v>
      </c>
      <c r="BA3">
        <v>524898</v>
      </c>
      <c r="BC3">
        <v>15000</v>
      </c>
      <c r="BF3">
        <v>10</v>
      </c>
      <c r="BG3">
        <v>5</v>
      </c>
      <c r="BH3">
        <v>5</v>
      </c>
      <c r="BN3"/>
      <c r="BR3"/>
    </row>
    <row r="4" spans="1:70" x14ac:dyDescent="0.4">
      <c r="A4" s="33">
        <v>42933.579861111109</v>
      </c>
      <c r="B4" t="s">
        <v>266</v>
      </c>
      <c r="C4" t="s">
        <v>231</v>
      </c>
      <c r="D4" t="s">
        <v>417</v>
      </c>
      <c r="E4" t="s">
        <v>434</v>
      </c>
      <c r="F4" t="s">
        <v>94</v>
      </c>
      <c r="G4" t="s">
        <v>286</v>
      </c>
      <c r="H4" t="b">
        <f>_xlfn.XOR(IFERROR(MATCH(ckCodingTable[[#This Row],[st_code]],EpscorTable[],0)&gt;0,FALSE),IFERROR(FIND("9150",#REF!)&gt;0,FALSE))</f>
        <v>0</v>
      </c>
      <c r="I4" t="b">
        <f>_xlfn.XOR(ckCodingTable[[#This Row],[WMD]]&lt;&gt;"",IFERROR(FIND("9102",#REF!)&gt;0,FALSE))</f>
        <v>0</v>
      </c>
      <c r="J4" t="str">
        <f t="shared" si="0"/>
        <v/>
      </c>
      <c r="K4" t="s">
        <v>416</v>
      </c>
      <c r="L4" s="24"/>
      <c r="M4" s="42">
        <v>1</v>
      </c>
      <c r="N4" s="42">
        <v>0</v>
      </c>
      <c r="O4" s="15" t="str">
        <f xml:space="preserve"> HYPERLINK("mailto:"&amp;ckCodingTable[[#This Row],[email]]&amp;"&amp;subject=Your NSF Proposal:  "&amp;ckCodingTable[[#This Row],[prop_id]],ckCodingTable[[#This Row],[email]])</f>
        <v>bmoseley@seas.wustl.edu</v>
      </c>
      <c r="P4">
        <f xml:space="preserve"> P3+(ckCodingTable[ILN]&lt;"M")</f>
        <v>3</v>
      </c>
      <c r="Q4" t="s">
        <v>96</v>
      </c>
      <c r="R4" t="s">
        <v>368</v>
      </c>
      <c r="S4" s="15" t="str">
        <f>HYPERLINK("https://www.ejacket.nsf.gov/ej/showProposal.do?ID="&amp;ckCodingTable[[#This Row],[prop_id]],"eJ")</f>
        <v>eJ</v>
      </c>
      <c r="T4" t="s">
        <v>368</v>
      </c>
      <c r="U4" t="s">
        <v>435</v>
      </c>
      <c r="V4" t="s">
        <v>272</v>
      </c>
      <c r="W4" s="33">
        <v>43282</v>
      </c>
      <c r="X4">
        <v>60</v>
      </c>
      <c r="Y4">
        <v>5</v>
      </c>
      <c r="Z4">
        <v>1</v>
      </c>
      <c r="AA4" t="s">
        <v>440</v>
      </c>
      <c r="AB4" s="8"/>
      <c r="AC4">
        <v>0</v>
      </c>
      <c r="AD4">
        <v>0</v>
      </c>
      <c r="AE4">
        <v>0</v>
      </c>
      <c r="AF4">
        <v>0</v>
      </c>
      <c r="AG4" t="s">
        <v>182</v>
      </c>
      <c r="AH4" t="s">
        <v>181</v>
      </c>
      <c r="AI4" t="s">
        <v>179</v>
      </c>
      <c r="AJ4" t="s">
        <v>233</v>
      </c>
      <c r="AK4" t="s">
        <v>436</v>
      </c>
      <c r="AL4" t="s">
        <v>437</v>
      </c>
      <c r="AM4" t="s">
        <v>438</v>
      </c>
      <c r="AN4">
        <v>1</v>
      </c>
      <c r="AP4">
        <v>3.13</v>
      </c>
      <c r="AQ4" t="s">
        <v>439</v>
      </c>
      <c r="AR4">
        <v>6.8</v>
      </c>
      <c r="AS4" s="8">
        <v>43032.510416666664</v>
      </c>
      <c r="AT4">
        <v>5</v>
      </c>
      <c r="AY4">
        <v>545000</v>
      </c>
      <c r="AZ4">
        <v>0</v>
      </c>
      <c r="BA4">
        <v>545000</v>
      </c>
      <c r="BE4">
        <v>8000</v>
      </c>
      <c r="BF4">
        <v>5</v>
      </c>
      <c r="BG4">
        <v>5</v>
      </c>
      <c r="BH4">
        <v>6.5</v>
      </c>
      <c r="BN4"/>
      <c r="BR4"/>
    </row>
    <row r="5" spans="1:70" x14ac:dyDescent="0.4">
      <c r="A5" s="33">
        <v>42933.713888888888</v>
      </c>
      <c r="B5" t="s">
        <v>266</v>
      </c>
      <c r="C5" t="s">
        <v>231</v>
      </c>
      <c r="D5" t="s">
        <v>417</v>
      </c>
      <c r="E5" t="s">
        <v>418</v>
      </c>
      <c r="F5" t="s">
        <v>94</v>
      </c>
      <c r="G5" t="s">
        <v>287</v>
      </c>
      <c r="H5" t="b">
        <f>_xlfn.XOR(IFERROR(MATCH(ckCodingTable[[#This Row],[st_code]],EpscorTable[],0)&gt;0,FALSE),IFERROR(FIND("9150",#REF!)&gt;0,FALSE))</f>
        <v>0</v>
      </c>
      <c r="I5" t="b">
        <f>_xlfn.XOR(ckCodingTable[[#This Row],[WMD]]&lt;&gt;"",IFERROR(FIND("9102",#REF!)&gt;0,FALSE))</f>
        <v>0</v>
      </c>
      <c r="J5" t="str">
        <f t="shared" si="0"/>
        <v/>
      </c>
      <c r="K5" t="s">
        <v>416</v>
      </c>
      <c r="L5" s="24"/>
      <c r="M5" s="42">
        <v>1</v>
      </c>
      <c r="N5" s="42">
        <v>0</v>
      </c>
      <c r="O5" s="15" t="str">
        <f xml:space="preserve"> HYPERLINK("mailto:"&amp;ckCodingTable[[#This Row],[email]]&amp;"&amp;subject=Your NSF Proposal:  "&amp;ckCodingTable[[#This Row],[prop_id]],ckCodingTable[[#This Row],[email]])</f>
        <v>delpia@wisc.edu</v>
      </c>
      <c r="P5">
        <f xml:space="preserve"> P4+(ckCodingTable[ILN]&lt;"M")</f>
        <v>4</v>
      </c>
      <c r="Q5" t="s">
        <v>96</v>
      </c>
      <c r="R5" t="s">
        <v>369</v>
      </c>
      <c r="S5" s="15" t="str">
        <f>HYPERLINK("https://www.ejacket.nsf.gov/ej/showProposal.do?ID="&amp;ckCodingTable[[#This Row],[prop_id]],"eJ")</f>
        <v>eJ</v>
      </c>
      <c r="T5" t="s">
        <v>369</v>
      </c>
      <c r="U5" t="s">
        <v>441</v>
      </c>
      <c r="V5" t="s">
        <v>442</v>
      </c>
      <c r="W5" s="33">
        <v>43344</v>
      </c>
      <c r="X5">
        <v>60</v>
      </c>
      <c r="Y5">
        <v>4</v>
      </c>
      <c r="Z5">
        <v>1</v>
      </c>
      <c r="AA5" t="s">
        <v>445</v>
      </c>
      <c r="AB5" s="8"/>
      <c r="AC5">
        <v>0</v>
      </c>
      <c r="AD5">
        <v>0</v>
      </c>
      <c r="AE5">
        <v>0</v>
      </c>
      <c r="AF5">
        <v>0</v>
      </c>
      <c r="AG5" t="s">
        <v>182</v>
      </c>
      <c r="AH5" t="s">
        <v>181</v>
      </c>
      <c r="AI5" t="s">
        <v>179</v>
      </c>
      <c r="AJ5" t="s">
        <v>233</v>
      </c>
      <c r="AK5" t="s">
        <v>271</v>
      </c>
      <c r="AL5" t="s">
        <v>443</v>
      </c>
      <c r="AM5" t="s">
        <v>423</v>
      </c>
      <c r="AN5">
        <v>1</v>
      </c>
      <c r="AP5">
        <v>2.0299999999999998</v>
      </c>
      <c r="AQ5" t="s">
        <v>444</v>
      </c>
      <c r="AR5">
        <v>7</v>
      </c>
      <c r="AS5" s="8">
        <v>43031.584027777775</v>
      </c>
      <c r="AT5">
        <v>4</v>
      </c>
      <c r="AY5">
        <v>500000</v>
      </c>
      <c r="AZ5">
        <v>0</v>
      </c>
      <c r="BA5">
        <v>500000</v>
      </c>
      <c r="BC5">
        <v>12416</v>
      </c>
      <c r="BF5">
        <v>5</v>
      </c>
      <c r="BG5">
        <v>5</v>
      </c>
      <c r="BH5">
        <v>5</v>
      </c>
      <c r="BN5"/>
      <c r="BR5"/>
    </row>
    <row r="6" spans="1:70" x14ac:dyDescent="0.4">
      <c r="A6" s="33">
        <v>42933.820138888892</v>
      </c>
      <c r="B6" t="s">
        <v>266</v>
      </c>
      <c r="C6" t="s">
        <v>231</v>
      </c>
      <c r="D6" t="s">
        <v>417</v>
      </c>
      <c r="E6" t="s">
        <v>418</v>
      </c>
      <c r="F6" t="s">
        <v>94</v>
      </c>
      <c r="G6" t="s">
        <v>288</v>
      </c>
      <c r="H6" t="b">
        <f>_xlfn.XOR(IFERROR(MATCH(ckCodingTable[[#This Row],[st_code]],EpscorTable[],0)&gt;0,FALSE),IFERROR(FIND("9150",#REF!)&gt;0,FALSE))</f>
        <v>0</v>
      </c>
      <c r="I6" t="b">
        <f>_xlfn.XOR(ckCodingTable[[#This Row],[WMD]]&lt;&gt;"",IFERROR(FIND("9102",#REF!)&gt;0,FALSE))</f>
        <v>0</v>
      </c>
      <c r="J6" t="str">
        <f t="shared" si="0"/>
        <v/>
      </c>
      <c r="K6" t="s">
        <v>416</v>
      </c>
      <c r="L6" s="24"/>
      <c r="M6" s="42">
        <v>1</v>
      </c>
      <c r="N6" s="42">
        <v>0</v>
      </c>
      <c r="O6" s="15" t="str">
        <f xml:space="preserve"> HYPERLINK("mailto:"&amp;ckCodingTable[[#This Row],[email]]&amp;"&amp;subject=Your NSF Proposal:  "&amp;ckCodingTable[[#This Row],[prop_id]],ckCodingTable[[#This Row],[email]])</f>
        <v>yintat@uw.edu</v>
      </c>
      <c r="P6">
        <f xml:space="preserve"> P5+(ckCodingTable[ILN]&lt;"M")</f>
        <v>5</v>
      </c>
      <c r="Q6" t="s">
        <v>96</v>
      </c>
      <c r="R6" t="s">
        <v>370</v>
      </c>
      <c r="S6" s="15" t="str">
        <f>HYPERLINK("https://www.ejacket.nsf.gov/ej/showProposal.do?ID="&amp;ckCodingTable[[#This Row],[prop_id]],"eJ")</f>
        <v>eJ</v>
      </c>
      <c r="T6" t="s">
        <v>370</v>
      </c>
      <c r="U6" t="s">
        <v>446</v>
      </c>
      <c r="V6" t="s">
        <v>447</v>
      </c>
      <c r="W6" s="33">
        <v>43175</v>
      </c>
      <c r="X6">
        <v>60</v>
      </c>
      <c r="Y6">
        <v>4</v>
      </c>
      <c r="Z6">
        <v>1</v>
      </c>
      <c r="AA6" t="s">
        <v>450</v>
      </c>
      <c r="AB6" s="8"/>
      <c r="AC6">
        <v>0</v>
      </c>
      <c r="AD6">
        <v>0</v>
      </c>
      <c r="AE6">
        <v>0</v>
      </c>
      <c r="AF6">
        <v>0</v>
      </c>
      <c r="AG6" t="s">
        <v>182</v>
      </c>
      <c r="AH6" t="s">
        <v>181</v>
      </c>
      <c r="AI6" t="s">
        <v>179</v>
      </c>
      <c r="AJ6" t="s">
        <v>233</v>
      </c>
      <c r="AK6" t="s">
        <v>268</v>
      </c>
      <c r="AL6" t="s">
        <v>448</v>
      </c>
      <c r="AM6" t="s">
        <v>423</v>
      </c>
      <c r="AN6">
        <v>1</v>
      </c>
      <c r="AP6">
        <v>1.01</v>
      </c>
      <c r="AQ6" t="s">
        <v>449</v>
      </c>
      <c r="AR6">
        <v>8</v>
      </c>
      <c r="AS6" s="8">
        <v>43031.375694444447</v>
      </c>
      <c r="AT6">
        <v>4</v>
      </c>
      <c r="AY6">
        <v>549841</v>
      </c>
      <c r="AZ6">
        <v>0</v>
      </c>
      <c r="BA6">
        <v>549841</v>
      </c>
      <c r="BF6">
        <v>5</v>
      </c>
      <c r="BG6">
        <v>5</v>
      </c>
      <c r="BH6">
        <v>2.5</v>
      </c>
      <c r="BJ6">
        <v>2.5</v>
      </c>
      <c r="BN6"/>
      <c r="BR6"/>
    </row>
    <row r="7" spans="1:70" x14ac:dyDescent="0.4">
      <c r="A7" s="33">
        <v>42934.453472222223</v>
      </c>
      <c r="B7" t="s">
        <v>266</v>
      </c>
      <c r="C7" t="s">
        <v>231</v>
      </c>
      <c r="D7" t="s">
        <v>417</v>
      </c>
      <c r="E7" t="s">
        <v>434</v>
      </c>
      <c r="F7" t="s">
        <v>94</v>
      </c>
      <c r="G7" t="s">
        <v>289</v>
      </c>
      <c r="H7" t="b">
        <f>_xlfn.XOR(IFERROR(MATCH(ckCodingTable[[#This Row],[st_code]],EpscorTable[],0)&gt;0,FALSE),IFERROR(FIND("9150",#REF!)&gt;0,FALSE))</f>
        <v>0</v>
      </c>
      <c r="I7" t="b">
        <f>_xlfn.XOR(ckCodingTable[[#This Row],[WMD]]&lt;&gt;"",IFERROR(FIND("9102",#REF!)&gt;0,FALSE))</f>
        <v>0</v>
      </c>
      <c r="J7" t="str">
        <f t="shared" si="0"/>
        <v/>
      </c>
      <c r="K7" t="s">
        <v>416</v>
      </c>
      <c r="L7" s="24"/>
      <c r="M7" s="42">
        <v>1</v>
      </c>
      <c r="N7" s="42">
        <v>0</v>
      </c>
      <c r="O7" s="15" t="str">
        <f xml:space="preserve"> HYPERLINK("mailto:"&amp;ckCodingTable[[#This Row],[email]]&amp;"&amp;subject=Your NSF Proposal:  "&amp;ckCodingTable[[#This Row],[prop_id]],ckCodingTable[[#This Row],[email]])</f>
        <v>sim3@ucmerced.edu</v>
      </c>
      <c r="P7">
        <f xml:space="preserve"> P6+(ckCodingTable[ILN]&lt;"M")</f>
        <v>6</v>
      </c>
      <c r="Q7" t="s">
        <v>96</v>
      </c>
      <c r="R7" t="s">
        <v>371</v>
      </c>
      <c r="S7" s="15" t="str">
        <f>HYPERLINK("https://www.ejacket.nsf.gov/ej/showProposal.do?ID="&amp;ckCodingTable[[#This Row],[prop_id]],"eJ")</f>
        <v>eJ</v>
      </c>
      <c r="T7" t="s">
        <v>371</v>
      </c>
      <c r="U7" t="s">
        <v>451</v>
      </c>
      <c r="V7" t="s">
        <v>452</v>
      </c>
      <c r="W7" s="33">
        <v>43282</v>
      </c>
      <c r="X7">
        <v>60</v>
      </c>
      <c r="Y7">
        <v>4</v>
      </c>
      <c r="Z7">
        <v>1</v>
      </c>
      <c r="AA7" t="s">
        <v>456</v>
      </c>
      <c r="AB7" s="8"/>
      <c r="AC7">
        <v>0</v>
      </c>
      <c r="AD7">
        <v>0</v>
      </c>
      <c r="AE7">
        <v>0</v>
      </c>
      <c r="AF7">
        <v>0</v>
      </c>
      <c r="AG7" t="s">
        <v>182</v>
      </c>
      <c r="AH7" t="s">
        <v>181</v>
      </c>
      <c r="AI7" t="s">
        <v>179</v>
      </c>
      <c r="AJ7" t="s">
        <v>233</v>
      </c>
      <c r="AK7" t="s">
        <v>453</v>
      </c>
      <c r="AL7" t="s">
        <v>454</v>
      </c>
      <c r="AM7" t="s">
        <v>423</v>
      </c>
      <c r="AN7">
        <v>1</v>
      </c>
      <c r="AP7">
        <v>2.1</v>
      </c>
      <c r="AQ7" t="s">
        <v>455</v>
      </c>
      <c r="AR7">
        <v>6.5</v>
      </c>
      <c r="AS7" s="8">
        <v>43032.518055555556</v>
      </c>
      <c r="AT7">
        <v>4</v>
      </c>
      <c r="AY7">
        <v>514477</v>
      </c>
      <c r="AZ7">
        <v>0</v>
      </c>
      <c r="BA7">
        <v>514477</v>
      </c>
      <c r="BF7">
        <v>10</v>
      </c>
      <c r="BG7">
        <v>4</v>
      </c>
      <c r="BH7">
        <v>7</v>
      </c>
      <c r="BN7"/>
      <c r="BR7"/>
    </row>
    <row r="8" spans="1:70" x14ac:dyDescent="0.4">
      <c r="A8" s="33">
        <v>42934.507638888892</v>
      </c>
      <c r="B8" t="s">
        <v>266</v>
      </c>
      <c r="C8" t="s">
        <v>231</v>
      </c>
      <c r="D8" t="s">
        <v>417</v>
      </c>
      <c r="E8" t="s">
        <v>434</v>
      </c>
      <c r="F8" t="s">
        <v>94</v>
      </c>
      <c r="G8" t="s">
        <v>289</v>
      </c>
      <c r="H8" t="b">
        <f>_xlfn.XOR(IFERROR(MATCH(ckCodingTable[[#This Row],[st_code]],EpscorTable[],0)&gt;0,FALSE),IFERROR(FIND("9150",#REF!)&gt;0,FALSE))</f>
        <v>0</v>
      </c>
      <c r="I8" t="b">
        <f>_xlfn.XOR(ckCodingTable[[#This Row],[WMD]]&lt;&gt;"",IFERROR(FIND("9102",#REF!)&gt;0,FALSE))</f>
        <v>0</v>
      </c>
      <c r="J8" t="str">
        <f t="shared" si="0"/>
        <v/>
      </c>
      <c r="K8" t="s">
        <v>416</v>
      </c>
      <c r="L8" s="24"/>
      <c r="M8" s="42">
        <v>0</v>
      </c>
      <c r="N8" s="42">
        <v>0</v>
      </c>
      <c r="O8" s="15" t="str">
        <f xml:space="preserve"> HYPERLINK("mailto:"&amp;ckCodingTable[[#This Row],[email]]&amp;"&amp;subject=Your NSF Proposal:  "&amp;ckCodingTable[[#This Row],[prop_id]],ckCodingTable[[#This Row],[email]])</f>
        <v>sidford@stanford.edu</v>
      </c>
      <c r="P8">
        <f xml:space="preserve"> P7+(ckCodingTable[ILN]&lt;"M")</f>
        <v>7</v>
      </c>
      <c r="Q8" t="s">
        <v>96</v>
      </c>
      <c r="R8" t="s">
        <v>372</v>
      </c>
      <c r="S8" s="15" t="str">
        <f>HYPERLINK("https://www.ejacket.nsf.gov/ej/showProposal.do?ID="&amp;ckCodingTable[[#This Row],[prop_id]],"eJ")</f>
        <v>eJ</v>
      </c>
      <c r="T8" t="s">
        <v>372</v>
      </c>
      <c r="U8" t="s">
        <v>457</v>
      </c>
      <c r="V8" t="s">
        <v>458</v>
      </c>
      <c r="W8" s="33">
        <v>43009</v>
      </c>
      <c r="X8">
        <v>60</v>
      </c>
      <c r="Y8">
        <v>4</v>
      </c>
      <c r="Z8">
        <v>1</v>
      </c>
      <c r="AA8" t="s">
        <v>462</v>
      </c>
      <c r="AB8" s="8"/>
      <c r="AC8">
        <v>0</v>
      </c>
      <c r="AD8">
        <v>0</v>
      </c>
      <c r="AE8">
        <v>0</v>
      </c>
      <c r="AF8">
        <v>0</v>
      </c>
      <c r="AG8" t="s">
        <v>182</v>
      </c>
      <c r="AH8" t="s">
        <v>181</v>
      </c>
      <c r="AI8" t="s">
        <v>179</v>
      </c>
      <c r="AJ8" t="s">
        <v>233</v>
      </c>
      <c r="AK8" t="s">
        <v>459</v>
      </c>
      <c r="AL8" t="s">
        <v>460</v>
      </c>
      <c r="AM8" t="s">
        <v>275</v>
      </c>
      <c r="AN8">
        <v>1</v>
      </c>
      <c r="AP8">
        <v>2.0699999999999998</v>
      </c>
      <c r="AQ8" t="s">
        <v>461</v>
      </c>
      <c r="AR8">
        <v>7.5</v>
      </c>
      <c r="AS8" s="8">
        <v>43032.515277777777</v>
      </c>
      <c r="AT8">
        <v>4</v>
      </c>
      <c r="AY8">
        <v>500000</v>
      </c>
      <c r="AZ8">
        <v>0</v>
      </c>
      <c r="BA8">
        <v>500000</v>
      </c>
      <c r="BE8">
        <v>7500</v>
      </c>
      <c r="BF8">
        <v>5</v>
      </c>
      <c r="BG8">
        <v>5</v>
      </c>
      <c r="BH8">
        <v>6.75</v>
      </c>
      <c r="BN8"/>
      <c r="BR8"/>
    </row>
    <row r="9" spans="1:70" x14ac:dyDescent="0.4">
      <c r="A9" s="33">
        <v>42934.524305555555</v>
      </c>
      <c r="B9" t="s">
        <v>266</v>
      </c>
      <c r="C9" t="s">
        <v>231</v>
      </c>
      <c r="D9" t="s">
        <v>417</v>
      </c>
      <c r="E9" t="s">
        <v>463</v>
      </c>
      <c r="F9" t="s">
        <v>94</v>
      </c>
      <c r="G9" t="s">
        <v>467</v>
      </c>
      <c r="H9" t="b">
        <f>_xlfn.XOR(IFERROR(MATCH(ckCodingTable[[#This Row],[st_code]],EpscorTable[],0)&gt;0,FALSE),IFERROR(FIND("9150",#REF!)&gt;0,FALSE))</f>
        <v>0</v>
      </c>
      <c r="I9" t="b">
        <f>_xlfn.XOR(ckCodingTable[[#This Row],[WMD]]&lt;&gt;"",IFERROR(FIND("9102",#REF!)&gt;0,FALSE))</f>
        <v>0</v>
      </c>
      <c r="J9" t="str">
        <f t="shared" si="0"/>
        <v/>
      </c>
      <c r="K9" t="s">
        <v>416</v>
      </c>
      <c r="L9" s="24"/>
      <c r="M9" s="42">
        <v>1</v>
      </c>
      <c r="N9" s="42">
        <v>0</v>
      </c>
      <c r="O9" s="15" t="str">
        <f xml:space="preserve"> HYPERLINK("mailto:"&amp;ckCodingTable[[#This Row],[email]]&amp;"&amp;subject=Your NSF Proposal:  "&amp;ckCodingTable[[#This Row],[prop_id]],ckCodingTable[[#This Row],[email]])</f>
        <v>karthe@illinois.edu</v>
      </c>
      <c r="P9">
        <f xml:space="preserve"> P8+(ckCodingTable[ILN]&lt;"M")</f>
        <v>8</v>
      </c>
      <c r="Q9" t="s">
        <v>96</v>
      </c>
      <c r="R9" t="s">
        <v>373</v>
      </c>
      <c r="S9" s="15" t="str">
        <f>HYPERLINK("https://www.ejacket.nsf.gov/ej/showProposal.do?ID="&amp;ckCodingTable[[#This Row],[prop_id]],"eJ")</f>
        <v>eJ</v>
      </c>
      <c r="T9" t="s">
        <v>373</v>
      </c>
      <c r="U9" t="s">
        <v>464</v>
      </c>
      <c r="V9" t="s">
        <v>465</v>
      </c>
      <c r="W9" s="33">
        <v>43115</v>
      </c>
      <c r="X9">
        <v>60</v>
      </c>
      <c r="Y9">
        <v>4</v>
      </c>
      <c r="Z9">
        <v>1</v>
      </c>
      <c r="AA9" t="s">
        <v>470</v>
      </c>
      <c r="AB9" s="8"/>
      <c r="AC9">
        <v>0</v>
      </c>
      <c r="AD9">
        <v>0</v>
      </c>
      <c r="AE9">
        <v>0</v>
      </c>
      <c r="AF9">
        <v>0</v>
      </c>
      <c r="AG9" t="s">
        <v>182</v>
      </c>
      <c r="AH9" t="s">
        <v>181</v>
      </c>
      <c r="AI9" t="s">
        <v>179</v>
      </c>
      <c r="AJ9" t="s">
        <v>233</v>
      </c>
      <c r="AK9" t="s">
        <v>466</v>
      </c>
      <c r="AL9" t="s">
        <v>468</v>
      </c>
      <c r="AM9" t="s">
        <v>423</v>
      </c>
      <c r="AN9">
        <v>1</v>
      </c>
      <c r="AP9">
        <v>2.06</v>
      </c>
      <c r="AQ9" t="s">
        <v>469</v>
      </c>
      <c r="AR9">
        <v>6.75</v>
      </c>
      <c r="AS9" s="8">
        <v>43030.722916666666</v>
      </c>
      <c r="AT9">
        <v>4</v>
      </c>
      <c r="AY9">
        <v>446040</v>
      </c>
      <c r="AZ9">
        <v>0</v>
      </c>
      <c r="BA9">
        <v>446040</v>
      </c>
      <c r="BC9">
        <v>20000</v>
      </c>
      <c r="BF9">
        <v>5</v>
      </c>
      <c r="BG9">
        <v>5</v>
      </c>
      <c r="BH9">
        <v>5</v>
      </c>
      <c r="BN9"/>
      <c r="BR9"/>
    </row>
    <row r="10" spans="1:70" x14ac:dyDescent="0.4">
      <c r="A10" s="33">
        <v>42934.695138888892</v>
      </c>
      <c r="B10" t="s">
        <v>266</v>
      </c>
      <c r="C10" t="s">
        <v>231</v>
      </c>
      <c r="D10" t="s">
        <v>417</v>
      </c>
      <c r="E10" t="s">
        <v>418</v>
      </c>
      <c r="F10" t="s">
        <v>94</v>
      </c>
      <c r="G10" t="s">
        <v>290</v>
      </c>
      <c r="H10" t="b">
        <f>_xlfn.XOR(IFERROR(MATCH(ckCodingTable[[#This Row],[st_code]],EpscorTable[],0)&gt;0,FALSE),IFERROR(FIND("9150",#REF!)&gt;0,FALSE))</f>
        <v>0</v>
      </c>
      <c r="I10" t="b">
        <f>_xlfn.XOR(ckCodingTable[[#This Row],[WMD]]&lt;&gt;"",IFERROR(FIND("9102",#REF!)&gt;0,FALSE))</f>
        <v>0</v>
      </c>
      <c r="J10" t="str">
        <f t="shared" si="0"/>
        <v/>
      </c>
      <c r="K10" t="s">
        <v>416</v>
      </c>
      <c r="L10" s="24"/>
      <c r="M10" s="42">
        <v>1</v>
      </c>
      <c r="N10" s="42">
        <v>0</v>
      </c>
      <c r="O10" s="15" t="str">
        <f xml:space="preserve"> HYPERLINK("mailto:"&amp;ckCodingTable[[#This Row],[email]]&amp;"&amp;subject=Your NSF Proposal:  "&amp;ckCodingTable[[#This Row],[prop_id]],ckCodingTable[[#This Row],[email]])</f>
        <v>jsolomon@mit.edu</v>
      </c>
      <c r="P10">
        <f xml:space="preserve"> P9+(ckCodingTable[ILN]&lt;"M")</f>
        <v>9</v>
      </c>
      <c r="Q10" t="s">
        <v>96</v>
      </c>
      <c r="R10" t="s">
        <v>374</v>
      </c>
      <c r="S10" s="15" t="str">
        <f>HYPERLINK("https://www.ejacket.nsf.gov/ej/showProposal.do?ID="&amp;ckCodingTable[[#This Row],[prop_id]],"eJ")</f>
        <v>eJ</v>
      </c>
      <c r="T10" t="s">
        <v>374</v>
      </c>
      <c r="U10" t="s">
        <v>471</v>
      </c>
      <c r="V10" t="s">
        <v>472</v>
      </c>
      <c r="W10" s="33">
        <v>43101</v>
      </c>
      <c r="X10">
        <v>60</v>
      </c>
      <c r="Y10">
        <v>4</v>
      </c>
      <c r="Z10">
        <v>1</v>
      </c>
      <c r="AA10" t="s">
        <v>475</v>
      </c>
      <c r="AB10" s="8"/>
      <c r="AC10">
        <v>0</v>
      </c>
      <c r="AD10">
        <v>0</v>
      </c>
      <c r="AE10">
        <v>0</v>
      </c>
      <c r="AF10">
        <v>0</v>
      </c>
      <c r="AG10" t="s">
        <v>182</v>
      </c>
      <c r="AH10" t="s">
        <v>181</v>
      </c>
      <c r="AI10" t="s">
        <v>179</v>
      </c>
      <c r="AJ10" t="s">
        <v>233</v>
      </c>
      <c r="AK10" t="s">
        <v>232</v>
      </c>
      <c r="AL10" t="s">
        <v>473</v>
      </c>
      <c r="AM10" t="s">
        <v>431</v>
      </c>
      <c r="AN10">
        <v>1</v>
      </c>
      <c r="AP10">
        <v>3.13</v>
      </c>
      <c r="AQ10" t="s">
        <v>474</v>
      </c>
      <c r="AR10">
        <v>6.25</v>
      </c>
      <c r="AS10" s="8">
        <v>43030.972222222219</v>
      </c>
      <c r="AT10">
        <v>4</v>
      </c>
      <c r="AY10">
        <v>550000</v>
      </c>
      <c r="AZ10">
        <v>0</v>
      </c>
      <c r="BA10">
        <v>550000</v>
      </c>
      <c r="BF10">
        <v>5</v>
      </c>
      <c r="BG10">
        <v>5</v>
      </c>
      <c r="BH10">
        <v>2.5</v>
      </c>
      <c r="BN10"/>
      <c r="BR10"/>
    </row>
    <row r="11" spans="1:70" x14ac:dyDescent="0.4">
      <c r="A11" s="33">
        <v>42934.737500000003</v>
      </c>
      <c r="B11" t="s">
        <v>266</v>
      </c>
      <c r="C11" t="s">
        <v>231</v>
      </c>
      <c r="D11" t="s">
        <v>417</v>
      </c>
      <c r="E11" t="s">
        <v>463</v>
      </c>
      <c r="F11" t="s">
        <v>94</v>
      </c>
      <c r="G11" t="s">
        <v>467</v>
      </c>
      <c r="H11" t="b">
        <f>_xlfn.XOR(IFERROR(MATCH(ckCodingTable[[#This Row],[st_code]],EpscorTable[],0)&gt;0,FALSE),IFERROR(FIND("9150",#REF!)&gt;0,FALSE))</f>
        <v>0</v>
      </c>
      <c r="I11" t="b">
        <f>_xlfn.XOR(ckCodingTable[[#This Row],[WMD]]&lt;&gt;"",IFERROR(FIND("9102",#REF!)&gt;0,FALSE))</f>
        <v>0</v>
      </c>
      <c r="J11" t="str">
        <f t="shared" si="0"/>
        <v/>
      </c>
      <c r="K11" t="s">
        <v>416</v>
      </c>
      <c r="L11" s="24"/>
      <c r="M11" s="42">
        <v>1</v>
      </c>
      <c r="N11" s="42">
        <v>0</v>
      </c>
      <c r="O11" s="15" t="str">
        <f xml:space="preserve"> HYPERLINK("mailto:"&amp;ckCodingTable[[#This Row],[email]]&amp;"&amp;subject=Your NSF Proposal:  "&amp;ckCodingTable[[#This Row],[prop_id]],ckCodingTable[[#This Row],[email]])</f>
        <v>solomon2@illinois.edu</v>
      </c>
      <c r="P11">
        <f xml:space="preserve"> P10+(ckCodingTable[ILN]&lt;"M")</f>
        <v>10</v>
      </c>
      <c r="Q11" t="s">
        <v>96</v>
      </c>
      <c r="R11" t="s">
        <v>375</v>
      </c>
      <c r="S11" s="15" t="str">
        <f>HYPERLINK("https://www.ejacket.nsf.gov/ej/showProposal.do?ID="&amp;ckCodingTable[[#This Row],[prop_id]],"eJ")</f>
        <v>eJ</v>
      </c>
      <c r="T11" t="s">
        <v>375</v>
      </c>
      <c r="U11" t="s">
        <v>476</v>
      </c>
      <c r="V11" t="s">
        <v>477</v>
      </c>
      <c r="W11" s="33">
        <v>43132</v>
      </c>
      <c r="X11">
        <v>60</v>
      </c>
      <c r="Y11">
        <v>4</v>
      </c>
      <c r="Z11">
        <v>1</v>
      </c>
      <c r="AA11" t="s">
        <v>480</v>
      </c>
      <c r="AB11" s="8"/>
      <c r="AC11">
        <v>0</v>
      </c>
      <c r="AD11">
        <v>0</v>
      </c>
      <c r="AE11">
        <v>0</v>
      </c>
      <c r="AF11">
        <v>0</v>
      </c>
      <c r="AG11" t="s">
        <v>182</v>
      </c>
      <c r="AH11" t="s">
        <v>181</v>
      </c>
      <c r="AI11" t="s">
        <v>179</v>
      </c>
      <c r="AJ11" t="s">
        <v>233</v>
      </c>
      <c r="AK11" t="s">
        <v>466</v>
      </c>
      <c r="AL11" t="s">
        <v>478</v>
      </c>
      <c r="AM11" t="s">
        <v>438</v>
      </c>
      <c r="AN11">
        <v>1</v>
      </c>
      <c r="AP11">
        <v>3.13</v>
      </c>
      <c r="AQ11" t="s">
        <v>479</v>
      </c>
      <c r="AR11">
        <v>4.5</v>
      </c>
      <c r="AS11" s="8">
        <v>43031.922222222223</v>
      </c>
      <c r="AT11">
        <v>4</v>
      </c>
      <c r="AY11">
        <v>524117</v>
      </c>
      <c r="AZ11">
        <v>0</v>
      </c>
      <c r="BA11">
        <v>524117</v>
      </c>
      <c r="BC11">
        <v>11250</v>
      </c>
      <c r="BF11">
        <v>5</v>
      </c>
      <c r="BG11">
        <v>5</v>
      </c>
      <c r="BH11">
        <v>2.5</v>
      </c>
      <c r="BN11"/>
      <c r="BR11"/>
    </row>
    <row r="12" spans="1:70" x14ac:dyDescent="0.4">
      <c r="A12" s="33">
        <v>42934.808333333334</v>
      </c>
      <c r="B12" t="s">
        <v>266</v>
      </c>
      <c r="C12" t="s">
        <v>231</v>
      </c>
      <c r="D12" t="s">
        <v>417</v>
      </c>
      <c r="E12" t="s">
        <v>418</v>
      </c>
      <c r="F12" t="s">
        <v>94</v>
      </c>
      <c r="G12" t="s">
        <v>289</v>
      </c>
      <c r="H12" t="b">
        <f>_xlfn.XOR(IFERROR(MATCH(ckCodingTable[[#This Row],[st_code]],EpscorTable[],0)&gt;0,FALSE),IFERROR(FIND("9150",#REF!)&gt;0,FALSE))</f>
        <v>0</v>
      </c>
      <c r="I12" t="b">
        <f>_xlfn.XOR(ckCodingTable[[#This Row],[WMD]]&lt;&gt;"",IFERROR(FIND("9102",#REF!)&gt;0,FALSE))</f>
        <v>0</v>
      </c>
      <c r="J12" t="str">
        <f t="shared" si="0"/>
        <v/>
      </c>
      <c r="K12" t="s">
        <v>416</v>
      </c>
      <c r="L12" s="24"/>
      <c r="M12" s="42">
        <v>1</v>
      </c>
      <c r="N12" s="42">
        <v>0</v>
      </c>
      <c r="O12" s="15" t="str">
        <f xml:space="preserve"> HYPERLINK("mailto:"&amp;ckCodingTable[[#This Row],[email]]&amp;"&amp;subject=Your NSF Proposal:  "&amp;ckCodingTable[[#This Row],[prop_id]],ckCodingTable[[#This Row],[email]])</f>
        <v>craig@ucr.edu</v>
      </c>
      <c r="P12">
        <f xml:space="preserve"> P11+(ckCodingTable[ILN]&lt;"M")</f>
        <v>11</v>
      </c>
      <c r="Q12" t="s">
        <v>96</v>
      </c>
      <c r="R12" t="s">
        <v>376</v>
      </c>
      <c r="S12" s="15" t="str">
        <f>HYPERLINK("https://www.ejacket.nsf.gov/ej/showProposal.do?ID="&amp;ckCodingTable[[#This Row],[prop_id]],"eJ")</f>
        <v>eJ</v>
      </c>
      <c r="T12" t="s">
        <v>376</v>
      </c>
      <c r="U12" t="s">
        <v>481</v>
      </c>
      <c r="V12" t="s">
        <v>482</v>
      </c>
      <c r="W12" s="33">
        <v>43101</v>
      </c>
      <c r="X12">
        <v>60</v>
      </c>
      <c r="Y12">
        <v>4</v>
      </c>
      <c r="Z12">
        <v>1</v>
      </c>
      <c r="AA12" t="s">
        <v>487</v>
      </c>
      <c r="AB12" s="8"/>
      <c r="AC12">
        <v>0</v>
      </c>
      <c r="AD12">
        <v>0</v>
      </c>
      <c r="AE12">
        <v>0</v>
      </c>
      <c r="AF12">
        <v>0</v>
      </c>
      <c r="AG12" t="s">
        <v>182</v>
      </c>
      <c r="AH12" t="s">
        <v>181</v>
      </c>
      <c r="AI12" t="s">
        <v>179</v>
      </c>
      <c r="AJ12" t="s">
        <v>233</v>
      </c>
      <c r="AK12" t="s">
        <v>483</v>
      </c>
      <c r="AL12" t="s">
        <v>484</v>
      </c>
      <c r="AM12" t="s">
        <v>485</v>
      </c>
      <c r="AN12">
        <v>1</v>
      </c>
      <c r="AP12">
        <v>4.22</v>
      </c>
      <c r="AQ12" t="s">
        <v>486</v>
      </c>
      <c r="AR12">
        <v>4</v>
      </c>
      <c r="AS12" s="8">
        <v>43031.584027777775</v>
      </c>
      <c r="AT12">
        <v>4</v>
      </c>
      <c r="AY12">
        <v>440331</v>
      </c>
      <c r="AZ12">
        <v>0</v>
      </c>
      <c r="BA12">
        <v>440331</v>
      </c>
      <c r="BF12">
        <v>5</v>
      </c>
      <c r="BG12">
        <v>5</v>
      </c>
      <c r="BH12">
        <v>5</v>
      </c>
      <c r="BN12"/>
      <c r="BR12"/>
    </row>
    <row r="13" spans="1:70" x14ac:dyDescent="0.4">
      <c r="A13" s="33">
        <v>42935.359027777777</v>
      </c>
      <c r="B13" t="s">
        <v>266</v>
      </c>
      <c r="C13" t="s">
        <v>231</v>
      </c>
      <c r="D13" t="s">
        <v>417</v>
      </c>
      <c r="E13" t="s">
        <v>434</v>
      </c>
      <c r="F13" t="s">
        <v>94</v>
      </c>
      <c r="G13" t="s">
        <v>291</v>
      </c>
      <c r="H13" t="b">
        <f>_xlfn.XOR(IFERROR(MATCH(ckCodingTable[[#This Row],[st_code]],EpscorTable[],0)&gt;0,FALSE),IFERROR(FIND("9150",#REF!)&gt;0,FALSE))</f>
        <v>0</v>
      </c>
      <c r="I13" t="b">
        <f>_xlfn.XOR(ckCodingTable[[#This Row],[WMD]]&lt;&gt;"",IFERROR(FIND("9102",#REF!)&gt;0,FALSE))</f>
        <v>0</v>
      </c>
      <c r="J13" t="str">
        <f t="shared" si="0"/>
        <v/>
      </c>
      <c r="K13" t="s">
        <v>416</v>
      </c>
      <c r="L13" s="24"/>
      <c r="M13" s="42">
        <v>1</v>
      </c>
      <c r="N13" s="42">
        <v>0</v>
      </c>
      <c r="O13" s="15" t="str">
        <f xml:space="preserve"> HYPERLINK("mailto:"&amp;ckCodingTable[[#This Row],[email]]&amp;"&amp;subject=Your NSF Proposal:  "&amp;ckCodingTable[[#This Row],[prop_id]],ckCodingTable[[#This Row],[email]])</f>
        <v>shil@buffalo.edu</v>
      </c>
      <c r="P13">
        <f xml:space="preserve"> P12+(ckCodingTable[ILN]&lt;"M")</f>
        <v>12</v>
      </c>
      <c r="Q13" t="s">
        <v>96</v>
      </c>
      <c r="R13" t="s">
        <v>377</v>
      </c>
      <c r="S13" s="15" t="str">
        <f>HYPERLINK("https://www.ejacket.nsf.gov/ej/showProposal.do?ID="&amp;ckCodingTable[[#This Row],[prop_id]],"eJ")</f>
        <v>eJ</v>
      </c>
      <c r="T13" t="s">
        <v>377</v>
      </c>
      <c r="U13" t="s">
        <v>488</v>
      </c>
      <c r="V13" t="s">
        <v>489</v>
      </c>
      <c r="W13" s="33">
        <v>43344</v>
      </c>
      <c r="X13">
        <v>60</v>
      </c>
      <c r="Y13">
        <v>4</v>
      </c>
      <c r="Z13">
        <v>1</v>
      </c>
      <c r="AA13" t="s">
        <v>492</v>
      </c>
      <c r="AB13" s="8"/>
      <c r="AC13">
        <v>0</v>
      </c>
      <c r="AD13">
        <v>0</v>
      </c>
      <c r="AE13">
        <v>0</v>
      </c>
      <c r="AF13">
        <v>0</v>
      </c>
      <c r="AG13" t="s">
        <v>182</v>
      </c>
      <c r="AH13" t="s">
        <v>181</v>
      </c>
      <c r="AI13" t="s">
        <v>179</v>
      </c>
      <c r="AJ13" t="s">
        <v>233</v>
      </c>
      <c r="AK13" t="s">
        <v>229</v>
      </c>
      <c r="AL13" t="s">
        <v>490</v>
      </c>
      <c r="AM13" t="s">
        <v>423</v>
      </c>
      <c r="AN13">
        <v>1</v>
      </c>
      <c r="AP13">
        <v>3.13</v>
      </c>
      <c r="AQ13" t="s">
        <v>491</v>
      </c>
      <c r="AR13">
        <v>5.25</v>
      </c>
      <c r="AS13" s="8">
        <v>43031.584722222222</v>
      </c>
      <c r="AT13">
        <v>4</v>
      </c>
      <c r="AY13">
        <v>530842</v>
      </c>
      <c r="AZ13">
        <v>0</v>
      </c>
      <c r="BA13">
        <v>530842</v>
      </c>
      <c r="BC13">
        <v>10000</v>
      </c>
      <c r="BF13">
        <v>5</v>
      </c>
      <c r="BG13">
        <v>5</v>
      </c>
      <c r="BH13">
        <v>5</v>
      </c>
      <c r="BN13"/>
      <c r="BR13"/>
    </row>
    <row r="14" spans="1:70" x14ac:dyDescent="0.4">
      <c r="A14" s="33">
        <v>42935.374305555553</v>
      </c>
      <c r="B14" t="s">
        <v>266</v>
      </c>
      <c r="C14" t="s">
        <v>231</v>
      </c>
      <c r="D14" t="s">
        <v>417</v>
      </c>
      <c r="E14" t="s">
        <v>434</v>
      </c>
      <c r="F14" t="s">
        <v>94</v>
      </c>
      <c r="G14" t="s">
        <v>496</v>
      </c>
      <c r="H14" t="b">
        <f>_xlfn.XOR(IFERROR(MATCH(ckCodingTable[[#This Row],[st_code]],EpscorTable[],0)&gt;0,FALSE),IFERROR(FIND("9150",#REF!)&gt;0,FALSE))</f>
        <v>0</v>
      </c>
      <c r="I14" t="b">
        <f>_xlfn.XOR(ckCodingTable[[#This Row],[WMD]]&lt;&gt;"",IFERROR(FIND("9102",#REF!)&gt;0,FALSE))</f>
        <v>0</v>
      </c>
      <c r="J14" t="str">
        <f t="shared" si="0"/>
        <v/>
      </c>
      <c r="K14" t="s">
        <v>416</v>
      </c>
      <c r="L14" s="24"/>
      <c r="M14" s="42">
        <v>0</v>
      </c>
      <c r="N14" s="42">
        <v>0</v>
      </c>
      <c r="O14" s="15" t="str">
        <f xml:space="preserve"> HYPERLINK("mailto:"&amp;ckCodingTable[[#This Row],[email]]&amp;"&amp;subject=Your NSF Proposal:  "&amp;ckCodingTable[[#This Row],[prop_id]],ckCodingTable[[#This Row],[email]])</f>
        <v>viswa@umich.edu</v>
      </c>
      <c r="P14">
        <f xml:space="preserve"> P13+(ckCodingTable[ILN]&lt;"M")</f>
        <v>13</v>
      </c>
      <c r="Q14" t="s">
        <v>96</v>
      </c>
      <c r="R14" t="s">
        <v>378</v>
      </c>
      <c r="S14" s="15" t="str">
        <f>HYPERLINK("https://www.ejacket.nsf.gov/ej/showProposal.do?ID="&amp;ckCodingTable[[#This Row],[prop_id]],"eJ")</f>
        <v>eJ</v>
      </c>
      <c r="T14" t="s">
        <v>378</v>
      </c>
      <c r="U14" t="s">
        <v>493</v>
      </c>
      <c r="V14" t="s">
        <v>494</v>
      </c>
      <c r="W14" s="33">
        <v>43221</v>
      </c>
      <c r="X14">
        <v>60</v>
      </c>
      <c r="Y14">
        <v>4</v>
      </c>
      <c r="Z14">
        <v>1</v>
      </c>
      <c r="AA14" t="s">
        <v>499</v>
      </c>
      <c r="AB14" s="8"/>
      <c r="AC14">
        <v>0</v>
      </c>
      <c r="AD14">
        <v>0</v>
      </c>
      <c r="AE14">
        <v>0</v>
      </c>
      <c r="AF14">
        <v>0</v>
      </c>
      <c r="AG14" t="s">
        <v>182</v>
      </c>
      <c r="AH14" t="s">
        <v>181</v>
      </c>
      <c r="AI14" t="s">
        <v>179</v>
      </c>
      <c r="AJ14" t="s">
        <v>233</v>
      </c>
      <c r="AK14" t="s">
        <v>495</v>
      </c>
      <c r="AL14" t="s">
        <v>497</v>
      </c>
      <c r="AM14" t="s">
        <v>275</v>
      </c>
      <c r="AN14">
        <v>1</v>
      </c>
      <c r="AP14">
        <v>2.0499999999999998</v>
      </c>
      <c r="AQ14" t="s">
        <v>498</v>
      </c>
      <c r="AR14">
        <v>7</v>
      </c>
      <c r="AS14" s="8">
        <v>43032.519444444442</v>
      </c>
      <c r="AT14">
        <v>4</v>
      </c>
      <c r="AY14">
        <v>524840</v>
      </c>
      <c r="AZ14">
        <v>0</v>
      </c>
      <c r="BA14">
        <v>524840</v>
      </c>
      <c r="BE14">
        <v>3000</v>
      </c>
      <c r="BF14">
        <v>5</v>
      </c>
      <c r="BG14">
        <v>5</v>
      </c>
      <c r="BH14">
        <v>5</v>
      </c>
      <c r="BN14"/>
      <c r="BR14"/>
    </row>
    <row r="15" spans="1:70" x14ac:dyDescent="0.4">
      <c r="A15" s="33">
        <v>42935.387499999997</v>
      </c>
      <c r="B15" t="s">
        <v>266</v>
      </c>
      <c r="C15" t="s">
        <v>231</v>
      </c>
      <c r="D15" t="s">
        <v>417</v>
      </c>
      <c r="E15" t="s">
        <v>434</v>
      </c>
      <c r="F15" t="s">
        <v>94</v>
      </c>
      <c r="G15" t="s">
        <v>503</v>
      </c>
      <c r="H15" t="b">
        <f>_xlfn.XOR(IFERROR(MATCH(ckCodingTable[[#This Row],[st_code]],EpscorTable[],0)&gt;0,FALSE),IFERROR(FIND("9150",#REF!)&gt;0,FALSE))</f>
        <v>0</v>
      </c>
      <c r="I15" t="b">
        <f>_xlfn.XOR(ckCodingTable[[#This Row],[WMD]]&lt;&gt;"",IFERROR(FIND("9102",#REF!)&gt;0,FALSE))</f>
        <v>0</v>
      </c>
      <c r="J15" t="str">
        <f t="shared" si="0"/>
        <v/>
      </c>
      <c r="K15" t="s">
        <v>416</v>
      </c>
      <c r="L15" s="24"/>
      <c r="M15" s="42">
        <v>1</v>
      </c>
      <c r="N15" s="42">
        <v>0</v>
      </c>
      <c r="O15" s="15" t="str">
        <f xml:space="preserve"> HYPERLINK("mailto:"&amp;ckCodingTable[[#This Row],[email]]&amp;"&amp;subject=Your NSF Proposal:  "&amp;ckCodingTable[[#This Row],[prop_id]],ckCodingTable[[#This Row],[email]])</f>
        <v>debmalya.panigrahi@gmail.com</v>
      </c>
      <c r="P15">
        <f xml:space="preserve"> P14+(ckCodingTable[ILN]&lt;"M")</f>
        <v>14</v>
      </c>
      <c r="Q15" t="s">
        <v>96</v>
      </c>
      <c r="R15" t="s">
        <v>379</v>
      </c>
      <c r="S15" s="15" t="str">
        <f>HYPERLINK("https://www.ejacket.nsf.gov/ej/showProposal.do?ID="&amp;ckCodingTable[[#This Row],[prop_id]],"eJ")</f>
        <v>eJ</v>
      </c>
      <c r="T15" t="s">
        <v>379</v>
      </c>
      <c r="U15" t="s">
        <v>500</v>
      </c>
      <c r="V15" t="s">
        <v>501</v>
      </c>
      <c r="W15" s="33">
        <v>43160</v>
      </c>
      <c r="X15">
        <v>60</v>
      </c>
      <c r="Y15">
        <v>4</v>
      </c>
      <c r="Z15">
        <v>1</v>
      </c>
      <c r="AA15" t="s">
        <v>505</v>
      </c>
      <c r="AB15" s="8"/>
      <c r="AC15">
        <v>0</v>
      </c>
      <c r="AD15">
        <v>0</v>
      </c>
      <c r="AE15">
        <v>0</v>
      </c>
      <c r="AF15">
        <v>0</v>
      </c>
      <c r="AG15" t="s">
        <v>182</v>
      </c>
      <c r="AH15" t="s">
        <v>181</v>
      </c>
      <c r="AI15" t="s">
        <v>179</v>
      </c>
      <c r="AJ15" t="s">
        <v>233</v>
      </c>
      <c r="AK15" t="s">
        <v>502</v>
      </c>
      <c r="AL15" t="s">
        <v>504</v>
      </c>
      <c r="AM15" t="s">
        <v>423</v>
      </c>
      <c r="AN15">
        <v>1</v>
      </c>
      <c r="AP15">
        <v>2.0299999999999998</v>
      </c>
      <c r="AQ15" t="s">
        <v>281</v>
      </c>
      <c r="AR15">
        <v>7.75</v>
      </c>
      <c r="AS15" s="8">
        <v>43032.520138888889</v>
      </c>
      <c r="AT15">
        <v>4</v>
      </c>
      <c r="AY15">
        <v>602288</v>
      </c>
      <c r="AZ15">
        <v>0</v>
      </c>
      <c r="BA15">
        <v>602288</v>
      </c>
      <c r="BC15">
        <v>21026</v>
      </c>
      <c r="BE15">
        <v>16000</v>
      </c>
      <c r="BF15">
        <v>5</v>
      </c>
      <c r="BG15">
        <v>5</v>
      </c>
      <c r="BH15">
        <v>7</v>
      </c>
      <c r="BN15"/>
      <c r="BR15"/>
    </row>
    <row r="16" spans="1:70" x14ac:dyDescent="0.4">
      <c r="A16" s="33">
        <v>42935.475694444445</v>
      </c>
      <c r="B16" t="s">
        <v>266</v>
      </c>
      <c r="C16" t="s">
        <v>231</v>
      </c>
      <c r="D16" t="s">
        <v>417</v>
      </c>
      <c r="E16" t="s">
        <v>434</v>
      </c>
      <c r="F16" t="s">
        <v>94</v>
      </c>
      <c r="G16" t="s">
        <v>292</v>
      </c>
      <c r="H16" t="b">
        <f>_xlfn.XOR(IFERROR(MATCH(ckCodingTable[[#This Row],[st_code]],EpscorTable[],0)&gt;0,FALSE),IFERROR(FIND("9150",#REF!)&gt;0,FALSE))</f>
        <v>0</v>
      </c>
      <c r="I16" t="b">
        <f>_xlfn.XOR(ckCodingTable[[#This Row],[WMD]]&lt;&gt;"",IFERROR(FIND("9102",#REF!)&gt;0,FALSE))</f>
        <v>0</v>
      </c>
      <c r="J16" t="str">
        <f t="shared" si="0"/>
        <v/>
      </c>
      <c r="K16" t="s">
        <v>416</v>
      </c>
      <c r="L16" s="24"/>
      <c r="M16" s="42">
        <v>1</v>
      </c>
      <c r="N16" s="42">
        <v>0</v>
      </c>
      <c r="O16" s="15" t="str">
        <f xml:space="preserve"> HYPERLINK("mailto:"&amp;ckCodingTable[[#This Row],[email]]&amp;"&amp;subject=Your NSF Proposal:  "&amp;ckCodingTable[[#This Row],[prop_id]],ckCodingTable[[#This Row],[email]])</f>
        <v>mdinitz@cs.jhu.edu</v>
      </c>
      <c r="P16">
        <f xml:space="preserve"> P15+(ckCodingTable[ILN]&lt;"M")</f>
        <v>15</v>
      </c>
      <c r="Q16" t="s">
        <v>96</v>
      </c>
      <c r="R16" t="s">
        <v>380</v>
      </c>
      <c r="S16" s="15" t="str">
        <f>HYPERLINK("https://www.ejacket.nsf.gov/ej/showProposal.do?ID="&amp;ckCodingTable[[#This Row],[prop_id]],"eJ")</f>
        <v>eJ</v>
      </c>
      <c r="T16" t="s">
        <v>380</v>
      </c>
      <c r="U16" t="s">
        <v>506</v>
      </c>
      <c r="V16" t="s">
        <v>283</v>
      </c>
      <c r="W16" s="33">
        <v>43282</v>
      </c>
      <c r="X16">
        <v>60</v>
      </c>
      <c r="Y16">
        <v>4</v>
      </c>
      <c r="Z16">
        <v>1</v>
      </c>
      <c r="AA16" t="s">
        <v>510</v>
      </c>
      <c r="AB16" s="8"/>
      <c r="AC16">
        <v>0</v>
      </c>
      <c r="AD16">
        <v>0</v>
      </c>
      <c r="AE16">
        <v>0</v>
      </c>
      <c r="AF16">
        <v>0</v>
      </c>
      <c r="AG16" t="s">
        <v>182</v>
      </c>
      <c r="AH16" t="s">
        <v>181</v>
      </c>
      <c r="AI16" t="s">
        <v>179</v>
      </c>
      <c r="AJ16" t="s">
        <v>233</v>
      </c>
      <c r="AK16" t="s">
        <v>507</v>
      </c>
      <c r="AL16" t="s">
        <v>508</v>
      </c>
      <c r="AM16" t="s">
        <v>423</v>
      </c>
      <c r="AN16">
        <v>1</v>
      </c>
      <c r="AP16">
        <v>3.13</v>
      </c>
      <c r="AQ16" t="s">
        <v>509</v>
      </c>
      <c r="AR16">
        <v>6.75</v>
      </c>
      <c r="AS16" s="8">
        <v>43030.96875</v>
      </c>
      <c r="AT16">
        <v>4</v>
      </c>
      <c r="AY16">
        <v>507459</v>
      </c>
      <c r="AZ16">
        <v>0</v>
      </c>
      <c r="BA16">
        <v>507459</v>
      </c>
      <c r="BC16">
        <v>4200</v>
      </c>
      <c r="BF16">
        <v>5</v>
      </c>
      <c r="BG16">
        <v>5</v>
      </c>
      <c r="BJ16">
        <v>5</v>
      </c>
      <c r="BN16"/>
      <c r="BR16"/>
    </row>
    <row r="17" spans="1:70" x14ac:dyDescent="0.4">
      <c r="A17" s="33">
        <v>42935.488888888889</v>
      </c>
      <c r="B17" t="s">
        <v>266</v>
      </c>
      <c r="C17" t="s">
        <v>231</v>
      </c>
      <c r="D17" t="s">
        <v>417</v>
      </c>
      <c r="E17" t="s">
        <v>434</v>
      </c>
      <c r="F17" t="s">
        <v>94</v>
      </c>
      <c r="G17" t="s">
        <v>290</v>
      </c>
      <c r="H17" t="b">
        <f>_xlfn.XOR(IFERROR(MATCH(ckCodingTable[[#This Row],[st_code]],EpscorTable[],0)&gt;0,FALSE),IFERROR(FIND("9150",#REF!)&gt;0,FALSE))</f>
        <v>0</v>
      </c>
      <c r="I17" t="b">
        <f>_xlfn.XOR(ckCodingTable[[#This Row],[WMD]]&lt;&gt;"",IFERROR(FIND("9102",#REF!)&gt;0,FALSE))</f>
        <v>0</v>
      </c>
      <c r="J17" t="str">
        <f t="shared" si="0"/>
        <v/>
      </c>
      <c r="K17" t="s">
        <v>416</v>
      </c>
      <c r="L17" s="24"/>
      <c r="M17" s="42">
        <v>1</v>
      </c>
      <c r="N17" s="42">
        <v>0</v>
      </c>
      <c r="O17" s="15" t="str">
        <f xml:space="preserve"> HYPERLINK("mailto:"&amp;ckCodingTable[[#This Row],[email]]&amp;"&amp;subject=Your NSF Proposal:  "&amp;ckCodingTable[[#This Row],[prop_id]],ckCodingTable[[#This Row],[email]])</f>
        <v>aene@bu.edu</v>
      </c>
      <c r="P17">
        <f xml:space="preserve"> P16+(ckCodingTable[ILN]&lt;"M")</f>
        <v>16</v>
      </c>
      <c r="Q17" t="s">
        <v>96</v>
      </c>
      <c r="R17" t="s">
        <v>381</v>
      </c>
      <c r="S17" s="15" t="str">
        <f>HYPERLINK("https://www.ejacket.nsf.gov/ej/showProposal.do?ID="&amp;ckCodingTable[[#This Row],[prop_id]],"eJ")</f>
        <v>eJ</v>
      </c>
      <c r="T17" t="s">
        <v>381</v>
      </c>
      <c r="U17" t="s">
        <v>511</v>
      </c>
      <c r="V17" t="s">
        <v>512</v>
      </c>
      <c r="W17" s="33">
        <v>43101</v>
      </c>
      <c r="X17">
        <v>60</v>
      </c>
      <c r="Y17">
        <v>4</v>
      </c>
      <c r="Z17">
        <v>1</v>
      </c>
      <c r="AA17" t="s">
        <v>516</v>
      </c>
      <c r="AB17" s="8"/>
      <c r="AC17">
        <v>0</v>
      </c>
      <c r="AD17">
        <v>0</v>
      </c>
      <c r="AE17">
        <v>0</v>
      </c>
      <c r="AF17">
        <v>0</v>
      </c>
      <c r="AG17" t="s">
        <v>182</v>
      </c>
      <c r="AH17" t="s">
        <v>181</v>
      </c>
      <c r="AI17" t="s">
        <v>179</v>
      </c>
      <c r="AJ17" t="s">
        <v>233</v>
      </c>
      <c r="AK17" t="s">
        <v>513</v>
      </c>
      <c r="AL17" t="s">
        <v>514</v>
      </c>
      <c r="AM17" t="s">
        <v>423</v>
      </c>
      <c r="AN17">
        <v>1</v>
      </c>
      <c r="AP17">
        <v>1.01</v>
      </c>
      <c r="AQ17" t="s">
        <v>515</v>
      </c>
      <c r="AR17">
        <v>7.5</v>
      </c>
      <c r="AS17" s="8">
        <v>43032.52847222222</v>
      </c>
      <c r="AT17">
        <v>4</v>
      </c>
      <c r="AY17">
        <v>507423</v>
      </c>
      <c r="AZ17">
        <v>0</v>
      </c>
      <c r="BA17">
        <v>507423</v>
      </c>
      <c r="BC17">
        <v>15000</v>
      </c>
      <c r="BF17">
        <v>5</v>
      </c>
      <c r="BG17">
        <v>5</v>
      </c>
      <c r="BH17">
        <v>5</v>
      </c>
      <c r="BN17"/>
      <c r="BR17"/>
    </row>
    <row r="18" spans="1:70" x14ac:dyDescent="0.4">
      <c r="A18" s="33">
        <v>42935.54583333333</v>
      </c>
      <c r="B18" t="s">
        <v>266</v>
      </c>
      <c r="C18" t="s">
        <v>231</v>
      </c>
      <c r="D18" t="s">
        <v>417</v>
      </c>
      <c r="E18" t="s">
        <v>434</v>
      </c>
      <c r="F18" t="s">
        <v>94</v>
      </c>
      <c r="G18" t="s">
        <v>520</v>
      </c>
      <c r="H18" t="b">
        <f>_xlfn.XOR(IFERROR(MATCH(ckCodingTable[[#This Row],[st_code]],EpscorTable[],0)&gt;0,FALSE),IFERROR(FIND("9150",#REF!)&gt;0,FALSE))</f>
        <v>0</v>
      </c>
      <c r="I18" t="b">
        <f>_xlfn.XOR(ckCodingTable[[#This Row],[WMD]]&lt;&gt;"",IFERROR(FIND("9102",#REF!)&gt;0,FALSE))</f>
        <v>0</v>
      </c>
      <c r="J18" t="str">
        <f t="shared" si="0"/>
        <v/>
      </c>
      <c r="K18" t="s">
        <v>416</v>
      </c>
      <c r="L18" s="24"/>
      <c r="M18" s="42">
        <v>1</v>
      </c>
      <c r="N18" s="42">
        <v>0</v>
      </c>
      <c r="O18" s="15" t="str">
        <f xml:space="preserve"> HYPERLINK("mailto:"&amp;ckCodingTable[[#This Row],[email]]&amp;"&amp;subject=Your NSF Proposal:  "&amp;ckCodingTable[[#This Row],[prop_id]],ckCodingTable[[#This Row],[email]])</f>
        <v>sharathr@vt.edu</v>
      </c>
      <c r="P18">
        <f xml:space="preserve"> P17+(ckCodingTable[ILN]&lt;"M")</f>
        <v>17</v>
      </c>
      <c r="Q18" t="s">
        <v>96</v>
      </c>
      <c r="R18" t="s">
        <v>382</v>
      </c>
      <c r="S18" s="15" t="str">
        <f>HYPERLINK("https://www.ejacket.nsf.gov/ej/showProposal.do?ID="&amp;ckCodingTable[[#This Row],[prop_id]],"eJ")</f>
        <v>eJ</v>
      </c>
      <c r="T18" t="s">
        <v>382</v>
      </c>
      <c r="U18" t="s">
        <v>517</v>
      </c>
      <c r="V18" t="s">
        <v>518</v>
      </c>
      <c r="W18" s="33">
        <v>43110</v>
      </c>
      <c r="X18">
        <v>60</v>
      </c>
      <c r="Y18">
        <v>4</v>
      </c>
      <c r="Z18">
        <v>1</v>
      </c>
      <c r="AA18" t="s">
        <v>523</v>
      </c>
      <c r="AB18" s="8"/>
      <c r="AC18">
        <v>0</v>
      </c>
      <c r="AD18">
        <v>0</v>
      </c>
      <c r="AE18">
        <v>0</v>
      </c>
      <c r="AF18">
        <v>0</v>
      </c>
      <c r="AG18" t="s">
        <v>182</v>
      </c>
      <c r="AH18" t="s">
        <v>181</v>
      </c>
      <c r="AI18" t="s">
        <v>179</v>
      </c>
      <c r="AJ18" t="s">
        <v>233</v>
      </c>
      <c r="AK18" t="s">
        <v>519</v>
      </c>
      <c r="AL18" t="s">
        <v>521</v>
      </c>
      <c r="AM18" t="s">
        <v>423</v>
      </c>
      <c r="AN18">
        <v>1</v>
      </c>
      <c r="AP18">
        <v>3.13</v>
      </c>
      <c r="AQ18" t="s">
        <v>522</v>
      </c>
      <c r="AR18">
        <v>6.5</v>
      </c>
      <c r="AS18" s="8">
        <v>43032.486805555556</v>
      </c>
      <c r="AT18">
        <v>4</v>
      </c>
      <c r="AY18">
        <v>533991</v>
      </c>
      <c r="AZ18">
        <v>0</v>
      </c>
      <c r="BA18">
        <v>533991</v>
      </c>
      <c r="BC18">
        <v>7500</v>
      </c>
      <c r="BF18">
        <v>5</v>
      </c>
      <c r="BG18">
        <v>5</v>
      </c>
      <c r="BH18">
        <v>6.5</v>
      </c>
    </row>
    <row r="19" spans="1:70" x14ac:dyDescent="0.4">
      <c r="A19" s="33">
        <v>42935.633333333331</v>
      </c>
      <c r="B19" t="s">
        <v>266</v>
      </c>
      <c r="C19" t="s">
        <v>231</v>
      </c>
      <c r="D19" t="s">
        <v>417</v>
      </c>
      <c r="E19" t="s">
        <v>418</v>
      </c>
      <c r="F19" t="s">
        <v>94</v>
      </c>
      <c r="G19" t="s">
        <v>526</v>
      </c>
      <c r="H19" t="b">
        <f>_xlfn.XOR(IFERROR(MATCH(ckCodingTable[[#This Row],[st_code]],EpscorTable[],0)&gt;0,FALSE),IFERROR(FIND("9150",#REF!)&gt;0,FALSE))</f>
        <v>0</v>
      </c>
      <c r="I19" t="b">
        <f>_xlfn.XOR(ckCodingTable[[#This Row],[WMD]]&lt;&gt;"",IFERROR(FIND("9102",#REF!)&gt;0,FALSE))</f>
        <v>0</v>
      </c>
      <c r="J19" t="str">
        <f t="shared" si="0"/>
        <v/>
      </c>
      <c r="K19" t="s">
        <v>416</v>
      </c>
      <c r="L19" s="24"/>
      <c r="M19" s="42">
        <v>1</v>
      </c>
      <c r="N19" s="42">
        <v>0</v>
      </c>
      <c r="O19" s="15" t="str">
        <f xml:space="preserve"> HYPERLINK("mailto:"&amp;ckCodingTable[[#This Row],[email]]&amp;"&amp;subject=Your NSF Proposal:  "&amp;ckCodingTable[[#This Row],[prop_id]],ckCodingTable[[#This Row],[email]])</f>
        <v>Benjamin.Raichel@utdallas.edu</v>
      </c>
      <c r="P19">
        <f xml:space="preserve"> P18+(ckCodingTable[ILN]&lt;"M")</f>
        <v>18</v>
      </c>
      <c r="Q19" t="s">
        <v>96</v>
      </c>
      <c r="R19" t="s">
        <v>383</v>
      </c>
      <c r="S19" s="15" t="str">
        <f>HYPERLINK("https://www.ejacket.nsf.gov/ej/showProposal.do?ID="&amp;ckCodingTable[[#This Row],[prop_id]],"eJ")</f>
        <v>eJ</v>
      </c>
      <c r="T19" t="s">
        <v>383</v>
      </c>
      <c r="U19" t="s">
        <v>524</v>
      </c>
      <c r="V19" t="s">
        <v>272</v>
      </c>
      <c r="W19" s="33">
        <v>43344</v>
      </c>
      <c r="X19">
        <v>60</v>
      </c>
      <c r="Y19">
        <v>4</v>
      </c>
      <c r="Z19">
        <v>1</v>
      </c>
      <c r="AA19" t="s">
        <v>528</v>
      </c>
      <c r="AB19" s="8"/>
      <c r="AC19">
        <v>0</v>
      </c>
      <c r="AD19">
        <v>0</v>
      </c>
      <c r="AE19">
        <v>0</v>
      </c>
      <c r="AF19">
        <v>0</v>
      </c>
      <c r="AG19" t="s">
        <v>182</v>
      </c>
      <c r="AH19" t="s">
        <v>181</v>
      </c>
      <c r="AI19" t="s">
        <v>179</v>
      </c>
      <c r="AJ19" t="s">
        <v>233</v>
      </c>
      <c r="AK19" t="s">
        <v>525</v>
      </c>
      <c r="AL19" t="s">
        <v>527</v>
      </c>
      <c r="AM19" t="s">
        <v>431</v>
      </c>
      <c r="AN19">
        <v>1</v>
      </c>
      <c r="AP19">
        <v>2.0699999999999998</v>
      </c>
      <c r="AQ19" t="s">
        <v>461</v>
      </c>
      <c r="AR19">
        <v>7.5</v>
      </c>
      <c r="AS19" s="8">
        <v>43030.181250000001</v>
      </c>
      <c r="AT19">
        <v>4</v>
      </c>
      <c r="AY19">
        <v>582785</v>
      </c>
      <c r="AZ19">
        <v>0</v>
      </c>
      <c r="BA19">
        <v>582785</v>
      </c>
      <c r="BC19">
        <v>7500</v>
      </c>
      <c r="BF19">
        <v>10</v>
      </c>
      <c r="BG19">
        <v>5</v>
      </c>
      <c r="BH19">
        <v>5</v>
      </c>
    </row>
    <row r="20" spans="1:70" x14ac:dyDescent="0.4">
      <c r="A20" s="33">
        <v>42935.680555555555</v>
      </c>
      <c r="B20" t="s">
        <v>266</v>
      </c>
      <c r="C20" t="s">
        <v>231</v>
      </c>
      <c r="D20" t="s">
        <v>417</v>
      </c>
      <c r="E20" t="s">
        <v>418</v>
      </c>
      <c r="F20" t="s">
        <v>94</v>
      </c>
      <c r="G20" t="s">
        <v>526</v>
      </c>
      <c r="H20" t="b">
        <f>_xlfn.XOR(IFERROR(MATCH(ckCodingTable[[#This Row],[st_code]],EpscorTable[],0)&gt;0,FALSE),IFERROR(FIND("9150",#REF!)&gt;0,FALSE))</f>
        <v>0</v>
      </c>
      <c r="I20" t="b">
        <f>_xlfn.XOR(ckCodingTable[[#This Row],[WMD]]&lt;&gt;"",IFERROR(FIND("9102",#REF!)&gt;0,FALSE))</f>
        <v>0</v>
      </c>
      <c r="J20" t="str">
        <f t="shared" si="0"/>
        <v/>
      </c>
      <c r="K20" t="s">
        <v>416</v>
      </c>
      <c r="L20" s="24"/>
      <c r="M20" s="42">
        <v>1</v>
      </c>
      <c r="N20" s="42">
        <v>0</v>
      </c>
      <c r="O20" s="15" t="str">
        <f xml:space="preserve"> HYPERLINK("mailto:"&amp;ckCodingTable[[#This Row],[email]]&amp;"&amp;subject=Your NSF Proposal:  "&amp;ckCodingTable[[#This Row],[prop_id]],ckCodingTable[[#This Row],[email]])</f>
        <v>MATTHEW.GIBSON@UTSA.EDU</v>
      </c>
      <c r="P20">
        <f xml:space="preserve"> P19+(ckCodingTable[ILN]&lt;"M")</f>
        <v>19</v>
      </c>
      <c r="Q20" t="s">
        <v>96</v>
      </c>
      <c r="R20" t="s">
        <v>384</v>
      </c>
      <c r="S20" s="15" t="str">
        <f>HYPERLINK("https://www.ejacket.nsf.gov/ej/showProposal.do?ID="&amp;ckCodingTable[[#This Row],[prop_id]],"eJ")</f>
        <v>eJ</v>
      </c>
      <c r="T20" t="s">
        <v>384</v>
      </c>
      <c r="U20" t="s">
        <v>529</v>
      </c>
      <c r="V20" t="s">
        <v>530</v>
      </c>
      <c r="W20" s="33">
        <v>43132</v>
      </c>
      <c r="X20">
        <v>60</v>
      </c>
      <c r="Y20">
        <v>4</v>
      </c>
      <c r="Z20">
        <v>1</v>
      </c>
      <c r="AA20" t="s">
        <v>534</v>
      </c>
      <c r="AB20" s="8"/>
      <c r="AC20">
        <v>0</v>
      </c>
      <c r="AD20">
        <v>0</v>
      </c>
      <c r="AE20">
        <v>0</v>
      </c>
      <c r="AF20">
        <v>0</v>
      </c>
      <c r="AG20" t="s">
        <v>182</v>
      </c>
      <c r="AH20" t="s">
        <v>181</v>
      </c>
      <c r="AI20" t="s">
        <v>179</v>
      </c>
      <c r="AJ20" t="s">
        <v>233</v>
      </c>
      <c r="AK20" t="s">
        <v>531</v>
      </c>
      <c r="AL20" t="s">
        <v>532</v>
      </c>
      <c r="AM20" t="s">
        <v>431</v>
      </c>
      <c r="AN20">
        <v>1</v>
      </c>
      <c r="AP20">
        <v>3.13</v>
      </c>
      <c r="AQ20" t="s">
        <v>533</v>
      </c>
      <c r="AR20">
        <v>4.75</v>
      </c>
      <c r="AS20" s="8">
        <v>43030.177777777775</v>
      </c>
      <c r="AT20">
        <v>4</v>
      </c>
      <c r="AY20">
        <v>415497</v>
      </c>
      <c r="AZ20">
        <v>0</v>
      </c>
      <c r="BA20">
        <v>415497</v>
      </c>
      <c r="BC20">
        <v>12250</v>
      </c>
      <c r="BE20">
        <v>16000</v>
      </c>
      <c r="BF20">
        <v>5</v>
      </c>
      <c r="BG20">
        <v>5</v>
      </c>
      <c r="BH20">
        <v>5</v>
      </c>
    </row>
    <row r="21" spans="1:70" x14ac:dyDescent="0.4">
      <c r="A21" s="33">
        <v>42935.69027777778</v>
      </c>
      <c r="B21" t="s">
        <v>266</v>
      </c>
      <c r="C21" t="s">
        <v>231</v>
      </c>
      <c r="D21" t="s">
        <v>417</v>
      </c>
      <c r="E21" t="s">
        <v>418</v>
      </c>
      <c r="F21" t="s">
        <v>94</v>
      </c>
      <c r="G21" t="s">
        <v>526</v>
      </c>
      <c r="H21" t="b">
        <f>_xlfn.XOR(IFERROR(MATCH(ckCodingTable[[#This Row],[st_code]],EpscorTable[],0)&gt;0,FALSE),IFERROR(FIND("9150",#REF!)&gt;0,FALSE))</f>
        <v>0</v>
      </c>
      <c r="I21" t="b">
        <f>_xlfn.XOR(ckCodingTable[[#This Row],[WMD]]&lt;&gt;"",IFERROR(FIND("9102",#REF!)&gt;0,FALSE))</f>
        <v>0</v>
      </c>
      <c r="J21" t="str">
        <f t="shared" si="0"/>
        <v/>
      </c>
      <c r="K21" t="s">
        <v>416</v>
      </c>
      <c r="L21" s="24"/>
      <c r="M21" s="42">
        <v>1</v>
      </c>
      <c r="N21" s="42">
        <v>0</v>
      </c>
      <c r="O21" s="15" t="str">
        <f xml:space="preserve"> HYPERLINK("mailto:"&amp;ckCodingTable[[#This Row],[email]]&amp;"&amp;subject=Your NSF Proposal:  "&amp;ckCodingTable[[#This Row],[prop_id]],ckCodingTable[[#This Row],[email]])</f>
        <v>evouga@cs.utexas.edu</v>
      </c>
      <c r="P21">
        <f xml:space="preserve"> P20+(ckCodingTable[ILN]&lt;"M")</f>
        <v>20</v>
      </c>
      <c r="Q21" t="s">
        <v>96</v>
      </c>
      <c r="R21" t="s">
        <v>385</v>
      </c>
      <c r="S21" s="15" t="str">
        <f>HYPERLINK("https://www.ejacket.nsf.gov/ej/showProposal.do?ID="&amp;ckCodingTable[[#This Row],[prop_id]],"eJ")</f>
        <v>eJ</v>
      </c>
      <c r="T21" t="s">
        <v>385</v>
      </c>
      <c r="U21" t="s">
        <v>535</v>
      </c>
      <c r="V21" t="s">
        <v>536</v>
      </c>
      <c r="W21" s="33">
        <v>43344</v>
      </c>
      <c r="X21">
        <v>60</v>
      </c>
      <c r="Y21">
        <v>4</v>
      </c>
      <c r="Z21">
        <v>1</v>
      </c>
      <c r="AA21" t="s">
        <v>539</v>
      </c>
      <c r="AB21" s="8"/>
      <c r="AC21">
        <v>0</v>
      </c>
      <c r="AD21">
        <v>0</v>
      </c>
      <c r="AE21">
        <v>0</v>
      </c>
      <c r="AF21">
        <v>0</v>
      </c>
      <c r="AG21" t="s">
        <v>182</v>
      </c>
      <c r="AH21" t="s">
        <v>181</v>
      </c>
      <c r="AI21" t="s">
        <v>179</v>
      </c>
      <c r="AJ21" t="s">
        <v>233</v>
      </c>
      <c r="AK21" t="s">
        <v>537</v>
      </c>
      <c r="AL21" t="s">
        <v>538</v>
      </c>
      <c r="AM21" t="s">
        <v>431</v>
      </c>
      <c r="AN21">
        <v>1</v>
      </c>
      <c r="AP21">
        <v>2.12</v>
      </c>
      <c r="AQ21" t="s">
        <v>455</v>
      </c>
      <c r="AR21">
        <v>6.5</v>
      </c>
      <c r="AS21" s="8">
        <v>43031.392361111109</v>
      </c>
      <c r="AT21">
        <v>4</v>
      </c>
      <c r="AY21">
        <v>523537</v>
      </c>
      <c r="AZ21">
        <v>0</v>
      </c>
      <c r="BA21">
        <v>523537</v>
      </c>
      <c r="BC21">
        <v>15000</v>
      </c>
      <c r="BF21">
        <v>7</v>
      </c>
      <c r="BG21">
        <v>5</v>
      </c>
      <c r="BH21">
        <v>2</v>
      </c>
    </row>
    <row r="22" spans="1:70" x14ac:dyDescent="0.4">
      <c r="A22" s="33">
        <v>42935.696527777778</v>
      </c>
      <c r="B22" t="s">
        <v>266</v>
      </c>
      <c r="C22" t="s">
        <v>231</v>
      </c>
      <c r="D22" t="s">
        <v>417</v>
      </c>
      <c r="E22" t="s">
        <v>418</v>
      </c>
      <c r="F22" t="s">
        <v>94</v>
      </c>
      <c r="G22" t="s">
        <v>543</v>
      </c>
      <c r="H22" t="b">
        <f>_xlfn.XOR(IFERROR(MATCH(ckCodingTable[[#This Row],[st_code]],EpscorTable[],0)&gt;0,FALSE),IFERROR(FIND("9150",#REF!)&gt;0,FALSE))</f>
        <v>0</v>
      </c>
      <c r="I22" t="b">
        <f>_xlfn.XOR(ckCodingTable[[#This Row],[WMD]]&lt;&gt;"",IFERROR(FIND("9102",#REF!)&gt;0,FALSE))</f>
        <v>0</v>
      </c>
      <c r="J22" t="str">
        <f t="shared" si="0"/>
        <v/>
      </c>
      <c r="K22" t="s">
        <v>416</v>
      </c>
      <c r="L22" s="24"/>
      <c r="M22" s="42">
        <v>1</v>
      </c>
      <c r="N22" s="42">
        <v>0</v>
      </c>
      <c r="O22" s="15" t="str">
        <f xml:space="preserve"> HYPERLINK("mailto:"&amp;ckCodingTable[[#This Row],[email]]&amp;"&amp;subject=Your NSF Proposal:  "&amp;ckCodingTable[[#This Row],[prop_id]],ckCodingTable[[#This Row],[email]])</f>
        <v>nayyeria@eecs.oregonstate.edu</v>
      </c>
      <c r="P22">
        <f xml:space="preserve"> P21+(ckCodingTable[ILN]&lt;"M")</f>
        <v>21</v>
      </c>
      <c r="Q22" t="s">
        <v>96</v>
      </c>
      <c r="R22" t="s">
        <v>386</v>
      </c>
      <c r="S22" s="15" t="str">
        <f>HYPERLINK("https://www.ejacket.nsf.gov/ej/showProposal.do?ID="&amp;ckCodingTable[[#This Row],[prop_id]],"eJ")</f>
        <v>eJ</v>
      </c>
      <c r="T22" t="s">
        <v>386</v>
      </c>
      <c r="U22" t="s">
        <v>540</v>
      </c>
      <c r="V22" t="s">
        <v>541</v>
      </c>
      <c r="W22" s="33">
        <v>43344</v>
      </c>
      <c r="X22">
        <v>60</v>
      </c>
      <c r="Y22">
        <v>4</v>
      </c>
      <c r="Z22">
        <v>1</v>
      </c>
      <c r="AA22" t="s">
        <v>546</v>
      </c>
      <c r="AB22" s="8"/>
      <c r="AC22">
        <v>0</v>
      </c>
      <c r="AD22">
        <v>0</v>
      </c>
      <c r="AE22">
        <v>0</v>
      </c>
      <c r="AF22">
        <v>0</v>
      </c>
      <c r="AG22" t="s">
        <v>182</v>
      </c>
      <c r="AH22" t="s">
        <v>181</v>
      </c>
      <c r="AI22" t="s">
        <v>179</v>
      </c>
      <c r="AJ22" t="s">
        <v>233</v>
      </c>
      <c r="AK22" t="s">
        <v>542</v>
      </c>
      <c r="AL22" t="s">
        <v>544</v>
      </c>
      <c r="AM22" t="s">
        <v>431</v>
      </c>
      <c r="AN22">
        <v>1</v>
      </c>
      <c r="AP22">
        <v>2.1</v>
      </c>
      <c r="AQ22" t="s">
        <v>545</v>
      </c>
      <c r="AR22">
        <v>6.75</v>
      </c>
      <c r="AS22" s="8">
        <v>43031.69027777778</v>
      </c>
      <c r="AT22">
        <v>4</v>
      </c>
      <c r="AY22">
        <v>607459</v>
      </c>
      <c r="AZ22">
        <v>0</v>
      </c>
      <c r="BA22">
        <v>607459</v>
      </c>
      <c r="BC22">
        <v>23133</v>
      </c>
      <c r="BE22">
        <v>5500</v>
      </c>
      <c r="BF22">
        <v>5</v>
      </c>
      <c r="BG22">
        <v>5</v>
      </c>
      <c r="BH22">
        <v>4.5</v>
      </c>
    </row>
    <row r="23" spans="1:70" x14ac:dyDescent="0.4">
      <c r="A23" s="33">
        <v>42935.723611111112</v>
      </c>
      <c r="B23" t="s">
        <v>266</v>
      </c>
      <c r="C23" t="s">
        <v>231</v>
      </c>
      <c r="D23" t="s">
        <v>417</v>
      </c>
      <c r="E23" t="s">
        <v>463</v>
      </c>
      <c r="F23" t="s">
        <v>94</v>
      </c>
      <c r="G23" t="s">
        <v>114</v>
      </c>
      <c r="H23" t="b">
        <f>_xlfn.XOR(IFERROR(MATCH(ckCodingTable[[#This Row],[st_code]],EpscorTable[],0)&gt;0,FALSE),IFERROR(FIND("9150",#REF!)&gt;0,FALSE))</f>
        <v>1</v>
      </c>
      <c r="I23" t="b">
        <f>_xlfn.XOR(ckCodingTable[[#This Row],[WMD]]&lt;&gt;"",IFERROR(FIND("9102",#REF!)&gt;0,FALSE))</f>
        <v>1</v>
      </c>
      <c r="J23" t="str">
        <f t="shared" si="0"/>
        <v>WMD</v>
      </c>
      <c r="K23" t="s">
        <v>416</v>
      </c>
      <c r="L23" s="24"/>
      <c r="M23" s="42">
        <v>1</v>
      </c>
      <c r="N23" s="42">
        <v>0</v>
      </c>
      <c r="O23" s="15" t="str">
        <f xml:space="preserve"> HYPERLINK("mailto:"&amp;ckCodingTable[[#This Row],[email]]&amp;"&amp;subject=Your NSF Proposal:  "&amp;ckCodingTable[[#This Row],[prop_id]],ckCodingTable[[#This Row],[email]])</f>
        <v>brittany@cs.montana.edu</v>
      </c>
      <c r="P23">
        <f xml:space="preserve"> P22+(ckCodingTable[ILN]&lt;"M")</f>
        <v>22</v>
      </c>
      <c r="Q23" t="s">
        <v>96</v>
      </c>
      <c r="R23" t="s">
        <v>387</v>
      </c>
      <c r="S23" s="15" t="str">
        <f>HYPERLINK("https://www.ejacket.nsf.gov/ej/showProposal.do?ID="&amp;ckCodingTable[[#This Row],[prop_id]],"eJ")</f>
        <v>eJ</v>
      </c>
      <c r="T23" t="s">
        <v>387</v>
      </c>
      <c r="U23" t="s">
        <v>547</v>
      </c>
      <c r="V23" t="s">
        <v>548</v>
      </c>
      <c r="W23" s="33">
        <v>43344</v>
      </c>
      <c r="X23">
        <v>60</v>
      </c>
      <c r="Y23">
        <v>4</v>
      </c>
      <c r="Z23">
        <v>1</v>
      </c>
      <c r="AA23" t="s">
        <v>552</v>
      </c>
      <c r="AB23" s="8"/>
      <c r="AC23">
        <v>2</v>
      </c>
      <c r="AD23">
        <v>0</v>
      </c>
      <c r="AE23">
        <v>0</v>
      </c>
      <c r="AF23">
        <v>0</v>
      </c>
      <c r="AG23" t="s">
        <v>182</v>
      </c>
      <c r="AH23" t="s">
        <v>181</v>
      </c>
      <c r="AI23" t="s">
        <v>179</v>
      </c>
      <c r="AJ23" t="s">
        <v>233</v>
      </c>
      <c r="AK23" t="s">
        <v>549</v>
      </c>
      <c r="AL23" t="s">
        <v>550</v>
      </c>
      <c r="AM23" t="s">
        <v>551</v>
      </c>
      <c r="AN23">
        <v>1</v>
      </c>
      <c r="AP23">
        <v>2.09</v>
      </c>
      <c r="AQ23" t="s">
        <v>455</v>
      </c>
      <c r="AR23">
        <v>6.5</v>
      </c>
      <c r="AS23" s="8">
        <v>43031.43472222222</v>
      </c>
      <c r="AT23">
        <v>4</v>
      </c>
      <c r="AY23">
        <v>552355</v>
      </c>
      <c r="AZ23">
        <v>0</v>
      </c>
      <c r="BA23">
        <v>552355</v>
      </c>
      <c r="BC23">
        <v>13000</v>
      </c>
      <c r="BF23">
        <v>12</v>
      </c>
      <c r="BG23">
        <v>5</v>
      </c>
      <c r="BH23">
        <v>5</v>
      </c>
    </row>
    <row r="24" spans="1:70" x14ac:dyDescent="0.4">
      <c r="A24" s="33">
        <v>42935.851388888892</v>
      </c>
      <c r="B24" t="s">
        <v>266</v>
      </c>
      <c r="C24" t="s">
        <v>231</v>
      </c>
      <c r="D24" t="s">
        <v>417</v>
      </c>
      <c r="E24" t="s">
        <v>434</v>
      </c>
      <c r="F24" t="s">
        <v>94</v>
      </c>
      <c r="G24" t="s">
        <v>101</v>
      </c>
      <c r="H24" t="b">
        <f>_xlfn.XOR(IFERROR(MATCH(ckCodingTable[[#This Row],[st_code]],EpscorTable[],0)&gt;0,FALSE),IFERROR(FIND("9150",#REF!)&gt;0,FALSE))</f>
        <v>1</v>
      </c>
      <c r="I24" t="b">
        <f>_xlfn.XOR(ckCodingTable[[#This Row],[WMD]]&lt;&gt;"",IFERROR(FIND("9102",#REF!)&gt;0,FALSE))</f>
        <v>0</v>
      </c>
      <c r="J24" t="str">
        <f t="shared" si="0"/>
        <v/>
      </c>
      <c r="K24" t="s">
        <v>416</v>
      </c>
      <c r="L24" s="24"/>
      <c r="M24" s="42">
        <v>1</v>
      </c>
      <c r="N24" s="42">
        <v>0</v>
      </c>
      <c r="O24" s="15" t="str">
        <f xml:space="preserve"> HYPERLINK("mailto:"&amp;ckCodingTable[[#This Row],[email]]&amp;"&amp;subject=Your NSF Proposal:  "&amp;ckCodingTable[[#This Row],[prop_id]],ckCodingTable[[#This Row],[email]])</f>
        <v>nodari@hawaii.edu</v>
      </c>
      <c r="P24">
        <f xml:space="preserve"> P23+(ckCodingTable[ILN]&lt;"M")</f>
        <v>23</v>
      </c>
      <c r="Q24" t="s">
        <v>96</v>
      </c>
      <c r="R24" t="s">
        <v>388</v>
      </c>
      <c r="S24" s="15" t="str">
        <f>HYPERLINK("https://www.ejacket.nsf.gov/ej/showProposal.do?ID="&amp;ckCodingTable[[#This Row],[prop_id]],"eJ")</f>
        <v>eJ</v>
      </c>
      <c r="T24" t="s">
        <v>388</v>
      </c>
      <c r="U24" t="s">
        <v>553</v>
      </c>
      <c r="V24" t="s">
        <v>554</v>
      </c>
      <c r="W24" s="33">
        <v>43160</v>
      </c>
      <c r="X24">
        <v>60</v>
      </c>
      <c r="Y24">
        <v>4</v>
      </c>
      <c r="Z24">
        <v>1</v>
      </c>
      <c r="AA24" t="s">
        <v>559</v>
      </c>
      <c r="AB24" s="8"/>
      <c r="AC24">
        <v>0</v>
      </c>
      <c r="AD24">
        <v>0</v>
      </c>
      <c r="AE24">
        <v>0</v>
      </c>
      <c r="AF24">
        <v>0</v>
      </c>
      <c r="AG24" t="s">
        <v>182</v>
      </c>
      <c r="AH24" t="s">
        <v>181</v>
      </c>
      <c r="AI24" t="s">
        <v>179</v>
      </c>
      <c r="AJ24" t="s">
        <v>233</v>
      </c>
      <c r="AK24" t="s">
        <v>555</v>
      </c>
      <c r="AL24" t="s">
        <v>556</v>
      </c>
      <c r="AM24" t="s">
        <v>557</v>
      </c>
      <c r="AN24">
        <v>1</v>
      </c>
      <c r="AP24">
        <v>3.13</v>
      </c>
      <c r="AQ24" t="s">
        <v>558</v>
      </c>
      <c r="AR24">
        <v>5.5</v>
      </c>
      <c r="AS24" s="8">
        <v>43031.703472222223</v>
      </c>
      <c r="AT24">
        <v>4</v>
      </c>
      <c r="AY24">
        <v>549999</v>
      </c>
      <c r="AZ24">
        <v>0</v>
      </c>
      <c r="BA24">
        <v>549999</v>
      </c>
      <c r="BC24">
        <v>20000</v>
      </c>
      <c r="BF24">
        <v>5</v>
      </c>
      <c r="BG24">
        <v>5</v>
      </c>
      <c r="BH24">
        <v>5</v>
      </c>
      <c r="BI24">
        <v>4.5199999999999996</v>
      </c>
    </row>
    <row r="25" spans="1:70" x14ac:dyDescent="0.4">
      <c r="A25" s="33">
        <v>42954.500694444447</v>
      </c>
      <c r="B25" t="s">
        <v>561</v>
      </c>
      <c r="C25" t="s">
        <v>231</v>
      </c>
      <c r="D25" t="s">
        <v>562</v>
      </c>
      <c r="E25" t="s">
        <v>434</v>
      </c>
      <c r="F25" t="s">
        <v>94</v>
      </c>
      <c r="G25" t="s">
        <v>293</v>
      </c>
      <c r="H25" t="b">
        <f>_xlfn.XOR(IFERROR(MATCH(ckCodingTable[[#This Row],[st_code]],EpscorTable[],0)&gt;0,FALSE),IFERROR(FIND("9150",#REF!)&gt;0,FALSE))</f>
        <v>0</v>
      </c>
      <c r="I25" t="b">
        <f>_xlfn.XOR(ckCodingTable[[#This Row],[WMD]]&lt;&gt;"",IFERROR(FIND("9102",#REF!)&gt;0,FALSE))</f>
        <v>0</v>
      </c>
      <c r="J25" t="str">
        <f t="shared" si="0"/>
        <v/>
      </c>
      <c r="K25" t="s">
        <v>560</v>
      </c>
      <c r="L25" s="24"/>
      <c r="M25" s="42">
        <v>1</v>
      </c>
      <c r="N25" s="42">
        <v>0</v>
      </c>
      <c r="O25" s="15" t="str">
        <f xml:space="preserve"> HYPERLINK("mailto:"&amp;ckCodingTable[[#This Row],[email]]&amp;"&amp;subject=Your NSF Proposal:  "&amp;ckCodingTable[[#This Row],[prop_id]],ckCodingTable[[#This Row],[email]])</f>
        <v>kwang@georgiasouthern.edu</v>
      </c>
      <c r="P25">
        <f xml:space="preserve"> P24+(ckCodingTable[ILN]&lt;"M")</f>
        <v>24</v>
      </c>
      <c r="Q25" t="s">
        <v>96</v>
      </c>
      <c r="R25" t="s">
        <v>389</v>
      </c>
      <c r="S25" s="15" t="str">
        <f>HYPERLINK("https://www.ejacket.nsf.gov/ej/showProposal.do?ID="&amp;ckCodingTable[[#This Row],[prop_id]],"eJ")</f>
        <v>eJ</v>
      </c>
      <c r="T25" t="s">
        <v>389</v>
      </c>
      <c r="U25" t="s">
        <v>426</v>
      </c>
      <c r="V25" t="s">
        <v>563</v>
      </c>
      <c r="W25" s="33">
        <v>43101</v>
      </c>
      <c r="X25">
        <v>24</v>
      </c>
      <c r="Y25">
        <v>4</v>
      </c>
      <c r="Z25">
        <v>1</v>
      </c>
      <c r="AA25" t="s">
        <v>568</v>
      </c>
      <c r="AB25" s="8"/>
      <c r="AC25">
        <v>0</v>
      </c>
      <c r="AD25">
        <v>0</v>
      </c>
      <c r="AE25">
        <v>0</v>
      </c>
      <c r="AF25">
        <v>0</v>
      </c>
      <c r="AG25" t="s">
        <v>182</v>
      </c>
      <c r="AH25" t="s">
        <v>181</v>
      </c>
      <c r="AI25" t="s">
        <v>179</v>
      </c>
      <c r="AJ25" t="s">
        <v>233</v>
      </c>
      <c r="AK25" t="s">
        <v>564</v>
      </c>
      <c r="AL25" t="s">
        <v>565</v>
      </c>
      <c r="AM25" t="s">
        <v>566</v>
      </c>
      <c r="AN25">
        <v>1</v>
      </c>
      <c r="AP25">
        <v>4.05</v>
      </c>
      <c r="AQ25" t="s">
        <v>567</v>
      </c>
      <c r="AR25">
        <v>3.25</v>
      </c>
      <c r="AS25" s="8">
        <v>43031.775694444441</v>
      </c>
      <c r="AT25">
        <v>4</v>
      </c>
      <c r="AY25">
        <v>168126</v>
      </c>
      <c r="AZ25">
        <v>0</v>
      </c>
      <c r="BA25">
        <v>168126</v>
      </c>
      <c r="BF25">
        <v>4</v>
      </c>
    </row>
    <row r="26" spans="1:70" x14ac:dyDescent="0.4">
      <c r="A26" s="33">
        <v>42956.472222222219</v>
      </c>
      <c r="B26" t="s">
        <v>561</v>
      </c>
      <c r="C26" t="s">
        <v>231</v>
      </c>
      <c r="D26" t="s">
        <v>562</v>
      </c>
      <c r="E26" t="s">
        <v>418</v>
      </c>
      <c r="F26" t="s">
        <v>94</v>
      </c>
      <c r="G26" t="s">
        <v>572</v>
      </c>
      <c r="H26" t="b">
        <f>_xlfn.XOR(IFERROR(MATCH(ckCodingTable[[#This Row],[st_code]],EpscorTable[],0)&gt;0,FALSE),IFERROR(FIND("9150",#REF!)&gt;0,FALSE))</f>
        <v>0</v>
      </c>
      <c r="I26" t="b">
        <f>_xlfn.XOR(ckCodingTable[[#This Row],[WMD]]&lt;&gt;"",IFERROR(FIND("9102",#REF!)&gt;0,FALSE))</f>
        <v>0</v>
      </c>
      <c r="J26" t="str">
        <f t="shared" si="0"/>
        <v/>
      </c>
      <c r="K26" t="s">
        <v>560</v>
      </c>
      <c r="L26" s="24"/>
      <c r="M26" s="42">
        <v>1</v>
      </c>
      <c r="N26" s="42">
        <v>0</v>
      </c>
      <c r="O26" s="15" t="str">
        <f xml:space="preserve"> HYPERLINK("mailto:"&amp;ckCodingTable[[#This Row],[email]]&amp;"&amp;subject=Your NSF Proposal:  "&amp;ckCodingTable[[#This Row],[prop_id]],ckCodingTable[[#This Row],[email]])</f>
        <v>hcharkhgard@usf.edu</v>
      </c>
      <c r="P26">
        <f xml:space="preserve"> P25+(ckCodingTable[ILN]&lt;"M")</f>
        <v>25</v>
      </c>
      <c r="Q26" t="s">
        <v>96</v>
      </c>
      <c r="R26" t="s">
        <v>390</v>
      </c>
      <c r="S26" s="15" t="str">
        <f>HYPERLINK("https://www.ejacket.nsf.gov/ej/showProposal.do?ID="&amp;ckCodingTable[[#This Row],[prop_id]],"eJ")</f>
        <v>eJ</v>
      </c>
      <c r="T26" t="s">
        <v>390</v>
      </c>
      <c r="U26" t="s">
        <v>569</v>
      </c>
      <c r="V26" t="s">
        <v>570</v>
      </c>
      <c r="W26" s="33">
        <v>43221</v>
      </c>
      <c r="X26">
        <v>24</v>
      </c>
      <c r="Y26">
        <v>3</v>
      </c>
      <c r="Z26">
        <v>1</v>
      </c>
      <c r="AA26" t="s">
        <v>575</v>
      </c>
      <c r="AB26" s="8"/>
      <c r="AC26">
        <v>0</v>
      </c>
      <c r="AD26">
        <v>0</v>
      </c>
      <c r="AE26">
        <v>0</v>
      </c>
      <c r="AF26">
        <v>0</v>
      </c>
      <c r="AG26" t="s">
        <v>182</v>
      </c>
      <c r="AH26" t="s">
        <v>181</v>
      </c>
      <c r="AI26" t="s">
        <v>179</v>
      </c>
      <c r="AJ26" t="s">
        <v>233</v>
      </c>
      <c r="AK26" t="s">
        <v>571</v>
      </c>
      <c r="AL26" t="s">
        <v>573</v>
      </c>
      <c r="AM26" t="s">
        <v>566</v>
      </c>
      <c r="AN26">
        <v>1</v>
      </c>
      <c r="AP26">
        <v>3.04</v>
      </c>
      <c r="AQ26" t="s">
        <v>574</v>
      </c>
      <c r="AR26">
        <v>5</v>
      </c>
      <c r="AS26" s="8">
        <v>43031.770833333336</v>
      </c>
      <c r="AT26">
        <v>3</v>
      </c>
      <c r="AY26">
        <v>172682</v>
      </c>
      <c r="AZ26">
        <v>0</v>
      </c>
      <c r="BA26">
        <v>172682</v>
      </c>
      <c r="BF26">
        <v>4</v>
      </c>
    </row>
    <row r="27" spans="1:70" x14ac:dyDescent="0.4">
      <c r="A27" s="33">
        <v>42956.581944444442</v>
      </c>
      <c r="B27" t="s">
        <v>561</v>
      </c>
      <c r="C27" t="s">
        <v>231</v>
      </c>
      <c r="D27" t="s">
        <v>562</v>
      </c>
      <c r="E27" t="s">
        <v>434</v>
      </c>
      <c r="F27" t="s">
        <v>94</v>
      </c>
      <c r="G27" t="s">
        <v>291</v>
      </c>
      <c r="H27" t="b">
        <f>_xlfn.XOR(IFERROR(MATCH(ckCodingTable[[#This Row],[st_code]],EpscorTable[],0)&gt;0,FALSE),IFERROR(FIND("9150",#REF!)&gt;0,FALSE))</f>
        <v>0</v>
      </c>
      <c r="I27" t="b">
        <f>_xlfn.XOR(ckCodingTable[[#This Row],[WMD]]&lt;&gt;"",IFERROR(FIND("9102",#REF!)&gt;0,FALSE))</f>
        <v>0</v>
      </c>
      <c r="J27" t="str">
        <f t="shared" si="0"/>
        <v/>
      </c>
      <c r="K27" t="s">
        <v>560</v>
      </c>
      <c r="L27" s="24"/>
      <c r="M27" s="42">
        <v>1</v>
      </c>
      <c r="N27" s="42">
        <v>0</v>
      </c>
      <c r="O27" s="15" t="str">
        <f xml:space="preserve"> HYPERLINK("mailto:"&amp;ckCodingTable[[#This Row],[email]]&amp;"&amp;subject=Your NSF Proposal:  "&amp;ckCodingTable[[#This Row],[prop_id]],ckCodingTable[[#This Row],[email]])</f>
        <v>Mayank.Goswami@qc.cuny.edu</v>
      </c>
      <c r="P27">
        <f xml:space="preserve"> P26+(ckCodingTable[ILN]&lt;"M")</f>
        <v>26</v>
      </c>
      <c r="Q27" t="s">
        <v>96</v>
      </c>
      <c r="R27" t="s">
        <v>391</v>
      </c>
      <c r="S27" s="15" t="str">
        <f>HYPERLINK("https://www.ejacket.nsf.gov/ej/showProposal.do?ID="&amp;ckCodingTable[[#This Row],[prop_id]],"eJ")</f>
        <v>eJ</v>
      </c>
      <c r="T27" t="s">
        <v>391</v>
      </c>
      <c r="U27" t="s">
        <v>576</v>
      </c>
      <c r="V27" t="s">
        <v>577</v>
      </c>
      <c r="W27" s="33">
        <v>43344</v>
      </c>
      <c r="X27">
        <v>24</v>
      </c>
      <c r="Y27">
        <v>3</v>
      </c>
      <c r="Z27">
        <v>1</v>
      </c>
      <c r="AA27" t="s">
        <v>581</v>
      </c>
      <c r="AB27" s="8"/>
      <c r="AC27">
        <v>0</v>
      </c>
      <c r="AD27">
        <v>0</v>
      </c>
      <c r="AE27">
        <v>0</v>
      </c>
      <c r="AF27">
        <v>0</v>
      </c>
      <c r="AG27" t="s">
        <v>182</v>
      </c>
      <c r="AH27" t="s">
        <v>181</v>
      </c>
      <c r="AI27" t="s">
        <v>179</v>
      </c>
      <c r="AJ27" t="s">
        <v>233</v>
      </c>
      <c r="AK27" t="s">
        <v>578</v>
      </c>
      <c r="AL27" t="s">
        <v>579</v>
      </c>
      <c r="AM27" t="s">
        <v>566</v>
      </c>
      <c r="AN27">
        <v>1</v>
      </c>
      <c r="AP27">
        <v>1.01</v>
      </c>
      <c r="AQ27" t="s">
        <v>580</v>
      </c>
      <c r="AR27">
        <v>7</v>
      </c>
      <c r="AS27" s="8">
        <v>43031.369444444441</v>
      </c>
      <c r="AT27">
        <v>3</v>
      </c>
      <c r="AY27">
        <v>175000</v>
      </c>
      <c r="AZ27">
        <v>0</v>
      </c>
      <c r="BA27">
        <v>175000</v>
      </c>
      <c r="BC27">
        <v>10000</v>
      </c>
      <c r="BF27">
        <v>2</v>
      </c>
    </row>
    <row r="28" spans="1:70" x14ac:dyDescent="0.4">
      <c r="A28" s="33">
        <v>42956.621527777781</v>
      </c>
      <c r="B28" t="s">
        <v>561</v>
      </c>
      <c r="C28" t="s">
        <v>231</v>
      </c>
      <c r="D28" t="s">
        <v>562</v>
      </c>
      <c r="E28" t="s">
        <v>463</v>
      </c>
      <c r="F28" t="s">
        <v>94</v>
      </c>
      <c r="G28" t="s">
        <v>467</v>
      </c>
      <c r="H28" t="b">
        <f>_xlfn.XOR(IFERROR(MATCH(ckCodingTable[[#This Row],[st_code]],EpscorTable[],0)&gt;0,FALSE),IFERROR(FIND("9150",#REF!)&gt;0,FALSE))</f>
        <v>0</v>
      </c>
      <c r="I28" t="b">
        <f>_xlfn.XOR(ckCodingTable[[#This Row],[WMD]]&lt;&gt;"",IFERROR(FIND("9102",#REF!)&gt;0,FALSE))</f>
        <v>0</v>
      </c>
      <c r="J28" t="str">
        <f t="shared" si="0"/>
        <v/>
      </c>
      <c r="K28" t="s">
        <v>560</v>
      </c>
      <c r="L28" s="24"/>
      <c r="M28" s="42">
        <v>1</v>
      </c>
      <c r="N28" s="42">
        <v>0</v>
      </c>
      <c r="O28" s="15" t="str">
        <f xml:space="preserve"> HYPERLINK("mailto:"&amp;ckCodingTable[[#This Row],[email]]&amp;"&amp;subject=Your NSF Proposal:  "&amp;ckCodingTable[[#This Row],[prop_id]],ckCodingTable[[#This Row],[email]])</f>
        <v>ruoyus@illinois.edu</v>
      </c>
      <c r="P28">
        <f xml:space="preserve"> P27+(ckCodingTable[ILN]&lt;"M")</f>
        <v>27</v>
      </c>
      <c r="Q28" t="s">
        <v>96</v>
      </c>
      <c r="R28" t="s">
        <v>392</v>
      </c>
      <c r="S28" s="15" t="str">
        <f>HYPERLINK("https://www.ejacket.nsf.gov/ej/showProposal.do?ID="&amp;ckCodingTable[[#This Row],[prop_id]],"eJ")</f>
        <v>eJ</v>
      </c>
      <c r="T28" t="s">
        <v>392</v>
      </c>
      <c r="U28" t="s">
        <v>582</v>
      </c>
      <c r="V28" t="s">
        <v>583</v>
      </c>
      <c r="W28" s="33">
        <v>43282</v>
      </c>
      <c r="X28">
        <v>24</v>
      </c>
      <c r="Y28">
        <v>3</v>
      </c>
      <c r="Z28">
        <v>1</v>
      </c>
      <c r="AA28" t="s">
        <v>587</v>
      </c>
      <c r="AB28" s="8"/>
      <c r="AC28">
        <v>0</v>
      </c>
      <c r="AD28">
        <v>0</v>
      </c>
      <c r="AE28">
        <v>0</v>
      </c>
      <c r="AF28">
        <v>0</v>
      </c>
      <c r="AG28" t="s">
        <v>182</v>
      </c>
      <c r="AH28" t="s">
        <v>181</v>
      </c>
      <c r="AI28" t="s">
        <v>179</v>
      </c>
      <c r="AJ28" t="s">
        <v>233</v>
      </c>
      <c r="AK28" t="s">
        <v>466</v>
      </c>
      <c r="AL28" t="s">
        <v>584</v>
      </c>
      <c r="AM28" t="s">
        <v>585</v>
      </c>
      <c r="AN28">
        <v>1</v>
      </c>
      <c r="AP28">
        <v>2.02</v>
      </c>
      <c r="AQ28" t="s">
        <v>586</v>
      </c>
      <c r="AR28">
        <v>6.333333333333333</v>
      </c>
      <c r="AS28" s="8">
        <v>43031.767361111109</v>
      </c>
      <c r="AT28">
        <v>3</v>
      </c>
      <c r="AY28">
        <v>175000</v>
      </c>
      <c r="AZ28">
        <v>0</v>
      </c>
      <c r="BA28">
        <v>175000</v>
      </c>
      <c r="BC28">
        <v>4000</v>
      </c>
      <c r="BF28">
        <v>4</v>
      </c>
    </row>
    <row r="29" spans="1:70" x14ac:dyDescent="0.4">
      <c r="A29" s="33">
        <v>42956.647916666669</v>
      </c>
      <c r="B29" t="s">
        <v>561</v>
      </c>
      <c r="C29" t="s">
        <v>231</v>
      </c>
      <c r="D29" t="s">
        <v>562</v>
      </c>
      <c r="E29" t="s">
        <v>418</v>
      </c>
      <c r="F29" t="s">
        <v>94</v>
      </c>
      <c r="G29" t="s">
        <v>120</v>
      </c>
      <c r="H29" t="b">
        <f>_xlfn.XOR(IFERROR(MATCH(ckCodingTable[[#This Row],[st_code]],EpscorTable[],0)&gt;0,FALSE),IFERROR(FIND("9150",#REF!)&gt;0,FALSE))</f>
        <v>1</v>
      </c>
      <c r="I29" t="b">
        <f>_xlfn.XOR(ckCodingTable[[#This Row],[WMD]]&lt;&gt;"",IFERROR(FIND("9102",#REF!)&gt;0,FALSE))</f>
        <v>0</v>
      </c>
      <c r="J29" t="str">
        <f t="shared" si="0"/>
        <v/>
      </c>
      <c r="K29" t="s">
        <v>560</v>
      </c>
      <c r="L29" s="24"/>
      <c r="M29" s="42">
        <v>1</v>
      </c>
      <c r="N29" s="42">
        <v>0</v>
      </c>
      <c r="O29" s="15" t="str">
        <f xml:space="preserve"> HYPERLINK("mailto:"&amp;ckCodingTable[[#This Row],[email]]&amp;"&amp;subject=Your NSF Proposal:  "&amp;ckCodingTable[[#This Row],[prop_id]],ckCodingTable[[#This Row],[email]])</f>
        <v>osan@okstate.edu</v>
      </c>
      <c r="P29">
        <f xml:space="preserve"> P28+(ckCodingTable[ILN]&lt;"M")</f>
        <v>28</v>
      </c>
      <c r="Q29" t="s">
        <v>96</v>
      </c>
      <c r="R29" t="s">
        <v>393</v>
      </c>
      <c r="S29" s="15" t="str">
        <f>HYPERLINK("https://www.ejacket.nsf.gov/ej/showProposal.do?ID="&amp;ckCodingTable[[#This Row],[prop_id]],"eJ")</f>
        <v>eJ</v>
      </c>
      <c r="T29" t="s">
        <v>393</v>
      </c>
      <c r="U29" t="s">
        <v>588</v>
      </c>
      <c r="V29" t="s">
        <v>589</v>
      </c>
      <c r="W29" s="33">
        <v>43252</v>
      </c>
      <c r="X29">
        <v>24</v>
      </c>
      <c r="Y29">
        <v>3</v>
      </c>
      <c r="Z29">
        <v>1</v>
      </c>
      <c r="AA29" t="s">
        <v>594</v>
      </c>
      <c r="AB29" s="8"/>
      <c r="AC29">
        <v>0</v>
      </c>
      <c r="AD29">
        <v>0</v>
      </c>
      <c r="AE29">
        <v>0</v>
      </c>
      <c r="AF29">
        <v>0</v>
      </c>
      <c r="AG29" t="s">
        <v>182</v>
      </c>
      <c r="AH29" t="s">
        <v>181</v>
      </c>
      <c r="AI29" t="s">
        <v>179</v>
      </c>
      <c r="AJ29" t="s">
        <v>233</v>
      </c>
      <c r="AK29" t="s">
        <v>590</v>
      </c>
      <c r="AL29" t="s">
        <v>591</v>
      </c>
      <c r="AM29" t="s">
        <v>592</v>
      </c>
      <c r="AN29">
        <v>1</v>
      </c>
      <c r="AP29">
        <v>4.05</v>
      </c>
      <c r="AQ29" t="s">
        <v>593</v>
      </c>
      <c r="AR29">
        <v>5.333333333333333</v>
      </c>
      <c r="AS29" s="8">
        <v>43031.741666666669</v>
      </c>
      <c r="AT29">
        <v>3</v>
      </c>
      <c r="AY29">
        <v>170144</v>
      </c>
      <c r="AZ29">
        <v>0</v>
      </c>
      <c r="BA29">
        <v>170144</v>
      </c>
      <c r="BF29">
        <v>4</v>
      </c>
    </row>
    <row r="30" spans="1:70" x14ac:dyDescent="0.4">
      <c r="A30" s="33">
        <v>42956.697222222225</v>
      </c>
      <c r="B30" t="s">
        <v>561</v>
      </c>
      <c r="C30" t="s">
        <v>231</v>
      </c>
      <c r="D30" t="s">
        <v>562</v>
      </c>
      <c r="E30" t="s">
        <v>418</v>
      </c>
      <c r="F30" t="s">
        <v>94</v>
      </c>
      <c r="G30" t="s">
        <v>526</v>
      </c>
      <c r="H30" t="b">
        <f>_xlfn.XOR(IFERROR(MATCH(ckCodingTable[[#This Row],[st_code]],EpscorTable[],0)&gt;0,FALSE),IFERROR(FIND("9150",#REF!)&gt;0,FALSE))</f>
        <v>0</v>
      </c>
      <c r="I30" t="b">
        <f>_xlfn.XOR(ckCodingTable[[#This Row],[WMD]]&lt;&gt;"",IFERROR(FIND("9102",#REF!)&gt;0,FALSE))</f>
        <v>1</v>
      </c>
      <c r="J30" t="str">
        <f t="shared" si="0"/>
        <v>WMD</v>
      </c>
      <c r="K30" t="s">
        <v>560</v>
      </c>
      <c r="L30" s="24"/>
      <c r="M30" s="42">
        <v>1</v>
      </c>
      <c r="N30" s="42">
        <v>0</v>
      </c>
      <c r="O30" s="15" t="str">
        <f xml:space="preserve"> HYPERLINK("mailto:"&amp;ckCodingTable[[#This Row],[email]]&amp;"&amp;subject=Your NSF Proposal:  "&amp;ckCodingTable[[#This Row],[prop_id]],ckCodingTable[[#This Row],[email]])</f>
        <v>shima.hm@tamu.edu</v>
      </c>
      <c r="P30">
        <f xml:space="preserve"> P29+(ckCodingTable[ILN]&lt;"M")</f>
        <v>29</v>
      </c>
      <c r="Q30" t="s">
        <v>96</v>
      </c>
      <c r="R30" t="s">
        <v>394</v>
      </c>
      <c r="S30" s="15" t="str">
        <f>HYPERLINK("https://www.ejacket.nsf.gov/ej/showProposal.do?ID="&amp;ckCodingTable[[#This Row],[prop_id]],"eJ")</f>
        <v>eJ</v>
      </c>
      <c r="T30" t="s">
        <v>394</v>
      </c>
      <c r="U30" t="s">
        <v>595</v>
      </c>
      <c r="V30" t="s">
        <v>596</v>
      </c>
      <c r="W30" s="33">
        <v>43252</v>
      </c>
      <c r="X30">
        <v>24</v>
      </c>
      <c r="Y30">
        <v>3</v>
      </c>
      <c r="Z30">
        <v>1</v>
      </c>
      <c r="AA30" t="s">
        <v>600</v>
      </c>
      <c r="AB30" s="8"/>
      <c r="AC30">
        <v>2</v>
      </c>
      <c r="AD30">
        <v>0</v>
      </c>
      <c r="AE30">
        <v>0</v>
      </c>
      <c r="AF30">
        <v>0</v>
      </c>
      <c r="AG30" t="s">
        <v>182</v>
      </c>
      <c r="AH30" t="s">
        <v>181</v>
      </c>
      <c r="AI30" t="s">
        <v>179</v>
      </c>
      <c r="AJ30" t="s">
        <v>233</v>
      </c>
      <c r="AK30" t="s">
        <v>597</v>
      </c>
      <c r="AL30" t="s">
        <v>598</v>
      </c>
      <c r="AM30" t="s">
        <v>585</v>
      </c>
      <c r="AN30">
        <v>1</v>
      </c>
      <c r="AP30">
        <v>4.05</v>
      </c>
      <c r="AQ30" t="s">
        <v>599</v>
      </c>
      <c r="AR30">
        <v>5.333333333333333</v>
      </c>
      <c r="AS30" s="8">
        <v>43032.675694444442</v>
      </c>
      <c r="AT30">
        <v>3</v>
      </c>
      <c r="AY30">
        <v>175000</v>
      </c>
      <c r="AZ30">
        <v>0</v>
      </c>
      <c r="BA30">
        <v>175000</v>
      </c>
      <c r="BF30">
        <v>4</v>
      </c>
    </row>
    <row r="31" spans="1:70" x14ac:dyDescent="0.4">
      <c r="A31" s="33">
        <v>42956.717361111114</v>
      </c>
      <c r="B31" t="s">
        <v>561</v>
      </c>
      <c r="C31" t="s">
        <v>231</v>
      </c>
      <c r="D31" t="s">
        <v>562</v>
      </c>
      <c r="E31" t="s">
        <v>418</v>
      </c>
      <c r="F31" t="s">
        <v>94</v>
      </c>
      <c r="G31" t="s">
        <v>526</v>
      </c>
      <c r="H31" t="b">
        <f>_xlfn.XOR(IFERROR(MATCH(ckCodingTable[[#This Row],[st_code]],EpscorTable[],0)&gt;0,FALSE),IFERROR(FIND("9150",#REF!)&gt;0,FALSE))</f>
        <v>0</v>
      </c>
      <c r="I31" t="b">
        <f>_xlfn.XOR(ckCodingTable[[#This Row],[WMD]]&lt;&gt;"",IFERROR(FIND("9102",#REF!)&gt;0,FALSE))</f>
        <v>0</v>
      </c>
      <c r="J31" t="str">
        <f t="shared" si="0"/>
        <v/>
      </c>
      <c r="K31" t="s">
        <v>560</v>
      </c>
      <c r="L31" s="24"/>
      <c r="M31" s="42">
        <v>1</v>
      </c>
      <c r="N31" s="42">
        <v>0</v>
      </c>
      <c r="O31" s="15" t="str">
        <f xml:space="preserve"> HYPERLINK("mailto:"&amp;ckCodingTable[[#This Row],[email]]&amp;"&amp;subject=Your NSF Proposal:  "&amp;ckCodingTable[[#This Row],[prop_id]],ckCodingTable[[#This Row],[email]])</f>
        <v>harsha@smu.edu</v>
      </c>
      <c r="P31">
        <f xml:space="preserve"> P30+(ckCodingTable[ILN]&lt;"M")</f>
        <v>30</v>
      </c>
      <c r="Q31" t="s">
        <v>96</v>
      </c>
      <c r="R31" t="s">
        <v>395</v>
      </c>
      <c r="S31" s="15" t="str">
        <f>HYPERLINK("https://www.ejacket.nsf.gov/ej/showProposal.do?ID="&amp;ckCodingTable[[#This Row],[prop_id]],"eJ")</f>
        <v>eJ</v>
      </c>
      <c r="T31" t="s">
        <v>395</v>
      </c>
      <c r="U31" t="s">
        <v>601</v>
      </c>
      <c r="V31" t="s">
        <v>602</v>
      </c>
      <c r="W31" s="33">
        <v>43101</v>
      </c>
      <c r="X31">
        <v>24</v>
      </c>
      <c r="Y31">
        <v>3</v>
      </c>
      <c r="Z31">
        <v>1</v>
      </c>
      <c r="AA31" t="s">
        <v>606</v>
      </c>
      <c r="AB31" s="8"/>
      <c r="AC31">
        <v>0</v>
      </c>
      <c r="AD31">
        <v>0</v>
      </c>
      <c r="AE31">
        <v>0</v>
      </c>
      <c r="AF31">
        <v>0</v>
      </c>
      <c r="AG31" t="s">
        <v>182</v>
      </c>
      <c r="AH31" t="s">
        <v>181</v>
      </c>
      <c r="AI31" t="s">
        <v>179</v>
      </c>
      <c r="AJ31" t="s">
        <v>233</v>
      </c>
      <c r="AK31" t="s">
        <v>603</v>
      </c>
      <c r="AL31" t="s">
        <v>604</v>
      </c>
      <c r="AM31" t="s">
        <v>362</v>
      </c>
      <c r="AN31">
        <v>1</v>
      </c>
      <c r="AP31">
        <v>4.05</v>
      </c>
      <c r="AQ31" t="s">
        <v>605</v>
      </c>
      <c r="AR31">
        <v>4.666666666666667</v>
      </c>
      <c r="AS31" s="8">
        <v>43031.75</v>
      </c>
      <c r="AT31">
        <v>3</v>
      </c>
      <c r="AY31">
        <v>175000</v>
      </c>
      <c r="AZ31">
        <v>0</v>
      </c>
      <c r="BA31">
        <v>175000</v>
      </c>
      <c r="BF31">
        <v>4</v>
      </c>
    </row>
    <row r="32" spans="1:70" x14ac:dyDescent="0.4">
      <c r="A32" s="33">
        <v>42956.746527777781</v>
      </c>
      <c r="B32" t="s">
        <v>561</v>
      </c>
      <c r="C32" t="s">
        <v>231</v>
      </c>
      <c r="D32" t="s">
        <v>562</v>
      </c>
      <c r="E32" t="s">
        <v>434</v>
      </c>
      <c r="F32" t="s">
        <v>94</v>
      </c>
      <c r="G32" t="s">
        <v>526</v>
      </c>
      <c r="H32" t="b">
        <f>_xlfn.XOR(IFERROR(MATCH(ckCodingTable[[#This Row],[st_code]],EpscorTable[],0)&gt;0,FALSE),IFERROR(FIND("9150",#REF!)&gt;0,FALSE))</f>
        <v>0</v>
      </c>
      <c r="I32" t="b">
        <f>_xlfn.XOR(ckCodingTable[[#This Row],[WMD]]&lt;&gt;"",IFERROR(FIND("9102",#REF!)&gt;0,FALSE))</f>
        <v>0</v>
      </c>
      <c r="J32" t="str">
        <f t="shared" si="0"/>
        <v/>
      </c>
      <c r="K32" t="s">
        <v>560</v>
      </c>
      <c r="L32" s="24"/>
      <c r="M32" s="42">
        <v>1</v>
      </c>
      <c r="N32" s="42">
        <v>0</v>
      </c>
      <c r="O32" s="15" t="str">
        <f xml:space="preserve"> HYPERLINK("mailto:"&amp;ckCodingTable[[#This Row],[email]]&amp;"&amp;subject=Your NSF Proposal:  "&amp;ckCodingTable[[#This Row],[prop_id]],ckCodingTable[[#This Row],[email]])</f>
        <v>lchen49@central.uh.edu</v>
      </c>
      <c r="P32">
        <f xml:space="preserve"> P31+(ckCodingTable[ILN]&lt;"M")</f>
        <v>31</v>
      </c>
      <c r="Q32" t="s">
        <v>96</v>
      </c>
      <c r="R32" t="s">
        <v>396</v>
      </c>
      <c r="S32" s="15" t="str">
        <f>HYPERLINK("https://www.ejacket.nsf.gov/ej/showProposal.do?ID="&amp;ckCodingTable[[#This Row],[prop_id]],"eJ")</f>
        <v>eJ</v>
      </c>
      <c r="T32" t="s">
        <v>396</v>
      </c>
      <c r="U32" t="s">
        <v>276</v>
      </c>
      <c r="V32" t="s">
        <v>607</v>
      </c>
      <c r="W32" s="33">
        <v>43252</v>
      </c>
      <c r="X32">
        <v>24</v>
      </c>
      <c r="Y32">
        <v>3</v>
      </c>
      <c r="Z32">
        <v>1</v>
      </c>
      <c r="AA32" t="s">
        <v>611</v>
      </c>
      <c r="AB32" s="8"/>
      <c r="AC32">
        <v>0</v>
      </c>
      <c r="AD32">
        <v>0</v>
      </c>
      <c r="AE32">
        <v>0</v>
      </c>
      <c r="AF32">
        <v>0</v>
      </c>
      <c r="AG32" t="s">
        <v>182</v>
      </c>
      <c r="AH32" t="s">
        <v>181</v>
      </c>
      <c r="AI32" t="s">
        <v>179</v>
      </c>
      <c r="AJ32" t="s">
        <v>233</v>
      </c>
      <c r="AK32" t="s">
        <v>608</v>
      </c>
      <c r="AL32" t="s">
        <v>609</v>
      </c>
      <c r="AM32" t="s">
        <v>566</v>
      </c>
      <c r="AN32">
        <v>1</v>
      </c>
      <c r="AP32">
        <v>2.0299999999999998</v>
      </c>
      <c r="AQ32" t="s">
        <v>610</v>
      </c>
      <c r="AR32">
        <v>6</v>
      </c>
      <c r="AS32" s="8">
        <v>43031.734027777777</v>
      </c>
      <c r="AT32">
        <v>3</v>
      </c>
      <c r="AY32">
        <v>148477</v>
      </c>
      <c r="AZ32">
        <v>0</v>
      </c>
      <c r="BA32">
        <v>148477</v>
      </c>
      <c r="BC32">
        <v>7000</v>
      </c>
      <c r="BF32">
        <v>3</v>
      </c>
    </row>
  </sheetData>
  <conditionalFormatting sqref="G2:G32">
    <cfRule type="expression" dxfId="36" priority="5">
      <formula>$H2</formula>
    </cfRule>
  </conditionalFormatting>
  <conditionalFormatting sqref="J2:J32">
    <cfRule type="expression" dxfId="35" priority="4">
      <formula>$I2</formula>
    </cfRule>
  </conditionalFormatting>
  <conditionalFormatting sqref="M2:N32">
    <cfRule type="expression" dxfId="34" priority="1">
      <formula>$M2+$N2&lt;&gt;1</formula>
    </cfRule>
  </conditionalFormatting>
  <conditionalFormatting sqref="A2:BJ32">
    <cfRule type="expression" dxfId="33" priority="947">
      <formula>MOD($P2,2)</formula>
    </cfRule>
  </conditionalFormatting>
  <conditionalFormatting sqref="Y2:Y32">
    <cfRule type="expression" dxfId="32" priority="959">
      <formula>$Y2&lt;#REF!+3</formula>
    </cfRule>
  </conditionalFormatting>
  <conditionalFormatting sqref="Z2:Z32">
    <cfRule type="expression" dxfId="31" priority="971">
      <formula>AND($Q2="N", Z2&lt;&gt;BK1048532)</formula>
    </cfRule>
  </conditionalFormatting>
  <conditionalFormatting sqref="AA2:AA32">
    <cfRule type="expression" dxfId="30" priority="999">
      <formula>AND($Q2="N", AA2&lt;&gt;BP1048532)</formula>
    </cfRule>
  </conditionalFormatting>
  <conditionalFormatting sqref="W17:AA17 B2:F32">
    <cfRule type="expression" dxfId="29" priority="1004">
      <formula>AND($Q2="N", B2&lt;&gt;B1048547)</formula>
    </cfRule>
  </conditionalFormatting>
  <conditionalFormatting sqref="W2:Y32">
    <cfRule type="expression" dxfId="28" priority="1011">
      <formula>AND($Q2="N", W2&lt;&gt;AB1048547)</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Z165"/>
  <sheetViews>
    <sheetView topLeftCell="C1" workbookViewId="0">
      <selection activeCell="H2" sqref="H2"/>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33"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6" width="11" customWidth="1"/>
    <col min="27" max="27" width="6.53515625" customWidth="1"/>
    <col min="28" max="28" width="16.53515625" customWidth="1"/>
  </cols>
  <sheetData>
    <row r="1" spans="1:26" x14ac:dyDescent="0.4">
      <c r="A1" s="6" t="s">
        <v>135</v>
      </c>
      <c r="L1" s="3"/>
    </row>
    <row r="2" spans="1:26" x14ac:dyDescent="0.4">
      <c r="D2" s="21" t="s">
        <v>15</v>
      </c>
      <c r="G2" s="4" t="s">
        <v>131</v>
      </c>
      <c r="H2" s="12" t="e">
        <f>LOWER(#REF!)</f>
        <v>#REF!</v>
      </c>
      <c r="I2" s="4" t="s">
        <v>14</v>
      </c>
      <c r="J2">
        <f ca="1">YEAR(NOW())+(MONTH(NOW())&gt;9)-2000</f>
        <v>18</v>
      </c>
      <c r="L2" s="4"/>
      <c r="M2" s="33"/>
      <c r="N2" s="21" t="s">
        <v>132</v>
      </c>
      <c r="O2" s="33"/>
      <c r="P2" s="33"/>
      <c r="S2" s="22" t="s">
        <v>133</v>
      </c>
      <c r="V2" s="22" t="s">
        <v>134</v>
      </c>
    </row>
    <row r="3" spans="1:26" x14ac:dyDescent="0.4">
      <c r="A3" s="6" t="s">
        <v>0</v>
      </c>
      <c r="B3" t="s">
        <v>88</v>
      </c>
      <c r="C3" s="33" t="s">
        <v>7</v>
      </c>
      <c r="D3" t="s">
        <v>8</v>
      </c>
      <c r="E3" t="s">
        <v>5</v>
      </c>
      <c r="F3" t="s">
        <v>4</v>
      </c>
      <c r="G3" t="s">
        <v>9</v>
      </c>
      <c r="H3" t="s">
        <v>1</v>
      </c>
      <c r="I3" t="s">
        <v>2</v>
      </c>
      <c r="J3" t="s">
        <v>10</v>
      </c>
      <c r="K3" t="s">
        <v>11</v>
      </c>
      <c r="L3" t="s">
        <v>962</v>
      </c>
      <c r="M3" t="s">
        <v>963</v>
      </c>
      <c r="N3" t="s">
        <v>964</v>
      </c>
      <c r="O3" t="s">
        <v>965</v>
      </c>
      <c r="P3" t="s">
        <v>966</v>
      </c>
      <c r="Q3" s="6" t="s">
        <v>967</v>
      </c>
      <c r="R3" t="s">
        <v>968</v>
      </c>
      <c r="S3" t="s">
        <v>969</v>
      </c>
      <c r="T3" t="s">
        <v>6</v>
      </c>
      <c r="U3" t="s">
        <v>970</v>
      </c>
      <c r="V3" t="s">
        <v>971</v>
      </c>
      <c r="W3" t="s">
        <v>972</v>
      </c>
      <c r="X3" t="s">
        <v>12</v>
      </c>
      <c r="Y3" t="s">
        <v>91</v>
      </c>
      <c r="Z3" t="s">
        <v>989</v>
      </c>
    </row>
    <row r="4" spans="1:26" x14ac:dyDescent="0.4">
      <c r="A4" s="10" t="s">
        <v>366</v>
      </c>
      <c r="B4" s="81" t="s">
        <v>96</v>
      </c>
      <c r="C4" s="82">
        <v>42930.554166666669</v>
      </c>
      <c r="D4" s="83" t="s">
        <v>266</v>
      </c>
      <c r="E4" s="83" t="s">
        <v>231</v>
      </c>
      <c r="F4" s="83" t="s">
        <v>417</v>
      </c>
      <c r="G4" s="83" t="s">
        <v>366</v>
      </c>
      <c r="H4" s="7" t="str">
        <f>IF(BudgetsTable[[#This Row],[pi_last_name]]=" ","",HYPERLINK("https://www.ejacket.nsf.gov/ej/showProposal.do?Continue=Y&amp;ID="&amp;BudgetsTable[[#This Row],[prop_id]],BudgetsTable[[#This Row],[prop_id]]))</f>
        <v>1749173</v>
      </c>
      <c r="I4" s="7" t="s">
        <v>999</v>
      </c>
      <c r="J4" s="83" t="s">
        <v>419</v>
      </c>
      <c r="K4" s="83" t="s">
        <v>421</v>
      </c>
      <c r="L4" s="83"/>
      <c r="M4" s="83"/>
      <c r="N4" s="84"/>
      <c r="O4" s="84"/>
      <c r="P4" s="84"/>
      <c r="Q4" s="85"/>
      <c r="R4" s="83">
        <v>0</v>
      </c>
      <c r="S4" s="83"/>
      <c r="T4" s="11" t="str">
        <f ca="1">IF(ISBLANK(BudgetsTable[[#This Row],[budg_seq_yr]]),"FY"&amp;fiscalyear,"FY"&amp;fiscalyear-1+BudgetsTable[[#This Row],[budg_seq_yr]])</f>
        <v>FY18</v>
      </c>
      <c r="U4" s="84">
        <v>470400</v>
      </c>
      <c r="V4" s="83" t="s">
        <v>231</v>
      </c>
      <c r="W4" s="83" t="s">
        <v>417</v>
      </c>
      <c r="X4" s="83" t="s">
        <v>423</v>
      </c>
      <c r="Y4" s="81" t="s">
        <v>418</v>
      </c>
      <c r="Z4" s="81" t="s">
        <v>422</v>
      </c>
    </row>
    <row r="5" spans="1:26" x14ac:dyDescent="0.4">
      <c r="A5" s="10" t="s">
        <v>366</v>
      </c>
      <c r="B5" s="81" t="s">
        <v>96</v>
      </c>
      <c r="C5" s="82">
        <v>42930.554166666669</v>
      </c>
      <c r="D5" s="83" t="s">
        <v>266</v>
      </c>
      <c r="E5" s="83" t="s">
        <v>231</v>
      </c>
      <c r="F5" s="83" t="s">
        <v>417</v>
      </c>
      <c r="G5" s="83" t="s">
        <v>366</v>
      </c>
      <c r="H5" s="7" t="str">
        <f>IF(BudgetsTable[[#This Row],[pi_last_name]]=" ","",HYPERLINK("https://www.ejacket.nsf.gov/ej/showProposal.do?Continue=Y&amp;ID="&amp;BudgetsTable[[#This Row],[prop_id]],BudgetsTable[[#This Row],[prop_id]]))</f>
        <v/>
      </c>
      <c r="I5" s="7" t="s">
        <v>1000</v>
      </c>
      <c r="J5" s="83" t="s">
        <v>13</v>
      </c>
      <c r="K5" s="83" t="s">
        <v>13</v>
      </c>
      <c r="L5" s="83">
        <v>1</v>
      </c>
      <c r="M5" s="83">
        <v>1.5</v>
      </c>
      <c r="N5" s="84">
        <v>0</v>
      </c>
      <c r="O5" s="84">
        <v>1920</v>
      </c>
      <c r="P5" s="84">
        <v>0</v>
      </c>
      <c r="Q5" s="85">
        <v>87855</v>
      </c>
      <c r="R5" s="83">
        <v>0</v>
      </c>
      <c r="S5" s="83">
        <v>1</v>
      </c>
      <c r="T5" s="11" t="str">
        <f ca="1">IF(ISBLANK(BudgetsTable[[#This Row],[budg_seq_yr]]),"FY"&amp;fiscalyear,"FY"&amp;fiscalyear-1+BudgetsTable[[#This Row],[budg_seq_yr]])</f>
        <v>FY18</v>
      </c>
      <c r="U5" s="84">
        <v>87855</v>
      </c>
      <c r="V5" s="83" t="s">
        <v>231</v>
      </c>
      <c r="W5" s="83" t="s">
        <v>417</v>
      </c>
      <c r="X5" s="83" t="s">
        <v>423</v>
      </c>
      <c r="Y5" s="81" t="s">
        <v>418</v>
      </c>
      <c r="Z5" s="81" t="s">
        <v>13</v>
      </c>
    </row>
    <row r="6" spans="1:26" x14ac:dyDescent="0.4">
      <c r="A6" s="10" t="s">
        <v>366</v>
      </c>
      <c r="B6" s="81" t="s">
        <v>96</v>
      </c>
      <c r="C6" s="82">
        <v>42930.554166666669</v>
      </c>
      <c r="D6" s="83" t="s">
        <v>266</v>
      </c>
      <c r="E6" s="83" t="s">
        <v>231</v>
      </c>
      <c r="F6" s="83" t="s">
        <v>417</v>
      </c>
      <c r="G6" s="83" t="s">
        <v>366</v>
      </c>
      <c r="H6" s="7" t="str">
        <f>IF(BudgetsTable[[#This Row],[pi_last_name]]=" ","",HYPERLINK("https://www.ejacket.nsf.gov/ej/showProposal.do?Continue=Y&amp;ID="&amp;BudgetsTable[[#This Row],[prop_id]],BudgetsTable[[#This Row],[prop_id]]))</f>
        <v/>
      </c>
      <c r="I6" s="7" t="s">
        <v>1000</v>
      </c>
      <c r="J6" s="83" t="s">
        <v>13</v>
      </c>
      <c r="K6" s="83" t="s">
        <v>13</v>
      </c>
      <c r="L6" s="83">
        <v>1</v>
      </c>
      <c r="M6" s="83">
        <v>1.5</v>
      </c>
      <c r="N6" s="84">
        <v>0</v>
      </c>
      <c r="O6" s="84">
        <v>1920</v>
      </c>
      <c r="P6" s="84">
        <v>0</v>
      </c>
      <c r="Q6" s="85">
        <v>90367</v>
      </c>
      <c r="R6" s="83">
        <v>0</v>
      </c>
      <c r="S6" s="83">
        <v>2</v>
      </c>
      <c r="T6" s="11" t="str">
        <f ca="1">IF(ISBLANK(BudgetsTable[[#This Row],[budg_seq_yr]]),"FY"&amp;fiscalyear,"FY"&amp;fiscalyear-1+BudgetsTable[[#This Row],[budg_seq_yr]])</f>
        <v>FY19</v>
      </c>
      <c r="U6" s="84">
        <v>90367</v>
      </c>
      <c r="V6" s="83" t="s">
        <v>231</v>
      </c>
      <c r="W6" s="83" t="s">
        <v>417</v>
      </c>
      <c r="X6" s="83" t="s">
        <v>423</v>
      </c>
      <c r="Y6" s="81" t="s">
        <v>418</v>
      </c>
      <c r="Z6" s="81" t="s">
        <v>13</v>
      </c>
    </row>
    <row r="7" spans="1:26" x14ac:dyDescent="0.4">
      <c r="A7" s="10" t="s">
        <v>366</v>
      </c>
      <c r="B7" s="81" t="s">
        <v>96</v>
      </c>
      <c r="C7" s="82">
        <v>42930.554166666669</v>
      </c>
      <c r="D7" s="83" t="s">
        <v>266</v>
      </c>
      <c r="E7" s="83" t="s">
        <v>231</v>
      </c>
      <c r="F7" s="83" t="s">
        <v>417</v>
      </c>
      <c r="G7" s="83" t="s">
        <v>366</v>
      </c>
      <c r="H7" s="7" t="str">
        <f>IF(BudgetsTable[[#This Row],[pi_last_name]]=" ","",HYPERLINK("https://www.ejacket.nsf.gov/ej/showProposal.do?Continue=Y&amp;ID="&amp;BudgetsTable[[#This Row],[prop_id]],BudgetsTable[[#This Row],[prop_id]]))</f>
        <v/>
      </c>
      <c r="I7" s="7" t="s">
        <v>1000</v>
      </c>
      <c r="J7" s="83" t="s">
        <v>13</v>
      </c>
      <c r="K7" s="83" t="s">
        <v>13</v>
      </c>
      <c r="L7" s="83">
        <v>1</v>
      </c>
      <c r="M7" s="83">
        <v>1.5</v>
      </c>
      <c r="N7" s="84">
        <v>0</v>
      </c>
      <c r="O7" s="84">
        <v>1920</v>
      </c>
      <c r="P7" s="84">
        <v>0</v>
      </c>
      <c r="Q7" s="85">
        <v>94608</v>
      </c>
      <c r="R7" s="83">
        <v>0</v>
      </c>
      <c r="S7" s="83">
        <v>3</v>
      </c>
      <c r="T7" s="11" t="str">
        <f ca="1">IF(ISBLANK(BudgetsTable[[#This Row],[budg_seq_yr]]),"FY"&amp;fiscalyear,"FY"&amp;fiscalyear-1+BudgetsTable[[#This Row],[budg_seq_yr]])</f>
        <v>FY20</v>
      </c>
      <c r="U7" s="84">
        <v>94608</v>
      </c>
      <c r="V7" s="83" t="s">
        <v>231</v>
      </c>
      <c r="W7" s="83" t="s">
        <v>417</v>
      </c>
      <c r="X7" s="83" t="s">
        <v>423</v>
      </c>
      <c r="Y7" s="81" t="s">
        <v>418</v>
      </c>
      <c r="Z7" s="81" t="s">
        <v>13</v>
      </c>
    </row>
    <row r="8" spans="1:26" x14ac:dyDescent="0.4">
      <c r="A8" s="10" t="s">
        <v>366</v>
      </c>
      <c r="B8" s="81" t="s">
        <v>96</v>
      </c>
      <c r="C8" s="82">
        <v>42930.554166666669</v>
      </c>
      <c r="D8" s="83" t="s">
        <v>266</v>
      </c>
      <c r="E8" s="83" t="s">
        <v>231</v>
      </c>
      <c r="F8" s="83" t="s">
        <v>417</v>
      </c>
      <c r="G8" s="83" t="s">
        <v>366</v>
      </c>
      <c r="H8" s="7" t="str">
        <f>IF(BudgetsTable[[#This Row],[pi_last_name]]=" ","",HYPERLINK("https://www.ejacket.nsf.gov/ej/showProposal.do?Continue=Y&amp;ID="&amp;BudgetsTable[[#This Row],[prop_id]],BudgetsTable[[#This Row],[prop_id]]))</f>
        <v/>
      </c>
      <c r="I8" s="7" t="s">
        <v>1000</v>
      </c>
      <c r="J8" s="83" t="s">
        <v>13</v>
      </c>
      <c r="K8" s="83" t="s">
        <v>13</v>
      </c>
      <c r="L8" s="83">
        <v>1</v>
      </c>
      <c r="M8" s="83">
        <v>1.5</v>
      </c>
      <c r="N8" s="84">
        <v>0</v>
      </c>
      <c r="O8" s="84">
        <v>1920</v>
      </c>
      <c r="P8" s="84">
        <v>0</v>
      </c>
      <c r="Q8" s="85">
        <v>97358</v>
      </c>
      <c r="R8" s="83">
        <v>0</v>
      </c>
      <c r="S8" s="83">
        <v>4</v>
      </c>
      <c r="T8" s="11" t="str">
        <f ca="1">IF(ISBLANK(BudgetsTable[[#This Row],[budg_seq_yr]]),"FY"&amp;fiscalyear,"FY"&amp;fiscalyear-1+BudgetsTable[[#This Row],[budg_seq_yr]])</f>
        <v>FY21</v>
      </c>
      <c r="U8" s="84">
        <v>97358</v>
      </c>
      <c r="V8" s="83" t="s">
        <v>231</v>
      </c>
      <c r="W8" s="83" t="s">
        <v>417</v>
      </c>
      <c r="X8" s="83" t="s">
        <v>423</v>
      </c>
      <c r="Y8" s="81" t="s">
        <v>418</v>
      </c>
      <c r="Z8" s="81" t="s">
        <v>13</v>
      </c>
    </row>
    <row r="9" spans="1:26" x14ac:dyDescent="0.4">
      <c r="A9" s="10" t="s">
        <v>366</v>
      </c>
      <c r="B9" s="81" t="s">
        <v>96</v>
      </c>
      <c r="C9" s="82">
        <v>42930.554166666669</v>
      </c>
      <c r="D9" s="83" t="s">
        <v>266</v>
      </c>
      <c r="E9" s="83" t="s">
        <v>231</v>
      </c>
      <c r="F9" s="83" t="s">
        <v>417</v>
      </c>
      <c r="G9" s="83" t="s">
        <v>366</v>
      </c>
      <c r="H9" s="7" t="str">
        <f>IF(BudgetsTable[[#This Row],[pi_last_name]]=" ","",HYPERLINK("https://www.ejacket.nsf.gov/ej/showProposal.do?Continue=Y&amp;ID="&amp;BudgetsTable[[#This Row],[prop_id]],BudgetsTable[[#This Row],[prop_id]]))</f>
        <v/>
      </c>
      <c r="I9" s="7" t="s">
        <v>1000</v>
      </c>
      <c r="J9" s="83" t="s">
        <v>13</v>
      </c>
      <c r="K9" s="83" t="s">
        <v>13</v>
      </c>
      <c r="L9" s="83">
        <v>1</v>
      </c>
      <c r="M9" s="83">
        <v>1.5</v>
      </c>
      <c r="N9" s="84">
        <v>0</v>
      </c>
      <c r="O9" s="84">
        <v>1920</v>
      </c>
      <c r="P9" s="84">
        <v>0</v>
      </c>
      <c r="Q9" s="85">
        <v>100212</v>
      </c>
      <c r="R9" s="83">
        <v>0</v>
      </c>
      <c r="S9" s="83">
        <v>5</v>
      </c>
      <c r="T9" s="11" t="str">
        <f ca="1">IF(ISBLANK(BudgetsTable[[#This Row],[budg_seq_yr]]),"FY"&amp;fiscalyear,"FY"&amp;fiscalyear-1+BudgetsTable[[#This Row],[budg_seq_yr]])</f>
        <v>FY22</v>
      </c>
      <c r="U9" s="84">
        <v>100212</v>
      </c>
      <c r="V9" s="83" t="s">
        <v>231</v>
      </c>
      <c r="W9" s="83" t="s">
        <v>417</v>
      </c>
      <c r="X9" s="83" t="s">
        <v>423</v>
      </c>
      <c r="Y9" s="81" t="s">
        <v>418</v>
      </c>
      <c r="Z9" s="81" t="s">
        <v>13</v>
      </c>
    </row>
    <row r="10" spans="1:26" x14ac:dyDescent="0.4">
      <c r="A10" s="10" t="s">
        <v>367</v>
      </c>
      <c r="B10" s="81" t="s">
        <v>96</v>
      </c>
      <c r="C10" s="82">
        <v>42933.547222222223</v>
      </c>
      <c r="D10" s="83" t="s">
        <v>266</v>
      </c>
      <c r="E10" s="83" t="s">
        <v>231</v>
      </c>
      <c r="F10" s="83" t="s">
        <v>417</v>
      </c>
      <c r="G10" s="83" t="s">
        <v>367</v>
      </c>
      <c r="H10" s="7" t="str">
        <f>IF(BudgetsTable[[#This Row],[pi_last_name]]=" ","",HYPERLINK("https://www.ejacket.nsf.gov/ej/showProposal.do?Continue=Y&amp;ID="&amp;BudgetsTable[[#This Row],[prop_id]],BudgetsTable[[#This Row],[prop_id]]))</f>
        <v>1749385</v>
      </c>
      <c r="I10" s="7" t="s">
        <v>999</v>
      </c>
      <c r="J10" s="83" t="s">
        <v>426</v>
      </c>
      <c r="K10" s="83" t="s">
        <v>428</v>
      </c>
      <c r="L10" s="83"/>
      <c r="M10" s="83"/>
      <c r="N10" s="84"/>
      <c r="O10" s="84"/>
      <c r="P10" s="84"/>
      <c r="Q10" s="85"/>
      <c r="R10" s="83">
        <v>0</v>
      </c>
      <c r="S10" s="83"/>
      <c r="T10" s="11" t="str">
        <f ca="1">IF(ISBLANK(BudgetsTable[[#This Row],[budg_seq_yr]]),"FY"&amp;fiscalyear,"FY"&amp;fiscalyear-1+BudgetsTable[[#This Row],[budg_seq_yr]])</f>
        <v>FY18</v>
      </c>
      <c r="U10" s="84">
        <v>524898</v>
      </c>
      <c r="V10" s="83" t="s">
        <v>231</v>
      </c>
      <c r="W10" s="83" t="s">
        <v>417</v>
      </c>
      <c r="X10" s="83" t="s">
        <v>431</v>
      </c>
      <c r="Y10" s="81" t="s">
        <v>418</v>
      </c>
      <c r="Z10" s="81" t="s">
        <v>430</v>
      </c>
    </row>
    <row r="11" spans="1:26" x14ac:dyDescent="0.4">
      <c r="A11" s="10" t="s">
        <v>367</v>
      </c>
      <c r="B11" s="81" t="s">
        <v>96</v>
      </c>
      <c r="C11" s="82">
        <v>42933.547222222223</v>
      </c>
      <c r="D11" s="83" t="s">
        <v>266</v>
      </c>
      <c r="E11" s="83" t="s">
        <v>231</v>
      </c>
      <c r="F11" s="83" t="s">
        <v>417</v>
      </c>
      <c r="G11" s="83" t="s">
        <v>367</v>
      </c>
      <c r="H11" s="7" t="str">
        <f>IF(BudgetsTable[[#This Row],[pi_last_name]]=" ","",HYPERLINK("https://www.ejacket.nsf.gov/ej/showProposal.do?Continue=Y&amp;ID="&amp;BudgetsTable[[#This Row],[prop_id]],BudgetsTable[[#This Row],[prop_id]]))</f>
        <v/>
      </c>
      <c r="I11" s="7" t="s">
        <v>1000</v>
      </c>
      <c r="J11" s="83" t="s">
        <v>13</v>
      </c>
      <c r="K11" s="83" t="s">
        <v>13</v>
      </c>
      <c r="L11" s="83">
        <v>1</v>
      </c>
      <c r="M11" s="83">
        <v>1</v>
      </c>
      <c r="N11" s="84">
        <v>0</v>
      </c>
      <c r="O11" s="84">
        <v>3000</v>
      </c>
      <c r="P11" s="84">
        <v>0</v>
      </c>
      <c r="Q11" s="85">
        <v>101597</v>
      </c>
      <c r="R11" s="83">
        <v>0</v>
      </c>
      <c r="S11" s="83">
        <v>1</v>
      </c>
      <c r="T11" s="11" t="str">
        <f ca="1">IF(ISBLANK(BudgetsTable[[#This Row],[budg_seq_yr]]),"FY"&amp;fiscalyear,"FY"&amp;fiscalyear-1+BudgetsTable[[#This Row],[budg_seq_yr]])</f>
        <v>FY18</v>
      </c>
      <c r="U11" s="84">
        <v>101597</v>
      </c>
      <c r="V11" s="83" t="s">
        <v>231</v>
      </c>
      <c r="W11" s="83" t="s">
        <v>417</v>
      </c>
      <c r="X11" s="83" t="s">
        <v>431</v>
      </c>
      <c r="Y11" s="81" t="s">
        <v>418</v>
      </c>
      <c r="Z11" s="81" t="s">
        <v>13</v>
      </c>
    </row>
    <row r="12" spans="1:26" x14ac:dyDescent="0.4">
      <c r="A12" s="10" t="s">
        <v>367</v>
      </c>
      <c r="B12" s="81" t="s">
        <v>96</v>
      </c>
      <c r="C12" s="82">
        <v>42933.547222222223</v>
      </c>
      <c r="D12" s="83" t="s">
        <v>266</v>
      </c>
      <c r="E12" s="83" t="s">
        <v>231</v>
      </c>
      <c r="F12" s="83" t="s">
        <v>417</v>
      </c>
      <c r="G12" s="83" t="s">
        <v>367</v>
      </c>
      <c r="H12" s="7" t="str">
        <f>IF(BudgetsTable[[#This Row],[pi_last_name]]=" ","",HYPERLINK("https://www.ejacket.nsf.gov/ej/showProposal.do?Continue=Y&amp;ID="&amp;BudgetsTable[[#This Row],[prop_id]],BudgetsTable[[#This Row],[prop_id]]))</f>
        <v/>
      </c>
      <c r="I12" s="7" t="s">
        <v>1000</v>
      </c>
      <c r="J12" s="83" t="s">
        <v>13</v>
      </c>
      <c r="K12" s="83" t="s">
        <v>13</v>
      </c>
      <c r="L12" s="83">
        <v>1</v>
      </c>
      <c r="M12" s="83">
        <v>1</v>
      </c>
      <c r="N12" s="84">
        <v>0</v>
      </c>
      <c r="O12" s="84">
        <v>3000</v>
      </c>
      <c r="P12" s="84">
        <v>0</v>
      </c>
      <c r="Q12" s="85">
        <v>103235</v>
      </c>
      <c r="R12" s="83">
        <v>0</v>
      </c>
      <c r="S12" s="83">
        <v>2</v>
      </c>
      <c r="T12" s="11" t="str">
        <f ca="1">IF(ISBLANK(BudgetsTable[[#This Row],[budg_seq_yr]]),"FY"&amp;fiscalyear,"FY"&amp;fiscalyear-1+BudgetsTable[[#This Row],[budg_seq_yr]])</f>
        <v>FY19</v>
      </c>
      <c r="U12" s="84">
        <v>103235</v>
      </c>
      <c r="V12" s="83" t="s">
        <v>231</v>
      </c>
      <c r="W12" s="83" t="s">
        <v>417</v>
      </c>
      <c r="X12" s="83" t="s">
        <v>431</v>
      </c>
      <c r="Y12" s="81" t="s">
        <v>418</v>
      </c>
      <c r="Z12" s="81" t="s">
        <v>13</v>
      </c>
    </row>
    <row r="13" spans="1:26" x14ac:dyDescent="0.4">
      <c r="A13" s="10" t="s">
        <v>367</v>
      </c>
      <c r="B13" s="81" t="s">
        <v>96</v>
      </c>
      <c r="C13" s="82">
        <v>42933.547222222223</v>
      </c>
      <c r="D13" s="83" t="s">
        <v>266</v>
      </c>
      <c r="E13" s="83" t="s">
        <v>231</v>
      </c>
      <c r="F13" s="83" t="s">
        <v>417</v>
      </c>
      <c r="G13" s="83" t="s">
        <v>367</v>
      </c>
      <c r="H13" s="7" t="str">
        <f>IF(BudgetsTable[[#This Row],[pi_last_name]]=" ","",HYPERLINK("https://www.ejacket.nsf.gov/ej/showProposal.do?Continue=Y&amp;ID="&amp;BudgetsTable[[#This Row],[prop_id]],BudgetsTable[[#This Row],[prop_id]]))</f>
        <v/>
      </c>
      <c r="I13" s="7" t="s">
        <v>1000</v>
      </c>
      <c r="J13" s="83" t="s">
        <v>13</v>
      </c>
      <c r="K13" s="83" t="s">
        <v>13</v>
      </c>
      <c r="L13" s="83">
        <v>1</v>
      </c>
      <c r="M13" s="83">
        <v>1</v>
      </c>
      <c r="N13" s="84">
        <v>0</v>
      </c>
      <c r="O13" s="84">
        <v>3000</v>
      </c>
      <c r="P13" s="84">
        <v>0</v>
      </c>
      <c r="Q13" s="85">
        <v>104944</v>
      </c>
      <c r="R13" s="83">
        <v>0</v>
      </c>
      <c r="S13" s="83">
        <v>3</v>
      </c>
      <c r="T13" s="11" t="str">
        <f ca="1">IF(ISBLANK(BudgetsTable[[#This Row],[budg_seq_yr]]),"FY"&amp;fiscalyear,"FY"&amp;fiscalyear-1+BudgetsTable[[#This Row],[budg_seq_yr]])</f>
        <v>FY20</v>
      </c>
      <c r="U13" s="84">
        <v>104944</v>
      </c>
      <c r="V13" s="83" t="s">
        <v>231</v>
      </c>
      <c r="W13" s="83" t="s">
        <v>417</v>
      </c>
      <c r="X13" s="83" t="s">
        <v>431</v>
      </c>
      <c r="Y13" s="81" t="s">
        <v>418</v>
      </c>
      <c r="Z13" s="81" t="s">
        <v>13</v>
      </c>
    </row>
    <row r="14" spans="1:26" x14ac:dyDescent="0.4">
      <c r="A14" s="10" t="s">
        <v>367</v>
      </c>
      <c r="B14" s="81" t="s">
        <v>96</v>
      </c>
      <c r="C14" s="82">
        <v>42933.547222222223</v>
      </c>
      <c r="D14" s="83" t="s">
        <v>266</v>
      </c>
      <c r="E14" s="83" t="s">
        <v>231</v>
      </c>
      <c r="F14" s="83" t="s">
        <v>417</v>
      </c>
      <c r="G14" s="83" t="s">
        <v>367</v>
      </c>
      <c r="H14" s="7" t="str">
        <f>IF(BudgetsTable[[#This Row],[pi_last_name]]=" ","",HYPERLINK("https://www.ejacket.nsf.gov/ej/showProposal.do?Continue=Y&amp;ID="&amp;BudgetsTable[[#This Row],[prop_id]],BudgetsTable[[#This Row],[prop_id]]))</f>
        <v/>
      </c>
      <c r="I14" s="7" t="s">
        <v>1000</v>
      </c>
      <c r="J14" s="83" t="s">
        <v>13</v>
      </c>
      <c r="K14" s="83" t="s">
        <v>13</v>
      </c>
      <c r="L14" s="83">
        <v>1</v>
      </c>
      <c r="M14" s="83">
        <v>1</v>
      </c>
      <c r="N14" s="84">
        <v>0</v>
      </c>
      <c r="O14" s="84">
        <v>3000</v>
      </c>
      <c r="P14" s="84">
        <v>0</v>
      </c>
      <c r="Q14" s="85">
        <v>106666</v>
      </c>
      <c r="R14" s="83">
        <v>0</v>
      </c>
      <c r="S14" s="83">
        <v>4</v>
      </c>
      <c r="T14" s="11" t="str">
        <f ca="1">IF(ISBLANK(BudgetsTable[[#This Row],[budg_seq_yr]]),"FY"&amp;fiscalyear,"FY"&amp;fiscalyear-1+BudgetsTable[[#This Row],[budg_seq_yr]])</f>
        <v>FY21</v>
      </c>
      <c r="U14" s="84">
        <v>106666</v>
      </c>
      <c r="V14" s="83" t="s">
        <v>231</v>
      </c>
      <c r="W14" s="83" t="s">
        <v>417</v>
      </c>
      <c r="X14" s="83" t="s">
        <v>431</v>
      </c>
      <c r="Y14" s="81" t="s">
        <v>418</v>
      </c>
      <c r="Z14" s="81" t="s">
        <v>13</v>
      </c>
    </row>
    <row r="15" spans="1:26" x14ac:dyDescent="0.4">
      <c r="A15" s="10" t="s">
        <v>367</v>
      </c>
      <c r="B15" s="81" t="s">
        <v>96</v>
      </c>
      <c r="C15" s="82">
        <v>42933.547222222223</v>
      </c>
      <c r="D15" s="83" t="s">
        <v>266</v>
      </c>
      <c r="E15" s="83" t="s">
        <v>231</v>
      </c>
      <c r="F15" s="83" t="s">
        <v>417</v>
      </c>
      <c r="G15" s="83" t="s">
        <v>367</v>
      </c>
      <c r="H15" s="7" t="str">
        <f>IF(BudgetsTable[[#This Row],[pi_last_name]]=" ","",HYPERLINK("https://www.ejacket.nsf.gov/ej/showProposal.do?Continue=Y&amp;ID="&amp;BudgetsTable[[#This Row],[prop_id]],BudgetsTable[[#This Row],[prop_id]]))</f>
        <v/>
      </c>
      <c r="I15" s="7" t="s">
        <v>1000</v>
      </c>
      <c r="J15" s="83" t="s">
        <v>13</v>
      </c>
      <c r="K15" s="83" t="s">
        <v>13</v>
      </c>
      <c r="L15" s="83">
        <v>1</v>
      </c>
      <c r="M15" s="83">
        <v>1</v>
      </c>
      <c r="N15" s="84">
        <v>0</v>
      </c>
      <c r="O15" s="84">
        <v>3000</v>
      </c>
      <c r="P15" s="84">
        <v>0</v>
      </c>
      <c r="Q15" s="85">
        <v>108456</v>
      </c>
      <c r="R15" s="83">
        <v>0</v>
      </c>
      <c r="S15" s="83">
        <v>5</v>
      </c>
      <c r="T15" s="11" t="str">
        <f ca="1">IF(ISBLANK(BudgetsTable[[#This Row],[budg_seq_yr]]),"FY"&amp;fiscalyear,"FY"&amp;fiscalyear-1+BudgetsTable[[#This Row],[budg_seq_yr]])</f>
        <v>FY22</v>
      </c>
      <c r="U15" s="84">
        <v>108456</v>
      </c>
      <c r="V15" s="83" t="s">
        <v>231</v>
      </c>
      <c r="W15" s="83" t="s">
        <v>417</v>
      </c>
      <c r="X15" s="83" t="s">
        <v>431</v>
      </c>
      <c r="Y15" s="81" t="s">
        <v>418</v>
      </c>
      <c r="Z15" s="81" t="s">
        <v>13</v>
      </c>
    </row>
    <row r="16" spans="1:26" x14ac:dyDescent="0.4">
      <c r="A16" s="10" t="s">
        <v>368</v>
      </c>
      <c r="B16" s="81" t="s">
        <v>96</v>
      </c>
      <c r="C16" s="82">
        <v>42933.579861111109</v>
      </c>
      <c r="D16" s="83" t="s">
        <v>266</v>
      </c>
      <c r="E16" s="83" t="s">
        <v>231</v>
      </c>
      <c r="F16" s="83" t="s">
        <v>417</v>
      </c>
      <c r="G16" s="83" t="s">
        <v>368</v>
      </c>
      <c r="H16" s="7" t="str">
        <f>IF(BudgetsTable[[#This Row],[pi_last_name]]=" ","",HYPERLINK("https://www.ejacket.nsf.gov/ej/showProposal.do?Continue=Y&amp;ID="&amp;BudgetsTable[[#This Row],[prop_id]],BudgetsTable[[#This Row],[prop_id]]))</f>
        <v>1749414</v>
      </c>
      <c r="I16" s="7" t="s">
        <v>999</v>
      </c>
      <c r="J16" s="83" t="s">
        <v>435</v>
      </c>
      <c r="K16" s="83" t="s">
        <v>436</v>
      </c>
      <c r="L16" s="83"/>
      <c r="M16" s="83"/>
      <c r="N16" s="84"/>
      <c r="O16" s="84"/>
      <c r="P16" s="84"/>
      <c r="Q16" s="85"/>
      <c r="R16" s="83">
        <v>0</v>
      </c>
      <c r="S16" s="83"/>
      <c r="T16" s="11" t="str">
        <f ca="1">IF(ISBLANK(BudgetsTable[[#This Row],[budg_seq_yr]]),"FY"&amp;fiscalyear,"FY"&amp;fiscalyear-1+BudgetsTable[[#This Row],[budg_seq_yr]])</f>
        <v>FY18</v>
      </c>
      <c r="U16" s="84">
        <v>545000</v>
      </c>
      <c r="V16" s="83" t="s">
        <v>231</v>
      </c>
      <c r="W16" s="83" t="s">
        <v>417</v>
      </c>
      <c r="X16" s="83" t="s">
        <v>438</v>
      </c>
      <c r="Y16" s="81" t="s">
        <v>434</v>
      </c>
      <c r="Z16" s="81" t="s">
        <v>437</v>
      </c>
    </row>
    <row r="17" spans="1:26" x14ac:dyDescent="0.4">
      <c r="A17" s="10" t="s">
        <v>368</v>
      </c>
      <c r="B17" s="81" t="s">
        <v>96</v>
      </c>
      <c r="C17" s="82">
        <v>42933.579861111109</v>
      </c>
      <c r="D17" s="83" t="s">
        <v>266</v>
      </c>
      <c r="E17" s="83" t="s">
        <v>231</v>
      </c>
      <c r="F17" s="83" t="s">
        <v>417</v>
      </c>
      <c r="G17" s="83" t="s">
        <v>368</v>
      </c>
      <c r="H17" s="7" t="str">
        <f>IF(BudgetsTable[[#This Row],[pi_last_name]]=" ","",HYPERLINK("https://www.ejacket.nsf.gov/ej/showProposal.do?Continue=Y&amp;ID="&amp;BudgetsTable[[#This Row],[prop_id]],BudgetsTable[[#This Row],[prop_id]]))</f>
        <v/>
      </c>
      <c r="I17" s="7" t="s">
        <v>1000</v>
      </c>
      <c r="J17" s="83" t="s">
        <v>13</v>
      </c>
      <c r="K17" s="83" t="s">
        <v>13</v>
      </c>
      <c r="L17" s="83">
        <v>1</v>
      </c>
      <c r="M17" s="83">
        <v>1.3</v>
      </c>
      <c r="N17" s="84">
        <v>0</v>
      </c>
      <c r="O17" s="84">
        <v>0</v>
      </c>
      <c r="P17" s="84">
        <v>8000</v>
      </c>
      <c r="Q17" s="85">
        <v>118096</v>
      </c>
      <c r="R17" s="83">
        <v>0</v>
      </c>
      <c r="S17" s="83">
        <v>1</v>
      </c>
      <c r="T17" s="11" t="str">
        <f ca="1">IF(ISBLANK(BudgetsTable[[#This Row],[budg_seq_yr]]),"FY"&amp;fiscalyear,"FY"&amp;fiscalyear-1+BudgetsTable[[#This Row],[budg_seq_yr]])</f>
        <v>FY18</v>
      </c>
      <c r="U17" s="84">
        <v>118096</v>
      </c>
      <c r="V17" s="83" t="s">
        <v>231</v>
      </c>
      <c r="W17" s="83" t="s">
        <v>417</v>
      </c>
      <c r="X17" s="83" t="s">
        <v>438</v>
      </c>
      <c r="Y17" s="81" t="s">
        <v>434</v>
      </c>
      <c r="Z17" s="81" t="s">
        <v>13</v>
      </c>
    </row>
    <row r="18" spans="1:26" x14ac:dyDescent="0.4">
      <c r="A18" s="10" t="s">
        <v>368</v>
      </c>
      <c r="B18" s="81" t="s">
        <v>96</v>
      </c>
      <c r="C18" s="82">
        <v>42933.579861111109</v>
      </c>
      <c r="D18" s="83" t="s">
        <v>266</v>
      </c>
      <c r="E18" s="83" t="s">
        <v>231</v>
      </c>
      <c r="F18" s="83" t="s">
        <v>417</v>
      </c>
      <c r="G18" s="83" t="s">
        <v>368</v>
      </c>
      <c r="H18" s="7" t="str">
        <f>IF(BudgetsTable[[#This Row],[pi_last_name]]=" ","",HYPERLINK("https://www.ejacket.nsf.gov/ej/showProposal.do?Continue=Y&amp;ID="&amp;BudgetsTable[[#This Row],[prop_id]],BudgetsTable[[#This Row],[prop_id]]))</f>
        <v/>
      </c>
      <c r="I18" s="7" t="s">
        <v>1000</v>
      </c>
      <c r="J18" s="83" t="s">
        <v>13</v>
      </c>
      <c r="K18" s="83" t="s">
        <v>13</v>
      </c>
      <c r="L18" s="83">
        <v>1</v>
      </c>
      <c r="M18" s="83">
        <v>1.3</v>
      </c>
      <c r="N18" s="84">
        <v>0</v>
      </c>
      <c r="O18" s="84">
        <v>0</v>
      </c>
      <c r="P18" s="84">
        <v>0</v>
      </c>
      <c r="Q18" s="85">
        <v>103981</v>
      </c>
      <c r="R18" s="83">
        <v>0</v>
      </c>
      <c r="S18" s="83">
        <v>2</v>
      </c>
      <c r="T18" s="11" t="str">
        <f ca="1">IF(ISBLANK(BudgetsTable[[#This Row],[budg_seq_yr]]),"FY"&amp;fiscalyear,"FY"&amp;fiscalyear-1+BudgetsTable[[#This Row],[budg_seq_yr]])</f>
        <v>FY19</v>
      </c>
      <c r="U18" s="84">
        <v>103981</v>
      </c>
      <c r="V18" s="83" t="s">
        <v>231</v>
      </c>
      <c r="W18" s="83" t="s">
        <v>417</v>
      </c>
      <c r="X18" s="83" t="s">
        <v>438</v>
      </c>
      <c r="Y18" s="81" t="s">
        <v>434</v>
      </c>
      <c r="Z18" s="81" t="s">
        <v>13</v>
      </c>
    </row>
    <row r="19" spans="1:26" x14ac:dyDescent="0.4">
      <c r="A19" s="10" t="s">
        <v>368</v>
      </c>
      <c r="B19" s="81" t="s">
        <v>96</v>
      </c>
      <c r="C19" s="82">
        <v>42933.579861111109</v>
      </c>
      <c r="D19" s="83" t="s">
        <v>266</v>
      </c>
      <c r="E19" s="83" t="s">
        <v>231</v>
      </c>
      <c r="F19" s="83" t="s">
        <v>417</v>
      </c>
      <c r="G19" s="83" t="s">
        <v>368</v>
      </c>
      <c r="H19" s="7" t="str">
        <f>IF(BudgetsTable[[#This Row],[pi_last_name]]=" ","",HYPERLINK("https://www.ejacket.nsf.gov/ej/showProposal.do?Continue=Y&amp;ID="&amp;BudgetsTable[[#This Row],[prop_id]],BudgetsTable[[#This Row],[prop_id]]))</f>
        <v/>
      </c>
      <c r="I19" s="7" t="s">
        <v>1000</v>
      </c>
      <c r="J19" s="83" t="s">
        <v>13</v>
      </c>
      <c r="K19" s="83" t="s">
        <v>13</v>
      </c>
      <c r="L19" s="83">
        <v>1</v>
      </c>
      <c r="M19" s="83">
        <v>1.3</v>
      </c>
      <c r="N19" s="84">
        <v>0</v>
      </c>
      <c r="O19" s="84">
        <v>0</v>
      </c>
      <c r="P19" s="84">
        <v>0</v>
      </c>
      <c r="Q19" s="85">
        <v>105714</v>
      </c>
      <c r="R19" s="83">
        <v>0</v>
      </c>
      <c r="S19" s="83">
        <v>3</v>
      </c>
      <c r="T19" s="11" t="str">
        <f ca="1">IF(ISBLANK(BudgetsTable[[#This Row],[budg_seq_yr]]),"FY"&amp;fiscalyear,"FY"&amp;fiscalyear-1+BudgetsTable[[#This Row],[budg_seq_yr]])</f>
        <v>FY20</v>
      </c>
      <c r="U19" s="84">
        <v>105714</v>
      </c>
      <c r="V19" s="83" t="s">
        <v>231</v>
      </c>
      <c r="W19" s="83" t="s">
        <v>417</v>
      </c>
      <c r="X19" s="83" t="s">
        <v>438</v>
      </c>
      <c r="Y19" s="81" t="s">
        <v>434</v>
      </c>
      <c r="Z19" s="81" t="s">
        <v>13</v>
      </c>
    </row>
    <row r="20" spans="1:26" x14ac:dyDescent="0.4">
      <c r="A20" s="10" t="s">
        <v>368</v>
      </c>
      <c r="B20" s="81" t="s">
        <v>96</v>
      </c>
      <c r="C20" s="82">
        <v>42933.579861111109</v>
      </c>
      <c r="D20" s="83" t="s">
        <v>266</v>
      </c>
      <c r="E20" s="83" t="s">
        <v>231</v>
      </c>
      <c r="F20" s="83" t="s">
        <v>417</v>
      </c>
      <c r="G20" s="83" t="s">
        <v>368</v>
      </c>
      <c r="H20" s="7" t="str">
        <f>IF(BudgetsTable[[#This Row],[pi_last_name]]=" ","",HYPERLINK("https://www.ejacket.nsf.gov/ej/showProposal.do?Continue=Y&amp;ID="&amp;BudgetsTable[[#This Row],[prop_id]],BudgetsTable[[#This Row],[prop_id]]))</f>
        <v/>
      </c>
      <c r="I20" s="7" t="s">
        <v>1000</v>
      </c>
      <c r="J20" s="83" t="s">
        <v>13</v>
      </c>
      <c r="K20" s="83" t="s">
        <v>13</v>
      </c>
      <c r="L20" s="83">
        <v>1</v>
      </c>
      <c r="M20" s="83">
        <v>1.3</v>
      </c>
      <c r="N20" s="84">
        <v>0</v>
      </c>
      <c r="O20" s="84">
        <v>0</v>
      </c>
      <c r="P20" s="84">
        <v>0</v>
      </c>
      <c r="Q20" s="85">
        <v>107658</v>
      </c>
      <c r="R20" s="83">
        <v>0</v>
      </c>
      <c r="S20" s="83">
        <v>4</v>
      </c>
      <c r="T20" s="11" t="str">
        <f ca="1">IF(ISBLANK(BudgetsTable[[#This Row],[budg_seq_yr]]),"FY"&amp;fiscalyear,"FY"&amp;fiscalyear-1+BudgetsTable[[#This Row],[budg_seq_yr]])</f>
        <v>FY21</v>
      </c>
      <c r="U20" s="84">
        <v>107658</v>
      </c>
      <c r="V20" s="83" t="s">
        <v>231</v>
      </c>
      <c r="W20" s="83" t="s">
        <v>417</v>
      </c>
      <c r="X20" s="83" t="s">
        <v>438</v>
      </c>
      <c r="Y20" s="81" t="s">
        <v>434</v>
      </c>
      <c r="Z20" s="81" t="s">
        <v>13</v>
      </c>
    </row>
    <row r="21" spans="1:26" x14ac:dyDescent="0.4">
      <c r="A21" s="10" t="s">
        <v>368</v>
      </c>
      <c r="B21" s="81" t="s">
        <v>96</v>
      </c>
      <c r="C21" s="82">
        <v>42933.579861111109</v>
      </c>
      <c r="D21" s="83" t="s">
        <v>266</v>
      </c>
      <c r="E21" s="83" t="s">
        <v>231</v>
      </c>
      <c r="F21" s="83" t="s">
        <v>417</v>
      </c>
      <c r="G21" s="83" t="s">
        <v>368</v>
      </c>
      <c r="H21" s="7" t="str">
        <f>IF(BudgetsTable[[#This Row],[pi_last_name]]=" ","",HYPERLINK("https://www.ejacket.nsf.gov/ej/showProposal.do?Continue=Y&amp;ID="&amp;BudgetsTable[[#This Row],[prop_id]],BudgetsTable[[#This Row],[prop_id]]))</f>
        <v/>
      </c>
      <c r="I21" s="7" t="s">
        <v>1000</v>
      </c>
      <c r="J21" s="83" t="s">
        <v>13</v>
      </c>
      <c r="K21" s="83" t="s">
        <v>13</v>
      </c>
      <c r="L21" s="83">
        <v>1</v>
      </c>
      <c r="M21" s="83">
        <v>1.3</v>
      </c>
      <c r="N21" s="84">
        <v>0</v>
      </c>
      <c r="O21" s="84">
        <v>0</v>
      </c>
      <c r="P21" s="84">
        <v>0</v>
      </c>
      <c r="Q21" s="85">
        <v>109551</v>
      </c>
      <c r="R21" s="83">
        <v>0</v>
      </c>
      <c r="S21" s="83">
        <v>5</v>
      </c>
      <c r="T21" s="11" t="str">
        <f ca="1">IF(ISBLANK(BudgetsTable[[#This Row],[budg_seq_yr]]),"FY"&amp;fiscalyear,"FY"&amp;fiscalyear-1+BudgetsTable[[#This Row],[budg_seq_yr]])</f>
        <v>FY22</v>
      </c>
      <c r="U21" s="84">
        <v>109551</v>
      </c>
      <c r="V21" s="83" t="s">
        <v>231</v>
      </c>
      <c r="W21" s="83" t="s">
        <v>417</v>
      </c>
      <c r="X21" s="83" t="s">
        <v>438</v>
      </c>
      <c r="Y21" s="81" t="s">
        <v>434</v>
      </c>
      <c r="Z21" s="81" t="s">
        <v>13</v>
      </c>
    </row>
    <row r="22" spans="1:26" x14ac:dyDescent="0.4">
      <c r="A22" s="10" t="s">
        <v>369</v>
      </c>
      <c r="B22" s="81" t="s">
        <v>96</v>
      </c>
      <c r="C22" s="82">
        <v>42933.713888888888</v>
      </c>
      <c r="D22" s="83" t="s">
        <v>266</v>
      </c>
      <c r="E22" s="83" t="s">
        <v>231</v>
      </c>
      <c r="F22" s="83" t="s">
        <v>417</v>
      </c>
      <c r="G22" s="83" t="s">
        <v>369</v>
      </c>
      <c r="H22" s="7" t="str">
        <f>IF(BudgetsTable[[#This Row],[pi_last_name]]=" ","",HYPERLINK("https://www.ejacket.nsf.gov/ej/showProposal.do?Continue=Y&amp;ID="&amp;BudgetsTable[[#This Row],[prop_id]],BudgetsTable[[#This Row],[prop_id]]))</f>
        <v>1749563</v>
      </c>
      <c r="I22" s="7" t="s">
        <v>999</v>
      </c>
      <c r="J22" s="83" t="s">
        <v>441</v>
      </c>
      <c r="K22" s="83" t="s">
        <v>271</v>
      </c>
      <c r="L22" s="83"/>
      <c r="M22" s="83"/>
      <c r="N22" s="84"/>
      <c r="O22" s="84"/>
      <c r="P22" s="84"/>
      <c r="Q22" s="85"/>
      <c r="R22" s="83">
        <v>0</v>
      </c>
      <c r="S22" s="83"/>
      <c r="T22" s="11" t="str">
        <f ca="1">IF(ISBLANK(BudgetsTable[[#This Row],[budg_seq_yr]]),"FY"&amp;fiscalyear,"FY"&amp;fiscalyear-1+BudgetsTable[[#This Row],[budg_seq_yr]])</f>
        <v>FY18</v>
      </c>
      <c r="U22" s="84">
        <v>500000</v>
      </c>
      <c r="V22" s="83" t="s">
        <v>231</v>
      </c>
      <c r="W22" s="83" t="s">
        <v>417</v>
      </c>
      <c r="X22" s="83" t="s">
        <v>423</v>
      </c>
      <c r="Y22" s="81" t="s">
        <v>418</v>
      </c>
      <c r="Z22" s="81" t="s">
        <v>443</v>
      </c>
    </row>
    <row r="23" spans="1:26" x14ac:dyDescent="0.4">
      <c r="A23" s="10" t="s">
        <v>369</v>
      </c>
      <c r="B23" s="81" t="s">
        <v>96</v>
      </c>
      <c r="C23" s="82">
        <v>42933.713888888888</v>
      </c>
      <c r="D23" s="83" t="s">
        <v>266</v>
      </c>
      <c r="E23" s="83" t="s">
        <v>231</v>
      </c>
      <c r="F23" s="83" t="s">
        <v>417</v>
      </c>
      <c r="G23" s="83" t="s">
        <v>369</v>
      </c>
      <c r="H23" s="7" t="str">
        <f>IF(BudgetsTable[[#This Row],[pi_last_name]]=" ","",HYPERLINK("https://www.ejacket.nsf.gov/ej/showProposal.do?Continue=Y&amp;ID="&amp;BudgetsTable[[#This Row],[prop_id]],BudgetsTable[[#This Row],[prop_id]]))</f>
        <v/>
      </c>
      <c r="I23" s="7" t="s">
        <v>1000</v>
      </c>
      <c r="J23" s="83" t="s">
        <v>13</v>
      </c>
      <c r="K23" s="83" t="s">
        <v>13</v>
      </c>
      <c r="L23" s="83">
        <v>1</v>
      </c>
      <c r="M23" s="83">
        <v>1</v>
      </c>
      <c r="N23" s="84">
        <v>0</v>
      </c>
      <c r="O23" s="84">
        <v>2483</v>
      </c>
      <c r="P23" s="84">
        <v>0</v>
      </c>
      <c r="Q23" s="85">
        <v>103953</v>
      </c>
      <c r="R23" s="83">
        <v>0</v>
      </c>
      <c r="S23" s="83">
        <v>1</v>
      </c>
      <c r="T23" s="11" t="str">
        <f ca="1">IF(ISBLANK(BudgetsTable[[#This Row],[budg_seq_yr]]),"FY"&amp;fiscalyear,"FY"&amp;fiscalyear-1+BudgetsTable[[#This Row],[budg_seq_yr]])</f>
        <v>FY18</v>
      </c>
      <c r="U23" s="84">
        <v>103953</v>
      </c>
      <c r="V23" s="83" t="s">
        <v>231</v>
      </c>
      <c r="W23" s="83" t="s">
        <v>417</v>
      </c>
      <c r="X23" s="83" t="s">
        <v>423</v>
      </c>
      <c r="Y23" s="81" t="s">
        <v>418</v>
      </c>
      <c r="Z23" s="81" t="s">
        <v>13</v>
      </c>
    </row>
    <row r="24" spans="1:26" x14ac:dyDescent="0.4">
      <c r="A24" s="10" t="s">
        <v>369</v>
      </c>
      <c r="B24" s="81" t="s">
        <v>96</v>
      </c>
      <c r="C24" s="82">
        <v>42933.713888888888</v>
      </c>
      <c r="D24" s="83" t="s">
        <v>266</v>
      </c>
      <c r="E24" s="83" t="s">
        <v>231</v>
      </c>
      <c r="F24" s="83" t="s">
        <v>417</v>
      </c>
      <c r="G24" s="83" t="s">
        <v>369</v>
      </c>
      <c r="H24" s="7" t="str">
        <f>IF(BudgetsTable[[#This Row],[pi_last_name]]=" ","",HYPERLINK("https://www.ejacket.nsf.gov/ej/showProposal.do?Continue=Y&amp;ID="&amp;BudgetsTable[[#This Row],[prop_id]],BudgetsTable[[#This Row],[prop_id]]))</f>
        <v/>
      </c>
      <c r="I24" s="7" t="s">
        <v>1000</v>
      </c>
      <c r="J24" s="83" t="s">
        <v>13</v>
      </c>
      <c r="K24" s="83" t="s">
        <v>13</v>
      </c>
      <c r="L24" s="83">
        <v>1</v>
      </c>
      <c r="M24" s="83">
        <v>1</v>
      </c>
      <c r="N24" s="84">
        <v>0</v>
      </c>
      <c r="O24" s="84">
        <v>2483</v>
      </c>
      <c r="P24" s="84">
        <v>0</v>
      </c>
      <c r="Q24" s="85">
        <v>95986</v>
      </c>
      <c r="R24" s="83">
        <v>0</v>
      </c>
      <c r="S24" s="83">
        <v>2</v>
      </c>
      <c r="T24" s="11" t="str">
        <f ca="1">IF(ISBLANK(BudgetsTable[[#This Row],[budg_seq_yr]]),"FY"&amp;fiscalyear,"FY"&amp;fiscalyear-1+BudgetsTable[[#This Row],[budg_seq_yr]])</f>
        <v>FY19</v>
      </c>
      <c r="U24" s="84">
        <v>95986</v>
      </c>
      <c r="V24" s="83" t="s">
        <v>231</v>
      </c>
      <c r="W24" s="83" t="s">
        <v>417</v>
      </c>
      <c r="X24" s="83" t="s">
        <v>423</v>
      </c>
      <c r="Y24" s="81" t="s">
        <v>418</v>
      </c>
      <c r="Z24" s="81" t="s">
        <v>13</v>
      </c>
    </row>
    <row r="25" spans="1:26" x14ac:dyDescent="0.4">
      <c r="A25" s="10" t="s">
        <v>369</v>
      </c>
      <c r="B25" s="81" t="s">
        <v>96</v>
      </c>
      <c r="C25" s="82">
        <v>42933.713888888888</v>
      </c>
      <c r="D25" s="83" t="s">
        <v>266</v>
      </c>
      <c r="E25" s="83" t="s">
        <v>231</v>
      </c>
      <c r="F25" s="83" t="s">
        <v>417</v>
      </c>
      <c r="G25" s="83" t="s">
        <v>369</v>
      </c>
      <c r="H25" s="7" t="str">
        <f>IF(BudgetsTable[[#This Row],[pi_last_name]]=" ","",HYPERLINK("https://www.ejacket.nsf.gov/ej/showProposal.do?Continue=Y&amp;ID="&amp;BudgetsTable[[#This Row],[prop_id]],BudgetsTable[[#This Row],[prop_id]]))</f>
        <v/>
      </c>
      <c r="I25" s="7" t="s">
        <v>1000</v>
      </c>
      <c r="J25" s="83" t="s">
        <v>13</v>
      </c>
      <c r="K25" s="83" t="s">
        <v>13</v>
      </c>
      <c r="L25" s="83">
        <v>1</v>
      </c>
      <c r="M25" s="83">
        <v>1</v>
      </c>
      <c r="N25" s="84">
        <v>0</v>
      </c>
      <c r="O25" s="84">
        <v>2483</v>
      </c>
      <c r="P25" s="84">
        <v>0</v>
      </c>
      <c r="Q25" s="85">
        <v>97655</v>
      </c>
      <c r="R25" s="83">
        <v>0</v>
      </c>
      <c r="S25" s="83">
        <v>3</v>
      </c>
      <c r="T25" s="11" t="str">
        <f ca="1">IF(ISBLANK(BudgetsTable[[#This Row],[budg_seq_yr]]),"FY"&amp;fiscalyear,"FY"&amp;fiscalyear-1+BudgetsTable[[#This Row],[budg_seq_yr]])</f>
        <v>FY20</v>
      </c>
      <c r="U25" s="84">
        <v>97655</v>
      </c>
      <c r="V25" s="83" t="s">
        <v>231</v>
      </c>
      <c r="W25" s="83" t="s">
        <v>417</v>
      </c>
      <c r="X25" s="83" t="s">
        <v>423</v>
      </c>
      <c r="Y25" s="81" t="s">
        <v>418</v>
      </c>
      <c r="Z25" s="81" t="s">
        <v>13</v>
      </c>
    </row>
    <row r="26" spans="1:26" x14ac:dyDescent="0.4">
      <c r="A26" s="10" t="s">
        <v>369</v>
      </c>
      <c r="B26" s="81" t="s">
        <v>96</v>
      </c>
      <c r="C26" s="82">
        <v>42933.713888888888</v>
      </c>
      <c r="D26" s="83" t="s">
        <v>266</v>
      </c>
      <c r="E26" s="83" t="s">
        <v>231</v>
      </c>
      <c r="F26" s="83" t="s">
        <v>417</v>
      </c>
      <c r="G26" s="83" t="s">
        <v>369</v>
      </c>
      <c r="H26" s="7" t="str">
        <f>IF(BudgetsTable[[#This Row],[pi_last_name]]=" ","",HYPERLINK("https://www.ejacket.nsf.gov/ej/showProposal.do?Continue=Y&amp;ID="&amp;BudgetsTable[[#This Row],[prop_id]],BudgetsTable[[#This Row],[prop_id]]))</f>
        <v/>
      </c>
      <c r="I26" s="7" t="s">
        <v>1000</v>
      </c>
      <c r="J26" s="83" t="s">
        <v>13</v>
      </c>
      <c r="K26" s="83" t="s">
        <v>13</v>
      </c>
      <c r="L26" s="83">
        <v>1</v>
      </c>
      <c r="M26" s="83">
        <v>1</v>
      </c>
      <c r="N26" s="84">
        <v>0</v>
      </c>
      <c r="O26" s="84">
        <v>2483</v>
      </c>
      <c r="P26" s="84">
        <v>0</v>
      </c>
      <c r="Q26" s="85">
        <v>99915</v>
      </c>
      <c r="R26" s="83">
        <v>0</v>
      </c>
      <c r="S26" s="83">
        <v>4</v>
      </c>
      <c r="T26" s="11" t="str">
        <f ca="1">IF(ISBLANK(BudgetsTable[[#This Row],[budg_seq_yr]]),"FY"&amp;fiscalyear,"FY"&amp;fiscalyear-1+BudgetsTable[[#This Row],[budg_seq_yr]])</f>
        <v>FY21</v>
      </c>
      <c r="U26" s="84">
        <v>99915</v>
      </c>
      <c r="V26" s="83" t="s">
        <v>231</v>
      </c>
      <c r="W26" s="83" t="s">
        <v>417</v>
      </c>
      <c r="X26" s="83" t="s">
        <v>423</v>
      </c>
      <c r="Y26" s="81" t="s">
        <v>418</v>
      </c>
      <c r="Z26" s="81" t="s">
        <v>13</v>
      </c>
    </row>
    <row r="27" spans="1:26" x14ac:dyDescent="0.4">
      <c r="A27" s="10" t="s">
        <v>369</v>
      </c>
      <c r="B27" s="81" t="s">
        <v>96</v>
      </c>
      <c r="C27" s="82">
        <v>42933.713888888888</v>
      </c>
      <c r="D27" s="83" t="s">
        <v>266</v>
      </c>
      <c r="E27" s="83" t="s">
        <v>231</v>
      </c>
      <c r="F27" s="83" t="s">
        <v>417</v>
      </c>
      <c r="G27" s="83" t="s">
        <v>369</v>
      </c>
      <c r="H27" s="7" t="str">
        <f>IF(BudgetsTable[[#This Row],[pi_last_name]]=" ","",HYPERLINK("https://www.ejacket.nsf.gov/ej/showProposal.do?Continue=Y&amp;ID="&amp;BudgetsTable[[#This Row],[prop_id]],BudgetsTable[[#This Row],[prop_id]]))</f>
        <v/>
      </c>
      <c r="I27" s="7" t="s">
        <v>1000</v>
      </c>
      <c r="J27" s="83" t="s">
        <v>13</v>
      </c>
      <c r="K27" s="83" t="s">
        <v>13</v>
      </c>
      <c r="L27" s="83">
        <v>1</v>
      </c>
      <c r="M27" s="83">
        <v>1</v>
      </c>
      <c r="N27" s="84">
        <v>0</v>
      </c>
      <c r="O27" s="84">
        <v>2484</v>
      </c>
      <c r="P27" s="84">
        <v>0</v>
      </c>
      <c r="Q27" s="85">
        <v>102491</v>
      </c>
      <c r="R27" s="83">
        <v>0</v>
      </c>
      <c r="S27" s="83">
        <v>5</v>
      </c>
      <c r="T27" s="11" t="str">
        <f ca="1">IF(ISBLANK(BudgetsTable[[#This Row],[budg_seq_yr]]),"FY"&amp;fiscalyear,"FY"&amp;fiscalyear-1+BudgetsTable[[#This Row],[budg_seq_yr]])</f>
        <v>FY22</v>
      </c>
      <c r="U27" s="84">
        <v>102491</v>
      </c>
      <c r="V27" s="83" t="s">
        <v>231</v>
      </c>
      <c r="W27" s="83" t="s">
        <v>417</v>
      </c>
      <c r="X27" s="83" t="s">
        <v>423</v>
      </c>
      <c r="Y27" s="81" t="s">
        <v>418</v>
      </c>
      <c r="Z27" s="81" t="s">
        <v>13</v>
      </c>
    </row>
    <row r="28" spans="1:26" x14ac:dyDescent="0.4">
      <c r="A28" s="10" t="s">
        <v>370</v>
      </c>
      <c r="B28" s="81" t="s">
        <v>96</v>
      </c>
      <c r="C28" s="82">
        <v>42933.820138888892</v>
      </c>
      <c r="D28" s="83" t="s">
        <v>266</v>
      </c>
      <c r="E28" s="83" t="s">
        <v>231</v>
      </c>
      <c r="F28" s="83" t="s">
        <v>417</v>
      </c>
      <c r="G28" s="83" t="s">
        <v>370</v>
      </c>
      <c r="H28" s="7" t="str">
        <f>IF(BudgetsTable[[#This Row],[pi_last_name]]=" ","",HYPERLINK("https://www.ejacket.nsf.gov/ej/showProposal.do?Continue=Y&amp;ID="&amp;BudgetsTable[[#This Row],[prop_id]],BudgetsTable[[#This Row],[prop_id]]))</f>
        <v>1749609</v>
      </c>
      <c r="I28" s="7" t="s">
        <v>999</v>
      </c>
      <c r="J28" s="83" t="s">
        <v>446</v>
      </c>
      <c r="K28" s="83" t="s">
        <v>268</v>
      </c>
      <c r="L28" s="83"/>
      <c r="M28" s="83"/>
      <c r="N28" s="84"/>
      <c r="O28" s="84"/>
      <c r="P28" s="84"/>
      <c r="Q28" s="85"/>
      <c r="R28" s="83">
        <v>0</v>
      </c>
      <c r="S28" s="83"/>
      <c r="T28" s="11" t="str">
        <f ca="1">IF(ISBLANK(BudgetsTable[[#This Row],[budg_seq_yr]]),"FY"&amp;fiscalyear,"FY"&amp;fiscalyear-1+BudgetsTable[[#This Row],[budg_seq_yr]])</f>
        <v>FY18</v>
      </c>
      <c r="U28" s="84">
        <v>549841</v>
      </c>
      <c r="V28" s="83" t="s">
        <v>231</v>
      </c>
      <c r="W28" s="83" t="s">
        <v>417</v>
      </c>
      <c r="X28" s="83" t="s">
        <v>423</v>
      </c>
      <c r="Y28" s="81" t="s">
        <v>418</v>
      </c>
      <c r="Z28" s="81" t="s">
        <v>448</v>
      </c>
    </row>
    <row r="29" spans="1:26" x14ac:dyDescent="0.4">
      <c r="A29" s="10" t="s">
        <v>370</v>
      </c>
      <c r="B29" s="81" t="s">
        <v>96</v>
      </c>
      <c r="C29" s="82">
        <v>42933.820138888892</v>
      </c>
      <c r="D29" s="83" t="s">
        <v>266</v>
      </c>
      <c r="E29" s="83" t="s">
        <v>231</v>
      </c>
      <c r="F29" s="83" t="s">
        <v>417</v>
      </c>
      <c r="G29" s="83" t="s">
        <v>370</v>
      </c>
      <c r="H29" s="7" t="str">
        <f>IF(BudgetsTable[[#This Row],[pi_last_name]]=" ","",HYPERLINK("https://www.ejacket.nsf.gov/ej/showProposal.do?Continue=Y&amp;ID="&amp;BudgetsTable[[#This Row],[prop_id]],BudgetsTable[[#This Row],[prop_id]]))</f>
        <v/>
      </c>
      <c r="I29" s="7" t="s">
        <v>1000</v>
      </c>
      <c r="J29" s="83" t="s">
        <v>13</v>
      </c>
      <c r="K29" s="83" t="s">
        <v>13</v>
      </c>
      <c r="L29" s="83">
        <v>1</v>
      </c>
      <c r="M29" s="83">
        <v>0.5</v>
      </c>
      <c r="N29" s="84">
        <v>0</v>
      </c>
      <c r="O29" s="84">
        <v>0</v>
      </c>
      <c r="P29" s="84">
        <v>0</v>
      </c>
      <c r="Q29" s="85">
        <v>105589</v>
      </c>
      <c r="R29" s="83">
        <v>0</v>
      </c>
      <c r="S29" s="83">
        <v>1</v>
      </c>
      <c r="T29" s="11" t="str">
        <f ca="1">IF(ISBLANK(BudgetsTable[[#This Row],[budg_seq_yr]]),"FY"&amp;fiscalyear,"FY"&amp;fiscalyear-1+BudgetsTable[[#This Row],[budg_seq_yr]])</f>
        <v>FY18</v>
      </c>
      <c r="U29" s="84">
        <v>105589</v>
      </c>
      <c r="V29" s="83" t="s">
        <v>231</v>
      </c>
      <c r="W29" s="83" t="s">
        <v>417</v>
      </c>
      <c r="X29" s="83" t="s">
        <v>423</v>
      </c>
      <c r="Y29" s="81" t="s">
        <v>418</v>
      </c>
      <c r="Z29" s="81" t="s">
        <v>13</v>
      </c>
    </row>
    <row r="30" spans="1:26" x14ac:dyDescent="0.4">
      <c r="A30" s="10" t="s">
        <v>370</v>
      </c>
      <c r="B30" s="81" t="s">
        <v>96</v>
      </c>
      <c r="C30" s="82">
        <v>42933.820138888892</v>
      </c>
      <c r="D30" s="83" t="s">
        <v>266</v>
      </c>
      <c r="E30" s="83" t="s">
        <v>231</v>
      </c>
      <c r="F30" s="83" t="s">
        <v>417</v>
      </c>
      <c r="G30" s="83" t="s">
        <v>370</v>
      </c>
      <c r="H30" s="7" t="str">
        <f>IF(BudgetsTable[[#This Row],[pi_last_name]]=" ","",HYPERLINK("https://www.ejacket.nsf.gov/ej/showProposal.do?Continue=Y&amp;ID="&amp;BudgetsTable[[#This Row],[prop_id]],BudgetsTable[[#This Row],[prop_id]]))</f>
        <v/>
      </c>
      <c r="I30" s="7" t="s">
        <v>1000</v>
      </c>
      <c r="J30" s="83" t="s">
        <v>13</v>
      </c>
      <c r="K30" s="83" t="s">
        <v>13</v>
      </c>
      <c r="L30" s="83">
        <v>1</v>
      </c>
      <c r="M30" s="83">
        <v>0.5</v>
      </c>
      <c r="N30" s="84">
        <v>0</v>
      </c>
      <c r="O30" s="84">
        <v>0</v>
      </c>
      <c r="P30" s="84">
        <v>0</v>
      </c>
      <c r="Q30" s="85">
        <v>110067</v>
      </c>
      <c r="R30" s="83">
        <v>0</v>
      </c>
      <c r="S30" s="83">
        <v>2</v>
      </c>
      <c r="T30" s="11" t="str">
        <f ca="1">IF(ISBLANK(BudgetsTable[[#This Row],[budg_seq_yr]]),"FY"&amp;fiscalyear,"FY"&amp;fiscalyear-1+BudgetsTable[[#This Row],[budg_seq_yr]])</f>
        <v>FY19</v>
      </c>
      <c r="U30" s="84">
        <v>110067</v>
      </c>
      <c r="V30" s="83" t="s">
        <v>231</v>
      </c>
      <c r="W30" s="83" t="s">
        <v>417</v>
      </c>
      <c r="X30" s="83" t="s">
        <v>423</v>
      </c>
      <c r="Y30" s="81" t="s">
        <v>418</v>
      </c>
      <c r="Z30" s="81" t="s">
        <v>13</v>
      </c>
    </row>
    <row r="31" spans="1:26" x14ac:dyDescent="0.4">
      <c r="A31" s="10" t="s">
        <v>370</v>
      </c>
      <c r="B31" s="81" t="s">
        <v>96</v>
      </c>
      <c r="C31" s="82">
        <v>42933.820138888892</v>
      </c>
      <c r="D31" s="83" t="s">
        <v>266</v>
      </c>
      <c r="E31" s="83" t="s">
        <v>231</v>
      </c>
      <c r="F31" s="83" t="s">
        <v>417</v>
      </c>
      <c r="G31" s="83" t="s">
        <v>370</v>
      </c>
      <c r="H31" s="7" t="str">
        <f>IF(BudgetsTable[[#This Row],[pi_last_name]]=" ","",HYPERLINK("https://www.ejacket.nsf.gov/ej/showProposal.do?Continue=Y&amp;ID="&amp;BudgetsTable[[#This Row],[prop_id]],BudgetsTable[[#This Row],[prop_id]]))</f>
        <v/>
      </c>
      <c r="I31" s="7" t="s">
        <v>1000</v>
      </c>
      <c r="J31" s="83" t="s">
        <v>13</v>
      </c>
      <c r="K31" s="83" t="s">
        <v>13</v>
      </c>
      <c r="L31" s="83">
        <v>1</v>
      </c>
      <c r="M31" s="83">
        <v>0.5</v>
      </c>
      <c r="N31" s="84">
        <v>0</v>
      </c>
      <c r="O31" s="84">
        <v>0</v>
      </c>
      <c r="P31" s="84">
        <v>0</v>
      </c>
      <c r="Q31" s="85">
        <v>114453</v>
      </c>
      <c r="R31" s="83">
        <v>0</v>
      </c>
      <c r="S31" s="83">
        <v>3</v>
      </c>
      <c r="T31" s="11" t="str">
        <f ca="1">IF(ISBLANK(BudgetsTable[[#This Row],[budg_seq_yr]]),"FY"&amp;fiscalyear,"FY"&amp;fiscalyear-1+BudgetsTable[[#This Row],[budg_seq_yr]])</f>
        <v>FY20</v>
      </c>
      <c r="U31" s="84">
        <v>114453</v>
      </c>
      <c r="V31" s="83" t="s">
        <v>231</v>
      </c>
      <c r="W31" s="83" t="s">
        <v>417</v>
      </c>
      <c r="X31" s="83" t="s">
        <v>423</v>
      </c>
      <c r="Y31" s="81" t="s">
        <v>418</v>
      </c>
      <c r="Z31" s="81" t="s">
        <v>13</v>
      </c>
    </row>
    <row r="32" spans="1:26" x14ac:dyDescent="0.4">
      <c r="A32" s="10" t="s">
        <v>370</v>
      </c>
      <c r="B32" s="81" t="s">
        <v>96</v>
      </c>
      <c r="C32" s="82">
        <v>42933.820138888892</v>
      </c>
      <c r="D32" s="83" t="s">
        <v>266</v>
      </c>
      <c r="E32" s="83" t="s">
        <v>231</v>
      </c>
      <c r="F32" s="83" t="s">
        <v>417</v>
      </c>
      <c r="G32" s="83" t="s">
        <v>370</v>
      </c>
      <c r="H32" s="7" t="str">
        <f>IF(BudgetsTable[[#This Row],[pi_last_name]]=" ","",HYPERLINK("https://www.ejacket.nsf.gov/ej/showProposal.do?Continue=Y&amp;ID="&amp;BudgetsTable[[#This Row],[prop_id]],BudgetsTable[[#This Row],[prop_id]]))</f>
        <v/>
      </c>
      <c r="I32" s="7" t="s">
        <v>1000</v>
      </c>
      <c r="J32" s="83" t="s">
        <v>13</v>
      </c>
      <c r="K32" s="83" t="s">
        <v>13</v>
      </c>
      <c r="L32" s="83">
        <v>1</v>
      </c>
      <c r="M32" s="83">
        <v>0.5</v>
      </c>
      <c r="N32" s="84">
        <v>0</v>
      </c>
      <c r="O32" s="84">
        <v>0</v>
      </c>
      <c r="P32" s="84">
        <v>0</v>
      </c>
      <c r="Q32" s="85">
        <v>119025</v>
      </c>
      <c r="R32" s="83">
        <v>0</v>
      </c>
      <c r="S32" s="83">
        <v>4</v>
      </c>
      <c r="T32" s="11" t="str">
        <f ca="1">IF(ISBLANK(BudgetsTable[[#This Row],[budg_seq_yr]]),"FY"&amp;fiscalyear,"FY"&amp;fiscalyear-1+BudgetsTable[[#This Row],[budg_seq_yr]])</f>
        <v>FY21</v>
      </c>
      <c r="U32" s="84">
        <v>119025</v>
      </c>
      <c r="V32" s="83" t="s">
        <v>231</v>
      </c>
      <c r="W32" s="83" t="s">
        <v>417</v>
      </c>
      <c r="X32" s="83" t="s">
        <v>423</v>
      </c>
      <c r="Y32" s="81" t="s">
        <v>418</v>
      </c>
      <c r="Z32" s="81" t="s">
        <v>13</v>
      </c>
    </row>
    <row r="33" spans="1:26" x14ac:dyDescent="0.4">
      <c r="A33" s="10" t="s">
        <v>370</v>
      </c>
      <c r="B33" s="81" t="s">
        <v>96</v>
      </c>
      <c r="C33" s="82">
        <v>42933.820138888892</v>
      </c>
      <c r="D33" s="83" t="s">
        <v>266</v>
      </c>
      <c r="E33" s="83" t="s">
        <v>231</v>
      </c>
      <c r="F33" s="83" t="s">
        <v>417</v>
      </c>
      <c r="G33" s="83" t="s">
        <v>370</v>
      </c>
      <c r="H33" s="7" t="str">
        <f>IF(BudgetsTable[[#This Row],[pi_last_name]]=" ","",HYPERLINK("https://www.ejacket.nsf.gov/ej/showProposal.do?Continue=Y&amp;ID="&amp;BudgetsTable[[#This Row],[prop_id]],BudgetsTable[[#This Row],[prop_id]]))</f>
        <v/>
      </c>
      <c r="I33" s="7" t="s">
        <v>1000</v>
      </c>
      <c r="J33" s="83" t="s">
        <v>13</v>
      </c>
      <c r="K33" s="83" t="s">
        <v>13</v>
      </c>
      <c r="L33" s="83">
        <v>1</v>
      </c>
      <c r="M33" s="83">
        <v>0.5</v>
      </c>
      <c r="N33" s="84">
        <v>0</v>
      </c>
      <c r="O33" s="84">
        <v>0</v>
      </c>
      <c r="P33" s="84">
        <v>0</v>
      </c>
      <c r="Q33" s="85">
        <v>100707</v>
      </c>
      <c r="R33" s="83">
        <v>0</v>
      </c>
      <c r="S33" s="83">
        <v>5</v>
      </c>
      <c r="T33" s="11" t="str">
        <f ca="1">IF(ISBLANK(BudgetsTable[[#This Row],[budg_seq_yr]]),"FY"&amp;fiscalyear,"FY"&amp;fiscalyear-1+BudgetsTable[[#This Row],[budg_seq_yr]])</f>
        <v>FY22</v>
      </c>
      <c r="U33" s="84">
        <v>100707</v>
      </c>
      <c r="V33" s="83" t="s">
        <v>231</v>
      </c>
      <c r="W33" s="83" t="s">
        <v>417</v>
      </c>
      <c r="X33" s="83" t="s">
        <v>423</v>
      </c>
      <c r="Y33" s="81" t="s">
        <v>418</v>
      </c>
      <c r="Z33" s="81" t="s">
        <v>13</v>
      </c>
    </row>
    <row r="34" spans="1:26" x14ac:dyDescent="0.4">
      <c r="A34" s="10" t="s">
        <v>371</v>
      </c>
      <c r="B34" s="81" t="s">
        <v>96</v>
      </c>
      <c r="C34" s="82">
        <v>42934.453472222223</v>
      </c>
      <c r="D34" s="83" t="s">
        <v>266</v>
      </c>
      <c r="E34" s="83" t="s">
        <v>231</v>
      </c>
      <c r="F34" s="83" t="s">
        <v>417</v>
      </c>
      <c r="G34" s="83" t="s">
        <v>371</v>
      </c>
      <c r="H34" s="7" t="str">
        <f>IF(BudgetsTable[[#This Row],[pi_last_name]]=" ","",HYPERLINK("https://www.ejacket.nsf.gov/ej/showProposal.do?Continue=Y&amp;ID="&amp;BudgetsTable[[#This Row],[prop_id]],BudgetsTable[[#This Row],[prop_id]]))</f>
        <v>1749678</v>
      </c>
      <c r="I34" s="7" t="s">
        <v>999</v>
      </c>
      <c r="J34" s="83" t="s">
        <v>451</v>
      </c>
      <c r="K34" s="83" t="s">
        <v>453</v>
      </c>
      <c r="L34" s="83"/>
      <c r="M34" s="83"/>
      <c r="N34" s="84"/>
      <c r="O34" s="84"/>
      <c r="P34" s="84"/>
      <c r="Q34" s="85"/>
      <c r="R34" s="83">
        <v>0</v>
      </c>
      <c r="S34" s="83"/>
      <c r="T34" s="11" t="str">
        <f ca="1">IF(ISBLANK(BudgetsTable[[#This Row],[budg_seq_yr]]),"FY"&amp;fiscalyear,"FY"&amp;fiscalyear-1+BudgetsTable[[#This Row],[budg_seq_yr]])</f>
        <v>FY18</v>
      </c>
      <c r="U34" s="84">
        <v>514477</v>
      </c>
      <c r="V34" s="83" t="s">
        <v>231</v>
      </c>
      <c r="W34" s="83" t="s">
        <v>417</v>
      </c>
      <c r="X34" s="83" t="s">
        <v>423</v>
      </c>
      <c r="Y34" s="81" t="s">
        <v>434</v>
      </c>
      <c r="Z34" s="81" t="s">
        <v>454</v>
      </c>
    </row>
    <row r="35" spans="1:26" x14ac:dyDescent="0.4">
      <c r="A35" s="10" t="s">
        <v>371</v>
      </c>
      <c r="B35" s="81" t="s">
        <v>96</v>
      </c>
      <c r="C35" s="82">
        <v>42934.453472222223</v>
      </c>
      <c r="D35" s="83" t="s">
        <v>266</v>
      </c>
      <c r="E35" s="83" t="s">
        <v>231</v>
      </c>
      <c r="F35" s="83" t="s">
        <v>417</v>
      </c>
      <c r="G35" s="83" t="s">
        <v>371</v>
      </c>
      <c r="H35" s="7" t="str">
        <f>IF(BudgetsTable[[#This Row],[pi_last_name]]=" ","",HYPERLINK("https://www.ejacket.nsf.gov/ej/showProposal.do?Continue=Y&amp;ID="&amp;BudgetsTable[[#This Row],[prop_id]],BudgetsTable[[#This Row],[prop_id]]))</f>
        <v/>
      </c>
      <c r="I35" s="7" t="s">
        <v>1000</v>
      </c>
      <c r="J35" s="83" t="s">
        <v>13</v>
      </c>
      <c r="K35" s="83" t="s">
        <v>13</v>
      </c>
      <c r="L35" s="83">
        <v>0</v>
      </c>
      <c r="M35" s="83">
        <v>0</v>
      </c>
      <c r="N35" s="84">
        <v>0</v>
      </c>
      <c r="O35" s="84">
        <v>0</v>
      </c>
      <c r="P35" s="84">
        <v>0</v>
      </c>
      <c r="Q35" s="85">
        <v>91413</v>
      </c>
      <c r="R35" s="83">
        <v>0</v>
      </c>
      <c r="S35" s="83">
        <v>1</v>
      </c>
      <c r="T35" s="11" t="str">
        <f ca="1">IF(ISBLANK(BudgetsTable[[#This Row],[budg_seq_yr]]),"FY"&amp;fiscalyear,"FY"&amp;fiscalyear-1+BudgetsTable[[#This Row],[budg_seq_yr]])</f>
        <v>FY18</v>
      </c>
      <c r="U35" s="84">
        <v>91413</v>
      </c>
      <c r="V35" s="83" t="s">
        <v>231</v>
      </c>
      <c r="W35" s="83" t="s">
        <v>417</v>
      </c>
      <c r="X35" s="83" t="s">
        <v>423</v>
      </c>
      <c r="Y35" s="81" t="s">
        <v>434</v>
      </c>
      <c r="Z35" s="81" t="s">
        <v>13</v>
      </c>
    </row>
    <row r="36" spans="1:26" x14ac:dyDescent="0.4">
      <c r="A36" s="10" t="s">
        <v>371</v>
      </c>
      <c r="B36" s="81" t="s">
        <v>96</v>
      </c>
      <c r="C36" s="82">
        <v>42934.453472222223</v>
      </c>
      <c r="D36" s="83" t="s">
        <v>266</v>
      </c>
      <c r="E36" s="83" t="s">
        <v>231</v>
      </c>
      <c r="F36" s="83" t="s">
        <v>417</v>
      </c>
      <c r="G36" s="83" t="s">
        <v>371</v>
      </c>
      <c r="H36" s="7" t="str">
        <f>IF(BudgetsTable[[#This Row],[pi_last_name]]=" ","",HYPERLINK("https://www.ejacket.nsf.gov/ej/showProposal.do?Continue=Y&amp;ID="&amp;BudgetsTable[[#This Row],[prop_id]],BudgetsTable[[#This Row],[prop_id]]))</f>
        <v/>
      </c>
      <c r="I36" s="7" t="s">
        <v>1000</v>
      </c>
      <c r="J36" s="83" t="s">
        <v>13</v>
      </c>
      <c r="K36" s="83" t="s">
        <v>13</v>
      </c>
      <c r="L36" s="83">
        <v>1</v>
      </c>
      <c r="M36" s="83">
        <v>1</v>
      </c>
      <c r="N36" s="84">
        <v>0</v>
      </c>
      <c r="O36" s="84">
        <v>0</v>
      </c>
      <c r="P36" s="84">
        <v>0</v>
      </c>
      <c r="Q36" s="85">
        <v>113277</v>
      </c>
      <c r="R36" s="83">
        <v>0</v>
      </c>
      <c r="S36" s="83">
        <v>2</v>
      </c>
      <c r="T36" s="11" t="str">
        <f ca="1">IF(ISBLANK(BudgetsTable[[#This Row],[budg_seq_yr]]),"FY"&amp;fiscalyear,"FY"&amp;fiscalyear-1+BudgetsTable[[#This Row],[budg_seq_yr]])</f>
        <v>FY19</v>
      </c>
      <c r="U36" s="84">
        <v>113277</v>
      </c>
      <c r="V36" s="83" t="s">
        <v>231</v>
      </c>
      <c r="W36" s="83" t="s">
        <v>417</v>
      </c>
      <c r="X36" s="83" t="s">
        <v>423</v>
      </c>
      <c r="Y36" s="81" t="s">
        <v>434</v>
      </c>
      <c r="Z36" s="81" t="s">
        <v>13</v>
      </c>
    </row>
    <row r="37" spans="1:26" x14ac:dyDescent="0.4">
      <c r="A37" s="10" t="s">
        <v>371</v>
      </c>
      <c r="B37" s="81" t="s">
        <v>96</v>
      </c>
      <c r="C37" s="82">
        <v>42934.453472222223</v>
      </c>
      <c r="D37" s="83" t="s">
        <v>266</v>
      </c>
      <c r="E37" s="83" t="s">
        <v>231</v>
      </c>
      <c r="F37" s="83" t="s">
        <v>417</v>
      </c>
      <c r="G37" s="83" t="s">
        <v>371</v>
      </c>
      <c r="H37" s="7" t="str">
        <f>IF(BudgetsTable[[#This Row],[pi_last_name]]=" ","",HYPERLINK("https://www.ejacket.nsf.gov/ej/showProposal.do?Continue=Y&amp;ID="&amp;BudgetsTable[[#This Row],[prop_id]],BudgetsTable[[#This Row],[prop_id]]))</f>
        <v/>
      </c>
      <c r="I37" s="7" t="s">
        <v>1000</v>
      </c>
      <c r="J37" s="83" t="s">
        <v>13</v>
      </c>
      <c r="K37" s="83" t="s">
        <v>13</v>
      </c>
      <c r="L37" s="83">
        <v>1</v>
      </c>
      <c r="M37" s="83">
        <v>2</v>
      </c>
      <c r="N37" s="84">
        <v>0</v>
      </c>
      <c r="O37" s="84">
        <v>0</v>
      </c>
      <c r="P37" s="84">
        <v>0</v>
      </c>
      <c r="Q37" s="85">
        <v>100094</v>
      </c>
      <c r="R37" s="83">
        <v>0</v>
      </c>
      <c r="S37" s="83">
        <v>3</v>
      </c>
      <c r="T37" s="11" t="str">
        <f ca="1">IF(ISBLANK(BudgetsTable[[#This Row],[budg_seq_yr]]),"FY"&amp;fiscalyear,"FY"&amp;fiscalyear-1+BudgetsTable[[#This Row],[budg_seq_yr]])</f>
        <v>FY20</v>
      </c>
      <c r="U37" s="84">
        <v>100094</v>
      </c>
      <c r="V37" s="83" t="s">
        <v>231</v>
      </c>
      <c r="W37" s="83" t="s">
        <v>417</v>
      </c>
      <c r="X37" s="83" t="s">
        <v>423</v>
      </c>
      <c r="Y37" s="81" t="s">
        <v>434</v>
      </c>
      <c r="Z37" s="81" t="s">
        <v>13</v>
      </c>
    </row>
    <row r="38" spans="1:26" x14ac:dyDescent="0.4">
      <c r="A38" s="10" t="s">
        <v>371</v>
      </c>
      <c r="B38" s="81" t="s">
        <v>96</v>
      </c>
      <c r="C38" s="82">
        <v>42934.453472222223</v>
      </c>
      <c r="D38" s="83" t="s">
        <v>266</v>
      </c>
      <c r="E38" s="83" t="s">
        <v>231</v>
      </c>
      <c r="F38" s="83" t="s">
        <v>417</v>
      </c>
      <c r="G38" s="83" t="s">
        <v>371</v>
      </c>
      <c r="H38" s="7" t="str">
        <f>IF(BudgetsTable[[#This Row],[pi_last_name]]=" ","",HYPERLINK("https://www.ejacket.nsf.gov/ej/showProposal.do?Continue=Y&amp;ID="&amp;BudgetsTable[[#This Row],[prop_id]],BudgetsTable[[#This Row],[prop_id]]))</f>
        <v/>
      </c>
      <c r="I38" s="7" t="s">
        <v>1000</v>
      </c>
      <c r="J38" s="83" t="s">
        <v>13</v>
      </c>
      <c r="K38" s="83" t="s">
        <v>13</v>
      </c>
      <c r="L38" s="83">
        <v>1</v>
      </c>
      <c r="M38" s="83">
        <v>2</v>
      </c>
      <c r="N38" s="84">
        <v>0</v>
      </c>
      <c r="O38" s="84">
        <v>0</v>
      </c>
      <c r="P38" s="84">
        <v>0</v>
      </c>
      <c r="Q38" s="85">
        <v>103215</v>
      </c>
      <c r="R38" s="83">
        <v>0</v>
      </c>
      <c r="S38" s="83">
        <v>4</v>
      </c>
      <c r="T38" s="11" t="str">
        <f ca="1">IF(ISBLANK(BudgetsTable[[#This Row],[budg_seq_yr]]),"FY"&amp;fiscalyear,"FY"&amp;fiscalyear-1+BudgetsTable[[#This Row],[budg_seq_yr]])</f>
        <v>FY21</v>
      </c>
      <c r="U38" s="84">
        <v>103215</v>
      </c>
      <c r="V38" s="83" t="s">
        <v>231</v>
      </c>
      <c r="W38" s="83" t="s">
        <v>417</v>
      </c>
      <c r="X38" s="83" t="s">
        <v>423</v>
      </c>
      <c r="Y38" s="81" t="s">
        <v>434</v>
      </c>
      <c r="Z38" s="81" t="s">
        <v>13</v>
      </c>
    </row>
    <row r="39" spans="1:26" x14ac:dyDescent="0.4">
      <c r="A39" s="10" t="s">
        <v>371</v>
      </c>
      <c r="B39" s="81" t="s">
        <v>96</v>
      </c>
      <c r="C39" s="82">
        <v>42934.453472222223</v>
      </c>
      <c r="D39" s="83" t="s">
        <v>266</v>
      </c>
      <c r="E39" s="83" t="s">
        <v>231</v>
      </c>
      <c r="F39" s="83" t="s">
        <v>417</v>
      </c>
      <c r="G39" s="83" t="s">
        <v>371</v>
      </c>
      <c r="H39" s="7" t="str">
        <f>IF(BudgetsTable[[#This Row],[pi_last_name]]=" ","",HYPERLINK("https://www.ejacket.nsf.gov/ej/showProposal.do?Continue=Y&amp;ID="&amp;BudgetsTable[[#This Row],[prop_id]],BudgetsTable[[#This Row],[prop_id]]))</f>
        <v/>
      </c>
      <c r="I39" s="7" t="s">
        <v>1000</v>
      </c>
      <c r="J39" s="83" t="s">
        <v>13</v>
      </c>
      <c r="K39" s="83" t="s">
        <v>13</v>
      </c>
      <c r="L39" s="83">
        <v>1</v>
      </c>
      <c r="M39" s="83">
        <v>2</v>
      </c>
      <c r="N39" s="84">
        <v>0</v>
      </c>
      <c r="O39" s="84">
        <v>0</v>
      </c>
      <c r="P39" s="84">
        <v>0</v>
      </c>
      <c r="Q39" s="85">
        <v>106478</v>
      </c>
      <c r="R39" s="83">
        <v>0</v>
      </c>
      <c r="S39" s="83">
        <v>5</v>
      </c>
      <c r="T39" s="11" t="str">
        <f ca="1">IF(ISBLANK(BudgetsTable[[#This Row],[budg_seq_yr]]),"FY"&amp;fiscalyear,"FY"&amp;fiscalyear-1+BudgetsTable[[#This Row],[budg_seq_yr]])</f>
        <v>FY22</v>
      </c>
      <c r="U39" s="84">
        <v>106478</v>
      </c>
      <c r="V39" s="83" t="s">
        <v>231</v>
      </c>
      <c r="W39" s="83" t="s">
        <v>417</v>
      </c>
      <c r="X39" s="83" t="s">
        <v>423</v>
      </c>
      <c r="Y39" s="81" t="s">
        <v>434</v>
      </c>
      <c r="Z39" s="81" t="s">
        <v>13</v>
      </c>
    </row>
    <row r="40" spans="1:26" x14ac:dyDescent="0.4">
      <c r="A40" s="10" t="s">
        <v>372</v>
      </c>
      <c r="B40" s="81" t="s">
        <v>96</v>
      </c>
      <c r="C40" s="82">
        <v>42934.507638888892</v>
      </c>
      <c r="D40" s="83" t="s">
        <v>266</v>
      </c>
      <c r="E40" s="83" t="s">
        <v>231</v>
      </c>
      <c r="F40" s="83" t="s">
        <v>417</v>
      </c>
      <c r="G40" s="83" t="s">
        <v>372</v>
      </c>
      <c r="H40" s="7" t="str">
        <f>IF(BudgetsTable[[#This Row],[pi_last_name]]=" ","",HYPERLINK("https://www.ejacket.nsf.gov/ej/showProposal.do?Continue=Y&amp;ID="&amp;BudgetsTable[[#This Row],[prop_id]],BudgetsTable[[#This Row],[prop_id]]))</f>
        <v>1749734</v>
      </c>
      <c r="I40" s="7" t="s">
        <v>999</v>
      </c>
      <c r="J40" s="83" t="s">
        <v>457</v>
      </c>
      <c r="K40" s="83" t="s">
        <v>459</v>
      </c>
      <c r="L40" s="83"/>
      <c r="M40" s="83"/>
      <c r="N40" s="84"/>
      <c r="O40" s="84"/>
      <c r="P40" s="84"/>
      <c r="Q40" s="85"/>
      <c r="R40" s="83">
        <v>0</v>
      </c>
      <c r="S40" s="83"/>
      <c r="T40" s="11" t="str">
        <f ca="1">IF(ISBLANK(BudgetsTable[[#This Row],[budg_seq_yr]]),"FY"&amp;fiscalyear,"FY"&amp;fiscalyear-1+BudgetsTable[[#This Row],[budg_seq_yr]])</f>
        <v>FY18</v>
      </c>
      <c r="U40" s="84">
        <v>500000</v>
      </c>
      <c r="V40" s="83" t="s">
        <v>231</v>
      </c>
      <c r="W40" s="83" t="s">
        <v>417</v>
      </c>
      <c r="X40" s="83" t="s">
        <v>275</v>
      </c>
      <c r="Y40" s="81" t="s">
        <v>434</v>
      </c>
      <c r="Z40" s="81" t="s">
        <v>460</v>
      </c>
    </row>
    <row r="41" spans="1:26" x14ac:dyDescent="0.4">
      <c r="A41" s="10" t="s">
        <v>372</v>
      </c>
      <c r="B41" s="81" t="s">
        <v>96</v>
      </c>
      <c r="C41" s="82">
        <v>42934.507638888892</v>
      </c>
      <c r="D41" s="83" t="s">
        <v>266</v>
      </c>
      <c r="E41" s="83" t="s">
        <v>231</v>
      </c>
      <c r="F41" s="83" t="s">
        <v>417</v>
      </c>
      <c r="G41" s="83" t="s">
        <v>372</v>
      </c>
      <c r="H41" s="7" t="str">
        <f>IF(BudgetsTable[[#This Row],[pi_last_name]]=" ","",HYPERLINK("https://www.ejacket.nsf.gov/ej/showProposal.do?Continue=Y&amp;ID="&amp;BudgetsTable[[#This Row],[prop_id]],BudgetsTable[[#This Row],[prop_id]]))</f>
        <v/>
      </c>
      <c r="I41" s="7" t="s">
        <v>1000</v>
      </c>
      <c r="J41" s="83" t="s">
        <v>13</v>
      </c>
      <c r="K41" s="83" t="s">
        <v>13</v>
      </c>
      <c r="L41" s="83">
        <v>1</v>
      </c>
      <c r="M41" s="83">
        <v>1.35</v>
      </c>
      <c r="N41" s="84">
        <v>0</v>
      </c>
      <c r="O41" s="84">
        <v>0</v>
      </c>
      <c r="P41" s="84">
        <v>1500</v>
      </c>
      <c r="Q41" s="85">
        <v>94388</v>
      </c>
      <c r="R41" s="83">
        <v>0</v>
      </c>
      <c r="S41" s="83">
        <v>1</v>
      </c>
      <c r="T41" s="11" t="str">
        <f ca="1">IF(ISBLANK(BudgetsTable[[#This Row],[budg_seq_yr]]),"FY"&amp;fiscalyear,"FY"&amp;fiscalyear-1+BudgetsTable[[#This Row],[budg_seq_yr]])</f>
        <v>FY18</v>
      </c>
      <c r="U41" s="84">
        <v>94388</v>
      </c>
      <c r="V41" s="83" t="s">
        <v>231</v>
      </c>
      <c r="W41" s="83" t="s">
        <v>417</v>
      </c>
      <c r="X41" s="83" t="s">
        <v>275</v>
      </c>
      <c r="Y41" s="81" t="s">
        <v>434</v>
      </c>
      <c r="Z41" s="81" t="s">
        <v>13</v>
      </c>
    </row>
    <row r="42" spans="1:26" x14ac:dyDescent="0.4">
      <c r="A42" s="10" t="s">
        <v>372</v>
      </c>
      <c r="B42" s="81" t="s">
        <v>96</v>
      </c>
      <c r="C42" s="82">
        <v>42934.507638888892</v>
      </c>
      <c r="D42" s="83" t="s">
        <v>266</v>
      </c>
      <c r="E42" s="83" t="s">
        <v>231</v>
      </c>
      <c r="F42" s="83" t="s">
        <v>417</v>
      </c>
      <c r="G42" s="83" t="s">
        <v>372</v>
      </c>
      <c r="H42" s="7" t="str">
        <f>IF(BudgetsTable[[#This Row],[pi_last_name]]=" ","",HYPERLINK("https://www.ejacket.nsf.gov/ej/showProposal.do?Continue=Y&amp;ID="&amp;BudgetsTable[[#This Row],[prop_id]],BudgetsTable[[#This Row],[prop_id]]))</f>
        <v/>
      </c>
      <c r="I42" s="7" t="s">
        <v>1000</v>
      </c>
      <c r="J42" s="83" t="s">
        <v>13</v>
      </c>
      <c r="K42" s="83" t="s">
        <v>13</v>
      </c>
      <c r="L42" s="83">
        <v>1</v>
      </c>
      <c r="M42" s="83">
        <v>1.35</v>
      </c>
      <c r="N42" s="84">
        <v>0</v>
      </c>
      <c r="O42" s="84">
        <v>0</v>
      </c>
      <c r="P42" s="84">
        <v>1500</v>
      </c>
      <c r="Q42" s="85">
        <v>97104</v>
      </c>
      <c r="R42" s="83">
        <v>0</v>
      </c>
      <c r="S42" s="83">
        <v>2</v>
      </c>
      <c r="T42" s="11" t="str">
        <f ca="1">IF(ISBLANK(BudgetsTable[[#This Row],[budg_seq_yr]]),"FY"&amp;fiscalyear,"FY"&amp;fiscalyear-1+BudgetsTable[[#This Row],[budg_seq_yr]])</f>
        <v>FY19</v>
      </c>
      <c r="U42" s="84">
        <v>97104</v>
      </c>
      <c r="V42" s="83" t="s">
        <v>231</v>
      </c>
      <c r="W42" s="83" t="s">
        <v>417</v>
      </c>
      <c r="X42" s="83" t="s">
        <v>275</v>
      </c>
      <c r="Y42" s="81" t="s">
        <v>434</v>
      </c>
      <c r="Z42" s="81" t="s">
        <v>13</v>
      </c>
    </row>
    <row r="43" spans="1:26" x14ac:dyDescent="0.4">
      <c r="A43" s="10" t="s">
        <v>372</v>
      </c>
      <c r="B43" s="81" t="s">
        <v>96</v>
      </c>
      <c r="C43" s="82">
        <v>42934.507638888892</v>
      </c>
      <c r="D43" s="83" t="s">
        <v>266</v>
      </c>
      <c r="E43" s="83" t="s">
        <v>231</v>
      </c>
      <c r="F43" s="83" t="s">
        <v>417</v>
      </c>
      <c r="G43" s="83" t="s">
        <v>372</v>
      </c>
      <c r="H43" s="7" t="str">
        <f>IF(BudgetsTable[[#This Row],[pi_last_name]]=" ","",HYPERLINK("https://www.ejacket.nsf.gov/ej/showProposal.do?Continue=Y&amp;ID="&amp;BudgetsTable[[#This Row],[prop_id]],BudgetsTable[[#This Row],[prop_id]]))</f>
        <v/>
      </c>
      <c r="I43" s="7" t="s">
        <v>1000</v>
      </c>
      <c r="J43" s="83" t="s">
        <v>13</v>
      </c>
      <c r="K43" s="83" t="s">
        <v>13</v>
      </c>
      <c r="L43" s="83">
        <v>1</v>
      </c>
      <c r="M43" s="83">
        <v>1.35</v>
      </c>
      <c r="N43" s="84">
        <v>0</v>
      </c>
      <c r="O43" s="84">
        <v>0</v>
      </c>
      <c r="P43" s="84">
        <v>1500</v>
      </c>
      <c r="Q43" s="85">
        <v>99911</v>
      </c>
      <c r="R43" s="83">
        <v>0</v>
      </c>
      <c r="S43" s="83">
        <v>3</v>
      </c>
      <c r="T43" s="11" t="str">
        <f ca="1">IF(ISBLANK(BudgetsTable[[#This Row],[budg_seq_yr]]),"FY"&amp;fiscalyear,"FY"&amp;fiscalyear-1+BudgetsTable[[#This Row],[budg_seq_yr]])</f>
        <v>FY20</v>
      </c>
      <c r="U43" s="84">
        <v>99911</v>
      </c>
      <c r="V43" s="83" t="s">
        <v>231</v>
      </c>
      <c r="W43" s="83" t="s">
        <v>417</v>
      </c>
      <c r="X43" s="83" t="s">
        <v>275</v>
      </c>
      <c r="Y43" s="81" t="s">
        <v>434</v>
      </c>
      <c r="Z43" s="81" t="s">
        <v>13</v>
      </c>
    </row>
    <row r="44" spans="1:26" x14ac:dyDescent="0.4">
      <c r="A44" s="10" t="s">
        <v>372</v>
      </c>
      <c r="B44" s="81" t="s">
        <v>96</v>
      </c>
      <c r="C44" s="82">
        <v>42934.507638888892</v>
      </c>
      <c r="D44" s="83" t="s">
        <v>266</v>
      </c>
      <c r="E44" s="83" t="s">
        <v>231</v>
      </c>
      <c r="F44" s="83" t="s">
        <v>417</v>
      </c>
      <c r="G44" s="83" t="s">
        <v>372</v>
      </c>
      <c r="H44" s="7" t="str">
        <f>IF(BudgetsTable[[#This Row],[pi_last_name]]=" ","",HYPERLINK("https://www.ejacket.nsf.gov/ej/showProposal.do?Continue=Y&amp;ID="&amp;BudgetsTable[[#This Row],[prop_id]],BudgetsTable[[#This Row],[prop_id]]))</f>
        <v/>
      </c>
      <c r="I44" s="7" t="s">
        <v>1000</v>
      </c>
      <c r="J44" s="83" t="s">
        <v>13</v>
      </c>
      <c r="K44" s="83" t="s">
        <v>13</v>
      </c>
      <c r="L44" s="83">
        <v>1</v>
      </c>
      <c r="M44" s="83">
        <v>1.35</v>
      </c>
      <c r="N44" s="84">
        <v>0</v>
      </c>
      <c r="O44" s="84">
        <v>0</v>
      </c>
      <c r="P44" s="84">
        <v>1500</v>
      </c>
      <c r="Q44" s="85">
        <v>102803</v>
      </c>
      <c r="R44" s="83">
        <v>0</v>
      </c>
      <c r="S44" s="83">
        <v>4</v>
      </c>
      <c r="T44" s="11" t="str">
        <f ca="1">IF(ISBLANK(BudgetsTable[[#This Row],[budg_seq_yr]]),"FY"&amp;fiscalyear,"FY"&amp;fiscalyear-1+BudgetsTable[[#This Row],[budg_seq_yr]])</f>
        <v>FY21</v>
      </c>
      <c r="U44" s="84">
        <v>102803</v>
      </c>
      <c r="V44" s="83" t="s">
        <v>231</v>
      </c>
      <c r="W44" s="83" t="s">
        <v>417</v>
      </c>
      <c r="X44" s="83" t="s">
        <v>275</v>
      </c>
      <c r="Y44" s="81" t="s">
        <v>434</v>
      </c>
      <c r="Z44" s="81" t="s">
        <v>13</v>
      </c>
    </row>
    <row r="45" spans="1:26" x14ac:dyDescent="0.4">
      <c r="A45" s="10" t="s">
        <v>372</v>
      </c>
      <c r="B45" s="81" t="s">
        <v>96</v>
      </c>
      <c r="C45" s="82">
        <v>42934.507638888892</v>
      </c>
      <c r="D45" s="83" t="s">
        <v>266</v>
      </c>
      <c r="E45" s="83" t="s">
        <v>231</v>
      </c>
      <c r="F45" s="83" t="s">
        <v>417</v>
      </c>
      <c r="G45" s="83" t="s">
        <v>372</v>
      </c>
      <c r="H45" s="7" t="str">
        <f>IF(BudgetsTable[[#This Row],[pi_last_name]]=" ","",HYPERLINK("https://www.ejacket.nsf.gov/ej/showProposal.do?Continue=Y&amp;ID="&amp;BudgetsTable[[#This Row],[prop_id]],BudgetsTable[[#This Row],[prop_id]]))</f>
        <v/>
      </c>
      <c r="I45" s="7" t="s">
        <v>1000</v>
      </c>
      <c r="J45" s="83" t="s">
        <v>13</v>
      </c>
      <c r="K45" s="83" t="s">
        <v>13</v>
      </c>
      <c r="L45" s="83">
        <v>1</v>
      </c>
      <c r="M45" s="83">
        <v>1.35</v>
      </c>
      <c r="N45" s="84">
        <v>0</v>
      </c>
      <c r="O45" s="84">
        <v>0</v>
      </c>
      <c r="P45" s="84">
        <v>1500</v>
      </c>
      <c r="Q45" s="85">
        <v>105794</v>
      </c>
      <c r="R45" s="83">
        <v>0</v>
      </c>
      <c r="S45" s="83">
        <v>5</v>
      </c>
      <c r="T45" s="11" t="str">
        <f ca="1">IF(ISBLANK(BudgetsTable[[#This Row],[budg_seq_yr]]),"FY"&amp;fiscalyear,"FY"&amp;fiscalyear-1+BudgetsTable[[#This Row],[budg_seq_yr]])</f>
        <v>FY22</v>
      </c>
      <c r="U45" s="84">
        <v>105794</v>
      </c>
      <c r="V45" s="83" t="s">
        <v>231</v>
      </c>
      <c r="W45" s="83" t="s">
        <v>417</v>
      </c>
      <c r="X45" s="83" t="s">
        <v>275</v>
      </c>
      <c r="Y45" s="81" t="s">
        <v>434</v>
      </c>
      <c r="Z45" s="81" t="s">
        <v>13</v>
      </c>
    </row>
    <row r="46" spans="1:26" x14ac:dyDescent="0.4">
      <c r="A46" s="10" t="s">
        <v>373</v>
      </c>
      <c r="B46" s="81" t="s">
        <v>96</v>
      </c>
      <c r="C46" s="82">
        <v>42934.524305555555</v>
      </c>
      <c r="D46" s="83" t="s">
        <v>266</v>
      </c>
      <c r="E46" s="83" t="s">
        <v>231</v>
      </c>
      <c r="F46" s="83" t="s">
        <v>417</v>
      </c>
      <c r="G46" s="83" t="s">
        <v>373</v>
      </c>
      <c r="H46" s="7" t="str">
        <f>IF(BudgetsTable[[#This Row],[pi_last_name]]=" ","",HYPERLINK("https://www.ejacket.nsf.gov/ej/showProposal.do?Continue=Y&amp;ID="&amp;BudgetsTable[[#This Row],[prop_id]],BudgetsTable[[#This Row],[prop_id]]))</f>
        <v>1749748</v>
      </c>
      <c r="I46" s="7" t="s">
        <v>999</v>
      </c>
      <c r="J46" s="83" t="s">
        <v>464</v>
      </c>
      <c r="K46" s="83" t="s">
        <v>466</v>
      </c>
      <c r="L46" s="83"/>
      <c r="M46" s="83"/>
      <c r="N46" s="84"/>
      <c r="O46" s="84"/>
      <c r="P46" s="84"/>
      <c r="Q46" s="85"/>
      <c r="R46" s="83">
        <v>0</v>
      </c>
      <c r="S46" s="83"/>
      <c r="T46" s="11" t="str">
        <f ca="1">IF(ISBLANK(BudgetsTable[[#This Row],[budg_seq_yr]]),"FY"&amp;fiscalyear,"FY"&amp;fiscalyear-1+BudgetsTable[[#This Row],[budg_seq_yr]])</f>
        <v>FY18</v>
      </c>
      <c r="U46" s="84">
        <v>446040</v>
      </c>
      <c r="V46" s="83" t="s">
        <v>231</v>
      </c>
      <c r="W46" s="83" t="s">
        <v>417</v>
      </c>
      <c r="X46" s="83" t="s">
        <v>423</v>
      </c>
      <c r="Y46" s="81" t="s">
        <v>463</v>
      </c>
      <c r="Z46" s="81" t="s">
        <v>468</v>
      </c>
    </row>
    <row r="47" spans="1:26" x14ac:dyDescent="0.4">
      <c r="A47" s="10" t="s">
        <v>373</v>
      </c>
      <c r="B47" s="81" t="s">
        <v>96</v>
      </c>
      <c r="C47" s="82">
        <v>42934.524305555555</v>
      </c>
      <c r="D47" s="83" t="s">
        <v>266</v>
      </c>
      <c r="E47" s="83" t="s">
        <v>231</v>
      </c>
      <c r="F47" s="83" t="s">
        <v>417</v>
      </c>
      <c r="G47" s="83" t="s">
        <v>373</v>
      </c>
      <c r="H47" s="7" t="str">
        <f>IF(BudgetsTable[[#This Row],[pi_last_name]]=" ","",HYPERLINK("https://www.ejacket.nsf.gov/ej/showProposal.do?Continue=Y&amp;ID="&amp;BudgetsTable[[#This Row],[prop_id]],BudgetsTable[[#This Row],[prop_id]]))</f>
        <v/>
      </c>
      <c r="I47" s="7" t="s">
        <v>1000</v>
      </c>
      <c r="J47" s="83" t="s">
        <v>13</v>
      </c>
      <c r="K47" s="83" t="s">
        <v>13</v>
      </c>
      <c r="L47" s="83">
        <v>1</v>
      </c>
      <c r="M47" s="83">
        <v>1</v>
      </c>
      <c r="N47" s="84">
        <v>0</v>
      </c>
      <c r="O47" s="84">
        <v>4000</v>
      </c>
      <c r="P47" s="84">
        <v>0</v>
      </c>
      <c r="Q47" s="85">
        <v>86236</v>
      </c>
      <c r="R47" s="83">
        <v>0</v>
      </c>
      <c r="S47" s="83">
        <v>1</v>
      </c>
      <c r="T47" s="11" t="str">
        <f ca="1">IF(ISBLANK(BudgetsTable[[#This Row],[budg_seq_yr]]),"FY"&amp;fiscalyear,"FY"&amp;fiscalyear-1+BudgetsTable[[#This Row],[budg_seq_yr]])</f>
        <v>FY18</v>
      </c>
      <c r="U47" s="84">
        <v>86236</v>
      </c>
      <c r="V47" s="83" t="s">
        <v>231</v>
      </c>
      <c r="W47" s="83" t="s">
        <v>417</v>
      </c>
      <c r="X47" s="83" t="s">
        <v>423</v>
      </c>
      <c r="Y47" s="81" t="s">
        <v>463</v>
      </c>
      <c r="Z47" s="81" t="s">
        <v>13</v>
      </c>
    </row>
    <row r="48" spans="1:26" x14ac:dyDescent="0.4">
      <c r="A48" s="10" t="s">
        <v>373</v>
      </c>
      <c r="B48" s="81" t="s">
        <v>96</v>
      </c>
      <c r="C48" s="82">
        <v>42934.524305555555</v>
      </c>
      <c r="D48" s="83" t="s">
        <v>266</v>
      </c>
      <c r="E48" s="83" t="s">
        <v>231</v>
      </c>
      <c r="F48" s="83" t="s">
        <v>417</v>
      </c>
      <c r="G48" s="83" t="s">
        <v>373</v>
      </c>
      <c r="H48" s="7" t="str">
        <f>IF(BudgetsTable[[#This Row],[pi_last_name]]=" ","",HYPERLINK("https://www.ejacket.nsf.gov/ej/showProposal.do?Continue=Y&amp;ID="&amp;BudgetsTable[[#This Row],[prop_id]],BudgetsTable[[#This Row],[prop_id]]))</f>
        <v/>
      </c>
      <c r="I48" s="7" t="s">
        <v>1000</v>
      </c>
      <c r="J48" s="83" t="s">
        <v>13</v>
      </c>
      <c r="K48" s="83" t="s">
        <v>13</v>
      </c>
      <c r="L48" s="83">
        <v>1</v>
      </c>
      <c r="M48" s="83">
        <v>1</v>
      </c>
      <c r="N48" s="84">
        <v>0</v>
      </c>
      <c r="O48" s="84">
        <v>4000</v>
      </c>
      <c r="P48" s="84">
        <v>0</v>
      </c>
      <c r="Q48" s="85">
        <v>88371</v>
      </c>
      <c r="R48" s="83">
        <v>0</v>
      </c>
      <c r="S48" s="83">
        <v>2</v>
      </c>
      <c r="T48" s="11" t="str">
        <f ca="1">IF(ISBLANK(BudgetsTable[[#This Row],[budg_seq_yr]]),"FY"&amp;fiscalyear,"FY"&amp;fiscalyear-1+BudgetsTable[[#This Row],[budg_seq_yr]])</f>
        <v>FY19</v>
      </c>
      <c r="U48" s="84">
        <v>88371</v>
      </c>
      <c r="V48" s="83" t="s">
        <v>231</v>
      </c>
      <c r="W48" s="83" t="s">
        <v>417</v>
      </c>
      <c r="X48" s="83" t="s">
        <v>423</v>
      </c>
      <c r="Y48" s="81" t="s">
        <v>463</v>
      </c>
      <c r="Z48" s="81" t="s">
        <v>13</v>
      </c>
    </row>
    <row r="49" spans="1:26" x14ac:dyDescent="0.4">
      <c r="A49" s="10" t="s">
        <v>373</v>
      </c>
      <c r="B49" s="81" t="s">
        <v>96</v>
      </c>
      <c r="C49" s="82">
        <v>42934.524305555555</v>
      </c>
      <c r="D49" s="83" t="s">
        <v>266</v>
      </c>
      <c r="E49" s="83" t="s">
        <v>231</v>
      </c>
      <c r="F49" s="83" t="s">
        <v>417</v>
      </c>
      <c r="G49" s="83" t="s">
        <v>373</v>
      </c>
      <c r="H49" s="7" t="str">
        <f>IF(BudgetsTable[[#This Row],[pi_last_name]]=" ","",HYPERLINK("https://www.ejacket.nsf.gov/ej/showProposal.do?Continue=Y&amp;ID="&amp;BudgetsTable[[#This Row],[prop_id]],BudgetsTable[[#This Row],[prop_id]]))</f>
        <v/>
      </c>
      <c r="I49" s="7" t="s">
        <v>1000</v>
      </c>
      <c r="J49" s="83" t="s">
        <v>13</v>
      </c>
      <c r="K49" s="83" t="s">
        <v>13</v>
      </c>
      <c r="L49" s="83">
        <v>1</v>
      </c>
      <c r="M49" s="83">
        <v>1</v>
      </c>
      <c r="N49" s="84">
        <v>0</v>
      </c>
      <c r="O49" s="84">
        <v>4000</v>
      </c>
      <c r="P49" s="84">
        <v>0</v>
      </c>
      <c r="Q49" s="85">
        <v>88191</v>
      </c>
      <c r="R49" s="83">
        <v>0</v>
      </c>
      <c r="S49" s="83">
        <v>3</v>
      </c>
      <c r="T49" s="11" t="str">
        <f ca="1">IF(ISBLANK(BudgetsTable[[#This Row],[budg_seq_yr]]),"FY"&amp;fiscalyear,"FY"&amp;fiscalyear-1+BudgetsTable[[#This Row],[budg_seq_yr]])</f>
        <v>FY20</v>
      </c>
      <c r="U49" s="84">
        <v>88191</v>
      </c>
      <c r="V49" s="83" t="s">
        <v>231</v>
      </c>
      <c r="W49" s="83" t="s">
        <v>417</v>
      </c>
      <c r="X49" s="83" t="s">
        <v>423</v>
      </c>
      <c r="Y49" s="81" t="s">
        <v>463</v>
      </c>
      <c r="Z49" s="81" t="s">
        <v>13</v>
      </c>
    </row>
    <row r="50" spans="1:26" x14ac:dyDescent="0.4">
      <c r="A50" s="10" t="s">
        <v>373</v>
      </c>
      <c r="B50" s="81" t="s">
        <v>96</v>
      </c>
      <c r="C50" s="82">
        <v>42934.524305555555</v>
      </c>
      <c r="D50" s="83" t="s">
        <v>266</v>
      </c>
      <c r="E50" s="83" t="s">
        <v>231</v>
      </c>
      <c r="F50" s="83" t="s">
        <v>417</v>
      </c>
      <c r="G50" s="83" t="s">
        <v>373</v>
      </c>
      <c r="H50" s="7" t="str">
        <f>IF(BudgetsTable[[#This Row],[pi_last_name]]=" ","",HYPERLINK("https://www.ejacket.nsf.gov/ej/showProposal.do?Continue=Y&amp;ID="&amp;BudgetsTable[[#This Row],[prop_id]],BudgetsTable[[#This Row],[prop_id]]))</f>
        <v/>
      </c>
      <c r="I50" s="7" t="s">
        <v>1000</v>
      </c>
      <c r="J50" s="83" t="s">
        <v>13</v>
      </c>
      <c r="K50" s="83" t="s">
        <v>13</v>
      </c>
      <c r="L50" s="83">
        <v>1</v>
      </c>
      <c r="M50" s="83">
        <v>1</v>
      </c>
      <c r="N50" s="84">
        <v>0</v>
      </c>
      <c r="O50" s="84">
        <v>4000</v>
      </c>
      <c r="P50" s="84">
        <v>0</v>
      </c>
      <c r="Q50" s="85">
        <v>90454</v>
      </c>
      <c r="R50" s="83">
        <v>0</v>
      </c>
      <c r="S50" s="83">
        <v>4</v>
      </c>
      <c r="T50" s="11" t="str">
        <f ca="1">IF(ISBLANK(BudgetsTable[[#This Row],[budg_seq_yr]]),"FY"&amp;fiscalyear,"FY"&amp;fiscalyear-1+BudgetsTable[[#This Row],[budg_seq_yr]])</f>
        <v>FY21</v>
      </c>
      <c r="U50" s="84">
        <v>90454</v>
      </c>
      <c r="V50" s="83" t="s">
        <v>231</v>
      </c>
      <c r="W50" s="83" t="s">
        <v>417</v>
      </c>
      <c r="X50" s="83" t="s">
        <v>423</v>
      </c>
      <c r="Y50" s="81" t="s">
        <v>463</v>
      </c>
      <c r="Z50" s="81" t="s">
        <v>13</v>
      </c>
    </row>
    <row r="51" spans="1:26" x14ac:dyDescent="0.4">
      <c r="A51" s="10" t="s">
        <v>373</v>
      </c>
      <c r="B51" s="81" t="s">
        <v>96</v>
      </c>
      <c r="C51" s="82">
        <v>42934.524305555555</v>
      </c>
      <c r="D51" s="83" t="s">
        <v>266</v>
      </c>
      <c r="E51" s="83" t="s">
        <v>231</v>
      </c>
      <c r="F51" s="83" t="s">
        <v>417</v>
      </c>
      <c r="G51" s="83" t="s">
        <v>373</v>
      </c>
      <c r="H51" s="7" t="str">
        <f>IF(BudgetsTable[[#This Row],[pi_last_name]]=" ","",HYPERLINK("https://www.ejacket.nsf.gov/ej/showProposal.do?Continue=Y&amp;ID="&amp;BudgetsTable[[#This Row],[prop_id]],BudgetsTable[[#This Row],[prop_id]]))</f>
        <v/>
      </c>
      <c r="I51" s="7" t="s">
        <v>1000</v>
      </c>
      <c r="J51" s="83" t="s">
        <v>13</v>
      </c>
      <c r="K51" s="83" t="s">
        <v>13</v>
      </c>
      <c r="L51" s="83">
        <v>1</v>
      </c>
      <c r="M51" s="83">
        <v>1</v>
      </c>
      <c r="N51" s="84">
        <v>0</v>
      </c>
      <c r="O51" s="84">
        <v>4000</v>
      </c>
      <c r="P51" s="84">
        <v>0</v>
      </c>
      <c r="Q51" s="85">
        <v>92788</v>
      </c>
      <c r="R51" s="83">
        <v>0</v>
      </c>
      <c r="S51" s="83">
        <v>5</v>
      </c>
      <c r="T51" s="11" t="str">
        <f ca="1">IF(ISBLANK(BudgetsTable[[#This Row],[budg_seq_yr]]),"FY"&amp;fiscalyear,"FY"&amp;fiscalyear-1+BudgetsTable[[#This Row],[budg_seq_yr]])</f>
        <v>FY22</v>
      </c>
      <c r="U51" s="84">
        <v>92788</v>
      </c>
      <c r="V51" s="83" t="s">
        <v>231</v>
      </c>
      <c r="W51" s="83" t="s">
        <v>417</v>
      </c>
      <c r="X51" s="83" t="s">
        <v>423</v>
      </c>
      <c r="Y51" s="81" t="s">
        <v>463</v>
      </c>
      <c r="Z51" s="81" t="s">
        <v>13</v>
      </c>
    </row>
    <row r="52" spans="1:26" x14ac:dyDescent="0.4">
      <c r="A52" s="10" t="s">
        <v>374</v>
      </c>
      <c r="B52" s="81" t="s">
        <v>96</v>
      </c>
      <c r="C52" s="82">
        <v>42934.695138888892</v>
      </c>
      <c r="D52" s="83" t="s">
        <v>266</v>
      </c>
      <c r="E52" s="83" t="s">
        <v>231</v>
      </c>
      <c r="F52" s="83" t="s">
        <v>417</v>
      </c>
      <c r="G52" s="83" t="s">
        <v>374</v>
      </c>
      <c r="H52" s="7" t="str">
        <f>IF(BudgetsTable[[#This Row],[pi_last_name]]=" ","",HYPERLINK("https://www.ejacket.nsf.gov/ej/showProposal.do?Continue=Y&amp;ID="&amp;BudgetsTable[[#This Row],[prop_id]],BudgetsTable[[#This Row],[prop_id]]))</f>
        <v>1749977</v>
      </c>
      <c r="I52" s="7" t="s">
        <v>999</v>
      </c>
      <c r="J52" s="83" t="s">
        <v>471</v>
      </c>
      <c r="K52" s="83" t="s">
        <v>232</v>
      </c>
      <c r="L52" s="83"/>
      <c r="M52" s="83"/>
      <c r="N52" s="84"/>
      <c r="O52" s="84"/>
      <c r="P52" s="84"/>
      <c r="Q52" s="85"/>
      <c r="R52" s="83">
        <v>0</v>
      </c>
      <c r="S52" s="83"/>
      <c r="T52" s="11" t="str">
        <f ca="1">IF(ISBLANK(BudgetsTable[[#This Row],[budg_seq_yr]]),"FY"&amp;fiscalyear,"FY"&amp;fiscalyear-1+BudgetsTable[[#This Row],[budg_seq_yr]])</f>
        <v>FY18</v>
      </c>
      <c r="U52" s="84">
        <v>550000</v>
      </c>
      <c r="V52" s="83" t="s">
        <v>231</v>
      </c>
      <c r="W52" s="83" t="s">
        <v>417</v>
      </c>
      <c r="X52" s="83" t="s">
        <v>431</v>
      </c>
      <c r="Y52" s="81" t="s">
        <v>418</v>
      </c>
      <c r="Z52" s="81" t="s">
        <v>473</v>
      </c>
    </row>
    <row r="53" spans="1:26" x14ac:dyDescent="0.4">
      <c r="A53" s="10" t="s">
        <v>374</v>
      </c>
      <c r="B53" s="81" t="s">
        <v>96</v>
      </c>
      <c r="C53" s="82">
        <v>42934.695138888892</v>
      </c>
      <c r="D53" s="83" t="s">
        <v>266</v>
      </c>
      <c r="E53" s="83" t="s">
        <v>231</v>
      </c>
      <c r="F53" s="83" t="s">
        <v>417</v>
      </c>
      <c r="G53" s="83" t="s">
        <v>374</v>
      </c>
      <c r="H53" s="7" t="str">
        <f>IF(BudgetsTable[[#This Row],[pi_last_name]]=" ","",HYPERLINK("https://www.ejacket.nsf.gov/ej/showProposal.do?Continue=Y&amp;ID="&amp;BudgetsTable[[#This Row],[prop_id]],BudgetsTable[[#This Row],[prop_id]]))</f>
        <v/>
      </c>
      <c r="I53" s="7" t="s">
        <v>1000</v>
      </c>
      <c r="J53" s="83" t="s">
        <v>13</v>
      </c>
      <c r="K53" s="83" t="s">
        <v>13</v>
      </c>
      <c r="L53" s="83">
        <v>1</v>
      </c>
      <c r="M53" s="83">
        <v>0.5</v>
      </c>
      <c r="N53" s="84">
        <v>0</v>
      </c>
      <c r="O53" s="84">
        <v>0</v>
      </c>
      <c r="P53" s="84">
        <v>0</v>
      </c>
      <c r="Q53" s="85">
        <v>103625</v>
      </c>
      <c r="R53" s="83">
        <v>0</v>
      </c>
      <c r="S53" s="83">
        <v>1</v>
      </c>
      <c r="T53" s="11" t="str">
        <f ca="1">IF(ISBLANK(BudgetsTable[[#This Row],[budg_seq_yr]]),"FY"&amp;fiscalyear,"FY"&amp;fiscalyear-1+BudgetsTable[[#This Row],[budg_seq_yr]])</f>
        <v>FY18</v>
      </c>
      <c r="U53" s="84">
        <v>103625</v>
      </c>
      <c r="V53" s="83" t="s">
        <v>231</v>
      </c>
      <c r="W53" s="83" t="s">
        <v>417</v>
      </c>
      <c r="X53" s="83" t="s">
        <v>431</v>
      </c>
      <c r="Y53" s="81" t="s">
        <v>418</v>
      </c>
      <c r="Z53" s="81" t="s">
        <v>13</v>
      </c>
    </row>
    <row r="54" spans="1:26" x14ac:dyDescent="0.4">
      <c r="A54" s="10" t="s">
        <v>374</v>
      </c>
      <c r="B54" s="81" t="s">
        <v>96</v>
      </c>
      <c r="C54" s="82">
        <v>42934.695138888892</v>
      </c>
      <c r="D54" s="83" t="s">
        <v>266</v>
      </c>
      <c r="E54" s="83" t="s">
        <v>231</v>
      </c>
      <c r="F54" s="83" t="s">
        <v>417</v>
      </c>
      <c r="G54" s="83" t="s">
        <v>374</v>
      </c>
      <c r="H54" s="7" t="str">
        <f>IF(BudgetsTable[[#This Row],[pi_last_name]]=" ","",HYPERLINK("https://www.ejacket.nsf.gov/ej/showProposal.do?Continue=Y&amp;ID="&amp;BudgetsTable[[#This Row],[prop_id]],BudgetsTable[[#This Row],[prop_id]]))</f>
        <v/>
      </c>
      <c r="I54" s="7" t="s">
        <v>1000</v>
      </c>
      <c r="J54" s="83" t="s">
        <v>13</v>
      </c>
      <c r="K54" s="83" t="s">
        <v>13</v>
      </c>
      <c r="L54" s="83">
        <v>1</v>
      </c>
      <c r="M54" s="83">
        <v>0.5</v>
      </c>
      <c r="N54" s="84">
        <v>0</v>
      </c>
      <c r="O54" s="84">
        <v>0</v>
      </c>
      <c r="P54" s="84">
        <v>0</v>
      </c>
      <c r="Q54" s="85">
        <v>106592</v>
      </c>
      <c r="R54" s="83">
        <v>0</v>
      </c>
      <c r="S54" s="83">
        <v>2</v>
      </c>
      <c r="T54" s="11" t="str">
        <f ca="1">IF(ISBLANK(BudgetsTable[[#This Row],[budg_seq_yr]]),"FY"&amp;fiscalyear,"FY"&amp;fiscalyear-1+BudgetsTable[[#This Row],[budg_seq_yr]])</f>
        <v>FY19</v>
      </c>
      <c r="U54" s="84">
        <v>106592</v>
      </c>
      <c r="V54" s="83" t="s">
        <v>231</v>
      </c>
      <c r="W54" s="83" t="s">
        <v>417</v>
      </c>
      <c r="X54" s="83" t="s">
        <v>431</v>
      </c>
      <c r="Y54" s="81" t="s">
        <v>418</v>
      </c>
      <c r="Z54" s="81" t="s">
        <v>13</v>
      </c>
    </row>
    <row r="55" spans="1:26" x14ac:dyDescent="0.4">
      <c r="A55" s="10" t="s">
        <v>374</v>
      </c>
      <c r="B55" s="81" t="s">
        <v>96</v>
      </c>
      <c r="C55" s="82">
        <v>42934.695138888892</v>
      </c>
      <c r="D55" s="83" t="s">
        <v>266</v>
      </c>
      <c r="E55" s="83" t="s">
        <v>231</v>
      </c>
      <c r="F55" s="83" t="s">
        <v>417</v>
      </c>
      <c r="G55" s="83" t="s">
        <v>374</v>
      </c>
      <c r="H55" s="7" t="str">
        <f>IF(BudgetsTable[[#This Row],[pi_last_name]]=" ","",HYPERLINK("https://www.ejacket.nsf.gov/ej/showProposal.do?Continue=Y&amp;ID="&amp;BudgetsTable[[#This Row],[prop_id]],BudgetsTable[[#This Row],[prop_id]]))</f>
        <v/>
      </c>
      <c r="I55" s="7" t="s">
        <v>1000</v>
      </c>
      <c r="J55" s="83" t="s">
        <v>13</v>
      </c>
      <c r="K55" s="83" t="s">
        <v>13</v>
      </c>
      <c r="L55" s="83">
        <v>1</v>
      </c>
      <c r="M55" s="83">
        <v>0.5</v>
      </c>
      <c r="N55" s="84">
        <v>0</v>
      </c>
      <c r="O55" s="84">
        <v>0</v>
      </c>
      <c r="P55" s="84">
        <v>0</v>
      </c>
      <c r="Q55" s="85">
        <v>109530</v>
      </c>
      <c r="R55" s="83">
        <v>0</v>
      </c>
      <c r="S55" s="83">
        <v>3</v>
      </c>
      <c r="T55" s="11" t="str">
        <f ca="1">IF(ISBLANK(BudgetsTable[[#This Row],[budg_seq_yr]]),"FY"&amp;fiscalyear,"FY"&amp;fiscalyear-1+BudgetsTable[[#This Row],[budg_seq_yr]])</f>
        <v>FY20</v>
      </c>
      <c r="U55" s="84">
        <v>109530</v>
      </c>
      <c r="V55" s="83" t="s">
        <v>231</v>
      </c>
      <c r="W55" s="83" t="s">
        <v>417</v>
      </c>
      <c r="X55" s="83" t="s">
        <v>431</v>
      </c>
      <c r="Y55" s="81" t="s">
        <v>418</v>
      </c>
      <c r="Z55" s="81" t="s">
        <v>13</v>
      </c>
    </row>
    <row r="56" spans="1:26" x14ac:dyDescent="0.4">
      <c r="A56" s="10" t="s">
        <v>374</v>
      </c>
      <c r="B56" s="81" t="s">
        <v>96</v>
      </c>
      <c r="C56" s="82">
        <v>42934.695138888892</v>
      </c>
      <c r="D56" s="83" t="s">
        <v>266</v>
      </c>
      <c r="E56" s="83" t="s">
        <v>231</v>
      </c>
      <c r="F56" s="83" t="s">
        <v>417</v>
      </c>
      <c r="G56" s="83" t="s">
        <v>374</v>
      </c>
      <c r="H56" s="7" t="str">
        <f>IF(BudgetsTable[[#This Row],[pi_last_name]]=" ","",HYPERLINK("https://www.ejacket.nsf.gov/ej/showProposal.do?Continue=Y&amp;ID="&amp;BudgetsTable[[#This Row],[prop_id]],BudgetsTable[[#This Row],[prop_id]]))</f>
        <v/>
      </c>
      <c r="I56" s="7" t="s">
        <v>1000</v>
      </c>
      <c r="J56" s="83" t="s">
        <v>13</v>
      </c>
      <c r="K56" s="83" t="s">
        <v>13</v>
      </c>
      <c r="L56" s="83">
        <v>1</v>
      </c>
      <c r="M56" s="83">
        <v>0.5</v>
      </c>
      <c r="N56" s="84">
        <v>0</v>
      </c>
      <c r="O56" s="84">
        <v>0</v>
      </c>
      <c r="P56" s="84">
        <v>0</v>
      </c>
      <c r="Q56" s="85">
        <v>113216</v>
      </c>
      <c r="R56" s="83">
        <v>0</v>
      </c>
      <c r="S56" s="83">
        <v>4</v>
      </c>
      <c r="T56" s="11" t="str">
        <f ca="1">IF(ISBLANK(BudgetsTable[[#This Row],[budg_seq_yr]]),"FY"&amp;fiscalyear,"FY"&amp;fiscalyear-1+BudgetsTable[[#This Row],[budg_seq_yr]])</f>
        <v>FY21</v>
      </c>
      <c r="U56" s="84">
        <v>113216</v>
      </c>
      <c r="V56" s="83" t="s">
        <v>231</v>
      </c>
      <c r="W56" s="83" t="s">
        <v>417</v>
      </c>
      <c r="X56" s="83" t="s">
        <v>431</v>
      </c>
      <c r="Y56" s="81" t="s">
        <v>418</v>
      </c>
      <c r="Z56" s="81" t="s">
        <v>13</v>
      </c>
    </row>
    <row r="57" spans="1:26" x14ac:dyDescent="0.4">
      <c r="A57" s="10" t="s">
        <v>374</v>
      </c>
      <c r="B57" s="81" t="s">
        <v>96</v>
      </c>
      <c r="C57" s="82">
        <v>42934.695138888892</v>
      </c>
      <c r="D57" s="83" t="s">
        <v>266</v>
      </c>
      <c r="E57" s="83" t="s">
        <v>231</v>
      </c>
      <c r="F57" s="83" t="s">
        <v>417</v>
      </c>
      <c r="G57" s="83" t="s">
        <v>374</v>
      </c>
      <c r="H57" s="7" t="str">
        <f>IF(BudgetsTable[[#This Row],[pi_last_name]]=" ","",HYPERLINK("https://www.ejacket.nsf.gov/ej/showProposal.do?Continue=Y&amp;ID="&amp;BudgetsTable[[#This Row],[prop_id]],BudgetsTable[[#This Row],[prop_id]]))</f>
        <v/>
      </c>
      <c r="I57" s="7" t="s">
        <v>1000</v>
      </c>
      <c r="J57" s="83" t="s">
        <v>13</v>
      </c>
      <c r="K57" s="83" t="s">
        <v>13</v>
      </c>
      <c r="L57" s="83">
        <v>1</v>
      </c>
      <c r="M57" s="83">
        <v>0.5</v>
      </c>
      <c r="N57" s="84">
        <v>0</v>
      </c>
      <c r="O57" s="84">
        <v>0</v>
      </c>
      <c r="P57" s="84">
        <v>0</v>
      </c>
      <c r="Q57" s="85">
        <v>117037</v>
      </c>
      <c r="R57" s="83">
        <v>0</v>
      </c>
      <c r="S57" s="83">
        <v>5</v>
      </c>
      <c r="T57" s="11" t="str">
        <f ca="1">IF(ISBLANK(BudgetsTable[[#This Row],[budg_seq_yr]]),"FY"&amp;fiscalyear,"FY"&amp;fiscalyear-1+BudgetsTable[[#This Row],[budg_seq_yr]])</f>
        <v>FY22</v>
      </c>
      <c r="U57" s="84">
        <v>117037</v>
      </c>
      <c r="V57" s="83" t="s">
        <v>231</v>
      </c>
      <c r="W57" s="83" t="s">
        <v>417</v>
      </c>
      <c r="X57" s="83" t="s">
        <v>431</v>
      </c>
      <c r="Y57" s="81" t="s">
        <v>418</v>
      </c>
      <c r="Z57" s="81" t="s">
        <v>13</v>
      </c>
    </row>
    <row r="58" spans="1:26" x14ac:dyDescent="0.4">
      <c r="A58" s="10" t="s">
        <v>375</v>
      </c>
      <c r="B58" s="81" t="s">
        <v>96</v>
      </c>
      <c r="C58" s="82">
        <v>42934.737500000003</v>
      </c>
      <c r="D58" s="83" t="s">
        <v>266</v>
      </c>
      <c r="E58" s="83" t="s">
        <v>231</v>
      </c>
      <c r="F58" s="83" t="s">
        <v>417</v>
      </c>
      <c r="G58" s="83" t="s">
        <v>375</v>
      </c>
      <c r="H58" s="7" t="str">
        <f>IF(BudgetsTable[[#This Row],[pi_last_name]]=" ","",HYPERLINK("https://www.ejacket.nsf.gov/ej/showProposal.do?Continue=Y&amp;ID="&amp;BudgetsTable[[#This Row],[prop_id]],BudgetsTable[[#This Row],[prop_id]]))</f>
        <v>1750039</v>
      </c>
      <c r="I58" s="7" t="s">
        <v>999</v>
      </c>
      <c r="J58" s="83" t="s">
        <v>476</v>
      </c>
      <c r="K58" s="83" t="s">
        <v>466</v>
      </c>
      <c r="L58" s="83"/>
      <c r="M58" s="83"/>
      <c r="N58" s="84"/>
      <c r="O58" s="84"/>
      <c r="P58" s="84"/>
      <c r="Q58" s="85"/>
      <c r="R58" s="83">
        <v>0</v>
      </c>
      <c r="S58" s="83"/>
      <c r="T58" s="11" t="str">
        <f ca="1">IF(ISBLANK(BudgetsTable[[#This Row],[budg_seq_yr]]),"FY"&amp;fiscalyear,"FY"&amp;fiscalyear-1+BudgetsTable[[#This Row],[budg_seq_yr]])</f>
        <v>FY18</v>
      </c>
      <c r="U58" s="84">
        <v>524117</v>
      </c>
      <c r="V58" s="83" t="s">
        <v>231</v>
      </c>
      <c r="W58" s="83" t="s">
        <v>417</v>
      </c>
      <c r="X58" s="83" t="s">
        <v>438</v>
      </c>
      <c r="Y58" s="81" t="s">
        <v>463</v>
      </c>
      <c r="Z58" s="81" t="s">
        <v>478</v>
      </c>
    </row>
    <row r="59" spans="1:26" x14ac:dyDescent="0.4">
      <c r="A59" s="10" t="s">
        <v>375</v>
      </c>
      <c r="B59" s="81" t="s">
        <v>96</v>
      </c>
      <c r="C59" s="82">
        <v>42934.737500000003</v>
      </c>
      <c r="D59" s="83" t="s">
        <v>266</v>
      </c>
      <c r="E59" s="83" t="s">
        <v>231</v>
      </c>
      <c r="F59" s="83" t="s">
        <v>417</v>
      </c>
      <c r="G59" s="83" t="s">
        <v>375</v>
      </c>
      <c r="H59" s="7" t="str">
        <f>IF(BudgetsTable[[#This Row],[pi_last_name]]=" ","",HYPERLINK("https://www.ejacket.nsf.gov/ej/showProposal.do?Continue=Y&amp;ID="&amp;BudgetsTable[[#This Row],[prop_id]],BudgetsTable[[#This Row],[prop_id]]))</f>
        <v/>
      </c>
      <c r="I59" s="7" t="s">
        <v>1000</v>
      </c>
      <c r="J59" s="83" t="s">
        <v>13</v>
      </c>
      <c r="K59" s="83" t="s">
        <v>13</v>
      </c>
      <c r="L59" s="83">
        <v>1</v>
      </c>
      <c r="M59" s="83">
        <v>0.5</v>
      </c>
      <c r="N59" s="84">
        <v>0</v>
      </c>
      <c r="O59" s="84">
        <v>2250</v>
      </c>
      <c r="P59" s="84">
        <v>0</v>
      </c>
      <c r="Q59" s="85">
        <v>100718</v>
      </c>
      <c r="R59" s="83">
        <v>0</v>
      </c>
      <c r="S59" s="83">
        <v>1</v>
      </c>
      <c r="T59" s="11" t="str">
        <f ca="1">IF(ISBLANK(BudgetsTable[[#This Row],[budg_seq_yr]]),"FY"&amp;fiscalyear,"FY"&amp;fiscalyear-1+BudgetsTable[[#This Row],[budg_seq_yr]])</f>
        <v>FY18</v>
      </c>
      <c r="U59" s="84">
        <v>100718</v>
      </c>
      <c r="V59" s="83" t="s">
        <v>231</v>
      </c>
      <c r="W59" s="83" t="s">
        <v>417</v>
      </c>
      <c r="X59" s="83" t="s">
        <v>438</v>
      </c>
      <c r="Y59" s="81" t="s">
        <v>463</v>
      </c>
      <c r="Z59" s="81" t="s">
        <v>13</v>
      </c>
    </row>
    <row r="60" spans="1:26" x14ac:dyDescent="0.4">
      <c r="A60" s="10" t="s">
        <v>375</v>
      </c>
      <c r="B60" s="81" t="s">
        <v>96</v>
      </c>
      <c r="C60" s="82">
        <v>42934.737500000003</v>
      </c>
      <c r="D60" s="83" t="s">
        <v>266</v>
      </c>
      <c r="E60" s="83" t="s">
        <v>231</v>
      </c>
      <c r="F60" s="83" t="s">
        <v>417</v>
      </c>
      <c r="G60" s="83" t="s">
        <v>375</v>
      </c>
      <c r="H60" s="7" t="str">
        <f>IF(BudgetsTable[[#This Row],[pi_last_name]]=" ","",HYPERLINK("https://www.ejacket.nsf.gov/ej/showProposal.do?Continue=Y&amp;ID="&amp;BudgetsTable[[#This Row],[prop_id]],BudgetsTable[[#This Row],[prop_id]]))</f>
        <v/>
      </c>
      <c r="I60" s="7" t="s">
        <v>1000</v>
      </c>
      <c r="J60" s="83" t="s">
        <v>13</v>
      </c>
      <c r="K60" s="83" t="s">
        <v>13</v>
      </c>
      <c r="L60" s="83">
        <v>1</v>
      </c>
      <c r="M60" s="83">
        <v>0.5</v>
      </c>
      <c r="N60" s="84">
        <v>0</v>
      </c>
      <c r="O60" s="84">
        <v>2250</v>
      </c>
      <c r="P60" s="84">
        <v>0</v>
      </c>
      <c r="Q60" s="85">
        <v>101222</v>
      </c>
      <c r="R60" s="83">
        <v>0</v>
      </c>
      <c r="S60" s="83">
        <v>2</v>
      </c>
      <c r="T60" s="11" t="str">
        <f ca="1">IF(ISBLANK(BudgetsTable[[#This Row],[budg_seq_yr]]),"FY"&amp;fiscalyear,"FY"&amp;fiscalyear-1+BudgetsTable[[#This Row],[budg_seq_yr]])</f>
        <v>FY19</v>
      </c>
      <c r="U60" s="84">
        <v>101222</v>
      </c>
      <c r="V60" s="83" t="s">
        <v>231</v>
      </c>
      <c r="W60" s="83" t="s">
        <v>417</v>
      </c>
      <c r="X60" s="83" t="s">
        <v>438</v>
      </c>
      <c r="Y60" s="81" t="s">
        <v>463</v>
      </c>
      <c r="Z60" s="81" t="s">
        <v>13</v>
      </c>
    </row>
    <row r="61" spans="1:26" x14ac:dyDescent="0.4">
      <c r="A61" s="10" t="s">
        <v>375</v>
      </c>
      <c r="B61" s="81" t="s">
        <v>96</v>
      </c>
      <c r="C61" s="82">
        <v>42934.737500000003</v>
      </c>
      <c r="D61" s="83" t="s">
        <v>266</v>
      </c>
      <c r="E61" s="83" t="s">
        <v>231</v>
      </c>
      <c r="F61" s="83" t="s">
        <v>417</v>
      </c>
      <c r="G61" s="83" t="s">
        <v>375</v>
      </c>
      <c r="H61" s="7" t="str">
        <f>IF(BudgetsTable[[#This Row],[pi_last_name]]=" ","",HYPERLINK("https://www.ejacket.nsf.gov/ej/showProposal.do?Continue=Y&amp;ID="&amp;BudgetsTable[[#This Row],[prop_id]],BudgetsTable[[#This Row],[prop_id]]))</f>
        <v/>
      </c>
      <c r="I61" s="7" t="s">
        <v>1000</v>
      </c>
      <c r="J61" s="83" t="s">
        <v>13</v>
      </c>
      <c r="K61" s="83" t="s">
        <v>13</v>
      </c>
      <c r="L61" s="83">
        <v>1</v>
      </c>
      <c r="M61" s="83">
        <v>0.5</v>
      </c>
      <c r="N61" s="84">
        <v>0</v>
      </c>
      <c r="O61" s="84">
        <v>2250</v>
      </c>
      <c r="P61" s="84">
        <v>0</v>
      </c>
      <c r="Q61" s="85">
        <v>104224</v>
      </c>
      <c r="R61" s="83">
        <v>0</v>
      </c>
      <c r="S61" s="83">
        <v>3</v>
      </c>
      <c r="T61" s="11" t="str">
        <f ca="1">IF(ISBLANK(BudgetsTable[[#This Row],[budg_seq_yr]]),"FY"&amp;fiscalyear,"FY"&amp;fiscalyear-1+BudgetsTable[[#This Row],[budg_seq_yr]])</f>
        <v>FY20</v>
      </c>
      <c r="U61" s="84">
        <v>104224</v>
      </c>
      <c r="V61" s="83" t="s">
        <v>231</v>
      </c>
      <c r="W61" s="83" t="s">
        <v>417</v>
      </c>
      <c r="X61" s="83" t="s">
        <v>438</v>
      </c>
      <c r="Y61" s="81" t="s">
        <v>463</v>
      </c>
      <c r="Z61" s="81" t="s">
        <v>13</v>
      </c>
    </row>
    <row r="62" spans="1:26" x14ac:dyDescent="0.4">
      <c r="A62" s="10" t="s">
        <v>375</v>
      </c>
      <c r="B62" s="81" t="s">
        <v>96</v>
      </c>
      <c r="C62" s="82">
        <v>42934.737500000003</v>
      </c>
      <c r="D62" s="83" t="s">
        <v>266</v>
      </c>
      <c r="E62" s="83" t="s">
        <v>231</v>
      </c>
      <c r="F62" s="83" t="s">
        <v>417</v>
      </c>
      <c r="G62" s="83" t="s">
        <v>375</v>
      </c>
      <c r="H62" s="7" t="str">
        <f>IF(BudgetsTable[[#This Row],[pi_last_name]]=" ","",HYPERLINK("https://www.ejacket.nsf.gov/ej/showProposal.do?Continue=Y&amp;ID="&amp;BudgetsTable[[#This Row],[prop_id]],BudgetsTable[[#This Row],[prop_id]]))</f>
        <v/>
      </c>
      <c r="I62" s="7" t="s">
        <v>1000</v>
      </c>
      <c r="J62" s="83" t="s">
        <v>13</v>
      </c>
      <c r="K62" s="83" t="s">
        <v>13</v>
      </c>
      <c r="L62" s="83">
        <v>1</v>
      </c>
      <c r="M62" s="83">
        <v>0.5</v>
      </c>
      <c r="N62" s="84">
        <v>0</v>
      </c>
      <c r="O62" s="84">
        <v>2250</v>
      </c>
      <c r="P62" s="84">
        <v>0</v>
      </c>
      <c r="Q62" s="85">
        <v>107350</v>
      </c>
      <c r="R62" s="83">
        <v>0</v>
      </c>
      <c r="S62" s="83">
        <v>4</v>
      </c>
      <c r="T62" s="11" t="str">
        <f ca="1">IF(ISBLANK(BudgetsTable[[#This Row],[budg_seq_yr]]),"FY"&amp;fiscalyear,"FY"&amp;fiscalyear-1+BudgetsTable[[#This Row],[budg_seq_yr]])</f>
        <v>FY21</v>
      </c>
      <c r="U62" s="84">
        <v>107350</v>
      </c>
      <c r="V62" s="83" t="s">
        <v>231</v>
      </c>
      <c r="W62" s="83" t="s">
        <v>417</v>
      </c>
      <c r="X62" s="83" t="s">
        <v>438</v>
      </c>
      <c r="Y62" s="81" t="s">
        <v>463</v>
      </c>
      <c r="Z62" s="81" t="s">
        <v>13</v>
      </c>
    </row>
    <row r="63" spans="1:26" x14ac:dyDescent="0.4">
      <c r="A63" s="10" t="s">
        <v>375</v>
      </c>
      <c r="B63" s="81" t="s">
        <v>96</v>
      </c>
      <c r="C63" s="82">
        <v>42934.737500000003</v>
      </c>
      <c r="D63" s="83" t="s">
        <v>266</v>
      </c>
      <c r="E63" s="83" t="s">
        <v>231</v>
      </c>
      <c r="F63" s="83" t="s">
        <v>417</v>
      </c>
      <c r="G63" s="83" t="s">
        <v>375</v>
      </c>
      <c r="H63" s="7" t="str">
        <f>IF(BudgetsTable[[#This Row],[pi_last_name]]=" ","",HYPERLINK("https://www.ejacket.nsf.gov/ej/showProposal.do?Continue=Y&amp;ID="&amp;BudgetsTable[[#This Row],[prop_id]],BudgetsTable[[#This Row],[prop_id]]))</f>
        <v/>
      </c>
      <c r="I63" s="7" t="s">
        <v>1000</v>
      </c>
      <c r="J63" s="83" t="s">
        <v>13</v>
      </c>
      <c r="K63" s="83" t="s">
        <v>13</v>
      </c>
      <c r="L63" s="83">
        <v>1</v>
      </c>
      <c r="M63" s="83">
        <v>0.5</v>
      </c>
      <c r="N63" s="84">
        <v>0</v>
      </c>
      <c r="O63" s="84">
        <v>2250</v>
      </c>
      <c r="P63" s="84">
        <v>0</v>
      </c>
      <c r="Q63" s="85">
        <v>110603</v>
      </c>
      <c r="R63" s="83">
        <v>0</v>
      </c>
      <c r="S63" s="83">
        <v>5</v>
      </c>
      <c r="T63" s="11" t="str">
        <f ca="1">IF(ISBLANK(BudgetsTable[[#This Row],[budg_seq_yr]]),"FY"&amp;fiscalyear,"FY"&amp;fiscalyear-1+BudgetsTable[[#This Row],[budg_seq_yr]])</f>
        <v>FY22</v>
      </c>
      <c r="U63" s="84">
        <v>110603</v>
      </c>
      <c r="V63" s="83" t="s">
        <v>231</v>
      </c>
      <c r="W63" s="83" t="s">
        <v>417</v>
      </c>
      <c r="X63" s="83" t="s">
        <v>438</v>
      </c>
      <c r="Y63" s="81" t="s">
        <v>463</v>
      </c>
      <c r="Z63" s="81" t="s">
        <v>13</v>
      </c>
    </row>
    <row r="64" spans="1:26" x14ac:dyDescent="0.4">
      <c r="A64" s="10" t="s">
        <v>376</v>
      </c>
      <c r="B64" s="81" t="s">
        <v>96</v>
      </c>
      <c r="C64" s="82">
        <v>42934.808333333334</v>
      </c>
      <c r="D64" s="83" t="s">
        <v>266</v>
      </c>
      <c r="E64" s="83" t="s">
        <v>231</v>
      </c>
      <c r="F64" s="83" t="s">
        <v>417</v>
      </c>
      <c r="G64" s="83" t="s">
        <v>376</v>
      </c>
      <c r="H64" s="7" t="str">
        <f>IF(BudgetsTable[[#This Row],[pi_last_name]]=" ","",HYPERLINK("https://www.ejacket.nsf.gov/ej/showProposal.do?Continue=Y&amp;ID="&amp;BudgetsTable[[#This Row],[prop_id]],BudgetsTable[[#This Row],[prop_id]]))</f>
        <v>1750076</v>
      </c>
      <c r="I64" s="7" t="s">
        <v>999</v>
      </c>
      <c r="J64" s="83" t="s">
        <v>481</v>
      </c>
      <c r="K64" s="83" t="s">
        <v>483</v>
      </c>
      <c r="L64" s="83"/>
      <c r="M64" s="83"/>
      <c r="N64" s="84"/>
      <c r="O64" s="84"/>
      <c r="P64" s="84"/>
      <c r="Q64" s="85"/>
      <c r="R64" s="83">
        <v>0</v>
      </c>
      <c r="S64" s="83"/>
      <c r="T64" s="11" t="str">
        <f ca="1">IF(ISBLANK(BudgetsTable[[#This Row],[budg_seq_yr]]),"FY"&amp;fiscalyear,"FY"&amp;fiscalyear-1+BudgetsTable[[#This Row],[budg_seq_yr]])</f>
        <v>FY18</v>
      </c>
      <c r="U64" s="84">
        <v>440331</v>
      </c>
      <c r="V64" s="83" t="s">
        <v>231</v>
      </c>
      <c r="W64" s="83" t="s">
        <v>417</v>
      </c>
      <c r="X64" s="83" t="s">
        <v>485</v>
      </c>
      <c r="Y64" s="81" t="s">
        <v>418</v>
      </c>
      <c r="Z64" s="81" t="s">
        <v>484</v>
      </c>
    </row>
    <row r="65" spans="1:26" x14ac:dyDescent="0.4">
      <c r="A65" s="10" t="s">
        <v>376</v>
      </c>
      <c r="B65" s="81" t="s">
        <v>96</v>
      </c>
      <c r="C65" s="82">
        <v>42934.808333333334</v>
      </c>
      <c r="D65" s="83" t="s">
        <v>266</v>
      </c>
      <c r="E65" s="83" t="s">
        <v>231</v>
      </c>
      <c r="F65" s="83" t="s">
        <v>417</v>
      </c>
      <c r="G65" s="83" t="s">
        <v>376</v>
      </c>
      <c r="H65" s="7" t="str">
        <f>IF(BudgetsTable[[#This Row],[pi_last_name]]=" ","",HYPERLINK("https://www.ejacket.nsf.gov/ej/showProposal.do?Continue=Y&amp;ID="&amp;BudgetsTable[[#This Row],[prop_id]],BudgetsTable[[#This Row],[prop_id]]))</f>
        <v/>
      </c>
      <c r="I65" s="7" t="s">
        <v>1000</v>
      </c>
      <c r="J65" s="83" t="s">
        <v>13</v>
      </c>
      <c r="K65" s="83" t="s">
        <v>13</v>
      </c>
      <c r="L65" s="83">
        <v>1</v>
      </c>
      <c r="M65" s="83">
        <v>1</v>
      </c>
      <c r="N65" s="84">
        <v>0</v>
      </c>
      <c r="O65" s="84">
        <v>0</v>
      </c>
      <c r="P65" s="84">
        <v>0</v>
      </c>
      <c r="Q65" s="85">
        <v>92028</v>
      </c>
      <c r="R65" s="83">
        <v>0</v>
      </c>
      <c r="S65" s="83">
        <v>1</v>
      </c>
      <c r="T65" s="11" t="str">
        <f ca="1">IF(ISBLANK(BudgetsTable[[#This Row],[budg_seq_yr]]),"FY"&amp;fiscalyear,"FY"&amp;fiscalyear-1+BudgetsTable[[#This Row],[budg_seq_yr]])</f>
        <v>FY18</v>
      </c>
      <c r="U65" s="84">
        <v>92028</v>
      </c>
      <c r="V65" s="83" t="s">
        <v>231</v>
      </c>
      <c r="W65" s="83" t="s">
        <v>417</v>
      </c>
      <c r="X65" s="83" t="s">
        <v>485</v>
      </c>
      <c r="Y65" s="81" t="s">
        <v>418</v>
      </c>
      <c r="Z65" s="81" t="s">
        <v>13</v>
      </c>
    </row>
    <row r="66" spans="1:26" x14ac:dyDescent="0.4">
      <c r="A66" s="10" t="s">
        <v>376</v>
      </c>
      <c r="B66" s="81" t="s">
        <v>96</v>
      </c>
      <c r="C66" s="82">
        <v>42934.808333333334</v>
      </c>
      <c r="D66" s="83" t="s">
        <v>266</v>
      </c>
      <c r="E66" s="83" t="s">
        <v>231</v>
      </c>
      <c r="F66" s="83" t="s">
        <v>417</v>
      </c>
      <c r="G66" s="83" t="s">
        <v>376</v>
      </c>
      <c r="H66" s="7" t="str">
        <f>IF(BudgetsTable[[#This Row],[pi_last_name]]=" ","",HYPERLINK("https://www.ejacket.nsf.gov/ej/showProposal.do?Continue=Y&amp;ID="&amp;BudgetsTable[[#This Row],[prop_id]],BudgetsTable[[#This Row],[prop_id]]))</f>
        <v/>
      </c>
      <c r="I66" s="7" t="s">
        <v>1000</v>
      </c>
      <c r="J66" s="83" t="s">
        <v>13</v>
      </c>
      <c r="K66" s="83" t="s">
        <v>13</v>
      </c>
      <c r="L66" s="83">
        <v>1</v>
      </c>
      <c r="M66" s="83">
        <v>1</v>
      </c>
      <c r="N66" s="84">
        <v>0</v>
      </c>
      <c r="O66" s="84">
        <v>0</v>
      </c>
      <c r="P66" s="84">
        <v>0</v>
      </c>
      <c r="Q66" s="85">
        <v>84050</v>
      </c>
      <c r="R66" s="83">
        <v>0</v>
      </c>
      <c r="S66" s="83">
        <v>2</v>
      </c>
      <c r="T66" s="11" t="str">
        <f ca="1">IF(ISBLANK(BudgetsTable[[#This Row],[budg_seq_yr]]),"FY"&amp;fiscalyear,"FY"&amp;fiscalyear-1+BudgetsTable[[#This Row],[budg_seq_yr]])</f>
        <v>FY19</v>
      </c>
      <c r="U66" s="84">
        <v>84050</v>
      </c>
      <c r="V66" s="83" t="s">
        <v>231</v>
      </c>
      <c r="W66" s="83" t="s">
        <v>417</v>
      </c>
      <c r="X66" s="83" t="s">
        <v>485</v>
      </c>
      <c r="Y66" s="81" t="s">
        <v>418</v>
      </c>
      <c r="Z66" s="81" t="s">
        <v>13</v>
      </c>
    </row>
    <row r="67" spans="1:26" x14ac:dyDescent="0.4">
      <c r="A67" s="10" t="s">
        <v>376</v>
      </c>
      <c r="B67" s="81" t="s">
        <v>96</v>
      </c>
      <c r="C67" s="82">
        <v>42934.808333333334</v>
      </c>
      <c r="D67" s="83" t="s">
        <v>266</v>
      </c>
      <c r="E67" s="83" t="s">
        <v>231</v>
      </c>
      <c r="F67" s="83" t="s">
        <v>417</v>
      </c>
      <c r="G67" s="83" t="s">
        <v>376</v>
      </c>
      <c r="H67" s="7" t="str">
        <f>IF(BudgetsTable[[#This Row],[pi_last_name]]=" ","",HYPERLINK("https://www.ejacket.nsf.gov/ej/showProposal.do?Continue=Y&amp;ID="&amp;BudgetsTable[[#This Row],[prop_id]],BudgetsTable[[#This Row],[prop_id]]))</f>
        <v/>
      </c>
      <c r="I67" s="7" t="s">
        <v>1000</v>
      </c>
      <c r="J67" s="83" t="s">
        <v>13</v>
      </c>
      <c r="K67" s="83" t="s">
        <v>13</v>
      </c>
      <c r="L67" s="83">
        <v>1</v>
      </c>
      <c r="M67" s="83">
        <v>1</v>
      </c>
      <c r="N67" s="84">
        <v>0</v>
      </c>
      <c r="O67" s="84">
        <v>0</v>
      </c>
      <c r="P67" s="84">
        <v>0</v>
      </c>
      <c r="Q67" s="85">
        <v>86026</v>
      </c>
      <c r="R67" s="83">
        <v>0</v>
      </c>
      <c r="S67" s="83">
        <v>3</v>
      </c>
      <c r="T67" s="11" t="str">
        <f ca="1">IF(ISBLANK(BudgetsTable[[#This Row],[budg_seq_yr]]),"FY"&amp;fiscalyear,"FY"&amp;fiscalyear-1+BudgetsTable[[#This Row],[budg_seq_yr]])</f>
        <v>FY20</v>
      </c>
      <c r="U67" s="84">
        <v>86026</v>
      </c>
      <c r="V67" s="83" t="s">
        <v>231</v>
      </c>
      <c r="W67" s="83" t="s">
        <v>417</v>
      </c>
      <c r="X67" s="83" t="s">
        <v>485</v>
      </c>
      <c r="Y67" s="81" t="s">
        <v>418</v>
      </c>
      <c r="Z67" s="81" t="s">
        <v>13</v>
      </c>
    </row>
    <row r="68" spans="1:26" x14ac:dyDescent="0.4">
      <c r="A68" s="10" t="s">
        <v>376</v>
      </c>
      <c r="B68" s="81" t="s">
        <v>96</v>
      </c>
      <c r="C68" s="82">
        <v>42934.808333333334</v>
      </c>
      <c r="D68" s="83" t="s">
        <v>266</v>
      </c>
      <c r="E68" s="83" t="s">
        <v>231</v>
      </c>
      <c r="F68" s="83" t="s">
        <v>417</v>
      </c>
      <c r="G68" s="83" t="s">
        <v>376</v>
      </c>
      <c r="H68" s="7" t="str">
        <f>IF(BudgetsTable[[#This Row],[pi_last_name]]=" ","",HYPERLINK("https://www.ejacket.nsf.gov/ej/showProposal.do?Continue=Y&amp;ID="&amp;BudgetsTable[[#This Row],[prop_id]],BudgetsTable[[#This Row],[prop_id]]))</f>
        <v/>
      </c>
      <c r="I68" s="7" t="s">
        <v>1000</v>
      </c>
      <c r="J68" s="83" t="s">
        <v>13</v>
      </c>
      <c r="K68" s="83" t="s">
        <v>13</v>
      </c>
      <c r="L68" s="83">
        <v>1</v>
      </c>
      <c r="M68" s="83">
        <v>1</v>
      </c>
      <c r="N68" s="84">
        <v>0</v>
      </c>
      <c r="O68" s="84">
        <v>0</v>
      </c>
      <c r="P68" s="84">
        <v>0</v>
      </c>
      <c r="Q68" s="85">
        <v>88064</v>
      </c>
      <c r="R68" s="83">
        <v>0</v>
      </c>
      <c r="S68" s="83">
        <v>4</v>
      </c>
      <c r="T68" s="11" t="str">
        <f ca="1">IF(ISBLANK(BudgetsTable[[#This Row],[budg_seq_yr]]),"FY"&amp;fiscalyear,"FY"&amp;fiscalyear-1+BudgetsTable[[#This Row],[budg_seq_yr]])</f>
        <v>FY21</v>
      </c>
      <c r="U68" s="84">
        <v>88064</v>
      </c>
      <c r="V68" s="83" t="s">
        <v>231</v>
      </c>
      <c r="W68" s="83" t="s">
        <v>417</v>
      </c>
      <c r="X68" s="83" t="s">
        <v>485</v>
      </c>
      <c r="Y68" s="81" t="s">
        <v>418</v>
      </c>
      <c r="Z68" s="81" t="s">
        <v>13</v>
      </c>
    </row>
    <row r="69" spans="1:26" x14ac:dyDescent="0.4">
      <c r="A69" s="10" t="s">
        <v>376</v>
      </c>
      <c r="B69" s="81" t="s">
        <v>96</v>
      </c>
      <c r="C69" s="82">
        <v>42934.808333333334</v>
      </c>
      <c r="D69" s="83" t="s">
        <v>266</v>
      </c>
      <c r="E69" s="83" t="s">
        <v>231</v>
      </c>
      <c r="F69" s="83" t="s">
        <v>417</v>
      </c>
      <c r="G69" s="83" t="s">
        <v>376</v>
      </c>
      <c r="H69" s="7" t="str">
        <f>IF(BudgetsTable[[#This Row],[pi_last_name]]=" ","",HYPERLINK("https://www.ejacket.nsf.gov/ej/showProposal.do?Continue=Y&amp;ID="&amp;BudgetsTable[[#This Row],[prop_id]],BudgetsTable[[#This Row],[prop_id]]))</f>
        <v/>
      </c>
      <c r="I69" s="7" t="s">
        <v>1000</v>
      </c>
      <c r="J69" s="83" t="s">
        <v>13</v>
      </c>
      <c r="K69" s="83" t="s">
        <v>13</v>
      </c>
      <c r="L69" s="83">
        <v>1</v>
      </c>
      <c r="M69" s="83">
        <v>1</v>
      </c>
      <c r="N69" s="84">
        <v>0</v>
      </c>
      <c r="O69" s="84">
        <v>0</v>
      </c>
      <c r="P69" s="84">
        <v>0</v>
      </c>
      <c r="Q69" s="85">
        <v>90163</v>
      </c>
      <c r="R69" s="83">
        <v>0</v>
      </c>
      <c r="S69" s="83">
        <v>5</v>
      </c>
      <c r="T69" s="11" t="str">
        <f ca="1">IF(ISBLANK(BudgetsTable[[#This Row],[budg_seq_yr]]),"FY"&amp;fiscalyear,"FY"&amp;fiscalyear-1+BudgetsTable[[#This Row],[budg_seq_yr]])</f>
        <v>FY22</v>
      </c>
      <c r="U69" s="84">
        <v>90163</v>
      </c>
      <c r="V69" s="83" t="s">
        <v>231</v>
      </c>
      <c r="W69" s="83" t="s">
        <v>417</v>
      </c>
      <c r="X69" s="83" t="s">
        <v>485</v>
      </c>
      <c r="Y69" s="81" t="s">
        <v>418</v>
      </c>
      <c r="Z69" s="81" t="s">
        <v>13</v>
      </c>
    </row>
    <row r="70" spans="1:26" x14ac:dyDescent="0.4">
      <c r="A70" s="10" t="s">
        <v>377</v>
      </c>
      <c r="B70" s="81" t="s">
        <v>96</v>
      </c>
      <c r="C70" s="82">
        <v>42935.359027777777</v>
      </c>
      <c r="D70" s="83" t="s">
        <v>266</v>
      </c>
      <c r="E70" s="83" t="s">
        <v>231</v>
      </c>
      <c r="F70" s="83" t="s">
        <v>417</v>
      </c>
      <c r="G70" s="83" t="s">
        <v>377</v>
      </c>
      <c r="H70" s="7" t="str">
        <f>IF(BudgetsTable[[#This Row],[pi_last_name]]=" ","",HYPERLINK("https://www.ejacket.nsf.gov/ej/showProposal.do?Continue=Y&amp;ID="&amp;BudgetsTable[[#This Row],[prop_id]],BudgetsTable[[#This Row],[prop_id]]))</f>
        <v>1750118</v>
      </c>
      <c r="I70" s="7" t="s">
        <v>999</v>
      </c>
      <c r="J70" s="83" t="s">
        <v>488</v>
      </c>
      <c r="K70" s="83" t="s">
        <v>229</v>
      </c>
      <c r="L70" s="83"/>
      <c r="M70" s="83"/>
      <c r="N70" s="84"/>
      <c r="O70" s="84"/>
      <c r="P70" s="84"/>
      <c r="Q70" s="85"/>
      <c r="R70" s="83">
        <v>0</v>
      </c>
      <c r="S70" s="83"/>
      <c r="T70" s="11" t="str">
        <f ca="1">IF(ISBLANK(BudgetsTable[[#This Row],[budg_seq_yr]]),"FY"&amp;fiscalyear,"FY"&amp;fiscalyear-1+BudgetsTable[[#This Row],[budg_seq_yr]])</f>
        <v>FY18</v>
      </c>
      <c r="U70" s="84">
        <v>530842</v>
      </c>
      <c r="V70" s="83" t="s">
        <v>231</v>
      </c>
      <c r="W70" s="83" t="s">
        <v>417</v>
      </c>
      <c r="X70" s="83" t="s">
        <v>423</v>
      </c>
      <c r="Y70" s="81" t="s">
        <v>434</v>
      </c>
      <c r="Z70" s="81" t="s">
        <v>490</v>
      </c>
    </row>
    <row r="71" spans="1:26" x14ac:dyDescent="0.4">
      <c r="A71" s="10" t="s">
        <v>377</v>
      </c>
      <c r="B71" s="81" t="s">
        <v>96</v>
      </c>
      <c r="C71" s="82">
        <v>42935.359027777777</v>
      </c>
      <c r="D71" s="83" t="s">
        <v>266</v>
      </c>
      <c r="E71" s="83" t="s">
        <v>231</v>
      </c>
      <c r="F71" s="83" t="s">
        <v>417</v>
      </c>
      <c r="G71" s="83" t="s">
        <v>377</v>
      </c>
      <c r="H71" s="7" t="str">
        <f>IF(BudgetsTable[[#This Row],[pi_last_name]]=" ","",HYPERLINK("https://www.ejacket.nsf.gov/ej/showProposal.do?Continue=Y&amp;ID="&amp;BudgetsTable[[#This Row],[prop_id]],BudgetsTable[[#This Row],[prop_id]]))</f>
        <v/>
      </c>
      <c r="I71" s="7" t="s">
        <v>1000</v>
      </c>
      <c r="J71" s="83" t="s">
        <v>13</v>
      </c>
      <c r="K71" s="83" t="s">
        <v>13</v>
      </c>
      <c r="L71" s="83">
        <v>1</v>
      </c>
      <c r="M71" s="83">
        <v>1</v>
      </c>
      <c r="N71" s="84">
        <v>0</v>
      </c>
      <c r="O71" s="84">
        <v>2000</v>
      </c>
      <c r="P71" s="84">
        <v>0</v>
      </c>
      <c r="Q71" s="85">
        <v>99976</v>
      </c>
      <c r="R71" s="83">
        <v>0</v>
      </c>
      <c r="S71" s="83">
        <v>1</v>
      </c>
      <c r="T71" s="11" t="str">
        <f ca="1">IF(ISBLANK(BudgetsTable[[#This Row],[budg_seq_yr]]),"FY"&amp;fiscalyear,"FY"&amp;fiscalyear-1+BudgetsTable[[#This Row],[budg_seq_yr]])</f>
        <v>FY18</v>
      </c>
      <c r="U71" s="84">
        <v>99976</v>
      </c>
      <c r="V71" s="83" t="s">
        <v>231</v>
      </c>
      <c r="W71" s="83" t="s">
        <v>417</v>
      </c>
      <c r="X71" s="83" t="s">
        <v>423</v>
      </c>
      <c r="Y71" s="81" t="s">
        <v>434</v>
      </c>
      <c r="Z71" s="81" t="s">
        <v>13</v>
      </c>
    </row>
    <row r="72" spans="1:26" x14ac:dyDescent="0.4">
      <c r="A72" s="10" t="s">
        <v>377</v>
      </c>
      <c r="B72" s="81" t="s">
        <v>96</v>
      </c>
      <c r="C72" s="82">
        <v>42935.359027777777</v>
      </c>
      <c r="D72" s="83" t="s">
        <v>266</v>
      </c>
      <c r="E72" s="83" t="s">
        <v>231</v>
      </c>
      <c r="F72" s="83" t="s">
        <v>417</v>
      </c>
      <c r="G72" s="83" t="s">
        <v>377</v>
      </c>
      <c r="H72" s="7" t="str">
        <f>IF(BudgetsTable[[#This Row],[pi_last_name]]=" ","",HYPERLINK("https://www.ejacket.nsf.gov/ej/showProposal.do?Continue=Y&amp;ID="&amp;BudgetsTable[[#This Row],[prop_id]],BudgetsTable[[#This Row],[prop_id]]))</f>
        <v/>
      </c>
      <c r="I72" s="7" t="s">
        <v>1000</v>
      </c>
      <c r="J72" s="83" t="s">
        <v>13</v>
      </c>
      <c r="K72" s="83" t="s">
        <v>13</v>
      </c>
      <c r="L72" s="83">
        <v>1</v>
      </c>
      <c r="M72" s="83">
        <v>1</v>
      </c>
      <c r="N72" s="84">
        <v>0</v>
      </c>
      <c r="O72" s="84">
        <v>2000</v>
      </c>
      <c r="P72" s="84">
        <v>0</v>
      </c>
      <c r="Q72" s="85">
        <v>100831</v>
      </c>
      <c r="R72" s="83">
        <v>0</v>
      </c>
      <c r="S72" s="83">
        <v>2</v>
      </c>
      <c r="T72" s="11" t="str">
        <f ca="1">IF(ISBLANK(BudgetsTable[[#This Row],[budg_seq_yr]]),"FY"&amp;fiscalyear,"FY"&amp;fiscalyear-1+BudgetsTable[[#This Row],[budg_seq_yr]])</f>
        <v>FY19</v>
      </c>
      <c r="U72" s="84">
        <v>100831</v>
      </c>
      <c r="V72" s="83" t="s">
        <v>231</v>
      </c>
      <c r="W72" s="83" t="s">
        <v>417</v>
      </c>
      <c r="X72" s="83" t="s">
        <v>423</v>
      </c>
      <c r="Y72" s="81" t="s">
        <v>434</v>
      </c>
      <c r="Z72" s="81" t="s">
        <v>13</v>
      </c>
    </row>
    <row r="73" spans="1:26" x14ac:dyDescent="0.4">
      <c r="A73" s="10" t="s">
        <v>377</v>
      </c>
      <c r="B73" s="81" t="s">
        <v>96</v>
      </c>
      <c r="C73" s="82">
        <v>42935.359027777777</v>
      </c>
      <c r="D73" s="83" t="s">
        <v>266</v>
      </c>
      <c r="E73" s="83" t="s">
        <v>231</v>
      </c>
      <c r="F73" s="83" t="s">
        <v>417</v>
      </c>
      <c r="G73" s="83" t="s">
        <v>377</v>
      </c>
      <c r="H73" s="7" t="str">
        <f>IF(BudgetsTable[[#This Row],[pi_last_name]]=" ","",HYPERLINK("https://www.ejacket.nsf.gov/ej/showProposal.do?Continue=Y&amp;ID="&amp;BudgetsTable[[#This Row],[prop_id]],BudgetsTable[[#This Row],[prop_id]]))</f>
        <v/>
      </c>
      <c r="I73" s="7" t="s">
        <v>1000</v>
      </c>
      <c r="J73" s="83" t="s">
        <v>13</v>
      </c>
      <c r="K73" s="83" t="s">
        <v>13</v>
      </c>
      <c r="L73" s="83">
        <v>1</v>
      </c>
      <c r="M73" s="83">
        <v>1</v>
      </c>
      <c r="N73" s="84">
        <v>0</v>
      </c>
      <c r="O73" s="84">
        <v>2000</v>
      </c>
      <c r="P73" s="84">
        <v>0</v>
      </c>
      <c r="Q73" s="85">
        <v>106222</v>
      </c>
      <c r="R73" s="83">
        <v>0</v>
      </c>
      <c r="S73" s="83">
        <v>3</v>
      </c>
      <c r="T73" s="11" t="str">
        <f ca="1">IF(ISBLANK(BudgetsTable[[#This Row],[budg_seq_yr]]),"FY"&amp;fiscalyear,"FY"&amp;fiscalyear-1+BudgetsTable[[#This Row],[budg_seq_yr]])</f>
        <v>FY20</v>
      </c>
      <c r="U73" s="84">
        <v>106222</v>
      </c>
      <c r="V73" s="83" t="s">
        <v>231</v>
      </c>
      <c r="W73" s="83" t="s">
        <v>417</v>
      </c>
      <c r="X73" s="83" t="s">
        <v>423</v>
      </c>
      <c r="Y73" s="81" t="s">
        <v>434</v>
      </c>
      <c r="Z73" s="81" t="s">
        <v>13</v>
      </c>
    </row>
    <row r="74" spans="1:26" x14ac:dyDescent="0.4">
      <c r="A74" s="10" t="s">
        <v>377</v>
      </c>
      <c r="B74" s="81" t="s">
        <v>96</v>
      </c>
      <c r="C74" s="82">
        <v>42935.359027777777</v>
      </c>
      <c r="D74" s="83" t="s">
        <v>266</v>
      </c>
      <c r="E74" s="83" t="s">
        <v>231</v>
      </c>
      <c r="F74" s="83" t="s">
        <v>417</v>
      </c>
      <c r="G74" s="83" t="s">
        <v>377</v>
      </c>
      <c r="H74" s="7" t="str">
        <f>IF(BudgetsTable[[#This Row],[pi_last_name]]=" ","",HYPERLINK("https://www.ejacket.nsf.gov/ej/showProposal.do?Continue=Y&amp;ID="&amp;BudgetsTable[[#This Row],[prop_id]],BudgetsTable[[#This Row],[prop_id]]))</f>
        <v/>
      </c>
      <c r="I74" s="7" t="s">
        <v>1000</v>
      </c>
      <c r="J74" s="83" t="s">
        <v>13</v>
      </c>
      <c r="K74" s="83" t="s">
        <v>13</v>
      </c>
      <c r="L74" s="83">
        <v>1</v>
      </c>
      <c r="M74" s="83">
        <v>1</v>
      </c>
      <c r="N74" s="84">
        <v>0</v>
      </c>
      <c r="O74" s="84">
        <v>2000</v>
      </c>
      <c r="P74" s="84">
        <v>0</v>
      </c>
      <c r="Q74" s="85">
        <v>110517</v>
      </c>
      <c r="R74" s="83">
        <v>0</v>
      </c>
      <c r="S74" s="83">
        <v>4</v>
      </c>
      <c r="T74" s="11" t="str">
        <f ca="1">IF(ISBLANK(BudgetsTable[[#This Row],[budg_seq_yr]]),"FY"&amp;fiscalyear,"FY"&amp;fiscalyear-1+BudgetsTable[[#This Row],[budg_seq_yr]])</f>
        <v>FY21</v>
      </c>
      <c r="U74" s="84">
        <v>110517</v>
      </c>
      <c r="V74" s="83" t="s">
        <v>231</v>
      </c>
      <c r="W74" s="83" t="s">
        <v>417</v>
      </c>
      <c r="X74" s="83" t="s">
        <v>423</v>
      </c>
      <c r="Y74" s="81" t="s">
        <v>434</v>
      </c>
      <c r="Z74" s="81" t="s">
        <v>13</v>
      </c>
    </row>
    <row r="75" spans="1:26" x14ac:dyDescent="0.4">
      <c r="A75" s="10" t="s">
        <v>377</v>
      </c>
      <c r="B75" s="81" t="s">
        <v>96</v>
      </c>
      <c r="C75" s="82">
        <v>42935.359027777777</v>
      </c>
      <c r="D75" s="83" t="s">
        <v>266</v>
      </c>
      <c r="E75" s="83" t="s">
        <v>231</v>
      </c>
      <c r="F75" s="83" t="s">
        <v>417</v>
      </c>
      <c r="G75" s="83" t="s">
        <v>377</v>
      </c>
      <c r="H75" s="7" t="str">
        <f>IF(BudgetsTable[[#This Row],[pi_last_name]]=" ","",HYPERLINK("https://www.ejacket.nsf.gov/ej/showProposal.do?Continue=Y&amp;ID="&amp;BudgetsTable[[#This Row],[prop_id]],BudgetsTable[[#This Row],[prop_id]]))</f>
        <v/>
      </c>
      <c r="I75" s="7" t="s">
        <v>1000</v>
      </c>
      <c r="J75" s="83" t="s">
        <v>13</v>
      </c>
      <c r="K75" s="83" t="s">
        <v>13</v>
      </c>
      <c r="L75" s="83">
        <v>1</v>
      </c>
      <c r="M75" s="83">
        <v>1</v>
      </c>
      <c r="N75" s="84">
        <v>0</v>
      </c>
      <c r="O75" s="84">
        <v>2000</v>
      </c>
      <c r="P75" s="84">
        <v>0</v>
      </c>
      <c r="Q75" s="85">
        <v>113296</v>
      </c>
      <c r="R75" s="83">
        <v>0</v>
      </c>
      <c r="S75" s="83">
        <v>5</v>
      </c>
      <c r="T75" s="11" t="str">
        <f ca="1">IF(ISBLANK(BudgetsTable[[#This Row],[budg_seq_yr]]),"FY"&amp;fiscalyear,"FY"&amp;fiscalyear-1+BudgetsTable[[#This Row],[budg_seq_yr]])</f>
        <v>FY22</v>
      </c>
      <c r="U75" s="84">
        <v>113296</v>
      </c>
      <c r="V75" s="83" t="s">
        <v>231</v>
      </c>
      <c r="W75" s="83" t="s">
        <v>417</v>
      </c>
      <c r="X75" s="83" t="s">
        <v>423</v>
      </c>
      <c r="Y75" s="81" t="s">
        <v>434</v>
      </c>
      <c r="Z75" s="81" t="s">
        <v>13</v>
      </c>
    </row>
    <row r="76" spans="1:26" x14ac:dyDescent="0.4">
      <c r="A76" s="10" t="s">
        <v>378</v>
      </c>
      <c r="B76" s="81" t="s">
        <v>96</v>
      </c>
      <c r="C76" s="82">
        <v>42935.374305555553</v>
      </c>
      <c r="D76" s="83" t="s">
        <v>266</v>
      </c>
      <c r="E76" s="83" t="s">
        <v>231</v>
      </c>
      <c r="F76" s="83" t="s">
        <v>417</v>
      </c>
      <c r="G76" s="83" t="s">
        <v>378</v>
      </c>
      <c r="H76" s="7" t="str">
        <f>IF(BudgetsTable[[#This Row],[pi_last_name]]=" ","",HYPERLINK("https://www.ejacket.nsf.gov/ej/showProposal.do?Continue=Y&amp;ID="&amp;BudgetsTable[[#This Row],[prop_id]],BudgetsTable[[#This Row],[prop_id]]))</f>
        <v>1750127</v>
      </c>
      <c r="I76" s="7" t="s">
        <v>999</v>
      </c>
      <c r="J76" s="83" t="s">
        <v>493</v>
      </c>
      <c r="K76" s="83" t="s">
        <v>495</v>
      </c>
      <c r="L76" s="83"/>
      <c r="M76" s="83"/>
      <c r="N76" s="84"/>
      <c r="O76" s="84"/>
      <c r="P76" s="84"/>
      <c r="Q76" s="85"/>
      <c r="R76" s="83">
        <v>0</v>
      </c>
      <c r="S76" s="83"/>
      <c r="T76" s="11" t="str">
        <f ca="1">IF(ISBLANK(BudgetsTable[[#This Row],[budg_seq_yr]]),"FY"&amp;fiscalyear,"FY"&amp;fiscalyear-1+BudgetsTable[[#This Row],[budg_seq_yr]])</f>
        <v>FY18</v>
      </c>
      <c r="U76" s="84">
        <v>524840</v>
      </c>
      <c r="V76" s="83" t="s">
        <v>231</v>
      </c>
      <c r="W76" s="83" t="s">
        <v>417</v>
      </c>
      <c r="X76" s="83" t="s">
        <v>275</v>
      </c>
      <c r="Y76" s="81" t="s">
        <v>434</v>
      </c>
      <c r="Z76" s="81" t="s">
        <v>497</v>
      </c>
    </row>
    <row r="77" spans="1:26" x14ac:dyDescent="0.4">
      <c r="A77" s="10" t="s">
        <v>378</v>
      </c>
      <c r="B77" s="81" t="s">
        <v>96</v>
      </c>
      <c r="C77" s="82">
        <v>42935.374305555553</v>
      </c>
      <c r="D77" s="83" t="s">
        <v>266</v>
      </c>
      <c r="E77" s="83" t="s">
        <v>231</v>
      </c>
      <c r="F77" s="83" t="s">
        <v>417</v>
      </c>
      <c r="G77" s="83" t="s">
        <v>378</v>
      </c>
      <c r="H77" s="7" t="str">
        <f>IF(BudgetsTable[[#This Row],[pi_last_name]]=" ","",HYPERLINK("https://www.ejacket.nsf.gov/ej/showProposal.do?Continue=Y&amp;ID="&amp;BudgetsTable[[#This Row],[prop_id]],BudgetsTable[[#This Row],[prop_id]]))</f>
        <v/>
      </c>
      <c r="I77" s="7" t="s">
        <v>1000</v>
      </c>
      <c r="J77" s="83" t="s">
        <v>13</v>
      </c>
      <c r="K77" s="83" t="s">
        <v>13</v>
      </c>
      <c r="L77" s="83">
        <v>1</v>
      </c>
      <c r="M77" s="83">
        <v>1</v>
      </c>
      <c r="N77" s="84">
        <v>0</v>
      </c>
      <c r="O77" s="84">
        <v>0</v>
      </c>
      <c r="P77" s="84">
        <v>0</v>
      </c>
      <c r="Q77" s="85">
        <v>112867</v>
      </c>
      <c r="R77" s="83">
        <v>0</v>
      </c>
      <c r="S77" s="83">
        <v>1</v>
      </c>
      <c r="T77" s="11" t="str">
        <f ca="1">IF(ISBLANK(BudgetsTable[[#This Row],[budg_seq_yr]]),"FY"&amp;fiscalyear,"FY"&amp;fiscalyear-1+BudgetsTable[[#This Row],[budg_seq_yr]])</f>
        <v>FY18</v>
      </c>
      <c r="U77" s="84">
        <v>112867</v>
      </c>
      <c r="V77" s="83" t="s">
        <v>231</v>
      </c>
      <c r="W77" s="83" t="s">
        <v>417</v>
      </c>
      <c r="X77" s="83" t="s">
        <v>275</v>
      </c>
      <c r="Y77" s="81" t="s">
        <v>434</v>
      </c>
      <c r="Z77" s="81" t="s">
        <v>13</v>
      </c>
    </row>
    <row r="78" spans="1:26" x14ac:dyDescent="0.4">
      <c r="A78" s="10" t="s">
        <v>378</v>
      </c>
      <c r="B78" s="81" t="s">
        <v>96</v>
      </c>
      <c r="C78" s="82">
        <v>42935.374305555553</v>
      </c>
      <c r="D78" s="83" t="s">
        <v>266</v>
      </c>
      <c r="E78" s="83" t="s">
        <v>231</v>
      </c>
      <c r="F78" s="83" t="s">
        <v>417</v>
      </c>
      <c r="G78" s="83" t="s">
        <v>378</v>
      </c>
      <c r="H78" s="7" t="str">
        <f>IF(BudgetsTable[[#This Row],[pi_last_name]]=" ","",HYPERLINK("https://www.ejacket.nsf.gov/ej/showProposal.do?Continue=Y&amp;ID="&amp;BudgetsTable[[#This Row],[prop_id]],BudgetsTable[[#This Row],[prop_id]]))</f>
        <v/>
      </c>
      <c r="I78" s="7" t="s">
        <v>1000</v>
      </c>
      <c r="J78" s="83" t="s">
        <v>13</v>
      </c>
      <c r="K78" s="83" t="s">
        <v>13</v>
      </c>
      <c r="L78" s="83">
        <v>1</v>
      </c>
      <c r="M78" s="83">
        <v>1</v>
      </c>
      <c r="N78" s="84">
        <v>0</v>
      </c>
      <c r="O78" s="84">
        <v>0</v>
      </c>
      <c r="P78" s="84">
        <v>1500</v>
      </c>
      <c r="Q78" s="85">
        <v>109361</v>
      </c>
      <c r="R78" s="83">
        <v>0</v>
      </c>
      <c r="S78" s="83">
        <v>2</v>
      </c>
      <c r="T78" s="11" t="str">
        <f ca="1">IF(ISBLANK(BudgetsTable[[#This Row],[budg_seq_yr]]),"FY"&amp;fiscalyear,"FY"&amp;fiscalyear-1+BudgetsTable[[#This Row],[budg_seq_yr]])</f>
        <v>FY19</v>
      </c>
      <c r="U78" s="84">
        <v>109361</v>
      </c>
      <c r="V78" s="83" t="s">
        <v>231</v>
      </c>
      <c r="W78" s="83" t="s">
        <v>417</v>
      </c>
      <c r="X78" s="83" t="s">
        <v>275</v>
      </c>
      <c r="Y78" s="81" t="s">
        <v>434</v>
      </c>
      <c r="Z78" s="81" t="s">
        <v>13</v>
      </c>
    </row>
    <row r="79" spans="1:26" x14ac:dyDescent="0.4">
      <c r="A79" s="10" t="s">
        <v>378</v>
      </c>
      <c r="B79" s="81" t="s">
        <v>96</v>
      </c>
      <c r="C79" s="82">
        <v>42935.374305555553</v>
      </c>
      <c r="D79" s="83" t="s">
        <v>266</v>
      </c>
      <c r="E79" s="83" t="s">
        <v>231</v>
      </c>
      <c r="F79" s="83" t="s">
        <v>417</v>
      </c>
      <c r="G79" s="83" t="s">
        <v>378</v>
      </c>
      <c r="H79" s="7" t="str">
        <f>IF(BudgetsTable[[#This Row],[pi_last_name]]=" ","",HYPERLINK("https://www.ejacket.nsf.gov/ej/showProposal.do?Continue=Y&amp;ID="&amp;BudgetsTable[[#This Row],[prop_id]],BudgetsTable[[#This Row],[prop_id]]))</f>
        <v/>
      </c>
      <c r="I79" s="7" t="s">
        <v>1000</v>
      </c>
      <c r="J79" s="83" t="s">
        <v>13</v>
      </c>
      <c r="K79" s="83" t="s">
        <v>13</v>
      </c>
      <c r="L79" s="83">
        <v>1</v>
      </c>
      <c r="M79" s="83">
        <v>1</v>
      </c>
      <c r="N79" s="84">
        <v>0</v>
      </c>
      <c r="O79" s="84">
        <v>0</v>
      </c>
      <c r="P79" s="84">
        <v>0</v>
      </c>
      <c r="Q79" s="85">
        <v>111369</v>
      </c>
      <c r="R79" s="83">
        <v>0</v>
      </c>
      <c r="S79" s="83">
        <v>3</v>
      </c>
      <c r="T79" s="11" t="str">
        <f ca="1">IF(ISBLANK(BudgetsTable[[#This Row],[budg_seq_yr]]),"FY"&amp;fiscalyear,"FY"&amp;fiscalyear-1+BudgetsTable[[#This Row],[budg_seq_yr]])</f>
        <v>FY20</v>
      </c>
      <c r="U79" s="84">
        <v>111369</v>
      </c>
      <c r="V79" s="83" t="s">
        <v>231</v>
      </c>
      <c r="W79" s="83" t="s">
        <v>417</v>
      </c>
      <c r="X79" s="83" t="s">
        <v>275</v>
      </c>
      <c r="Y79" s="81" t="s">
        <v>434</v>
      </c>
      <c r="Z79" s="81" t="s">
        <v>13</v>
      </c>
    </row>
    <row r="80" spans="1:26" x14ac:dyDescent="0.4">
      <c r="A80" s="10" t="s">
        <v>378</v>
      </c>
      <c r="B80" s="81" t="s">
        <v>96</v>
      </c>
      <c r="C80" s="82">
        <v>42935.374305555553</v>
      </c>
      <c r="D80" s="83" t="s">
        <v>266</v>
      </c>
      <c r="E80" s="83" t="s">
        <v>231</v>
      </c>
      <c r="F80" s="83" t="s">
        <v>417</v>
      </c>
      <c r="G80" s="83" t="s">
        <v>378</v>
      </c>
      <c r="H80" s="7" t="str">
        <f>IF(BudgetsTable[[#This Row],[pi_last_name]]=" ","",HYPERLINK("https://www.ejacket.nsf.gov/ej/showProposal.do?Continue=Y&amp;ID="&amp;BudgetsTable[[#This Row],[prop_id]],BudgetsTable[[#This Row],[prop_id]]))</f>
        <v/>
      </c>
      <c r="I80" s="7" t="s">
        <v>1000</v>
      </c>
      <c r="J80" s="83" t="s">
        <v>13</v>
      </c>
      <c r="K80" s="83" t="s">
        <v>13</v>
      </c>
      <c r="L80" s="83">
        <v>1</v>
      </c>
      <c r="M80" s="83">
        <v>1</v>
      </c>
      <c r="N80" s="84">
        <v>0</v>
      </c>
      <c r="O80" s="84">
        <v>0</v>
      </c>
      <c r="P80" s="84">
        <v>1500</v>
      </c>
      <c r="Q80" s="85">
        <v>94898</v>
      </c>
      <c r="R80" s="83">
        <v>0</v>
      </c>
      <c r="S80" s="83">
        <v>4</v>
      </c>
      <c r="T80" s="11" t="str">
        <f ca="1">IF(ISBLANK(BudgetsTable[[#This Row],[budg_seq_yr]]),"FY"&amp;fiscalyear,"FY"&amp;fiscalyear-1+BudgetsTable[[#This Row],[budg_seq_yr]])</f>
        <v>FY21</v>
      </c>
      <c r="U80" s="84">
        <v>94898</v>
      </c>
      <c r="V80" s="83" t="s">
        <v>231</v>
      </c>
      <c r="W80" s="83" t="s">
        <v>417</v>
      </c>
      <c r="X80" s="83" t="s">
        <v>275</v>
      </c>
      <c r="Y80" s="81" t="s">
        <v>434</v>
      </c>
      <c r="Z80" s="81" t="s">
        <v>13</v>
      </c>
    </row>
    <row r="81" spans="1:26" x14ac:dyDescent="0.4">
      <c r="A81" s="10" t="s">
        <v>378</v>
      </c>
      <c r="B81" s="81" t="s">
        <v>96</v>
      </c>
      <c r="C81" s="82">
        <v>42935.374305555553</v>
      </c>
      <c r="D81" s="83" t="s">
        <v>266</v>
      </c>
      <c r="E81" s="83" t="s">
        <v>231</v>
      </c>
      <c r="F81" s="83" t="s">
        <v>417</v>
      </c>
      <c r="G81" s="83" t="s">
        <v>378</v>
      </c>
      <c r="H81" s="7" t="str">
        <f>IF(BudgetsTable[[#This Row],[pi_last_name]]=" ","",HYPERLINK("https://www.ejacket.nsf.gov/ej/showProposal.do?Continue=Y&amp;ID="&amp;BudgetsTable[[#This Row],[prop_id]],BudgetsTable[[#This Row],[prop_id]]))</f>
        <v/>
      </c>
      <c r="I81" s="7" t="s">
        <v>1000</v>
      </c>
      <c r="J81" s="83" t="s">
        <v>13</v>
      </c>
      <c r="K81" s="83" t="s">
        <v>13</v>
      </c>
      <c r="L81" s="83">
        <v>1</v>
      </c>
      <c r="M81" s="83">
        <v>1</v>
      </c>
      <c r="N81" s="84">
        <v>0</v>
      </c>
      <c r="O81" s="84">
        <v>0</v>
      </c>
      <c r="P81" s="84">
        <v>0</v>
      </c>
      <c r="Q81" s="85">
        <v>96345</v>
      </c>
      <c r="R81" s="83">
        <v>0</v>
      </c>
      <c r="S81" s="83">
        <v>5</v>
      </c>
      <c r="T81" s="11" t="str">
        <f ca="1">IF(ISBLANK(BudgetsTable[[#This Row],[budg_seq_yr]]),"FY"&amp;fiscalyear,"FY"&amp;fiscalyear-1+BudgetsTable[[#This Row],[budg_seq_yr]])</f>
        <v>FY22</v>
      </c>
      <c r="U81" s="84">
        <v>96345</v>
      </c>
      <c r="V81" s="83" t="s">
        <v>231</v>
      </c>
      <c r="W81" s="83" t="s">
        <v>417</v>
      </c>
      <c r="X81" s="83" t="s">
        <v>275</v>
      </c>
      <c r="Y81" s="81" t="s">
        <v>434</v>
      </c>
      <c r="Z81" s="81" t="s">
        <v>13</v>
      </c>
    </row>
    <row r="82" spans="1:26" x14ac:dyDescent="0.4">
      <c r="A82" s="10" t="s">
        <v>379</v>
      </c>
      <c r="B82" s="81" t="s">
        <v>96</v>
      </c>
      <c r="C82" s="82">
        <v>42935.387499999997</v>
      </c>
      <c r="D82" s="83" t="s">
        <v>266</v>
      </c>
      <c r="E82" s="83" t="s">
        <v>231</v>
      </c>
      <c r="F82" s="83" t="s">
        <v>417</v>
      </c>
      <c r="G82" s="83" t="s">
        <v>379</v>
      </c>
      <c r="H82" s="7" t="str">
        <f>IF(BudgetsTable[[#This Row],[pi_last_name]]=" ","",HYPERLINK("https://www.ejacket.nsf.gov/ej/showProposal.do?Continue=Y&amp;ID="&amp;BudgetsTable[[#This Row],[prop_id]],BudgetsTable[[#This Row],[prop_id]]))</f>
        <v>1750140</v>
      </c>
      <c r="I82" s="7" t="s">
        <v>999</v>
      </c>
      <c r="J82" s="83" t="s">
        <v>500</v>
      </c>
      <c r="K82" s="83" t="s">
        <v>502</v>
      </c>
      <c r="L82" s="83"/>
      <c r="M82" s="83"/>
      <c r="N82" s="84"/>
      <c r="O82" s="84"/>
      <c r="P82" s="84"/>
      <c r="Q82" s="85"/>
      <c r="R82" s="83">
        <v>0</v>
      </c>
      <c r="S82" s="83"/>
      <c r="T82" s="11" t="str">
        <f ca="1">IF(ISBLANK(BudgetsTable[[#This Row],[budg_seq_yr]]),"FY"&amp;fiscalyear,"FY"&amp;fiscalyear-1+BudgetsTable[[#This Row],[budg_seq_yr]])</f>
        <v>FY18</v>
      </c>
      <c r="U82" s="84">
        <v>602288</v>
      </c>
      <c r="V82" s="83" t="s">
        <v>231</v>
      </c>
      <c r="W82" s="83" t="s">
        <v>417</v>
      </c>
      <c r="X82" s="83" t="s">
        <v>423</v>
      </c>
      <c r="Y82" s="81" t="s">
        <v>434</v>
      </c>
      <c r="Z82" s="81" t="s">
        <v>504</v>
      </c>
    </row>
    <row r="83" spans="1:26" x14ac:dyDescent="0.4">
      <c r="A83" s="10" t="s">
        <v>379</v>
      </c>
      <c r="B83" s="81" t="s">
        <v>96</v>
      </c>
      <c r="C83" s="82">
        <v>42935.387499999997</v>
      </c>
      <c r="D83" s="83" t="s">
        <v>266</v>
      </c>
      <c r="E83" s="83" t="s">
        <v>231</v>
      </c>
      <c r="F83" s="83" t="s">
        <v>417</v>
      </c>
      <c r="G83" s="83" t="s">
        <v>379</v>
      </c>
      <c r="H83" s="7" t="str">
        <f>IF(BudgetsTable[[#This Row],[pi_last_name]]=" ","",HYPERLINK("https://www.ejacket.nsf.gov/ej/showProposal.do?Continue=Y&amp;ID="&amp;BudgetsTable[[#This Row],[prop_id]],BudgetsTable[[#This Row],[prop_id]]))</f>
        <v/>
      </c>
      <c r="I83" s="7" t="s">
        <v>1000</v>
      </c>
      <c r="J83" s="83" t="s">
        <v>13</v>
      </c>
      <c r="K83" s="83" t="s">
        <v>13</v>
      </c>
      <c r="L83" s="83">
        <v>1</v>
      </c>
      <c r="M83" s="83">
        <v>1</v>
      </c>
      <c r="N83" s="84">
        <v>0</v>
      </c>
      <c r="O83" s="84">
        <v>4000</v>
      </c>
      <c r="P83" s="84">
        <v>16000</v>
      </c>
      <c r="Q83" s="85">
        <v>116624</v>
      </c>
      <c r="R83" s="83">
        <v>0</v>
      </c>
      <c r="S83" s="83">
        <v>1</v>
      </c>
      <c r="T83" s="11" t="str">
        <f ca="1">IF(ISBLANK(BudgetsTable[[#This Row],[budg_seq_yr]]),"FY"&amp;fiscalyear,"FY"&amp;fiscalyear-1+BudgetsTable[[#This Row],[budg_seq_yr]])</f>
        <v>FY18</v>
      </c>
      <c r="U83" s="84">
        <v>116624</v>
      </c>
      <c r="V83" s="83" t="s">
        <v>231</v>
      </c>
      <c r="W83" s="83" t="s">
        <v>417</v>
      </c>
      <c r="X83" s="83" t="s">
        <v>423</v>
      </c>
      <c r="Y83" s="81" t="s">
        <v>434</v>
      </c>
      <c r="Z83" s="81" t="s">
        <v>13</v>
      </c>
    </row>
    <row r="84" spans="1:26" x14ac:dyDescent="0.4">
      <c r="A84" s="10" t="s">
        <v>379</v>
      </c>
      <c r="B84" s="81" t="s">
        <v>96</v>
      </c>
      <c r="C84" s="82">
        <v>42935.387499999997</v>
      </c>
      <c r="D84" s="83" t="s">
        <v>266</v>
      </c>
      <c r="E84" s="83" t="s">
        <v>231</v>
      </c>
      <c r="F84" s="83" t="s">
        <v>417</v>
      </c>
      <c r="G84" s="83" t="s">
        <v>379</v>
      </c>
      <c r="H84" s="7" t="str">
        <f>IF(BudgetsTable[[#This Row],[pi_last_name]]=" ","",HYPERLINK("https://www.ejacket.nsf.gov/ej/showProposal.do?Continue=Y&amp;ID="&amp;BudgetsTable[[#This Row],[prop_id]],BudgetsTable[[#This Row],[prop_id]]))</f>
        <v/>
      </c>
      <c r="I84" s="7" t="s">
        <v>1000</v>
      </c>
      <c r="J84" s="83" t="s">
        <v>13</v>
      </c>
      <c r="K84" s="83" t="s">
        <v>13</v>
      </c>
      <c r="L84" s="83">
        <v>1</v>
      </c>
      <c r="M84" s="83">
        <v>1</v>
      </c>
      <c r="N84" s="84">
        <v>0</v>
      </c>
      <c r="O84" s="84">
        <v>4100</v>
      </c>
      <c r="P84" s="84">
        <v>0</v>
      </c>
      <c r="Q84" s="85">
        <v>103527</v>
      </c>
      <c r="R84" s="83">
        <v>0</v>
      </c>
      <c r="S84" s="83">
        <v>2</v>
      </c>
      <c r="T84" s="11" t="str">
        <f ca="1">IF(ISBLANK(BudgetsTable[[#This Row],[budg_seq_yr]]),"FY"&amp;fiscalyear,"FY"&amp;fiscalyear-1+BudgetsTable[[#This Row],[budg_seq_yr]])</f>
        <v>FY19</v>
      </c>
      <c r="U84" s="84">
        <v>103527</v>
      </c>
      <c r="V84" s="83" t="s">
        <v>231</v>
      </c>
      <c r="W84" s="83" t="s">
        <v>417</v>
      </c>
      <c r="X84" s="83" t="s">
        <v>423</v>
      </c>
      <c r="Y84" s="81" t="s">
        <v>434</v>
      </c>
      <c r="Z84" s="81" t="s">
        <v>13</v>
      </c>
    </row>
    <row r="85" spans="1:26" x14ac:dyDescent="0.4">
      <c r="A85" s="10" t="s">
        <v>379</v>
      </c>
      <c r="B85" s="81" t="s">
        <v>96</v>
      </c>
      <c r="C85" s="82">
        <v>42935.387499999997</v>
      </c>
      <c r="D85" s="83" t="s">
        <v>266</v>
      </c>
      <c r="E85" s="83" t="s">
        <v>231</v>
      </c>
      <c r="F85" s="83" t="s">
        <v>417</v>
      </c>
      <c r="G85" s="83" t="s">
        <v>379</v>
      </c>
      <c r="H85" s="7" t="str">
        <f>IF(BudgetsTable[[#This Row],[pi_last_name]]=" ","",HYPERLINK("https://www.ejacket.nsf.gov/ej/showProposal.do?Continue=Y&amp;ID="&amp;BudgetsTable[[#This Row],[prop_id]],BudgetsTable[[#This Row],[prop_id]]))</f>
        <v/>
      </c>
      <c r="I85" s="7" t="s">
        <v>1000</v>
      </c>
      <c r="J85" s="83" t="s">
        <v>13</v>
      </c>
      <c r="K85" s="83" t="s">
        <v>13</v>
      </c>
      <c r="L85" s="83">
        <v>1</v>
      </c>
      <c r="M85" s="83">
        <v>1</v>
      </c>
      <c r="N85" s="84">
        <v>0</v>
      </c>
      <c r="O85" s="84">
        <v>4203</v>
      </c>
      <c r="P85" s="84">
        <v>0</v>
      </c>
      <c r="Q85" s="85">
        <v>106655</v>
      </c>
      <c r="R85" s="83">
        <v>0</v>
      </c>
      <c r="S85" s="83">
        <v>3</v>
      </c>
      <c r="T85" s="11" t="str">
        <f ca="1">IF(ISBLANK(BudgetsTable[[#This Row],[budg_seq_yr]]),"FY"&amp;fiscalyear,"FY"&amp;fiscalyear-1+BudgetsTable[[#This Row],[budg_seq_yr]])</f>
        <v>FY20</v>
      </c>
      <c r="U85" s="84">
        <v>106655</v>
      </c>
      <c r="V85" s="83" t="s">
        <v>231</v>
      </c>
      <c r="W85" s="83" t="s">
        <v>417</v>
      </c>
      <c r="X85" s="83" t="s">
        <v>423</v>
      </c>
      <c r="Y85" s="81" t="s">
        <v>434</v>
      </c>
      <c r="Z85" s="81" t="s">
        <v>13</v>
      </c>
    </row>
    <row r="86" spans="1:26" x14ac:dyDescent="0.4">
      <c r="A86" s="10" t="s">
        <v>379</v>
      </c>
      <c r="B86" s="81" t="s">
        <v>96</v>
      </c>
      <c r="C86" s="82">
        <v>42935.387499999997</v>
      </c>
      <c r="D86" s="83" t="s">
        <v>266</v>
      </c>
      <c r="E86" s="83" t="s">
        <v>231</v>
      </c>
      <c r="F86" s="83" t="s">
        <v>417</v>
      </c>
      <c r="G86" s="83" t="s">
        <v>379</v>
      </c>
      <c r="H86" s="7" t="str">
        <f>IF(BudgetsTable[[#This Row],[pi_last_name]]=" ","",HYPERLINK("https://www.ejacket.nsf.gov/ej/showProposal.do?Continue=Y&amp;ID="&amp;BudgetsTable[[#This Row],[prop_id]],BudgetsTable[[#This Row],[prop_id]]))</f>
        <v/>
      </c>
      <c r="I86" s="7" t="s">
        <v>1000</v>
      </c>
      <c r="J86" s="83" t="s">
        <v>13</v>
      </c>
      <c r="K86" s="83" t="s">
        <v>13</v>
      </c>
      <c r="L86" s="83">
        <v>1</v>
      </c>
      <c r="M86" s="83">
        <v>2</v>
      </c>
      <c r="N86" s="84">
        <v>0</v>
      </c>
      <c r="O86" s="84">
        <v>4308</v>
      </c>
      <c r="P86" s="84">
        <v>0</v>
      </c>
      <c r="Q86" s="85">
        <v>135919</v>
      </c>
      <c r="R86" s="83">
        <v>0</v>
      </c>
      <c r="S86" s="83">
        <v>4</v>
      </c>
      <c r="T86" s="11" t="str">
        <f ca="1">IF(ISBLANK(BudgetsTable[[#This Row],[budg_seq_yr]]),"FY"&amp;fiscalyear,"FY"&amp;fiscalyear-1+BudgetsTable[[#This Row],[budg_seq_yr]])</f>
        <v>FY21</v>
      </c>
      <c r="U86" s="84">
        <v>135919</v>
      </c>
      <c r="V86" s="83" t="s">
        <v>231</v>
      </c>
      <c r="W86" s="83" t="s">
        <v>417</v>
      </c>
      <c r="X86" s="83" t="s">
        <v>423</v>
      </c>
      <c r="Y86" s="81" t="s">
        <v>434</v>
      </c>
      <c r="Z86" s="81" t="s">
        <v>13</v>
      </c>
    </row>
    <row r="87" spans="1:26" x14ac:dyDescent="0.4">
      <c r="A87" s="10" t="s">
        <v>379</v>
      </c>
      <c r="B87" s="81" t="s">
        <v>96</v>
      </c>
      <c r="C87" s="82">
        <v>42935.387499999997</v>
      </c>
      <c r="D87" s="83" t="s">
        <v>266</v>
      </c>
      <c r="E87" s="83" t="s">
        <v>231</v>
      </c>
      <c r="F87" s="83" t="s">
        <v>417</v>
      </c>
      <c r="G87" s="83" t="s">
        <v>379</v>
      </c>
      <c r="H87" s="7" t="str">
        <f>IF(BudgetsTable[[#This Row],[pi_last_name]]=" ","",HYPERLINK("https://www.ejacket.nsf.gov/ej/showProposal.do?Continue=Y&amp;ID="&amp;BudgetsTable[[#This Row],[prop_id]],BudgetsTable[[#This Row],[prop_id]]))</f>
        <v/>
      </c>
      <c r="I87" s="7" t="s">
        <v>1000</v>
      </c>
      <c r="J87" s="83" t="s">
        <v>13</v>
      </c>
      <c r="K87" s="83" t="s">
        <v>13</v>
      </c>
      <c r="L87" s="83">
        <v>1</v>
      </c>
      <c r="M87" s="83">
        <v>2</v>
      </c>
      <c r="N87" s="84">
        <v>0</v>
      </c>
      <c r="O87" s="84">
        <v>4415</v>
      </c>
      <c r="P87" s="84">
        <v>0</v>
      </c>
      <c r="Q87" s="85">
        <v>139563</v>
      </c>
      <c r="R87" s="83">
        <v>0</v>
      </c>
      <c r="S87" s="83">
        <v>5</v>
      </c>
      <c r="T87" s="11" t="str">
        <f ca="1">IF(ISBLANK(BudgetsTable[[#This Row],[budg_seq_yr]]),"FY"&amp;fiscalyear,"FY"&amp;fiscalyear-1+BudgetsTable[[#This Row],[budg_seq_yr]])</f>
        <v>FY22</v>
      </c>
      <c r="U87" s="84">
        <v>139563</v>
      </c>
      <c r="V87" s="83" t="s">
        <v>231</v>
      </c>
      <c r="W87" s="83" t="s">
        <v>417</v>
      </c>
      <c r="X87" s="83" t="s">
        <v>423</v>
      </c>
      <c r="Y87" s="81" t="s">
        <v>434</v>
      </c>
      <c r="Z87" s="81" t="s">
        <v>13</v>
      </c>
    </row>
    <row r="88" spans="1:26" x14ac:dyDescent="0.4">
      <c r="A88" s="10" t="s">
        <v>380</v>
      </c>
      <c r="B88" s="81" t="s">
        <v>96</v>
      </c>
      <c r="C88" s="82">
        <v>42935.475694444445</v>
      </c>
      <c r="D88" s="83" t="s">
        <v>266</v>
      </c>
      <c r="E88" s="83" t="s">
        <v>231</v>
      </c>
      <c r="F88" s="83" t="s">
        <v>417</v>
      </c>
      <c r="G88" s="83" t="s">
        <v>380</v>
      </c>
      <c r="H88" s="7" t="str">
        <f>IF(BudgetsTable[[#This Row],[pi_last_name]]=" ","",HYPERLINK("https://www.ejacket.nsf.gov/ej/showProposal.do?Continue=Y&amp;ID="&amp;BudgetsTable[[#This Row],[prop_id]],BudgetsTable[[#This Row],[prop_id]]))</f>
        <v>1750302</v>
      </c>
      <c r="I88" s="7" t="s">
        <v>999</v>
      </c>
      <c r="J88" s="83" t="s">
        <v>506</v>
      </c>
      <c r="K88" s="83" t="s">
        <v>507</v>
      </c>
      <c r="L88" s="83"/>
      <c r="M88" s="83"/>
      <c r="N88" s="84"/>
      <c r="O88" s="84"/>
      <c r="P88" s="84"/>
      <c r="Q88" s="85"/>
      <c r="R88" s="83">
        <v>0</v>
      </c>
      <c r="S88" s="83"/>
      <c r="T88" s="11" t="str">
        <f ca="1">IF(ISBLANK(BudgetsTable[[#This Row],[budg_seq_yr]]),"FY"&amp;fiscalyear,"FY"&amp;fiscalyear-1+BudgetsTable[[#This Row],[budg_seq_yr]])</f>
        <v>FY18</v>
      </c>
      <c r="U88" s="84">
        <v>507459</v>
      </c>
      <c r="V88" s="83" t="s">
        <v>231</v>
      </c>
      <c r="W88" s="83" t="s">
        <v>417</v>
      </c>
      <c r="X88" s="83" t="s">
        <v>423</v>
      </c>
      <c r="Y88" s="81" t="s">
        <v>434</v>
      </c>
      <c r="Z88" s="81" t="s">
        <v>508</v>
      </c>
    </row>
    <row r="89" spans="1:26" x14ac:dyDescent="0.4">
      <c r="A89" s="10" t="s">
        <v>380</v>
      </c>
      <c r="B89" s="81" t="s">
        <v>96</v>
      </c>
      <c r="C89" s="82">
        <v>42935.475694444445</v>
      </c>
      <c r="D89" s="83" t="s">
        <v>266</v>
      </c>
      <c r="E89" s="83" t="s">
        <v>231</v>
      </c>
      <c r="F89" s="83" t="s">
        <v>417</v>
      </c>
      <c r="G89" s="83" t="s">
        <v>380</v>
      </c>
      <c r="H89" s="7" t="str">
        <f>IF(BudgetsTable[[#This Row],[pi_last_name]]=" ","",HYPERLINK("https://www.ejacket.nsf.gov/ej/showProposal.do?Continue=Y&amp;ID="&amp;BudgetsTable[[#This Row],[prop_id]],BudgetsTable[[#This Row],[prop_id]]))</f>
        <v/>
      </c>
      <c r="I89" s="7" t="s">
        <v>1000</v>
      </c>
      <c r="J89" s="83" t="s">
        <v>13</v>
      </c>
      <c r="K89" s="83" t="s">
        <v>13</v>
      </c>
      <c r="L89" s="83">
        <v>1</v>
      </c>
      <c r="M89" s="83">
        <v>0</v>
      </c>
      <c r="N89" s="84">
        <v>0</v>
      </c>
      <c r="O89" s="84">
        <v>2100</v>
      </c>
      <c r="P89" s="84">
        <v>0</v>
      </c>
      <c r="Q89" s="85">
        <v>102907</v>
      </c>
      <c r="R89" s="83">
        <v>0</v>
      </c>
      <c r="S89" s="83">
        <v>1</v>
      </c>
      <c r="T89" s="11" t="str">
        <f ca="1">IF(ISBLANK(BudgetsTable[[#This Row],[budg_seq_yr]]),"FY"&amp;fiscalyear,"FY"&amp;fiscalyear-1+BudgetsTable[[#This Row],[budg_seq_yr]])</f>
        <v>FY18</v>
      </c>
      <c r="U89" s="84">
        <v>102907</v>
      </c>
      <c r="V89" s="83" t="s">
        <v>231</v>
      </c>
      <c r="W89" s="83" t="s">
        <v>417</v>
      </c>
      <c r="X89" s="83" t="s">
        <v>423</v>
      </c>
      <c r="Y89" s="81" t="s">
        <v>434</v>
      </c>
      <c r="Z89" s="81" t="s">
        <v>13</v>
      </c>
    </row>
    <row r="90" spans="1:26" x14ac:dyDescent="0.4">
      <c r="A90" s="10" t="s">
        <v>380</v>
      </c>
      <c r="B90" s="81" t="s">
        <v>96</v>
      </c>
      <c r="C90" s="82">
        <v>42935.475694444445</v>
      </c>
      <c r="D90" s="83" t="s">
        <v>266</v>
      </c>
      <c r="E90" s="83" t="s">
        <v>231</v>
      </c>
      <c r="F90" s="83" t="s">
        <v>417</v>
      </c>
      <c r="G90" s="83" t="s">
        <v>380</v>
      </c>
      <c r="H90" s="7" t="str">
        <f>IF(BudgetsTable[[#This Row],[pi_last_name]]=" ","",HYPERLINK("https://www.ejacket.nsf.gov/ej/showProposal.do?Continue=Y&amp;ID="&amp;BudgetsTable[[#This Row],[prop_id]],BudgetsTable[[#This Row],[prop_id]]))</f>
        <v/>
      </c>
      <c r="I90" s="7" t="s">
        <v>1000</v>
      </c>
      <c r="J90" s="83" t="s">
        <v>13</v>
      </c>
      <c r="K90" s="83" t="s">
        <v>13</v>
      </c>
      <c r="L90" s="83">
        <v>1</v>
      </c>
      <c r="M90" s="83">
        <v>0</v>
      </c>
      <c r="N90" s="84">
        <v>0</v>
      </c>
      <c r="O90" s="84">
        <v>2100</v>
      </c>
      <c r="P90" s="84">
        <v>0</v>
      </c>
      <c r="Q90" s="85">
        <v>101935</v>
      </c>
      <c r="R90" s="83">
        <v>0</v>
      </c>
      <c r="S90" s="83">
        <v>2</v>
      </c>
      <c r="T90" s="11" t="str">
        <f ca="1">IF(ISBLANK(BudgetsTable[[#This Row],[budg_seq_yr]]),"FY"&amp;fiscalyear,"FY"&amp;fiscalyear-1+BudgetsTable[[#This Row],[budg_seq_yr]])</f>
        <v>FY19</v>
      </c>
      <c r="U90" s="84">
        <v>101935</v>
      </c>
      <c r="V90" s="83" t="s">
        <v>231</v>
      </c>
      <c r="W90" s="83" t="s">
        <v>417</v>
      </c>
      <c r="X90" s="83" t="s">
        <v>423</v>
      </c>
      <c r="Y90" s="81" t="s">
        <v>434</v>
      </c>
      <c r="Z90" s="81" t="s">
        <v>13</v>
      </c>
    </row>
    <row r="91" spans="1:26" x14ac:dyDescent="0.4">
      <c r="A91" s="10" t="s">
        <v>380</v>
      </c>
      <c r="B91" s="81" t="s">
        <v>96</v>
      </c>
      <c r="C91" s="82">
        <v>42935.475694444445</v>
      </c>
      <c r="D91" s="83" t="s">
        <v>266</v>
      </c>
      <c r="E91" s="83" t="s">
        <v>231</v>
      </c>
      <c r="F91" s="83" t="s">
        <v>417</v>
      </c>
      <c r="G91" s="83" t="s">
        <v>380</v>
      </c>
      <c r="H91" s="7" t="str">
        <f>IF(BudgetsTable[[#This Row],[pi_last_name]]=" ","",HYPERLINK("https://www.ejacket.nsf.gov/ej/showProposal.do?Continue=Y&amp;ID="&amp;BudgetsTable[[#This Row],[prop_id]],BudgetsTable[[#This Row],[prop_id]]))</f>
        <v/>
      </c>
      <c r="I91" s="7" t="s">
        <v>1000</v>
      </c>
      <c r="J91" s="83" t="s">
        <v>13</v>
      </c>
      <c r="K91" s="83" t="s">
        <v>13</v>
      </c>
      <c r="L91" s="83">
        <v>1</v>
      </c>
      <c r="M91" s="83">
        <v>0</v>
      </c>
      <c r="N91" s="84">
        <v>0</v>
      </c>
      <c r="O91" s="84">
        <v>0</v>
      </c>
      <c r="P91" s="84">
        <v>0</v>
      </c>
      <c r="Q91" s="85">
        <v>100630</v>
      </c>
      <c r="R91" s="83">
        <v>0</v>
      </c>
      <c r="S91" s="83">
        <v>3</v>
      </c>
      <c r="T91" s="11" t="str">
        <f ca="1">IF(ISBLANK(BudgetsTable[[#This Row],[budg_seq_yr]]),"FY"&amp;fiscalyear,"FY"&amp;fiscalyear-1+BudgetsTable[[#This Row],[budg_seq_yr]])</f>
        <v>FY20</v>
      </c>
      <c r="U91" s="84">
        <v>100630</v>
      </c>
      <c r="V91" s="83" t="s">
        <v>231</v>
      </c>
      <c r="W91" s="83" t="s">
        <v>417</v>
      </c>
      <c r="X91" s="83" t="s">
        <v>423</v>
      </c>
      <c r="Y91" s="81" t="s">
        <v>434</v>
      </c>
      <c r="Z91" s="81" t="s">
        <v>13</v>
      </c>
    </row>
    <row r="92" spans="1:26" x14ac:dyDescent="0.4">
      <c r="A92" s="10" t="s">
        <v>380</v>
      </c>
      <c r="B92" s="81" t="s">
        <v>96</v>
      </c>
      <c r="C92" s="82">
        <v>42935.475694444445</v>
      </c>
      <c r="D92" s="83" t="s">
        <v>266</v>
      </c>
      <c r="E92" s="83" t="s">
        <v>231</v>
      </c>
      <c r="F92" s="83" t="s">
        <v>417</v>
      </c>
      <c r="G92" s="83" t="s">
        <v>380</v>
      </c>
      <c r="H92" s="7" t="str">
        <f>IF(BudgetsTable[[#This Row],[pi_last_name]]=" ","",HYPERLINK("https://www.ejacket.nsf.gov/ej/showProposal.do?Continue=Y&amp;ID="&amp;BudgetsTable[[#This Row],[prop_id]],BudgetsTable[[#This Row],[prop_id]]))</f>
        <v/>
      </c>
      <c r="I92" s="7" t="s">
        <v>1000</v>
      </c>
      <c r="J92" s="83" t="s">
        <v>13</v>
      </c>
      <c r="K92" s="83" t="s">
        <v>13</v>
      </c>
      <c r="L92" s="83">
        <v>1</v>
      </c>
      <c r="M92" s="83">
        <v>0</v>
      </c>
      <c r="N92" s="84">
        <v>0</v>
      </c>
      <c r="O92" s="84">
        <v>0</v>
      </c>
      <c r="P92" s="84">
        <v>0</v>
      </c>
      <c r="Q92" s="85">
        <v>99873</v>
      </c>
      <c r="R92" s="83">
        <v>0</v>
      </c>
      <c r="S92" s="83">
        <v>4</v>
      </c>
      <c r="T92" s="11" t="str">
        <f ca="1">IF(ISBLANK(BudgetsTable[[#This Row],[budg_seq_yr]]),"FY"&amp;fiscalyear,"FY"&amp;fiscalyear-1+BudgetsTable[[#This Row],[budg_seq_yr]])</f>
        <v>FY21</v>
      </c>
      <c r="U92" s="84">
        <v>99873</v>
      </c>
      <c r="V92" s="83" t="s">
        <v>231</v>
      </c>
      <c r="W92" s="83" t="s">
        <v>417</v>
      </c>
      <c r="X92" s="83" t="s">
        <v>423</v>
      </c>
      <c r="Y92" s="81" t="s">
        <v>434</v>
      </c>
      <c r="Z92" s="81" t="s">
        <v>13</v>
      </c>
    </row>
    <row r="93" spans="1:26" x14ac:dyDescent="0.4">
      <c r="A93" s="10" t="s">
        <v>380</v>
      </c>
      <c r="B93" s="81" t="s">
        <v>96</v>
      </c>
      <c r="C93" s="82">
        <v>42935.475694444445</v>
      </c>
      <c r="D93" s="83" t="s">
        <v>266</v>
      </c>
      <c r="E93" s="83" t="s">
        <v>231</v>
      </c>
      <c r="F93" s="83" t="s">
        <v>417</v>
      </c>
      <c r="G93" s="83" t="s">
        <v>380</v>
      </c>
      <c r="H93" s="7" t="str">
        <f>IF(BudgetsTable[[#This Row],[pi_last_name]]=" ","",HYPERLINK("https://www.ejacket.nsf.gov/ej/showProposal.do?Continue=Y&amp;ID="&amp;BudgetsTable[[#This Row],[prop_id]],BudgetsTable[[#This Row],[prop_id]]))</f>
        <v/>
      </c>
      <c r="I93" s="7" t="s">
        <v>1000</v>
      </c>
      <c r="J93" s="83" t="s">
        <v>13</v>
      </c>
      <c r="K93" s="83" t="s">
        <v>13</v>
      </c>
      <c r="L93" s="83">
        <v>1</v>
      </c>
      <c r="M93" s="83">
        <v>0</v>
      </c>
      <c r="N93" s="84">
        <v>0</v>
      </c>
      <c r="O93" s="84">
        <v>0</v>
      </c>
      <c r="P93" s="84">
        <v>0</v>
      </c>
      <c r="Q93" s="85">
        <v>102114</v>
      </c>
      <c r="R93" s="83">
        <v>0</v>
      </c>
      <c r="S93" s="83">
        <v>5</v>
      </c>
      <c r="T93" s="11" t="str">
        <f ca="1">IF(ISBLANK(BudgetsTable[[#This Row],[budg_seq_yr]]),"FY"&amp;fiscalyear,"FY"&amp;fiscalyear-1+BudgetsTable[[#This Row],[budg_seq_yr]])</f>
        <v>FY22</v>
      </c>
      <c r="U93" s="84">
        <v>102114</v>
      </c>
      <c r="V93" s="83" t="s">
        <v>231</v>
      </c>
      <c r="W93" s="83" t="s">
        <v>417</v>
      </c>
      <c r="X93" s="83" t="s">
        <v>423</v>
      </c>
      <c r="Y93" s="81" t="s">
        <v>434</v>
      </c>
      <c r="Z93" s="81" t="s">
        <v>13</v>
      </c>
    </row>
    <row r="94" spans="1:26" x14ac:dyDescent="0.4">
      <c r="A94" s="10" t="s">
        <v>381</v>
      </c>
      <c r="B94" s="81" t="s">
        <v>96</v>
      </c>
      <c r="C94" s="82">
        <v>42935.488888888889</v>
      </c>
      <c r="D94" s="83" t="s">
        <v>266</v>
      </c>
      <c r="E94" s="83" t="s">
        <v>231</v>
      </c>
      <c r="F94" s="83" t="s">
        <v>417</v>
      </c>
      <c r="G94" s="83" t="s">
        <v>381</v>
      </c>
      <c r="H94" s="7" t="str">
        <f>IF(BudgetsTable[[#This Row],[pi_last_name]]=" ","",HYPERLINK("https://www.ejacket.nsf.gov/ej/showProposal.do?Continue=Y&amp;ID="&amp;BudgetsTable[[#This Row],[prop_id]],BudgetsTable[[#This Row],[prop_id]]))</f>
        <v>1750333</v>
      </c>
      <c r="I94" s="7" t="s">
        <v>999</v>
      </c>
      <c r="J94" s="83" t="s">
        <v>511</v>
      </c>
      <c r="K94" s="83" t="s">
        <v>513</v>
      </c>
      <c r="L94" s="83"/>
      <c r="M94" s="83"/>
      <c r="N94" s="84"/>
      <c r="O94" s="84"/>
      <c r="P94" s="84"/>
      <c r="Q94" s="85"/>
      <c r="R94" s="83">
        <v>0</v>
      </c>
      <c r="S94" s="83"/>
      <c r="T94" s="11" t="str">
        <f ca="1">IF(ISBLANK(BudgetsTable[[#This Row],[budg_seq_yr]]),"FY"&amp;fiscalyear,"FY"&amp;fiscalyear-1+BudgetsTable[[#This Row],[budg_seq_yr]])</f>
        <v>FY18</v>
      </c>
      <c r="U94" s="84">
        <v>507423</v>
      </c>
      <c r="V94" s="83" t="s">
        <v>231</v>
      </c>
      <c r="W94" s="83" t="s">
        <v>417</v>
      </c>
      <c r="X94" s="83" t="s">
        <v>423</v>
      </c>
      <c r="Y94" s="81" t="s">
        <v>434</v>
      </c>
      <c r="Z94" s="81" t="s">
        <v>514</v>
      </c>
    </row>
    <row r="95" spans="1:26" x14ac:dyDescent="0.4">
      <c r="A95" s="10" t="s">
        <v>381</v>
      </c>
      <c r="B95" s="81" t="s">
        <v>96</v>
      </c>
      <c r="C95" s="82">
        <v>42935.488888888889</v>
      </c>
      <c r="D95" s="83" t="s">
        <v>266</v>
      </c>
      <c r="E95" s="83" t="s">
        <v>231</v>
      </c>
      <c r="F95" s="83" t="s">
        <v>417</v>
      </c>
      <c r="G95" s="83" t="s">
        <v>381</v>
      </c>
      <c r="H95" s="7" t="str">
        <f>IF(BudgetsTable[[#This Row],[pi_last_name]]=" ","",HYPERLINK("https://www.ejacket.nsf.gov/ej/showProposal.do?Continue=Y&amp;ID="&amp;BudgetsTable[[#This Row],[prop_id]],BudgetsTable[[#This Row],[prop_id]]))</f>
        <v/>
      </c>
      <c r="I95" s="7" t="s">
        <v>1000</v>
      </c>
      <c r="J95" s="83" t="s">
        <v>13</v>
      </c>
      <c r="K95" s="83" t="s">
        <v>13</v>
      </c>
      <c r="L95" s="83">
        <v>1</v>
      </c>
      <c r="M95" s="83">
        <v>1</v>
      </c>
      <c r="N95" s="84">
        <v>0</v>
      </c>
      <c r="O95" s="84">
        <v>3000</v>
      </c>
      <c r="P95" s="84">
        <v>0</v>
      </c>
      <c r="Q95" s="85">
        <v>99138</v>
      </c>
      <c r="R95" s="83">
        <v>0</v>
      </c>
      <c r="S95" s="83">
        <v>1</v>
      </c>
      <c r="T95" s="11" t="str">
        <f ca="1">IF(ISBLANK(BudgetsTable[[#This Row],[budg_seq_yr]]),"FY"&amp;fiscalyear,"FY"&amp;fiscalyear-1+BudgetsTable[[#This Row],[budg_seq_yr]])</f>
        <v>FY18</v>
      </c>
      <c r="U95" s="84">
        <v>99138</v>
      </c>
      <c r="V95" s="83" t="s">
        <v>231</v>
      </c>
      <c r="W95" s="83" t="s">
        <v>417</v>
      </c>
      <c r="X95" s="83" t="s">
        <v>423</v>
      </c>
      <c r="Y95" s="81" t="s">
        <v>434</v>
      </c>
      <c r="Z95" s="81" t="s">
        <v>13</v>
      </c>
    </row>
    <row r="96" spans="1:26" x14ac:dyDescent="0.4">
      <c r="A96" s="10" t="s">
        <v>381</v>
      </c>
      <c r="B96" s="81" t="s">
        <v>96</v>
      </c>
      <c r="C96" s="82">
        <v>42935.488888888889</v>
      </c>
      <c r="D96" s="83" t="s">
        <v>266</v>
      </c>
      <c r="E96" s="83" t="s">
        <v>231</v>
      </c>
      <c r="F96" s="83" t="s">
        <v>417</v>
      </c>
      <c r="G96" s="83" t="s">
        <v>381</v>
      </c>
      <c r="H96" s="7" t="str">
        <f>IF(BudgetsTable[[#This Row],[pi_last_name]]=" ","",HYPERLINK("https://www.ejacket.nsf.gov/ej/showProposal.do?Continue=Y&amp;ID="&amp;BudgetsTable[[#This Row],[prop_id]],BudgetsTable[[#This Row],[prop_id]]))</f>
        <v/>
      </c>
      <c r="I96" s="7" t="s">
        <v>1000</v>
      </c>
      <c r="J96" s="83" t="s">
        <v>13</v>
      </c>
      <c r="K96" s="83" t="s">
        <v>13</v>
      </c>
      <c r="L96" s="83">
        <v>1</v>
      </c>
      <c r="M96" s="83">
        <v>1</v>
      </c>
      <c r="N96" s="84">
        <v>0</v>
      </c>
      <c r="O96" s="84">
        <v>3000</v>
      </c>
      <c r="P96" s="84">
        <v>0</v>
      </c>
      <c r="Q96" s="85">
        <v>97771</v>
      </c>
      <c r="R96" s="83">
        <v>0</v>
      </c>
      <c r="S96" s="83">
        <v>2</v>
      </c>
      <c r="T96" s="11" t="str">
        <f ca="1">IF(ISBLANK(BudgetsTable[[#This Row],[budg_seq_yr]]),"FY"&amp;fiscalyear,"FY"&amp;fiscalyear-1+BudgetsTable[[#This Row],[budg_seq_yr]])</f>
        <v>FY19</v>
      </c>
      <c r="U96" s="84">
        <v>97771</v>
      </c>
      <c r="V96" s="83" t="s">
        <v>231</v>
      </c>
      <c r="W96" s="83" t="s">
        <v>417</v>
      </c>
      <c r="X96" s="83" t="s">
        <v>423</v>
      </c>
      <c r="Y96" s="81" t="s">
        <v>434</v>
      </c>
      <c r="Z96" s="81" t="s">
        <v>13</v>
      </c>
    </row>
    <row r="97" spans="1:26" x14ac:dyDescent="0.4">
      <c r="A97" s="10" t="s">
        <v>381</v>
      </c>
      <c r="B97" s="81" t="s">
        <v>96</v>
      </c>
      <c r="C97" s="82">
        <v>42935.488888888889</v>
      </c>
      <c r="D97" s="83" t="s">
        <v>266</v>
      </c>
      <c r="E97" s="83" t="s">
        <v>231</v>
      </c>
      <c r="F97" s="83" t="s">
        <v>417</v>
      </c>
      <c r="G97" s="83" t="s">
        <v>381</v>
      </c>
      <c r="H97" s="7" t="str">
        <f>IF(BudgetsTable[[#This Row],[pi_last_name]]=" ","",HYPERLINK("https://www.ejacket.nsf.gov/ej/showProposal.do?Continue=Y&amp;ID="&amp;BudgetsTable[[#This Row],[prop_id]],BudgetsTable[[#This Row],[prop_id]]))</f>
        <v/>
      </c>
      <c r="I97" s="7" t="s">
        <v>1000</v>
      </c>
      <c r="J97" s="83" t="s">
        <v>13</v>
      </c>
      <c r="K97" s="83" t="s">
        <v>13</v>
      </c>
      <c r="L97" s="83">
        <v>1</v>
      </c>
      <c r="M97" s="83">
        <v>1</v>
      </c>
      <c r="N97" s="84">
        <v>0</v>
      </c>
      <c r="O97" s="84">
        <v>3000</v>
      </c>
      <c r="P97" s="84">
        <v>0</v>
      </c>
      <c r="Q97" s="85">
        <v>100459</v>
      </c>
      <c r="R97" s="83">
        <v>0</v>
      </c>
      <c r="S97" s="83">
        <v>3</v>
      </c>
      <c r="T97" s="11" t="str">
        <f ca="1">IF(ISBLANK(BudgetsTable[[#This Row],[budg_seq_yr]]),"FY"&amp;fiscalyear,"FY"&amp;fiscalyear-1+BudgetsTable[[#This Row],[budg_seq_yr]])</f>
        <v>FY20</v>
      </c>
      <c r="U97" s="84">
        <v>100459</v>
      </c>
      <c r="V97" s="83" t="s">
        <v>231</v>
      </c>
      <c r="W97" s="83" t="s">
        <v>417</v>
      </c>
      <c r="X97" s="83" t="s">
        <v>423</v>
      </c>
      <c r="Y97" s="81" t="s">
        <v>434</v>
      </c>
      <c r="Z97" s="81" t="s">
        <v>13</v>
      </c>
    </row>
    <row r="98" spans="1:26" x14ac:dyDescent="0.4">
      <c r="A98" s="10" t="s">
        <v>381</v>
      </c>
      <c r="B98" s="81" t="s">
        <v>96</v>
      </c>
      <c r="C98" s="82">
        <v>42935.488888888889</v>
      </c>
      <c r="D98" s="83" t="s">
        <v>266</v>
      </c>
      <c r="E98" s="83" t="s">
        <v>231</v>
      </c>
      <c r="F98" s="83" t="s">
        <v>417</v>
      </c>
      <c r="G98" s="83" t="s">
        <v>381</v>
      </c>
      <c r="H98" s="7" t="str">
        <f>IF(BudgetsTable[[#This Row],[pi_last_name]]=" ","",HYPERLINK("https://www.ejacket.nsf.gov/ej/showProposal.do?Continue=Y&amp;ID="&amp;BudgetsTable[[#This Row],[prop_id]],BudgetsTable[[#This Row],[prop_id]]))</f>
        <v/>
      </c>
      <c r="I98" s="7" t="s">
        <v>1000</v>
      </c>
      <c r="J98" s="83" t="s">
        <v>13</v>
      </c>
      <c r="K98" s="83" t="s">
        <v>13</v>
      </c>
      <c r="L98" s="83">
        <v>1</v>
      </c>
      <c r="M98" s="83">
        <v>1</v>
      </c>
      <c r="N98" s="84">
        <v>0</v>
      </c>
      <c r="O98" s="84">
        <v>3000</v>
      </c>
      <c r="P98" s="84">
        <v>0</v>
      </c>
      <c r="Q98" s="85">
        <v>103224</v>
      </c>
      <c r="R98" s="83">
        <v>0</v>
      </c>
      <c r="S98" s="83">
        <v>4</v>
      </c>
      <c r="T98" s="11" t="str">
        <f ca="1">IF(ISBLANK(BudgetsTable[[#This Row],[budg_seq_yr]]),"FY"&amp;fiscalyear,"FY"&amp;fiscalyear-1+BudgetsTable[[#This Row],[budg_seq_yr]])</f>
        <v>FY21</v>
      </c>
      <c r="U98" s="84">
        <v>103224</v>
      </c>
      <c r="V98" s="83" t="s">
        <v>231</v>
      </c>
      <c r="W98" s="83" t="s">
        <v>417</v>
      </c>
      <c r="X98" s="83" t="s">
        <v>423</v>
      </c>
      <c r="Y98" s="81" t="s">
        <v>434</v>
      </c>
      <c r="Z98" s="81" t="s">
        <v>13</v>
      </c>
    </row>
    <row r="99" spans="1:26" x14ac:dyDescent="0.4">
      <c r="A99" s="10" t="s">
        <v>381</v>
      </c>
      <c r="B99" s="81" t="s">
        <v>96</v>
      </c>
      <c r="C99" s="82">
        <v>42935.488888888889</v>
      </c>
      <c r="D99" s="83" t="s">
        <v>266</v>
      </c>
      <c r="E99" s="83" t="s">
        <v>231</v>
      </c>
      <c r="F99" s="83" t="s">
        <v>417</v>
      </c>
      <c r="G99" s="83" t="s">
        <v>381</v>
      </c>
      <c r="H99" s="7" t="str">
        <f>IF(BudgetsTable[[#This Row],[pi_last_name]]=" ","",HYPERLINK("https://www.ejacket.nsf.gov/ej/showProposal.do?Continue=Y&amp;ID="&amp;BudgetsTable[[#This Row],[prop_id]],BudgetsTable[[#This Row],[prop_id]]))</f>
        <v/>
      </c>
      <c r="I99" s="7" t="s">
        <v>1000</v>
      </c>
      <c r="J99" s="83" t="s">
        <v>13</v>
      </c>
      <c r="K99" s="83" t="s">
        <v>13</v>
      </c>
      <c r="L99" s="83">
        <v>1</v>
      </c>
      <c r="M99" s="83">
        <v>1</v>
      </c>
      <c r="N99" s="84">
        <v>0</v>
      </c>
      <c r="O99" s="84">
        <v>3000</v>
      </c>
      <c r="P99" s="84">
        <v>0</v>
      </c>
      <c r="Q99" s="85">
        <v>106831</v>
      </c>
      <c r="R99" s="83">
        <v>0</v>
      </c>
      <c r="S99" s="83">
        <v>5</v>
      </c>
      <c r="T99" s="11" t="str">
        <f ca="1">IF(ISBLANK(BudgetsTable[[#This Row],[budg_seq_yr]]),"FY"&amp;fiscalyear,"FY"&amp;fiscalyear-1+BudgetsTable[[#This Row],[budg_seq_yr]])</f>
        <v>FY22</v>
      </c>
      <c r="U99" s="84">
        <v>106831</v>
      </c>
      <c r="V99" s="83" t="s">
        <v>231</v>
      </c>
      <c r="W99" s="83" t="s">
        <v>417</v>
      </c>
      <c r="X99" s="83" t="s">
        <v>423</v>
      </c>
      <c r="Y99" s="81" t="s">
        <v>434</v>
      </c>
      <c r="Z99" s="81" t="s">
        <v>13</v>
      </c>
    </row>
    <row r="100" spans="1:26" x14ac:dyDescent="0.4">
      <c r="A100" s="10" t="s">
        <v>382</v>
      </c>
      <c r="B100" s="81" t="s">
        <v>96</v>
      </c>
      <c r="C100" s="82">
        <v>42935.54583333333</v>
      </c>
      <c r="D100" s="83" t="s">
        <v>266</v>
      </c>
      <c r="E100" s="83" t="s">
        <v>231</v>
      </c>
      <c r="F100" s="83" t="s">
        <v>417</v>
      </c>
      <c r="G100" s="83" t="s">
        <v>382</v>
      </c>
      <c r="H100" s="7" t="str">
        <f>IF(BudgetsTable[[#This Row],[pi_last_name]]=" ","",HYPERLINK("https://www.ejacket.nsf.gov/ej/showProposal.do?Continue=Y&amp;ID="&amp;BudgetsTable[[#This Row],[prop_id]],BudgetsTable[[#This Row],[prop_id]]))</f>
        <v>1750463</v>
      </c>
      <c r="I100" s="7" t="s">
        <v>999</v>
      </c>
      <c r="J100" s="83" t="s">
        <v>517</v>
      </c>
      <c r="K100" s="83" t="s">
        <v>519</v>
      </c>
      <c r="L100" s="83"/>
      <c r="M100" s="83"/>
      <c r="N100" s="84"/>
      <c r="O100" s="84"/>
      <c r="P100" s="84"/>
      <c r="Q100" s="85"/>
      <c r="R100" s="83">
        <v>0</v>
      </c>
      <c r="S100" s="83"/>
      <c r="T100" s="11" t="str">
        <f ca="1">IF(ISBLANK(BudgetsTable[[#This Row],[budg_seq_yr]]),"FY"&amp;fiscalyear,"FY"&amp;fiscalyear-1+BudgetsTable[[#This Row],[budg_seq_yr]])</f>
        <v>FY18</v>
      </c>
      <c r="U100" s="84">
        <v>533991</v>
      </c>
      <c r="V100" s="83" t="s">
        <v>231</v>
      </c>
      <c r="W100" s="83" t="s">
        <v>417</v>
      </c>
      <c r="X100" s="83" t="s">
        <v>423</v>
      </c>
      <c r="Y100" s="81" t="s">
        <v>434</v>
      </c>
      <c r="Z100" s="81" t="s">
        <v>521</v>
      </c>
    </row>
    <row r="101" spans="1:26" x14ac:dyDescent="0.4">
      <c r="A101" s="10" t="s">
        <v>382</v>
      </c>
      <c r="B101" s="81" t="s">
        <v>96</v>
      </c>
      <c r="C101" s="82">
        <v>42935.54583333333</v>
      </c>
      <c r="D101" s="83" t="s">
        <v>266</v>
      </c>
      <c r="E101" s="83" t="s">
        <v>231</v>
      </c>
      <c r="F101" s="83" t="s">
        <v>417</v>
      </c>
      <c r="G101" s="83" t="s">
        <v>382</v>
      </c>
      <c r="H101" s="7" t="str">
        <f>IF(BudgetsTable[[#This Row],[pi_last_name]]=" ","",HYPERLINK("https://www.ejacket.nsf.gov/ej/showProposal.do?Continue=Y&amp;ID="&amp;BudgetsTable[[#This Row],[prop_id]],BudgetsTable[[#This Row],[prop_id]]))</f>
        <v/>
      </c>
      <c r="I101" s="7" t="s">
        <v>1000</v>
      </c>
      <c r="J101" s="83" t="s">
        <v>13</v>
      </c>
      <c r="K101" s="83" t="s">
        <v>13</v>
      </c>
      <c r="L101" s="83">
        <v>1</v>
      </c>
      <c r="M101" s="83">
        <v>1.5</v>
      </c>
      <c r="N101" s="84">
        <v>0</v>
      </c>
      <c r="O101" s="84">
        <v>0</v>
      </c>
      <c r="P101" s="84">
        <v>0</v>
      </c>
      <c r="Q101" s="85">
        <v>104160</v>
      </c>
      <c r="R101" s="83">
        <v>0</v>
      </c>
      <c r="S101" s="83">
        <v>1</v>
      </c>
      <c r="T101" s="11" t="str">
        <f ca="1">IF(ISBLANK(BudgetsTable[[#This Row],[budg_seq_yr]]),"FY"&amp;fiscalyear,"FY"&amp;fiscalyear-1+BudgetsTable[[#This Row],[budg_seq_yr]])</f>
        <v>FY18</v>
      </c>
      <c r="U101" s="84">
        <v>104160</v>
      </c>
      <c r="V101" s="83" t="s">
        <v>231</v>
      </c>
      <c r="W101" s="83" t="s">
        <v>417</v>
      </c>
      <c r="X101" s="83" t="s">
        <v>423</v>
      </c>
      <c r="Y101" s="81" t="s">
        <v>434</v>
      </c>
      <c r="Z101" s="81" t="s">
        <v>13</v>
      </c>
    </row>
    <row r="102" spans="1:26" x14ac:dyDescent="0.4">
      <c r="A102" s="10" t="s">
        <v>382</v>
      </c>
      <c r="B102" s="81" t="s">
        <v>96</v>
      </c>
      <c r="C102" s="82">
        <v>42935.54583333333</v>
      </c>
      <c r="D102" s="83" t="s">
        <v>266</v>
      </c>
      <c r="E102" s="83" t="s">
        <v>231</v>
      </c>
      <c r="F102" s="83" t="s">
        <v>417</v>
      </c>
      <c r="G102" s="83" t="s">
        <v>382</v>
      </c>
      <c r="H102" s="7" t="str">
        <f>IF(BudgetsTable[[#This Row],[pi_last_name]]=" ","",HYPERLINK("https://www.ejacket.nsf.gov/ej/showProposal.do?Continue=Y&amp;ID="&amp;BudgetsTable[[#This Row],[prop_id]],BudgetsTable[[#This Row],[prop_id]]))</f>
        <v/>
      </c>
      <c r="I102" s="7" t="s">
        <v>1000</v>
      </c>
      <c r="J102" s="83" t="s">
        <v>13</v>
      </c>
      <c r="K102" s="83" t="s">
        <v>13</v>
      </c>
      <c r="L102" s="83">
        <v>1</v>
      </c>
      <c r="M102" s="83">
        <v>1.5</v>
      </c>
      <c r="N102" s="84">
        <v>0</v>
      </c>
      <c r="O102" s="84">
        <v>0</v>
      </c>
      <c r="P102" s="84">
        <v>0</v>
      </c>
      <c r="Q102" s="85">
        <v>102988</v>
      </c>
      <c r="R102" s="83">
        <v>0</v>
      </c>
      <c r="S102" s="83">
        <v>2</v>
      </c>
      <c r="T102" s="11" t="str">
        <f ca="1">IF(ISBLANK(BudgetsTable[[#This Row],[budg_seq_yr]]),"FY"&amp;fiscalyear,"FY"&amp;fiscalyear-1+BudgetsTable[[#This Row],[budg_seq_yr]])</f>
        <v>FY19</v>
      </c>
      <c r="U102" s="84">
        <v>102988</v>
      </c>
      <c r="V102" s="83" t="s">
        <v>231</v>
      </c>
      <c r="W102" s="83" t="s">
        <v>417</v>
      </c>
      <c r="X102" s="83" t="s">
        <v>423</v>
      </c>
      <c r="Y102" s="81" t="s">
        <v>434</v>
      </c>
      <c r="Z102" s="81" t="s">
        <v>13</v>
      </c>
    </row>
    <row r="103" spans="1:26" x14ac:dyDescent="0.4">
      <c r="A103" s="10" t="s">
        <v>382</v>
      </c>
      <c r="B103" s="81" t="s">
        <v>96</v>
      </c>
      <c r="C103" s="82">
        <v>42935.54583333333</v>
      </c>
      <c r="D103" s="83" t="s">
        <v>266</v>
      </c>
      <c r="E103" s="83" t="s">
        <v>231</v>
      </c>
      <c r="F103" s="83" t="s">
        <v>417</v>
      </c>
      <c r="G103" s="83" t="s">
        <v>382</v>
      </c>
      <c r="H103" s="7" t="str">
        <f>IF(BudgetsTable[[#This Row],[pi_last_name]]=" ","",HYPERLINK("https://www.ejacket.nsf.gov/ej/showProposal.do?Continue=Y&amp;ID="&amp;BudgetsTable[[#This Row],[prop_id]],BudgetsTable[[#This Row],[prop_id]]))</f>
        <v/>
      </c>
      <c r="I103" s="7" t="s">
        <v>1000</v>
      </c>
      <c r="J103" s="83" t="s">
        <v>13</v>
      </c>
      <c r="K103" s="83" t="s">
        <v>13</v>
      </c>
      <c r="L103" s="83">
        <v>1</v>
      </c>
      <c r="M103" s="83">
        <v>1.5</v>
      </c>
      <c r="N103" s="84">
        <v>0</v>
      </c>
      <c r="O103" s="84">
        <v>2500</v>
      </c>
      <c r="P103" s="84">
        <v>0</v>
      </c>
      <c r="Q103" s="85">
        <v>115813</v>
      </c>
      <c r="R103" s="83">
        <v>0</v>
      </c>
      <c r="S103" s="83">
        <v>3</v>
      </c>
      <c r="T103" s="11" t="str">
        <f ca="1">IF(ISBLANK(BudgetsTable[[#This Row],[budg_seq_yr]]),"FY"&amp;fiscalyear,"FY"&amp;fiscalyear-1+BudgetsTable[[#This Row],[budg_seq_yr]])</f>
        <v>FY20</v>
      </c>
      <c r="U103" s="84">
        <v>115813</v>
      </c>
      <c r="V103" s="83" t="s">
        <v>231</v>
      </c>
      <c r="W103" s="83" t="s">
        <v>417</v>
      </c>
      <c r="X103" s="83" t="s">
        <v>423</v>
      </c>
      <c r="Y103" s="81" t="s">
        <v>434</v>
      </c>
      <c r="Z103" s="81" t="s">
        <v>13</v>
      </c>
    </row>
    <row r="104" spans="1:26" x14ac:dyDescent="0.4">
      <c r="A104" s="10" t="s">
        <v>382</v>
      </c>
      <c r="B104" s="81" t="s">
        <v>96</v>
      </c>
      <c r="C104" s="82">
        <v>42935.54583333333</v>
      </c>
      <c r="D104" s="83" t="s">
        <v>266</v>
      </c>
      <c r="E104" s="83" t="s">
        <v>231</v>
      </c>
      <c r="F104" s="83" t="s">
        <v>417</v>
      </c>
      <c r="G104" s="83" t="s">
        <v>382</v>
      </c>
      <c r="H104" s="7" t="str">
        <f>IF(BudgetsTable[[#This Row],[pi_last_name]]=" ","",HYPERLINK("https://www.ejacket.nsf.gov/ej/showProposal.do?Continue=Y&amp;ID="&amp;BudgetsTable[[#This Row],[prop_id]],BudgetsTable[[#This Row],[prop_id]]))</f>
        <v/>
      </c>
      <c r="I104" s="7" t="s">
        <v>1000</v>
      </c>
      <c r="J104" s="83" t="s">
        <v>13</v>
      </c>
      <c r="K104" s="83" t="s">
        <v>13</v>
      </c>
      <c r="L104" s="83">
        <v>1</v>
      </c>
      <c r="M104" s="83">
        <v>1</v>
      </c>
      <c r="N104" s="84">
        <v>0</v>
      </c>
      <c r="O104" s="84">
        <v>2500</v>
      </c>
      <c r="P104" s="84">
        <v>0</v>
      </c>
      <c r="Q104" s="85">
        <v>103682</v>
      </c>
      <c r="R104" s="83">
        <v>0</v>
      </c>
      <c r="S104" s="83">
        <v>4</v>
      </c>
      <c r="T104" s="11" t="str">
        <f ca="1">IF(ISBLANK(BudgetsTable[[#This Row],[budg_seq_yr]]),"FY"&amp;fiscalyear,"FY"&amp;fiscalyear-1+BudgetsTable[[#This Row],[budg_seq_yr]])</f>
        <v>FY21</v>
      </c>
      <c r="U104" s="84">
        <v>103682</v>
      </c>
      <c r="V104" s="83" t="s">
        <v>231</v>
      </c>
      <c r="W104" s="83" t="s">
        <v>417</v>
      </c>
      <c r="X104" s="83" t="s">
        <v>423</v>
      </c>
      <c r="Y104" s="81" t="s">
        <v>434</v>
      </c>
      <c r="Z104" s="81" t="s">
        <v>13</v>
      </c>
    </row>
    <row r="105" spans="1:26" x14ac:dyDescent="0.4">
      <c r="A105" s="10" t="s">
        <v>382</v>
      </c>
      <c r="B105" s="81" t="s">
        <v>96</v>
      </c>
      <c r="C105" s="82">
        <v>42935.54583333333</v>
      </c>
      <c r="D105" s="83" t="s">
        <v>266</v>
      </c>
      <c r="E105" s="83" t="s">
        <v>231</v>
      </c>
      <c r="F105" s="83" t="s">
        <v>417</v>
      </c>
      <c r="G105" s="83" t="s">
        <v>382</v>
      </c>
      <c r="H105" s="7" t="str">
        <f>IF(BudgetsTable[[#This Row],[pi_last_name]]=" ","",HYPERLINK("https://www.ejacket.nsf.gov/ej/showProposal.do?Continue=Y&amp;ID="&amp;BudgetsTable[[#This Row],[prop_id]],BudgetsTable[[#This Row],[prop_id]]))</f>
        <v/>
      </c>
      <c r="I105" s="7" t="s">
        <v>1000</v>
      </c>
      <c r="J105" s="83" t="s">
        <v>13</v>
      </c>
      <c r="K105" s="83" t="s">
        <v>13</v>
      </c>
      <c r="L105" s="83">
        <v>1</v>
      </c>
      <c r="M105" s="83">
        <v>1</v>
      </c>
      <c r="N105" s="84">
        <v>0</v>
      </c>
      <c r="O105" s="84">
        <v>2500</v>
      </c>
      <c r="P105" s="84">
        <v>0</v>
      </c>
      <c r="Q105" s="85">
        <v>107348</v>
      </c>
      <c r="R105" s="83">
        <v>0</v>
      </c>
      <c r="S105" s="83">
        <v>5</v>
      </c>
      <c r="T105" s="11" t="str">
        <f ca="1">IF(ISBLANK(BudgetsTable[[#This Row],[budg_seq_yr]]),"FY"&amp;fiscalyear,"FY"&amp;fiscalyear-1+BudgetsTable[[#This Row],[budg_seq_yr]])</f>
        <v>FY22</v>
      </c>
      <c r="U105" s="84">
        <v>107348</v>
      </c>
      <c r="V105" s="83" t="s">
        <v>231</v>
      </c>
      <c r="W105" s="83" t="s">
        <v>417</v>
      </c>
      <c r="X105" s="83" t="s">
        <v>423</v>
      </c>
      <c r="Y105" s="81" t="s">
        <v>434</v>
      </c>
      <c r="Z105" s="81" t="s">
        <v>13</v>
      </c>
    </row>
    <row r="106" spans="1:26" x14ac:dyDescent="0.4">
      <c r="A106" s="10" t="s">
        <v>383</v>
      </c>
      <c r="B106" s="81" t="s">
        <v>96</v>
      </c>
      <c r="C106" s="82">
        <v>42935.633333333331</v>
      </c>
      <c r="D106" s="83" t="s">
        <v>266</v>
      </c>
      <c r="E106" s="83" t="s">
        <v>231</v>
      </c>
      <c r="F106" s="83" t="s">
        <v>417</v>
      </c>
      <c r="G106" s="83" t="s">
        <v>383</v>
      </c>
      <c r="H106" s="7" t="str">
        <f>IF(BudgetsTable[[#This Row],[pi_last_name]]=" ","",HYPERLINK("https://www.ejacket.nsf.gov/ej/showProposal.do?Continue=Y&amp;ID="&amp;BudgetsTable[[#This Row],[prop_id]],BudgetsTable[[#This Row],[prop_id]]))</f>
        <v>1750780</v>
      </c>
      <c r="I106" s="7" t="s">
        <v>999</v>
      </c>
      <c r="J106" s="83" t="s">
        <v>524</v>
      </c>
      <c r="K106" s="83" t="s">
        <v>525</v>
      </c>
      <c r="L106" s="83"/>
      <c r="M106" s="83"/>
      <c r="N106" s="84"/>
      <c r="O106" s="84"/>
      <c r="P106" s="84"/>
      <c r="Q106" s="85"/>
      <c r="R106" s="83">
        <v>0</v>
      </c>
      <c r="S106" s="83"/>
      <c r="T106" s="11" t="str">
        <f ca="1">IF(ISBLANK(BudgetsTable[[#This Row],[budg_seq_yr]]),"FY"&amp;fiscalyear,"FY"&amp;fiscalyear-1+BudgetsTable[[#This Row],[budg_seq_yr]])</f>
        <v>FY18</v>
      </c>
      <c r="U106" s="84">
        <v>582785</v>
      </c>
      <c r="V106" s="83" t="s">
        <v>231</v>
      </c>
      <c r="W106" s="83" t="s">
        <v>417</v>
      </c>
      <c r="X106" s="83" t="s">
        <v>431</v>
      </c>
      <c r="Y106" s="81" t="s">
        <v>418</v>
      </c>
      <c r="Z106" s="81" t="s">
        <v>527</v>
      </c>
    </row>
    <row r="107" spans="1:26" x14ac:dyDescent="0.4">
      <c r="A107" s="10" t="s">
        <v>383</v>
      </c>
      <c r="B107" s="81" t="s">
        <v>96</v>
      </c>
      <c r="C107" s="82">
        <v>42935.633333333331</v>
      </c>
      <c r="D107" s="83" t="s">
        <v>266</v>
      </c>
      <c r="E107" s="83" t="s">
        <v>231</v>
      </c>
      <c r="F107" s="83" t="s">
        <v>417</v>
      </c>
      <c r="G107" s="83" t="s">
        <v>383</v>
      </c>
      <c r="H107" s="7" t="str">
        <f>IF(BudgetsTable[[#This Row],[pi_last_name]]=" ","",HYPERLINK("https://www.ejacket.nsf.gov/ej/showProposal.do?Continue=Y&amp;ID="&amp;BudgetsTable[[#This Row],[prop_id]],BudgetsTable[[#This Row],[prop_id]]))</f>
        <v/>
      </c>
      <c r="I107" s="7" t="s">
        <v>1000</v>
      </c>
      <c r="J107" s="83" t="s">
        <v>13</v>
      </c>
      <c r="K107" s="83" t="s">
        <v>13</v>
      </c>
      <c r="L107" s="83">
        <v>1</v>
      </c>
      <c r="M107" s="83">
        <v>1</v>
      </c>
      <c r="N107" s="84">
        <v>0</v>
      </c>
      <c r="O107" s="84">
        <v>2500</v>
      </c>
      <c r="P107" s="84">
        <v>0</v>
      </c>
      <c r="Q107" s="85">
        <v>113134</v>
      </c>
      <c r="R107" s="83">
        <v>0</v>
      </c>
      <c r="S107" s="83">
        <v>1</v>
      </c>
      <c r="T107" s="11" t="str">
        <f ca="1">IF(ISBLANK(BudgetsTable[[#This Row],[budg_seq_yr]]),"FY"&amp;fiscalyear,"FY"&amp;fiscalyear-1+BudgetsTable[[#This Row],[budg_seq_yr]])</f>
        <v>FY18</v>
      </c>
      <c r="U107" s="84">
        <v>113134</v>
      </c>
      <c r="V107" s="83" t="s">
        <v>231</v>
      </c>
      <c r="W107" s="83" t="s">
        <v>417</v>
      </c>
      <c r="X107" s="83" t="s">
        <v>431</v>
      </c>
      <c r="Y107" s="81" t="s">
        <v>418</v>
      </c>
      <c r="Z107" s="81" t="s">
        <v>13</v>
      </c>
    </row>
    <row r="108" spans="1:26" x14ac:dyDescent="0.4">
      <c r="A108" s="10" t="s">
        <v>383</v>
      </c>
      <c r="B108" s="81" t="s">
        <v>96</v>
      </c>
      <c r="C108" s="82">
        <v>42935.633333333331</v>
      </c>
      <c r="D108" s="83" t="s">
        <v>266</v>
      </c>
      <c r="E108" s="83" t="s">
        <v>231</v>
      </c>
      <c r="F108" s="83" t="s">
        <v>417</v>
      </c>
      <c r="G108" s="83" t="s">
        <v>383</v>
      </c>
      <c r="H108" s="7" t="str">
        <f>IF(BudgetsTable[[#This Row],[pi_last_name]]=" ","",HYPERLINK("https://www.ejacket.nsf.gov/ej/showProposal.do?Continue=Y&amp;ID="&amp;BudgetsTable[[#This Row],[prop_id]],BudgetsTable[[#This Row],[prop_id]]))</f>
        <v/>
      </c>
      <c r="I108" s="7" t="s">
        <v>1000</v>
      </c>
      <c r="J108" s="83" t="s">
        <v>13</v>
      </c>
      <c r="K108" s="83" t="s">
        <v>13</v>
      </c>
      <c r="L108" s="83">
        <v>1</v>
      </c>
      <c r="M108" s="83">
        <v>1</v>
      </c>
      <c r="N108" s="84">
        <v>0</v>
      </c>
      <c r="O108" s="84">
        <v>0</v>
      </c>
      <c r="P108" s="84">
        <v>0</v>
      </c>
      <c r="Q108" s="85">
        <v>113214</v>
      </c>
      <c r="R108" s="83">
        <v>0</v>
      </c>
      <c r="S108" s="83">
        <v>2</v>
      </c>
      <c r="T108" s="11" t="str">
        <f ca="1">IF(ISBLANK(BudgetsTable[[#This Row],[budg_seq_yr]]),"FY"&amp;fiscalyear,"FY"&amp;fiscalyear-1+BudgetsTable[[#This Row],[budg_seq_yr]])</f>
        <v>FY19</v>
      </c>
      <c r="U108" s="84">
        <v>113214</v>
      </c>
      <c r="V108" s="83" t="s">
        <v>231</v>
      </c>
      <c r="W108" s="83" t="s">
        <v>417</v>
      </c>
      <c r="X108" s="83" t="s">
        <v>431</v>
      </c>
      <c r="Y108" s="81" t="s">
        <v>418</v>
      </c>
      <c r="Z108" s="81" t="s">
        <v>13</v>
      </c>
    </row>
    <row r="109" spans="1:26" x14ac:dyDescent="0.4">
      <c r="A109" s="10" t="s">
        <v>383</v>
      </c>
      <c r="B109" s="81" t="s">
        <v>96</v>
      </c>
      <c r="C109" s="82">
        <v>42935.633333333331</v>
      </c>
      <c r="D109" s="83" t="s">
        <v>266</v>
      </c>
      <c r="E109" s="83" t="s">
        <v>231</v>
      </c>
      <c r="F109" s="83" t="s">
        <v>417</v>
      </c>
      <c r="G109" s="83" t="s">
        <v>383</v>
      </c>
      <c r="H109" s="7" t="str">
        <f>IF(BudgetsTable[[#This Row],[pi_last_name]]=" ","",HYPERLINK("https://www.ejacket.nsf.gov/ej/showProposal.do?Continue=Y&amp;ID="&amp;BudgetsTable[[#This Row],[prop_id]],BudgetsTable[[#This Row],[prop_id]]))</f>
        <v/>
      </c>
      <c r="I109" s="7" t="s">
        <v>1000</v>
      </c>
      <c r="J109" s="83" t="s">
        <v>13</v>
      </c>
      <c r="K109" s="83" t="s">
        <v>13</v>
      </c>
      <c r="L109" s="83">
        <v>1</v>
      </c>
      <c r="M109" s="83">
        <v>1</v>
      </c>
      <c r="N109" s="84">
        <v>0</v>
      </c>
      <c r="O109" s="84">
        <v>2500</v>
      </c>
      <c r="P109" s="84">
        <v>0</v>
      </c>
      <c r="Q109" s="85">
        <v>117310</v>
      </c>
      <c r="R109" s="83">
        <v>0</v>
      </c>
      <c r="S109" s="83">
        <v>3</v>
      </c>
      <c r="T109" s="11" t="str">
        <f ca="1">IF(ISBLANK(BudgetsTable[[#This Row],[budg_seq_yr]]),"FY"&amp;fiscalyear,"FY"&amp;fiscalyear-1+BudgetsTable[[#This Row],[budg_seq_yr]])</f>
        <v>FY20</v>
      </c>
      <c r="U109" s="84">
        <v>117310</v>
      </c>
      <c r="V109" s="83" t="s">
        <v>231</v>
      </c>
      <c r="W109" s="83" t="s">
        <v>417</v>
      </c>
      <c r="X109" s="83" t="s">
        <v>431</v>
      </c>
      <c r="Y109" s="81" t="s">
        <v>418</v>
      </c>
      <c r="Z109" s="81" t="s">
        <v>13</v>
      </c>
    </row>
    <row r="110" spans="1:26" x14ac:dyDescent="0.4">
      <c r="A110" s="10" t="s">
        <v>383</v>
      </c>
      <c r="B110" s="81" t="s">
        <v>96</v>
      </c>
      <c r="C110" s="82">
        <v>42935.633333333331</v>
      </c>
      <c r="D110" s="83" t="s">
        <v>266</v>
      </c>
      <c r="E110" s="83" t="s">
        <v>231</v>
      </c>
      <c r="F110" s="83" t="s">
        <v>417</v>
      </c>
      <c r="G110" s="83" t="s">
        <v>383</v>
      </c>
      <c r="H110" s="7" t="str">
        <f>IF(BudgetsTable[[#This Row],[pi_last_name]]=" ","",HYPERLINK("https://www.ejacket.nsf.gov/ej/showProposal.do?Continue=Y&amp;ID="&amp;BudgetsTable[[#This Row],[prop_id]],BudgetsTable[[#This Row],[prop_id]]))</f>
        <v/>
      </c>
      <c r="I110" s="7" t="s">
        <v>1000</v>
      </c>
      <c r="J110" s="83" t="s">
        <v>13</v>
      </c>
      <c r="K110" s="83" t="s">
        <v>13</v>
      </c>
      <c r="L110" s="83">
        <v>1</v>
      </c>
      <c r="M110" s="83">
        <v>1</v>
      </c>
      <c r="N110" s="84">
        <v>0</v>
      </c>
      <c r="O110" s="84">
        <v>0</v>
      </c>
      <c r="P110" s="84">
        <v>0</v>
      </c>
      <c r="Q110" s="85">
        <v>117472</v>
      </c>
      <c r="R110" s="83">
        <v>0</v>
      </c>
      <c r="S110" s="83">
        <v>4</v>
      </c>
      <c r="T110" s="11" t="str">
        <f ca="1">IF(ISBLANK(BudgetsTable[[#This Row],[budg_seq_yr]]),"FY"&amp;fiscalyear,"FY"&amp;fiscalyear-1+BudgetsTable[[#This Row],[budg_seq_yr]])</f>
        <v>FY21</v>
      </c>
      <c r="U110" s="84">
        <v>117472</v>
      </c>
      <c r="V110" s="83" t="s">
        <v>231</v>
      </c>
      <c r="W110" s="83" t="s">
        <v>417</v>
      </c>
      <c r="X110" s="83" t="s">
        <v>431</v>
      </c>
      <c r="Y110" s="81" t="s">
        <v>418</v>
      </c>
      <c r="Z110" s="81" t="s">
        <v>13</v>
      </c>
    </row>
    <row r="111" spans="1:26" x14ac:dyDescent="0.4">
      <c r="A111" s="10" t="s">
        <v>383</v>
      </c>
      <c r="B111" s="81" t="s">
        <v>96</v>
      </c>
      <c r="C111" s="82">
        <v>42935.633333333331</v>
      </c>
      <c r="D111" s="83" t="s">
        <v>266</v>
      </c>
      <c r="E111" s="83" t="s">
        <v>231</v>
      </c>
      <c r="F111" s="83" t="s">
        <v>417</v>
      </c>
      <c r="G111" s="83" t="s">
        <v>383</v>
      </c>
      <c r="H111" s="7" t="str">
        <f>IF(BudgetsTable[[#This Row],[pi_last_name]]=" ","",HYPERLINK("https://www.ejacket.nsf.gov/ej/showProposal.do?Continue=Y&amp;ID="&amp;BudgetsTable[[#This Row],[prop_id]],BudgetsTable[[#This Row],[prop_id]]))</f>
        <v/>
      </c>
      <c r="I111" s="7" t="s">
        <v>1000</v>
      </c>
      <c r="J111" s="83" t="s">
        <v>13</v>
      </c>
      <c r="K111" s="83" t="s">
        <v>13</v>
      </c>
      <c r="L111" s="83">
        <v>1</v>
      </c>
      <c r="M111" s="83">
        <v>1</v>
      </c>
      <c r="N111" s="84">
        <v>0</v>
      </c>
      <c r="O111" s="84">
        <v>2500</v>
      </c>
      <c r="P111" s="84">
        <v>0</v>
      </c>
      <c r="Q111" s="85">
        <v>121655</v>
      </c>
      <c r="R111" s="83">
        <v>0</v>
      </c>
      <c r="S111" s="83">
        <v>5</v>
      </c>
      <c r="T111" s="11" t="str">
        <f ca="1">IF(ISBLANK(BudgetsTable[[#This Row],[budg_seq_yr]]),"FY"&amp;fiscalyear,"FY"&amp;fiscalyear-1+BudgetsTable[[#This Row],[budg_seq_yr]])</f>
        <v>FY22</v>
      </c>
      <c r="U111" s="84">
        <v>121655</v>
      </c>
      <c r="V111" s="83" t="s">
        <v>231</v>
      </c>
      <c r="W111" s="83" t="s">
        <v>417</v>
      </c>
      <c r="X111" s="83" t="s">
        <v>431</v>
      </c>
      <c r="Y111" s="81" t="s">
        <v>418</v>
      </c>
      <c r="Z111" s="81" t="s">
        <v>13</v>
      </c>
    </row>
    <row r="112" spans="1:26" x14ac:dyDescent="0.4">
      <c r="A112" s="10" t="s">
        <v>384</v>
      </c>
      <c r="B112" s="81" t="s">
        <v>96</v>
      </c>
      <c r="C112" s="82">
        <v>42935.680555555555</v>
      </c>
      <c r="D112" s="83" t="s">
        <v>266</v>
      </c>
      <c r="E112" s="83" t="s">
        <v>231</v>
      </c>
      <c r="F112" s="83" t="s">
        <v>417</v>
      </c>
      <c r="G112" s="83" t="s">
        <v>384</v>
      </c>
      <c r="H112" s="7" t="str">
        <f>IF(BudgetsTable[[#This Row],[pi_last_name]]=" ","",HYPERLINK("https://www.ejacket.nsf.gov/ej/showProposal.do?Continue=Y&amp;ID="&amp;BudgetsTable[[#This Row],[prop_id]],BudgetsTable[[#This Row],[prop_id]]))</f>
        <v>1751047</v>
      </c>
      <c r="I112" s="7" t="s">
        <v>999</v>
      </c>
      <c r="J112" s="83" t="s">
        <v>529</v>
      </c>
      <c r="K112" s="83" t="s">
        <v>531</v>
      </c>
      <c r="L112" s="83"/>
      <c r="M112" s="83"/>
      <c r="N112" s="84"/>
      <c r="O112" s="84"/>
      <c r="P112" s="84"/>
      <c r="Q112" s="85"/>
      <c r="R112" s="83">
        <v>0</v>
      </c>
      <c r="S112" s="83"/>
      <c r="T112" s="11" t="str">
        <f ca="1">IF(ISBLANK(BudgetsTable[[#This Row],[budg_seq_yr]]),"FY"&amp;fiscalyear,"FY"&amp;fiscalyear-1+BudgetsTable[[#This Row],[budg_seq_yr]])</f>
        <v>FY18</v>
      </c>
      <c r="U112" s="84">
        <v>415497</v>
      </c>
      <c r="V112" s="83" t="s">
        <v>231</v>
      </c>
      <c r="W112" s="83" t="s">
        <v>417</v>
      </c>
      <c r="X112" s="83" t="s">
        <v>431</v>
      </c>
      <c r="Y112" s="81" t="s">
        <v>418</v>
      </c>
      <c r="Z112" s="81" t="s">
        <v>532</v>
      </c>
    </row>
    <row r="113" spans="1:26" x14ac:dyDescent="0.4">
      <c r="A113" s="10" t="s">
        <v>384</v>
      </c>
      <c r="B113" s="81" t="s">
        <v>96</v>
      </c>
      <c r="C113" s="82">
        <v>42935.680555555555</v>
      </c>
      <c r="D113" s="83" t="s">
        <v>266</v>
      </c>
      <c r="E113" s="83" t="s">
        <v>231</v>
      </c>
      <c r="F113" s="83" t="s">
        <v>417</v>
      </c>
      <c r="G113" s="83" t="s">
        <v>384</v>
      </c>
      <c r="H113" s="7" t="str">
        <f>IF(BudgetsTable[[#This Row],[pi_last_name]]=" ","",HYPERLINK("https://www.ejacket.nsf.gov/ej/showProposal.do?Continue=Y&amp;ID="&amp;BudgetsTable[[#This Row],[prop_id]],BudgetsTable[[#This Row],[prop_id]]))</f>
        <v/>
      </c>
      <c r="I113" s="7" t="s">
        <v>1000</v>
      </c>
      <c r="J113" s="83" t="s">
        <v>13</v>
      </c>
      <c r="K113" s="83" t="s">
        <v>13</v>
      </c>
      <c r="L113" s="83">
        <v>1</v>
      </c>
      <c r="M113" s="83">
        <v>1</v>
      </c>
      <c r="N113" s="84">
        <v>0</v>
      </c>
      <c r="O113" s="84">
        <v>2450</v>
      </c>
      <c r="P113" s="84">
        <v>16000</v>
      </c>
      <c r="Q113" s="85">
        <v>92539</v>
      </c>
      <c r="R113" s="83">
        <v>0</v>
      </c>
      <c r="S113" s="83">
        <v>1</v>
      </c>
      <c r="T113" s="11" t="str">
        <f ca="1">IF(ISBLANK(BudgetsTable[[#This Row],[budg_seq_yr]]),"FY"&amp;fiscalyear,"FY"&amp;fiscalyear-1+BudgetsTable[[#This Row],[budg_seq_yr]])</f>
        <v>FY18</v>
      </c>
      <c r="U113" s="84">
        <v>92539</v>
      </c>
      <c r="V113" s="83" t="s">
        <v>231</v>
      </c>
      <c r="W113" s="83" t="s">
        <v>417</v>
      </c>
      <c r="X113" s="83" t="s">
        <v>431</v>
      </c>
      <c r="Y113" s="81" t="s">
        <v>418</v>
      </c>
      <c r="Z113" s="81" t="s">
        <v>13</v>
      </c>
    </row>
    <row r="114" spans="1:26" x14ac:dyDescent="0.4">
      <c r="A114" s="10" t="s">
        <v>384</v>
      </c>
      <c r="B114" s="81" t="s">
        <v>96</v>
      </c>
      <c r="C114" s="82">
        <v>42935.680555555555</v>
      </c>
      <c r="D114" s="83" t="s">
        <v>266</v>
      </c>
      <c r="E114" s="83" t="s">
        <v>231</v>
      </c>
      <c r="F114" s="83" t="s">
        <v>417</v>
      </c>
      <c r="G114" s="83" t="s">
        <v>384</v>
      </c>
      <c r="H114" s="7" t="str">
        <f>IF(BudgetsTable[[#This Row],[pi_last_name]]=" ","",HYPERLINK("https://www.ejacket.nsf.gov/ej/showProposal.do?Continue=Y&amp;ID="&amp;BudgetsTable[[#This Row],[prop_id]],BudgetsTable[[#This Row],[prop_id]]))</f>
        <v/>
      </c>
      <c r="I114" s="7" t="s">
        <v>1000</v>
      </c>
      <c r="J114" s="83" t="s">
        <v>13</v>
      </c>
      <c r="K114" s="83" t="s">
        <v>13</v>
      </c>
      <c r="L114" s="83">
        <v>1</v>
      </c>
      <c r="M114" s="83">
        <v>1</v>
      </c>
      <c r="N114" s="84">
        <v>0</v>
      </c>
      <c r="O114" s="84">
        <v>2450</v>
      </c>
      <c r="P114" s="84">
        <v>0</v>
      </c>
      <c r="Q114" s="85">
        <v>78169</v>
      </c>
      <c r="R114" s="83">
        <v>0</v>
      </c>
      <c r="S114" s="83">
        <v>2</v>
      </c>
      <c r="T114" s="11" t="str">
        <f ca="1">IF(ISBLANK(BudgetsTable[[#This Row],[budg_seq_yr]]),"FY"&amp;fiscalyear,"FY"&amp;fiscalyear-1+BudgetsTable[[#This Row],[budg_seq_yr]])</f>
        <v>FY19</v>
      </c>
      <c r="U114" s="84">
        <v>78169</v>
      </c>
      <c r="V114" s="83" t="s">
        <v>231</v>
      </c>
      <c r="W114" s="83" t="s">
        <v>417</v>
      </c>
      <c r="X114" s="83" t="s">
        <v>431</v>
      </c>
      <c r="Y114" s="81" t="s">
        <v>418</v>
      </c>
      <c r="Z114" s="81" t="s">
        <v>13</v>
      </c>
    </row>
    <row r="115" spans="1:26" x14ac:dyDescent="0.4">
      <c r="A115" s="10" t="s">
        <v>384</v>
      </c>
      <c r="B115" s="81" t="s">
        <v>96</v>
      </c>
      <c r="C115" s="82">
        <v>42935.680555555555</v>
      </c>
      <c r="D115" s="83" t="s">
        <v>266</v>
      </c>
      <c r="E115" s="83" t="s">
        <v>231</v>
      </c>
      <c r="F115" s="83" t="s">
        <v>417</v>
      </c>
      <c r="G115" s="83" t="s">
        <v>384</v>
      </c>
      <c r="H115" s="7" t="str">
        <f>IF(BudgetsTable[[#This Row],[pi_last_name]]=" ","",HYPERLINK("https://www.ejacket.nsf.gov/ej/showProposal.do?Continue=Y&amp;ID="&amp;BudgetsTable[[#This Row],[prop_id]],BudgetsTable[[#This Row],[prop_id]]))</f>
        <v/>
      </c>
      <c r="I115" s="7" t="s">
        <v>1000</v>
      </c>
      <c r="J115" s="83" t="s">
        <v>13</v>
      </c>
      <c r="K115" s="83" t="s">
        <v>13</v>
      </c>
      <c r="L115" s="83">
        <v>1</v>
      </c>
      <c r="M115" s="83">
        <v>1</v>
      </c>
      <c r="N115" s="84">
        <v>0</v>
      </c>
      <c r="O115" s="84">
        <v>2450</v>
      </c>
      <c r="P115" s="84">
        <v>0</v>
      </c>
      <c r="Q115" s="85">
        <v>79849</v>
      </c>
      <c r="R115" s="83">
        <v>0</v>
      </c>
      <c r="S115" s="83">
        <v>3</v>
      </c>
      <c r="T115" s="11" t="str">
        <f ca="1">IF(ISBLANK(BudgetsTable[[#This Row],[budg_seq_yr]]),"FY"&amp;fiscalyear,"FY"&amp;fiscalyear-1+BudgetsTable[[#This Row],[budg_seq_yr]])</f>
        <v>FY20</v>
      </c>
      <c r="U115" s="84">
        <v>79849</v>
      </c>
      <c r="V115" s="83" t="s">
        <v>231</v>
      </c>
      <c r="W115" s="83" t="s">
        <v>417</v>
      </c>
      <c r="X115" s="83" t="s">
        <v>431</v>
      </c>
      <c r="Y115" s="81" t="s">
        <v>418</v>
      </c>
      <c r="Z115" s="81" t="s">
        <v>13</v>
      </c>
    </row>
    <row r="116" spans="1:26" x14ac:dyDescent="0.4">
      <c r="A116" s="10" t="s">
        <v>384</v>
      </c>
      <c r="B116" s="81" t="s">
        <v>96</v>
      </c>
      <c r="C116" s="82">
        <v>42935.680555555555</v>
      </c>
      <c r="D116" s="83" t="s">
        <v>266</v>
      </c>
      <c r="E116" s="83" t="s">
        <v>231</v>
      </c>
      <c r="F116" s="83" t="s">
        <v>417</v>
      </c>
      <c r="G116" s="83" t="s">
        <v>384</v>
      </c>
      <c r="H116" s="7" t="str">
        <f>IF(BudgetsTable[[#This Row],[pi_last_name]]=" ","",HYPERLINK("https://www.ejacket.nsf.gov/ej/showProposal.do?Continue=Y&amp;ID="&amp;BudgetsTable[[#This Row],[prop_id]],BudgetsTable[[#This Row],[prop_id]]))</f>
        <v/>
      </c>
      <c r="I116" s="7" t="s">
        <v>1000</v>
      </c>
      <c r="J116" s="83" t="s">
        <v>13</v>
      </c>
      <c r="K116" s="83" t="s">
        <v>13</v>
      </c>
      <c r="L116" s="83">
        <v>1</v>
      </c>
      <c r="M116" s="83">
        <v>1</v>
      </c>
      <c r="N116" s="84">
        <v>0</v>
      </c>
      <c r="O116" s="84">
        <v>2450</v>
      </c>
      <c r="P116" s="84">
        <v>0</v>
      </c>
      <c r="Q116" s="85">
        <v>81580</v>
      </c>
      <c r="R116" s="83">
        <v>0</v>
      </c>
      <c r="S116" s="83">
        <v>4</v>
      </c>
      <c r="T116" s="11" t="str">
        <f ca="1">IF(ISBLANK(BudgetsTable[[#This Row],[budg_seq_yr]]),"FY"&amp;fiscalyear,"FY"&amp;fiscalyear-1+BudgetsTable[[#This Row],[budg_seq_yr]])</f>
        <v>FY21</v>
      </c>
      <c r="U116" s="84">
        <v>81580</v>
      </c>
      <c r="V116" s="83" t="s">
        <v>231</v>
      </c>
      <c r="W116" s="83" t="s">
        <v>417</v>
      </c>
      <c r="X116" s="83" t="s">
        <v>431</v>
      </c>
      <c r="Y116" s="81" t="s">
        <v>418</v>
      </c>
      <c r="Z116" s="81" t="s">
        <v>13</v>
      </c>
    </row>
    <row r="117" spans="1:26" x14ac:dyDescent="0.4">
      <c r="A117" s="10" t="s">
        <v>384</v>
      </c>
      <c r="B117" s="81" t="s">
        <v>96</v>
      </c>
      <c r="C117" s="82">
        <v>42935.680555555555</v>
      </c>
      <c r="D117" s="83" t="s">
        <v>266</v>
      </c>
      <c r="E117" s="83" t="s">
        <v>231</v>
      </c>
      <c r="F117" s="83" t="s">
        <v>417</v>
      </c>
      <c r="G117" s="83" t="s">
        <v>384</v>
      </c>
      <c r="H117" s="7" t="str">
        <f>IF(BudgetsTable[[#This Row],[pi_last_name]]=" ","",HYPERLINK("https://www.ejacket.nsf.gov/ej/showProposal.do?Continue=Y&amp;ID="&amp;BudgetsTable[[#This Row],[prop_id]],BudgetsTable[[#This Row],[prop_id]]))</f>
        <v/>
      </c>
      <c r="I117" s="7" t="s">
        <v>1000</v>
      </c>
      <c r="J117" s="83" t="s">
        <v>13</v>
      </c>
      <c r="K117" s="83" t="s">
        <v>13</v>
      </c>
      <c r="L117" s="83">
        <v>1</v>
      </c>
      <c r="M117" s="83">
        <v>1</v>
      </c>
      <c r="N117" s="84">
        <v>0</v>
      </c>
      <c r="O117" s="84">
        <v>2450</v>
      </c>
      <c r="P117" s="84">
        <v>0</v>
      </c>
      <c r="Q117" s="85">
        <v>83360</v>
      </c>
      <c r="R117" s="83">
        <v>0</v>
      </c>
      <c r="S117" s="83">
        <v>5</v>
      </c>
      <c r="T117" s="11" t="str">
        <f ca="1">IF(ISBLANK(BudgetsTable[[#This Row],[budg_seq_yr]]),"FY"&amp;fiscalyear,"FY"&amp;fiscalyear-1+BudgetsTable[[#This Row],[budg_seq_yr]])</f>
        <v>FY22</v>
      </c>
      <c r="U117" s="84">
        <v>83360</v>
      </c>
      <c r="V117" s="83" t="s">
        <v>231</v>
      </c>
      <c r="W117" s="83" t="s">
        <v>417</v>
      </c>
      <c r="X117" s="83" t="s">
        <v>431</v>
      </c>
      <c r="Y117" s="81" t="s">
        <v>418</v>
      </c>
      <c r="Z117" s="81" t="s">
        <v>13</v>
      </c>
    </row>
    <row r="118" spans="1:26" x14ac:dyDescent="0.4">
      <c r="A118" s="10" t="s">
        <v>385</v>
      </c>
      <c r="B118" s="81" t="s">
        <v>96</v>
      </c>
      <c r="C118" s="82">
        <v>42935.69027777778</v>
      </c>
      <c r="D118" s="83" t="s">
        <v>266</v>
      </c>
      <c r="E118" s="83" t="s">
        <v>231</v>
      </c>
      <c r="F118" s="83" t="s">
        <v>417</v>
      </c>
      <c r="G118" s="83" t="s">
        <v>385</v>
      </c>
      <c r="H118" s="7" t="str">
        <f>IF(BudgetsTable[[#This Row],[pi_last_name]]=" ","",HYPERLINK("https://www.ejacket.nsf.gov/ej/showProposal.do?Continue=Y&amp;ID="&amp;BudgetsTable[[#This Row],[prop_id]],BudgetsTable[[#This Row],[prop_id]]))</f>
        <v>1751102</v>
      </c>
      <c r="I118" s="7" t="s">
        <v>999</v>
      </c>
      <c r="J118" s="83" t="s">
        <v>535</v>
      </c>
      <c r="K118" s="83" t="s">
        <v>537</v>
      </c>
      <c r="L118" s="83"/>
      <c r="M118" s="83"/>
      <c r="N118" s="84"/>
      <c r="O118" s="84"/>
      <c r="P118" s="84"/>
      <c r="Q118" s="85"/>
      <c r="R118" s="83">
        <v>0</v>
      </c>
      <c r="S118" s="83"/>
      <c r="T118" s="11" t="str">
        <f ca="1">IF(ISBLANK(BudgetsTable[[#This Row],[budg_seq_yr]]),"FY"&amp;fiscalyear,"FY"&amp;fiscalyear-1+BudgetsTable[[#This Row],[budg_seq_yr]])</f>
        <v>FY18</v>
      </c>
      <c r="U118" s="84">
        <v>523537</v>
      </c>
      <c r="V118" s="83" t="s">
        <v>231</v>
      </c>
      <c r="W118" s="83" t="s">
        <v>417</v>
      </c>
      <c r="X118" s="83" t="s">
        <v>431</v>
      </c>
      <c r="Y118" s="81" t="s">
        <v>418</v>
      </c>
      <c r="Z118" s="81" t="s">
        <v>538</v>
      </c>
    </row>
    <row r="119" spans="1:26" x14ac:dyDescent="0.4">
      <c r="A119" s="10" t="s">
        <v>385</v>
      </c>
      <c r="B119" s="81" t="s">
        <v>96</v>
      </c>
      <c r="C119" s="82">
        <v>42935.69027777778</v>
      </c>
      <c r="D119" s="83" t="s">
        <v>266</v>
      </c>
      <c r="E119" s="83" t="s">
        <v>231</v>
      </c>
      <c r="F119" s="83" t="s">
        <v>417</v>
      </c>
      <c r="G119" s="83" t="s">
        <v>385</v>
      </c>
      <c r="H119" s="7" t="str">
        <f>IF(BudgetsTable[[#This Row],[pi_last_name]]=" ","",HYPERLINK("https://www.ejacket.nsf.gov/ej/showProposal.do?Continue=Y&amp;ID="&amp;BudgetsTable[[#This Row],[prop_id]],BudgetsTable[[#This Row],[prop_id]]))</f>
        <v/>
      </c>
      <c r="I119" s="7" t="s">
        <v>1000</v>
      </c>
      <c r="J119" s="83" t="s">
        <v>13</v>
      </c>
      <c r="K119" s="83" t="s">
        <v>13</v>
      </c>
      <c r="L119" s="83">
        <v>1</v>
      </c>
      <c r="M119" s="83">
        <v>0.4</v>
      </c>
      <c r="N119" s="84">
        <v>0</v>
      </c>
      <c r="O119" s="84">
        <v>3000</v>
      </c>
      <c r="P119" s="84">
        <v>0</v>
      </c>
      <c r="Q119" s="85">
        <v>150440</v>
      </c>
      <c r="R119" s="83">
        <v>0</v>
      </c>
      <c r="S119" s="83">
        <v>1</v>
      </c>
      <c r="T119" s="11" t="str">
        <f ca="1">IF(ISBLANK(BudgetsTable[[#This Row],[budg_seq_yr]]),"FY"&amp;fiscalyear,"FY"&amp;fiscalyear-1+BudgetsTable[[#This Row],[budg_seq_yr]])</f>
        <v>FY18</v>
      </c>
      <c r="U119" s="84">
        <v>150440</v>
      </c>
      <c r="V119" s="83" t="s">
        <v>231</v>
      </c>
      <c r="W119" s="83" t="s">
        <v>417</v>
      </c>
      <c r="X119" s="83" t="s">
        <v>431</v>
      </c>
      <c r="Y119" s="81" t="s">
        <v>418</v>
      </c>
      <c r="Z119" s="81" t="s">
        <v>13</v>
      </c>
    </row>
    <row r="120" spans="1:26" x14ac:dyDescent="0.4">
      <c r="A120" s="10" t="s">
        <v>385</v>
      </c>
      <c r="B120" s="81" t="s">
        <v>96</v>
      </c>
      <c r="C120" s="82">
        <v>42935.69027777778</v>
      </c>
      <c r="D120" s="83" t="s">
        <v>266</v>
      </c>
      <c r="E120" s="83" t="s">
        <v>231</v>
      </c>
      <c r="F120" s="83" t="s">
        <v>417</v>
      </c>
      <c r="G120" s="83" t="s">
        <v>385</v>
      </c>
      <c r="H120" s="7" t="str">
        <f>IF(BudgetsTable[[#This Row],[pi_last_name]]=" ","",HYPERLINK("https://www.ejacket.nsf.gov/ej/showProposal.do?Continue=Y&amp;ID="&amp;BudgetsTable[[#This Row],[prop_id]],BudgetsTable[[#This Row],[prop_id]]))</f>
        <v/>
      </c>
      <c r="I120" s="7" t="s">
        <v>1000</v>
      </c>
      <c r="J120" s="83" t="s">
        <v>13</v>
      </c>
      <c r="K120" s="83" t="s">
        <v>13</v>
      </c>
      <c r="L120" s="83">
        <v>1</v>
      </c>
      <c r="M120" s="83">
        <v>0.4</v>
      </c>
      <c r="N120" s="84">
        <v>0</v>
      </c>
      <c r="O120" s="84">
        <v>3000</v>
      </c>
      <c r="P120" s="84">
        <v>0</v>
      </c>
      <c r="Q120" s="85">
        <v>148480</v>
      </c>
      <c r="R120" s="83">
        <v>0</v>
      </c>
      <c r="S120" s="83">
        <v>2</v>
      </c>
      <c r="T120" s="11" t="str">
        <f ca="1">IF(ISBLANK(BudgetsTable[[#This Row],[budg_seq_yr]]),"FY"&amp;fiscalyear,"FY"&amp;fiscalyear-1+BudgetsTable[[#This Row],[budg_seq_yr]])</f>
        <v>FY19</v>
      </c>
      <c r="U120" s="84">
        <v>148480</v>
      </c>
      <c r="V120" s="83" t="s">
        <v>231</v>
      </c>
      <c r="W120" s="83" t="s">
        <v>417</v>
      </c>
      <c r="X120" s="83" t="s">
        <v>431</v>
      </c>
      <c r="Y120" s="81" t="s">
        <v>418</v>
      </c>
      <c r="Z120" s="81" t="s">
        <v>13</v>
      </c>
    </row>
    <row r="121" spans="1:26" x14ac:dyDescent="0.4">
      <c r="A121" s="10" t="s">
        <v>385</v>
      </c>
      <c r="B121" s="81" t="s">
        <v>96</v>
      </c>
      <c r="C121" s="82">
        <v>42935.69027777778</v>
      </c>
      <c r="D121" s="83" t="s">
        <v>266</v>
      </c>
      <c r="E121" s="83" t="s">
        <v>231</v>
      </c>
      <c r="F121" s="83" t="s">
        <v>417</v>
      </c>
      <c r="G121" s="83" t="s">
        <v>385</v>
      </c>
      <c r="H121" s="7" t="str">
        <f>IF(BudgetsTable[[#This Row],[pi_last_name]]=" ","",HYPERLINK("https://www.ejacket.nsf.gov/ej/showProposal.do?Continue=Y&amp;ID="&amp;BudgetsTable[[#This Row],[prop_id]],BudgetsTable[[#This Row],[prop_id]]))</f>
        <v/>
      </c>
      <c r="I121" s="7" t="s">
        <v>1000</v>
      </c>
      <c r="J121" s="83" t="s">
        <v>13</v>
      </c>
      <c r="K121" s="83" t="s">
        <v>13</v>
      </c>
      <c r="L121" s="83">
        <v>1</v>
      </c>
      <c r="M121" s="83">
        <v>0.4</v>
      </c>
      <c r="N121" s="84">
        <v>0</v>
      </c>
      <c r="O121" s="84">
        <v>3000</v>
      </c>
      <c r="P121" s="84">
        <v>0</v>
      </c>
      <c r="Q121" s="85">
        <v>74290</v>
      </c>
      <c r="R121" s="83">
        <v>0</v>
      </c>
      <c r="S121" s="83">
        <v>3</v>
      </c>
      <c r="T121" s="11" t="str">
        <f ca="1">IF(ISBLANK(BudgetsTable[[#This Row],[budg_seq_yr]]),"FY"&amp;fiscalyear,"FY"&amp;fiscalyear-1+BudgetsTable[[#This Row],[budg_seq_yr]])</f>
        <v>FY20</v>
      </c>
      <c r="U121" s="84">
        <v>74290</v>
      </c>
      <c r="V121" s="83" t="s">
        <v>231</v>
      </c>
      <c r="W121" s="83" t="s">
        <v>417</v>
      </c>
      <c r="X121" s="83" t="s">
        <v>431</v>
      </c>
      <c r="Y121" s="81" t="s">
        <v>418</v>
      </c>
      <c r="Z121" s="81" t="s">
        <v>13</v>
      </c>
    </row>
    <row r="122" spans="1:26" x14ac:dyDescent="0.4">
      <c r="A122" s="10" t="s">
        <v>385</v>
      </c>
      <c r="B122" s="81" t="s">
        <v>96</v>
      </c>
      <c r="C122" s="82">
        <v>42935.69027777778</v>
      </c>
      <c r="D122" s="83" t="s">
        <v>266</v>
      </c>
      <c r="E122" s="83" t="s">
        <v>231</v>
      </c>
      <c r="F122" s="83" t="s">
        <v>417</v>
      </c>
      <c r="G122" s="83" t="s">
        <v>385</v>
      </c>
      <c r="H122" s="7" t="str">
        <f>IF(BudgetsTable[[#This Row],[pi_last_name]]=" ","",HYPERLINK("https://www.ejacket.nsf.gov/ej/showProposal.do?Continue=Y&amp;ID="&amp;BudgetsTable[[#This Row],[prop_id]],BudgetsTable[[#This Row],[prop_id]]))</f>
        <v/>
      </c>
      <c r="I122" s="7" t="s">
        <v>1000</v>
      </c>
      <c r="J122" s="83" t="s">
        <v>13</v>
      </c>
      <c r="K122" s="83" t="s">
        <v>13</v>
      </c>
      <c r="L122" s="83">
        <v>1</v>
      </c>
      <c r="M122" s="83">
        <v>0.4</v>
      </c>
      <c r="N122" s="84">
        <v>0</v>
      </c>
      <c r="O122" s="84">
        <v>3000</v>
      </c>
      <c r="P122" s="84">
        <v>0</v>
      </c>
      <c r="Q122" s="85">
        <v>74335</v>
      </c>
      <c r="R122" s="83">
        <v>0</v>
      </c>
      <c r="S122" s="83">
        <v>4</v>
      </c>
      <c r="T122" s="11" t="str">
        <f ca="1">IF(ISBLANK(BudgetsTable[[#This Row],[budg_seq_yr]]),"FY"&amp;fiscalyear,"FY"&amp;fiscalyear-1+BudgetsTable[[#This Row],[budg_seq_yr]])</f>
        <v>FY21</v>
      </c>
      <c r="U122" s="84">
        <v>74335</v>
      </c>
      <c r="V122" s="83" t="s">
        <v>231</v>
      </c>
      <c r="W122" s="83" t="s">
        <v>417</v>
      </c>
      <c r="X122" s="83" t="s">
        <v>431</v>
      </c>
      <c r="Y122" s="81" t="s">
        <v>418</v>
      </c>
      <c r="Z122" s="81" t="s">
        <v>13</v>
      </c>
    </row>
    <row r="123" spans="1:26" x14ac:dyDescent="0.4">
      <c r="A123" s="10" t="s">
        <v>385</v>
      </c>
      <c r="B123" s="81" t="s">
        <v>96</v>
      </c>
      <c r="C123" s="82">
        <v>42935.69027777778</v>
      </c>
      <c r="D123" s="83" t="s">
        <v>266</v>
      </c>
      <c r="E123" s="83" t="s">
        <v>231</v>
      </c>
      <c r="F123" s="83" t="s">
        <v>417</v>
      </c>
      <c r="G123" s="83" t="s">
        <v>385</v>
      </c>
      <c r="H123" s="7" t="str">
        <f>IF(BudgetsTable[[#This Row],[pi_last_name]]=" ","",HYPERLINK("https://www.ejacket.nsf.gov/ej/showProposal.do?Continue=Y&amp;ID="&amp;BudgetsTable[[#This Row],[prop_id]],BudgetsTable[[#This Row],[prop_id]]))</f>
        <v/>
      </c>
      <c r="I123" s="7" t="s">
        <v>1000</v>
      </c>
      <c r="J123" s="83" t="s">
        <v>13</v>
      </c>
      <c r="K123" s="83" t="s">
        <v>13</v>
      </c>
      <c r="L123" s="83">
        <v>1</v>
      </c>
      <c r="M123" s="83">
        <v>0.4</v>
      </c>
      <c r="N123" s="84">
        <v>0</v>
      </c>
      <c r="O123" s="84">
        <v>3000</v>
      </c>
      <c r="P123" s="84">
        <v>0</v>
      </c>
      <c r="Q123" s="85">
        <v>75992</v>
      </c>
      <c r="R123" s="83">
        <v>0</v>
      </c>
      <c r="S123" s="83">
        <v>5</v>
      </c>
      <c r="T123" s="11" t="str">
        <f ca="1">IF(ISBLANK(BudgetsTable[[#This Row],[budg_seq_yr]]),"FY"&amp;fiscalyear,"FY"&amp;fiscalyear-1+BudgetsTable[[#This Row],[budg_seq_yr]])</f>
        <v>FY22</v>
      </c>
      <c r="U123" s="84">
        <v>75992</v>
      </c>
      <c r="V123" s="83" t="s">
        <v>231</v>
      </c>
      <c r="W123" s="83" t="s">
        <v>417</v>
      </c>
      <c r="X123" s="83" t="s">
        <v>431</v>
      </c>
      <c r="Y123" s="81" t="s">
        <v>418</v>
      </c>
      <c r="Z123" s="81" t="s">
        <v>13</v>
      </c>
    </row>
    <row r="124" spans="1:26" x14ac:dyDescent="0.4">
      <c r="A124" s="10" t="s">
        <v>386</v>
      </c>
      <c r="B124" s="81" t="s">
        <v>96</v>
      </c>
      <c r="C124" s="82">
        <v>42935.696527777778</v>
      </c>
      <c r="D124" s="83" t="s">
        <v>266</v>
      </c>
      <c r="E124" s="83" t="s">
        <v>231</v>
      </c>
      <c r="F124" s="83" t="s">
        <v>417</v>
      </c>
      <c r="G124" s="83" t="s">
        <v>386</v>
      </c>
      <c r="H124" s="7" t="str">
        <f>IF(BudgetsTable[[#This Row],[pi_last_name]]=" ","",HYPERLINK("https://www.ejacket.nsf.gov/ej/showProposal.do?Continue=Y&amp;ID="&amp;BudgetsTable[[#This Row],[prop_id]],BudgetsTable[[#This Row],[prop_id]]))</f>
        <v>1751135</v>
      </c>
      <c r="I124" s="7" t="s">
        <v>999</v>
      </c>
      <c r="J124" s="83" t="s">
        <v>540</v>
      </c>
      <c r="K124" s="83" t="s">
        <v>542</v>
      </c>
      <c r="L124" s="83"/>
      <c r="M124" s="83"/>
      <c r="N124" s="84"/>
      <c r="O124" s="84"/>
      <c r="P124" s="84"/>
      <c r="Q124" s="85"/>
      <c r="R124" s="83">
        <v>0</v>
      </c>
      <c r="S124" s="83"/>
      <c r="T124" s="11" t="str">
        <f ca="1">IF(ISBLANK(BudgetsTable[[#This Row],[budg_seq_yr]]),"FY"&amp;fiscalyear,"FY"&amp;fiscalyear-1+BudgetsTable[[#This Row],[budg_seq_yr]])</f>
        <v>FY18</v>
      </c>
      <c r="U124" s="84">
        <v>607459</v>
      </c>
      <c r="V124" s="83" t="s">
        <v>231</v>
      </c>
      <c r="W124" s="83" t="s">
        <v>417</v>
      </c>
      <c r="X124" s="83" t="s">
        <v>431</v>
      </c>
      <c r="Y124" s="81" t="s">
        <v>418</v>
      </c>
      <c r="Z124" s="81" t="s">
        <v>544</v>
      </c>
    </row>
    <row r="125" spans="1:26" x14ac:dyDescent="0.4">
      <c r="A125" s="10" t="s">
        <v>386</v>
      </c>
      <c r="B125" s="81" t="s">
        <v>96</v>
      </c>
      <c r="C125" s="82">
        <v>42935.696527777778</v>
      </c>
      <c r="D125" s="83" t="s">
        <v>266</v>
      </c>
      <c r="E125" s="83" t="s">
        <v>231</v>
      </c>
      <c r="F125" s="83" t="s">
        <v>417</v>
      </c>
      <c r="G125" s="83" t="s">
        <v>386</v>
      </c>
      <c r="H125" s="7" t="str">
        <f>IF(BudgetsTable[[#This Row],[pi_last_name]]=" ","",HYPERLINK("https://www.ejacket.nsf.gov/ej/showProposal.do?Continue=Y&amp;ID="&amp;BudgetsTable[[#This Row],[prop_id]],BudgetsTable[[#This Row],[prop_id]]))</f>
        <v/>
      </c>
      <c r="I125" s="7" t="s">
        <v>1000</v>
      </c>
      <c r="J125" s="83" t="s">
        <v>13</v>
      </c>
      <c r="K125" s="83" t="s">
        <v>13</v>
      </c>
      <c r="L125" s="83">
        <v>1</v>
      </c>
      <c r="M125" s="83">
        <v>0.5</v>
      </c>
      <c r="N125" s="84">
        <v>0</v>
      </c>
      <c r="O125" s="84">
        <v>0</v>
      </c>
      <c r="P125" s="84">
        <v>1100</v>
      </c>
      <c r="Q125" s="85">
        <v>94905</v>
      </c>
      <c r="R125" s="83">
        <v>0</v>
      </c>
      <c r="S125" s="83">
        <v>1</v>
      </c>
      <c r="T125" s="11" t="str">
        <f ca="1">IF(ISBLANK(BudgetsTable[[#This Row],[budg_seq_yr]]),"FY"&amp;fiscalyear,"FY"&amp;fiscalyear-1+BudgetsTable[[#This Row],[budg_seq_yr]])</f>
        <v>FY18</v>
      </c>
      <c r="U125" s="84">
        <v>94905</v>
      </c>
      <c r="V125" s="83" t="s">
        <v>231</v>
      </c>
      <c r="W125" s="83" t="s">
        <v>417</v>
      </c>
      <c r="X125" s="83" t="s">
        <v>431</v>
      </c>
      <c r="Y125" s="81" t="s">
        <v>418</v>
      </c>
      <c r="Z125" s="81" t="s">
        <v>13</v>
      </c>
    </row>
    <row r="126" spans="1:26" x14ac:dyDescent="0.4">
      <c r="A126" s="10" t="s">
        <v>386</v>
      </c>
      <c r="B126" s="81" t="s">
        <v>96</v>
      </c>
      <c r="C126" s="82">
        <v>42935.696527777778</v>
      </c>
      <c r="D126" s="83" t="s">
        <v>266</v>
      </c>
      <c r="E126" s="83" t="s">
        <v>231</v>
      </c>
      <c r="F126" s="83" t="s">
        <v>417</v>
      </c>
      <c r="G126" s="83" t="s">
        <v>386</v>
      </c>
      <c r="H126" s="7" t="str">
        <f>IF(BudgetsTable[[#This Row],[pi_last_name]]=" ","",HYPERLINK("https://www.ejacket.nsf.gov/ej/showProposal.do?Continue=Y&amp;ID="&amp;BudgetsTable[[#This Row],[prop_id]],BudgetsTable[[#This Row],[prop_id]]))</f>
        <v/>
      </c>
      <c r="I126" s="7" t="s">
        <v>1000</v>
      </c>
      <c r="J126" s="83" t="s">
        <v>13</v>
      </c>
      <c r="K126" s="83" t="s">
        <v>13</v>
      </c>
      <c r="L126" s="83">
        <v>1</v>
      </c>
      <c r="M126" s="83">
        <v>1</v>
      </c>
      <c r="N126" s="84">
        <v>0</v>
      </c>
      <c r="O126" s="84">
        <v>7485</v>
      </c>
      <c r="P126" s="84">
        <v>1100</v>
      </c>
      <c r="Q126" s="85">
        <v>121969</v>
      </c>
      <c r="R126" s="83">
        <v>0</v>
      </c>
      <c r="S126" s="83">
        <v>2</v>
      </c>
      <c r="T126" s="11" t="str">
        <f ca="1">IF(ISBLANK(BudgetsTable[[#This Row],[budg_seq_yr]]),"FY"&amp;fiscalyear,"FY"&amp;fiscalyear-1+BudgetsTable[[#This Row],[budg_seq_yr]])</f>
        <v>FY19</v>
      </c>
      <c r="U126" s="84">
        <v>121969</v>
      </c>
      <c r="V126" s="83" t="s">
        <v>231</v>
      </c>
      <c r="W126" s="83" t="s">
        <v>417</v>
      </c>
      <c r="X126" s="83" t="s">
        <v>431</v>
      </c>
      <c r="Y126" s="81" t="s">
        <v>418</v>
      </c>
      <c r="Z126" s="81" t="s">
        <v>13</v>
      </c>
    </row>
    <row r="127" spans="1:26" x14ac:dyDescent="0.4">
      <c r="A127" s="10" t="s">
        <v>386</v>
      </c>
      <c r="B127" s="81" t="s">
        <v>96</v>
      </c>
      <c r="C127" s="82">
        <v>42935.696527777778</v>
      </c>
      <c r="D127" s="83" t="s">
        <v>266</v>
      </c>
      <c r="E127" s="83" t="s">
        <v>231</v>
      </c>
      <c r="F127" s="83" t="s">
        <v>417</v>
      </c>
      <c r="G127" s="83" t="s">
        <v>386</v>
      </c>
      <c r="H127" s="7" t="str">
        <f>IF(BudgetsTable[[#This Row],[pi_last_name]]=" ","",HYPERLINK("https://www.ejacket.nsf.gov/ej/showProposal.do?Continue=Y&amp;ID="&amp;BudgetsTable[[#This Row],[prop_id]],BudgetsTable[[#This Row],[prop_id]]))</f>
        <v/>
      </c>
      <c r="I127" s="7" t="s">
        <v>1000</v>
      </c>
      <c r="J127" s="83" t="s">
        <v>13</v>
      </c>
      <c r="K127" s="83" t="s">
        <v>13</v>
      </c>
      <c r="L127" s="83">
        <v>1</v>
      </c>
      <c r="M127" s="83">
        <v>1</v>
      </c>
      <c r="N127" s="84">
        <v>0</v>
      </c>
      <c r="O127" s="84">
        <v>7709</v>
      </c>
      <c r="P127" s="84">
        <v>1100</v>
      </c>
      <c r="Q127" s="85">
        <v>128760</v>
      </c>
      <c r="R127" s="83">
        <v>0</v>
      </c>
      <c r="S127" s="83">
        <v>3</v>
      </c>
      <c r="T127" s="11" t="str">
        <f ca="1">IF(ISBLANK(BudgetsTable[[#This Row],[budg_seq_yr]]),"FY"&amp;fiscalyear,"FY"&amp;fiscalyear-1+BudgetsTable[[#This Row],[budg_seq_yr]])</f>
        <v>FY20</v>
      </c>
      <c r="U127" s="84">
        <v>128760</v>
      </c>
      <c r="V127" s="83" t="s">
        <v>231</v>
      </c>
      <c r="W127" s="83" t="s">
        <v>417</v>
      </c>
      <c r="X127" s="83" t="s">
        <v>431</v>
      </c>
      <c r="Y127" s="81" t="s">
        <v>418</v>
      </c>
      <c r="Z127" s="81" t="s">
        <v>13</v>
      </c>
    </row>
    <row r="128" spans="1:26" x14ac:dyDescent="0.4">
      <c r="A128" s="10" t="s">
        <v>386</v>
      </c>
      <c r="B128" s="81" t="s">
        <v>96</v>
      </c>
      <c r="C128" s="82">
        <v>42935.696527777778</v>
      </c>
      <c r="D128" s="83" t="s">
        <v>266</v>
      </c>
      <c r="E128" s="83" t="s">
        <v>231</v>
      </c>
      <c r="F128" s="83" t="s">
        <v>417</v>
      </c>
      <c r="G128" s="83" t="s">
        <v>386</v>
      </c>
      <c r="H128" s="7" t="str">
        <f>IF(BudgetsTable[[#This Row],[pi_last_name]]=" ","",HYPERLINK("https://www.ejacket.nsf.gov/ej/showProposal.do?Continue=Y&amp;ID="&amp;BudgetsTable[[#This Row],[prop_id]],BudgetsTable[[#This Row],[prop_id]]))</f>
        <v/>
      </c>
      <c r="I128" s="7" t="s">
        <v>1000</v>
      </c>
      <c r="J128" s="83" t="s">
        <v>13</v>
      </c>
      <c r="K128" s="83" t="s">
        <v>13</v>
      </c>
      <c r="L128" s="83">
        <v>1</v>
      </c>
      <c r="M128" s="83">
        <v>1</v>
      </c>
      <c r="N128" s="84">
        <v>0</v>
      </c>
      <c r="O128" s="84">
        <v>7939</v>
      </c>
      <c r="P128" s="84">
        <v>1100</v>
      </c>
      <c r="Q128" s="85">
        <v>134130</v>
      </c>
      <c r="R128" s="83">
        <v>0</v>
      </c>
      <c r="S128" s="83">
        <v>4</v>
      </c>
      <c r="T128" s="11" t="str">
        <f ca="1">IF(ISBLANK(BudgetsTable[[#This Row],[budg_seq_yr]]),"FY"&amp;fiscalyear,"FY"&amp;fiscalyear-1+BudgetsTable[[#This Row],[budg_seq_yr]])</f>
        <v>FY21</v>
      </c>
      <c r="U128" s="84">
        <v>134130</v>
      </c>
      <c r="V128" s="83" t="s">
        <v>231</v>
      </c>
      <c r="W128" s="83" t="s">
        <v>417</v>
      </c>
      <c r="X128" s="83" t="s">
        <v>431</v>
      </c>
      <c r="Y128" s="81" t="s">
        <v>418</v>
      </c>
      <c r="Z128" s="81" t="s">
        <v>13</v>
      </c>
    </row>
    <row r="129" spans="1:26" x14ac:dyDescent="0.4">
      <c r="A129" s="10" t="s">
        <v>386</v>
      </c>
      <c r="B129" s="81" t="s">
        <v>96</v>
      </c>
      <c r="C129" s="82">
        <v>42935.696527777778</v>
      </c>
      <c r="D129" s="83" t="s">
        <v>266</v>
      </c>
      <c r="E129" s="83" t="s">
        <v>231</v>
      </c>
      <c r="F129" s="83" t="s">
        <v>417</v>
      </c>
      <c r="G129" s="83" t="s">
        <v>386</v>
      </c>
      <c r="H129" s="7" t="str">
        <f>IF(BudgetsTable[[#This Row],[pi_last_name]]=" ","",HYPERLINK("https://www.ejacket.nsf.gov/ej/showProposal.do?Continue=Y&amp;ID="&amp;BudgetsTable[[#This Row],[prop_id]],BudgetsTable[[#This Row],[prop_id]]))</f>
        <v/>
      </c>
      <c r="I129" s="7" t="s">
        <v>1000</v>
      </c>
      <c r="J129" s="83" t="s">
        <v>13</v>
      </c>
      <c r="K129" s="83" t="s">
        <v>13</v>
      </c>
      <c r="L129" s="83">
        <v>1</v>
      </c>
      <c r="M129" s="83">
        <v>1</v>
      </c>
      <c r="N129" s="84">
        <v>0</v>
      </c>
      <c r="O129" s="84">
        <v>0</v>
      </c>
      <c r="P129" s="84">
        <v>1100</v>
      </c>
      <c r="Q129" s="85">
        <v>127695</v>
      </c>
      <c r="R129" s="83">
        <v>0</v>
      </c>
      <c r="S129" s="83">
        <v>5</v>
      </c>
      <c r="T129" s="11" t="str">
        <f ca="1">IF(ISBLANK(BudgetsTable[[#This Row],[budg_seq_yr]]),"FY"&amp;fiscalyear,"FY"&amp;fiscalyear-1+BudgetsTable[[#This Row],[budg_seq_yr]])</f>
        <v>FY22</v>
      </c>
      <c r="U129" s="84">
        <v>127695</v>
      </c>
      <c r="V129" s="83" t="s">
        <v>231</v>
      </c>
      <c r="W129" s="83" t="s">
        <v>417</v>
      </c>
      <c r="X129" s="83" t="s">
        <v>431</v>
      </c>
      <c r="Y129" s="81" t="s">
        <v>418</v>
      </c>
      <c r="Z129" s="81" t="s">
        <v>13</v>
      </c>
    </row>
    <row r="130" spans="1:26" x14ac:dyDescent="0.4">
      <c r="A130" s="10" t="s">
        <v>387</v>
      </c>
      <c r="B130" s="81" t="s">
        <v>96</v>
      </c>
      <c r="C130" s="82">
        <v>42935.723611111112</v>
      </c>
      <c r="D130" s="83" t="s">
        <v>266</v>
      </c>
      <c r="E130" s="83" t="s">
        <v>231</v>
      </c>
      <c r="F130" s="83" t="s">
        <v>417</v>
      </c>
      <c r="G130" s="83" t="s">
        <v>387</v>
      </c>
      <c r="H130" s="7" t="str">
        <f>IF(BudgetsTable[[#This Row],[pi_last_name]]=" ","",HYPERLINK("https://www.ejacket.nsf.gov/ej/showProposal.do?Continue=Y&amp;ID="&amp;BudgetsTable[[#This Row],[prop_id]],BudgetsTable[[#This Row],[prop_id]]))</f>
        <v>1751254</v>
      </c>
      <c r="I130" s="7" t="s">
        <v>999</v>
      </c>
      <c r="J130" s="83" t="s">
        <v>547</v>
      </c>
      <c r="K130" s="83" t="s">
        <v>549</v>
      </c>
      <c r="L130" s="83"/>
      <c r="M130" s="83"/>
      <c r="N130" s="84"/>
      <c r="O130" s="84"/>
      <c r="P130" s="84"/>
      <c r="Q130" s="85"/>
      <c r="R130" s="83">
        <v>0</v>
      </c>
      <c r="S130" s="83"/>
      <c r="T130" s="11" t="str">
        <f ca="1">IF(ISBLANK(BudgetsTable[[#This Row],[budg_seq_yr]]),"FY"&amp;fiscalyear,"FY"&amp;fiscalyear-1+BudgetsTable[[#This Row],[budg_seq_yr]])</f>
        <v>FY18</v>
      </c>
      <c r="U130" s="84">
        <v>552355</v>
      </c>
      <c r="V130" s="83" t="s">
        <v>231</v>
      </c>
      <c r="W130" s="83" t="s">
        <v>417</v>
      </c>
      <c r="X130" s="83" t="s">
        <v>551</v>
      </c>
      <c r="Y130" s="81" t="s">
        <v>463</v>
      </c>
      <c r="Z130" s="81" t="s">
        <v>550</v>
      </c>
    </row>
    <row r="131" spans="1:26" x14ac:dyDescent="0.4">
      <c r="A131" s="10" t="s">
        <v>387</v>
      </c>
      <c r="B131" s="81" t="s">
        <v>96</v>
      </c>
      <c r="C131" s="82">
        <v>42935.723611111112</v>
      </c>
      <c r="D131" s="83" t="s">
        <v>266</v>
      </c>
      <c r="E131" s="83" t="s">
        <v>231</v>
      </c>
      <c r="F131" s="83" t="s">
        <v>417</v>
      </c>
      <c r="G131" s="83" t="s">
        <v>387</v>
      </c>
      <c r="H131" s="7" t="str">
        <f>IF(BudgetsTable[[#This Row],[pi_last_name]]=" ","",HYPERLINK("https://www.ejacket.nsf.gov/ej/showProposal.do?Continue=Y&amp;ID="&amp;BudgetsTable[[#This Row],[prop_id]],BudgetsTable[[#This Row],[prop_id]]))</f>
        <v/>
      </c>
      <c r="I131" s="7" t="s">
        <v>1000</v>
      </c>
      <c r="J131" s="83" t="s">
        <v>13</v>
      </c>
      <c r="K131" s="83" t="s">
        <v>13</v>
      </c>
      <c r="L131" s="83">
        <v>1</v>
      </c>
      <c r="M131" s="83">
        <v>1</v>
      </c>
      <c r="N131" s="84">
        <v>0</v>
      </c>
      <c r="O131" s="84">
        <v>2600</v>
      </c>
      <c r="P131" s="84">
        <v>0</v>
      </c>
      <c r="Q131" s="85">
        <v>91913</v>
      </c>
      <c r="R131" s="83">
        <v>0</v>
      </c>
      <c r="S131" s="83">
        <v>1</v>
      </c>
      <c r="T131" s="11" t="str">
        <f ca="1">IF(ISBLANK(BudgetsTable[[#This Row],[budg_seq_yr]]),"FY"&amp;fiscalyear,"FY"&amp;fiscalyear-1+BudgetsTable[[#This Row],[budg_seq_yr]])</f>
        <v>FY18</v>
      </c>
      <c r="U131" s="84">
        <v>91913</v>
      </c>
      <c r="V131" s="83" t="s">
        <v>231</v>
      </c>
      <c r="W131" s="83" t="s">
        <v>417</v>
      </c>
      <c r="X131" s="83" t="s">
        <v>551</v>
      </c>
      <c r="Y131" s="81" t="s">
        <v>463</v>
      </c>
      <c r="Z131" s="81" t="s">
        <v>13</v>
      </c>
    </row>
    <row r="132" spans="1:26" x14ac:dyDescent="0.4">
      <c r="A132" s="10" t="s">
        <v>387</v>
      </c>
      <c r="B132" s="81" t="s">
        <v>96</v>
      </c>
      <c r="C132" s="82">
        <v>42935.723611111112</v>
      </c>
      <c r="D132" s="83" t="s">
        <v>266</v>
      </c>
      <c r="E132" s="83" t="s">
        <v>231</v>
      </c>
      <c r="F132" s="83" t="s">
        <v>417</v>
      </c>
      <c r="G132" s="83" t="s">
        <v>387</v>
      </c>
      <c r="H132" s="7" t="str">
        <f>IF(BudgetsTable[[#This Row],[pi_last_name]]=" ","",HYPERLINK("https://www.ejacket.nsf.gov/ej/showProposal.do?Continue=Y&amp;ID="&amp;BudgetsTable[[#This Row],[prop_id]],BudgetsTable[[#This Row],[prop_id]]))</f>
        <v/>
      </c>
      <c r="I132" s="7" t="s">
        <v>1000</v>
      </c>
      <c r="J132" s="83" t="s">
        <v>13</v>
      </c>
      <c r="K132" s="83" t="s">
        <v>13</v>
      </c>
      <c r="L132" s="83">
        <v>1</v>
      </c>
      <c r="M132" s="83">
        <v>1</v>
      </c>
      <c r="N132" s="84">
        <v>0</v>
      </c>
      <c r="O132" s="84">
        <v>2600</v>
      </c>
      <c r="P132" s="84">
        <v>0</v>
      </c>
      <c r="Q132" s="85">
        <v>94307</v>
      </c>
      <c r="R132" s="83">
        <v>0</v>
      </c>
      <c r="S132" s="83">
        <v>2</v>
      </c>
      <c r="T132" s="11" t="str">
        <f ca="1">IF(ISBLANK(BudgetsTable[[#This Row],[budg_seq_yr]]),"FY"&amp;fiscalyear,"FY"&amp;fiscalyear-1+BudgetsTable[[#This Row],[budg_seq_yr]])</f>
        <v>FY19</v>
      </c>
      <c r="U132" s="84">
        <v>94307</v>
      </c>
      <c r="V132" s="83" t="s">
        <v>231</v>
      </c>
      <c r="W132" s="83" t="s">
        <v>417</v>
      </c>
      <c r="X132" s="83" t="s">
        <v>551</v>
      </c>
      <c r="Y132" s="81" t="s">
        <v>463</v>
      </c>
      <c r="Z132" s="81" t="s">
        <v>13</v>
      </c>
    </row>
    <row r="133" spans="1:26" x14ac:dyDescent="0.4">
      <c r="A133" s="10" t="s">
        <v>387</v>
      </c>
      <c r="B133" s="81" t="s">
        <v>96</v>
      </c>
      <c r="C133" s="82">
        <v>42935.723611111112</v>
      </c>
      <c r="D133" s="83" t="s">
        <v>266</v>
      </c>
      <c r="E133" s="83" t="s">
        <v>231</v>
      </c>
      <c r="F133" s="83" t="s">
        <v>417</v>
      </c>
      <c r="G133" s="83" t="s">
        <v>387</v>
      </c>
      <c r="H133" s="7" t="str">
        <f>IF(BudgetsTable[[#This Row],[pi_last_name]]=" ","",HYPERLINK("https://www.ejacket.nsf.gov/ej/showProposal.do?Continue=Y&amp;ID="&amp;BudgetsTable[[#This Row],[prop_id]],BudgetsTable[[#This Row],[prop_id]]))</f>
        <v/>
      </c>
      <c r="I133" s="7" t="s">
        <v>1000</v>
      </c>
      <c r="J133" s="83" t="s">
        <v>13</v>
      </c>
      <c r="K133" s="83" t="s">
        <v>13</v>
      </c>
      <c r="L133" s="83">
        <v>1</v>
      </c>
      <c r="M133" s="83">
        <v>1</v>
      </c>
      <c r="N133" s="84">
        <v>0</v>
      </c>
      <c r="O133" s="84">
        <v>2600</v>
      </c>
      <c r="P133" s="84">
        <v>0</v>
      </c>
      <c r="Q133" s="85">
        <v>137366</v>
      </c>
      <c r="R133" s="83">
        <v>0</v>
      </c>
      <c r="S133" s="83">
        <v>3</v>
      </c>
      <c r="T133" s="11" t="str">
        <f ca="1">IF(ISBLANK(BudgetsTable[[#This Row],[budg_seq_yr]]),"FY"&amp;fiscalyear,"FY"&amp;fiscalyear-1+BudgetsTable[[#This Row],[budg_seq_yr]])</f>
        <v>FY20</v>
      </c>
      <c r="U133" s="84">
        <v>137366</v>
      </c>
      <c r="V133" s="83" t="s">
        <v>231</v>
      </c>
      <c r="W133" s="83" t="s">
        <v>417</v>
      </c>
      <c r="X133" s="83" t="s">
        <v>551</v>
      </c>
      <c r="Y133" s="81" t="s">
        <v>463</v>
      </c>
      <c r="Z133" s="81" t="s">
        <v>13</v>
      </c>
    </row>
    <row r="134" spans="1:26" x14ac:dyDescent="0.4">
      <c r="A134" s="10" t="s">
        <v>387</v>
      </c>
      <c r="B134" s="81" t="s">
        <v>96</v>
      </c>
      <c r="C134" s="82">
        <v>42935.723611111112</v>
      </c>
      <c r="D134" s="83" t="s">
        <v>266</v>
      </c>
      <c r="E134" s="83" t="s">
        <v>231</v>
      </c>
      <c r="F134" s="83" t="s">
        <v>417</v>
      </c>
      <c r="G134" s="83" t="s">
        <v>387</v>
      </c>
      <c r="H134" s="7" t="str">
        <f>IF(BudgetsTable[[#This Row],[pi_last_name]]=" ","",HYPERLINK("https://www.ejacket.nsf.gov/ej/showProposal.do?Continue=Y&amp;ID="&amp;BudgetsTable[[#This Row],[prop_id]],BudgetsTable[[#This Row],[prop_id]]))</f>
        <v/>
      </c>
      <c r="I134" s="7" t="s">
        <v>1000</v>
      </c>
      <c r="J134" s="83" t="s">
        <v>13</v>
      </c>
      <c r="K134" s="83" t="s">
        <v>13</v>
      </c>
      <c r="L134" s="83">
        <v>1</v>
      </c>
      <c r="M134" s="83">
        <v>1</v>
      </c>
      <c r="N134" s="84">
        <v>0</v>
      </c>
      <c r="O134" s="84">
        <v>2600</v>
      </c>
      <c r="P134" s="84">
        <v>0</v>
      </c>
      <c r="Q134" s="85">
        <v>100963</v>
      </c>
      <c r="R134" s="83">
        <v>0</v>
      </c>
      <c r="S134" s="83">
        <v>4</v>
      </c>
      <c r="T134" s="11" t="str">
        <f ca="1">IF(ISBLANK(BudgetsTable[[#This Row],[budg_seq_yr]]),"FY"&amp;fiscalyear,"FY"&amp;fiscalyear-1+BudgetsTable[[#This Row],[budg_seq_yr]])</f>
        <v>FY21</v>
      </c>
      <c r="U134" s="84">
        <v>100963</v>
      </c>
      <c r="V134" s="83" t="s">
        <v>231</v>
      </c>
      <c r="W134" s="83" t="s">
        <v>417</v>
      </c>
      <c r="X134" s="83" t="s">
        <v>551</v>
      </c>
      <c r="Y134" s="81" t="s">
        <v>463</v>
      </c>
      <c r="Z134" s="81" t="s">
        <v>13</v>
      </c>
    </row>
    <row r="135" spans="1:26" x14ac:dyDescent="0.4">
      <c r="A135" s="10" t="s">
        <v>387</v>
      </c>
      <c r="B135" s="81" t="s">
        <v>96</v>
      </c>
      <c r="C135" s="82">
        <v>42935.723611111112</v>
      </c>
      <c r="D135" s="83" t="s">
        <v>266</v>
      </c>
      <c r="E135" s="83" t="s">
        <v>231</v>
      </c>
      <c r="F135" s="83" t="s">
        <v>417</v>
      </c>
      <c r="G135" s="83" t="s">
        <v>387</v>
      </c>
      <c r="H135" s="7" t="str">
        <f>IF(BudgetsTable[[#This Row],[pi_last_name]]=" ","",HYPERLINK("https://www.ejacket.nsf.gov/ej/showProposal.do?Continue=Y&amp;ID="&amp;BudgetsTable[[#This Row],[prop_id]],BudgetsTable[[#This Row],[prop_id]]))</f>
        <v/>
      </c>
      <c r="I135" s="7" t="s">
        <v>1000</v>
      </c>
      <c r="J135" s="83" t="s">
        <v>13</v>
      </c>
      <c r="K135" s="83" t="s">
        <v>13</v>
      </c>
      <c r="L135" s="83">
        <v>1</v>
      </c>
      <c r="M135" s="83">
        <v>1</v>
      </c>
      <c r="N135" s="84">
        <v>0</v>
      </c>
      <c r="O135" s="84">
        <v>2600</v>
      </c>
      <c r="P135" s="84">
        <v>0</v>
      </c>
      <c r="Q135" s="85">
        <v>127806</v>
      </c>
      <c r="R135" s="83">
        <v>0</v>
      </c>
      <c r="S135" s="83">
        <v>5</v>
      </c>
      <c r="T135" s="11" t="str">
        <f ca="1">IF(ISBLANK(BudgetsTable[[#This Row],[budg_seq_yr]]),"FY"&amp;fiscalyear,"FY"&amp;fiscalyear-1+BudgetsTable[[#This Row],[budg_seq_yr]])</f>
        <v>FY22</v>
      </c>
      <c r="U135" s="84">
        <v>127806</v>
      </c>
      <c r="V135" s="83" t="s">
        <v>231</v>
      </c>
      <c r="W135" s="83" t="s">
        <v>417</v>
      </c>
      <c r="X135" s="83" t="s">
        <v>551</v>
      </c>
      <c r="Y135" s="81" t="s">
        <v>463</v>
      </c>
      <c r="Z135" s="81" t="s">
        <v>13</v>
      </c>
    </row>
    <row r="136" spans="1:26" x14ac:dyDescent="0.4">
      <c r="A136" s="10" t="s">
        <v>388</v>
      </c>
      <c r="B136" s="81" t="s">
        <v>96</v>
      </c>
      <c r="C136" s="82">
        <v>42935.851388888892</v>
      </c>
      <c r="D136" s="83" t="s">
        <v>266</v>
      </c>
      <c r="E136" s="83" t="s">
        <v>231</v>
      </c>
      <c r="F136" s="83" t="s">
        <v>417</v>
      </c>
      <c r="G136" s="83" t="s">
        <v>388</v>
      </c>
      <c r="H136" s="7" t="str">
        <f>IF(BudgetsTable[[#This Row],[pi_last_name]]=" ","",HYPERLINK("https://www.ejacket.nsf.gov/ej/showProposal.do?Continue=Y&amp;ID="&amp;BudgetsTable[[#This Row],[prop_id]],BudgetsTable[[#This Row],[prop_id]]))</f>
        <v>1751416</v>
      </c>
      <c r="I136" s="7" t="s">
        <v>999</v>
      </c>
      <c r="J136" s="83" t="s">
        <v>553</v>
      </c>
      <c r="K136" s="83" t="s">
        <v>555</v>
      </c>
      <c r="L136" s="83"/>
      <c r="M136" s="83"/>
      <c r="N136" s="84"/>
      <c r="O136" s="84"/>
      <c r="P136" s="84"/>
      <c r="Q136" s="85"/>
      <c r="R136" s="83">
        <v>0</v>
      </c>
      <c r="S136" s="83"/>
      <c r="T136" s="11" t="str">
        <f ca="1">IF(ISBLANK(BudgetsTable[[#This Row],[budg_seq_yr]]),"FY"&amp;fiscalyear,"FY"&amp;fiscalyear-1+BudgetsTable[[#This Row],[budg_seq_yr]])</f>
        <v>FY18</v>
      </c>
      <c r="U136" s="84">
        <v>549999</v>
      </c>
      <c r="V136" s="83" t="s">
        <v>231</v>
      </c>
      <c r="W136" s="83" t="s">
        <v>417</v>
      </c>
      <c r="X136" s="83" t="s">
        <v>557</v>
      </c>
      <c r="Y136" s="81" t="s">
        <v>434</v>
      </c>
      <c r="Z136" s="81" t="s">
        <v>556</v>
      </c>
    </row>
    <row r="137" spans="1:26" x14ac:dyDescent="0.4">
      <c r="A137" s="10" t="s">
        <v>388</v>
      </c>
      <c r="B137" s="81" t="s">
        <v>96</v>
      </c>
      <c r="C137" s="82">
        <v>42935.851388888892</v>
      </c>
      <c r="D137" s="83" t="s">
        <v>266</v>
      </c>
      <c r="E137" s="83" t="s">
        <v>231</v>
      </c>
      <c r="F137" s="83" t="s">
        <v>417</v>
      </c>
      <c r="G137" s="83" t="s">
        <v>388</v>
      </c>
      <c r="H137" s="7" t="str">
        <f>IF(BudgetsTable[[#This Row],[pi_last_name]]=" ","",HYPERLINK("https://www.ejacket.nsf.gov/ej/showProposal.do?Continue=Y&amp;ID="&amp;BudgetsTable[[#This Row],[prop_id]],BudgetsTable[[#This Row],[prop_id]]))</f>
        <v/>
      </c>
      <c r="I137" s="7" t="s">
        <v>1000</v>
      </c>
      <c r="J137" s="83" t="s">
        <v>13</v>
      </c>
      <c r="K137" s="83" t="s">
        <v>13</v>
      </c>
      <c r="L137" s="83">
        <v>1</v>
      </c>
      <c r="M137" s="83">
        <v>1</v>
      </c>
      <c r="N137" s="84">
        <v>0</v>
      </c>
      <c r="O137" s="84">
        <v>4000</v>
      </c>
      <c r="P137" s="84">
        <v>0</v>
      </c>
      <c r="Q137" s="85">
        <v>107503</v>
      </c>
      <c r="R137" s="83">
        <v>0</v>
      </c>
      <c r="S137" s="83">
        <v>1</v>
      </c>
      <c r="T137" s="11" t="str">
        <f ca="1">IF(ISBLANK(BudgetsTable[[#This Row],[budg_seq_yr]]),"FY"&amp;fiscalyear,"FY"&amp;fiscalyear-1+BudgetsTable[[#This Row],[budg_seq_yr]])</f>
        <v>FY18</v>
      </c>
      <c r="U137" s="84">
        <v>107503</v>
      </c>
      <c r="V137" s="83" t="s">
        <v>231</v>
      </c>
      <c r="W137" s="83" t="s">
        <v>417</v>
      </c>
      <c r="X137" s="83" t="s">
        <v>557</v>
      </c>
      <c r="Y137" s="81" t="s">
        <v>434</v>
      </c>
      <c r="Z137" s="81" t="s">
        <v>13</v>
      </c>
    </row>
    <row r="138" spans="1:26" x14ac:dyDescent="0.4">
      <c r="A138" s="10" t="s">
        <v>388</v>
      </c>
      <c r="B138" s="81" t="s">
        <v>96</v>
      </c>
      <c r="C138" s="82">
        <v>42935.851388888892</v>
      </c>
      <c r="D138" s="83" t="s">
        <v>266</v>
      </c>
      <c r="E138" s="83" t="s">
        <v>231</v>
      </c>
      <c r="F138" s="83" t="s">
        <v>417</v>
      </c>
      <c r="G138" s="83" t="s">
        <v>388</v>
      </c>
      <c r="H138" s="7" t="str">
        <f>IF(BudgetsTable[[#This Row],[pi_last_name]]=" ","",HYPERLINK("https://www.ejacket.nsf.gov/ej/showProposal.do?Continue=Y&amp;ID="&amp;BudgetsTable[[#This Row],[prop_id]],BudgetsTable[[#This Row],[prop_id]]))</f>
        <v/>
      </c>
      <c r="I138" s="7" t="s">
        <v>1000</v>
      </c>
      <c r="J138" s="83" t="s">
        <v>13</v>
      </c>
      <c r="K138" s="83" t="s">
        <v>13</v>
      </c>
      <c r="L138" s="83">
        <v>1</v>
      </c>
      <c r="M138" s="83">
        <v>1</v>
      </c>
      <c r="N138" s="84">
        <v>0</v>
      </c>
      <c r="O138" s="84">
        <v>4000</v>
      </c>
      <c r="P138" s="84">
        <v>0</v>
      </c>
      <c r="Q138" s="85">
        <v>106381</v>
      </c>
      <c r="R138" s="83">
        <v>0</v>
      </c>
      <c r="S138" s="83">
        <v>2</v>
      </c>
      <c r="T138" s="11" t="str">
        <f ca="1">IF(ISBLANK(BudgetsTable[[#This Row],[budg_seq_yr]]),"FY"&amp;fiscalyear,"FY"&amp;fiscalyear-1+BudgetsTable[[#This Row],[budg_seq_yr]])</f>
        <v>FY19</v>
      </c>
      <c r="U138" s="84">
        <v>106381</v>
      </c>
      <c r="V138" s="83" t="s">
        <v>231</v>
      </c>
      <c r="W138" s="83" t="s">
        <v>417</v>
      </c>
      <c r="X138" s="83" t="s">
        <v>557</v>
      </c>
      <c r="Y138" s="81" t="s">
        <v>434</v>
      </c>
      <c r="Z138" s="81" t="s">
        <v>13</v>
      </c>
    </row>
    <row r="139" spans="1:26" x14ac:dyDescent="0.4">
      <c r="A139" s="10" t="s">
        <v>388</v>
      </c>
      <c r="B139" s="81" t="s">
        <v>96</v>
      </c>
      <c r="C139" s="82">
        <v>42935.851388888892</v>
      </c>
      <c r="D139" s="83" t="s">
        <v>266</v>
      </c>
      <c r="E139" s="83" t="s">
        <v>231</v>
      </c>
      <c r="F139" s="83" t="s">
        <v>417</v>
      </c>
      <c r="G139" s="83" t="s">
        <v>388</v>
      </c>
      <c r="H139" s="7" t="str">
        <f>IF(BudgetsTable[[#This Row],[pi_last_name]]=" ","",HYPERLINK("https://www.ejacket.nsf.gov/ej/showProposal.do?Continue=Y&amp;ID="&amp;BudgetsTable[[#This Row],[prop_id]],BudgetsTable[[#This Row],[prop_id]]))</f>
        <v/>
      </c>
      <c r="I139" s="7" t="s">
        <v>1000</v>
      </c>
      <c r="J139" s="83" t="s">
        <v>13</v>
      </c>
      <c r="K139" s="83" t="s">
        <v>13</v>
      </c>
      <c r="L139" s="83">
        <v>1</v>
      </c>
      <c r="M139" s="83">
        <v>1</v>
      </c>
      <c r="N139" s="84">
        <v>0</v>
      </c>
      <c r="O139" s="84">
        <v>4000</v>
      </c>
      <c r="P139" s="84">
        <v>0</v>
      </c>
      <c r="Q139" s="85">
        <v>109149</v>
      </c>
      <c r="R139" s="83">
        <v>0</v>
      </c>
      <c r="S139" s="83">
        <v>3</v>
      </c>
      <c r="T139" s="11" t="str">
        <f ca="1">IF(ISBLANK(BudgetsTable[[#This Row],[budg_seq_yr]]),"FY"&amp;fiscalyear,"FY"&amp;fiscalyear-1+BudgetsTable[[#This Row],[budg_seq_yr]])</f>
        <v>FY20</v>
      </c>
      <c r="U139" s="84">
        <v>109149</v>
      </c>
      <c r="V139" s="83" t="s">
        <v>231</v>
      </c>
      <c r="W139" s="83" t="s">
        <v>417</v>
      </c>
      <c r="X139" s="83" t="s">
        <v>557</v>
      </c>
      <c r="Y139" s="81" t="s">
        <v>434</v>
      </c>
      <c r="Z139" s="81" t="s">
        <v>13</v>
      </c>
    </row>
    <row r="140" spans="1:26" x14ac:dyDescent="0.4">
      <c r="A140" s="10" t="s">
        <v>388</v>
      </c>
      <c r="B140" s="81" t="s">
        <v>96</v>
      </c>
      <c r="C140" s="82">
        <v>42935.851388888892</v>
      </c>
      <c r="D140" s="83" t="s">
        <v>266</v>
      </c>
      <c r="E140" s="83" t="s">
        <v>231</v>
      </c>
      <c r="F140" s="83" t="s">
        <v>417</v>
      </c>
      <c r="G140" s="83" t="s">
        <v>388</v>
      </c>
      <c r="H140" s="7" t="str">
        <f>IF(BudgetsTable[[#This Row],[pi_last_name]]=" ","",HYPERLINK("https://www.ejacket.nsf.gov/ej/showProposal.do?Continue=Y&amp;ID="&amp;BudgetsTable[[#This Row],[prop_id]],BudgetsTable[[#This Row],[prop_id]]))</f>
        <v/>
      </c>
      <c r="I140" s="7" t="s">
        <v>1000</v>
      </c>
      <c r="J140" s="83" t="s">
        <v>13</v>
      </c>
      <c r="K140" s="83" t="s">
        <v>13</v>
      </c>
      <c r="L140" s="83">
        <v>1</v>
      </c>
      <c r="M140" s="83">
        <v>1</v>
      </c>
      <c r="N140" s="84">
        <v>0</v>
      </c>
      <c r="O140" s="84">
        <v>4000</v>
      </c>
      <c r="P140" s="84">
        <v>0</v>
      </c>
      <c r="Q140" s="85">
        <v>112009</v>
      </c>
      <c r="R140" s="83">
        <v>0</v>
      </c>
      <c r="S140" s="83">
        <v>4</v>
      </c>
      <c r="T140" s="11" t="str">
        <f ca="1">IF(ISBLANK(BudgetsTable[[#This Row],[budg_seq_yr]]),"FY"&amp;fiscalyear,"FY"&amp;fiscalyear-1+BudgetsTable[[#This Row],[budg_seq_yr]])</f>
        <v>FY21</v>
      </c>
      <c r="U140" s="84">
        <v>112009</v>
      </c>
      <c r="V140" s="83" t="s">
        <v>231</v>
      </c>
      <c r="W140" s="83" t="s">
        <v>417</v>
      </c>
      <c r="X140" s="83" t="s">
        <v>557</v>
      </c>
      <c r="Y140" s="81" t="s">
        <v>434</v>
      </c>
      <c r="Z140" s="81" t="s">
        <v>13</v>
      </c>
    </row>
    <row r="141" spans="1:26" x14ac:dyDescent="0.4">
      <c r="A141" s="10" t="s">
        <v>388</v>
      </c>
      <c r="B141" s="81" t="s">
        <v>96</v>
      </c>
      <c r="C141" s="82">
        <v>42935.851388888892</v>
      </c>
      <c r="D141" s="83" t="s">
        <v>266</v>
      </c>
      <c r="E141" s="83" t="s">
        <v>231</v>
      </c>
      <c r="F141" s="83" t="s">
        <v>417</v>
      </c>
      <c r="G141" s="83" t="s">
        <v>388</v>
      </c>
      <c r="H141" s="7" t="str">
        <f>IF(BudgetsTable[[#This Row],[pi_last_name]]=" ","",HYPERLINK("https://www.ejacket.nsf.gov/ej/showProposal.do?Continue=Y&amp;ID="&amp;BudgetsTable[[#This Row],[prop_id]],BudgetsTable[[#This Row],[prop_id]]))</f>
        <v/>
      </c>
      <c r="I141" s="7" t="s">
        <v>1000</v>
      </c>
      <c r="J141" s="83" t="s">
        <v>13</v>
      </c>
      <c r="K141" s="83" t="s">
        <v>13</v>
      </c>
      <c r="L141" s="83">
        <v>1</v>
      </c>
      <c r="M141" s="83">
        <v>1</v>
      </c>
      <c r="N141" s="84">
        <v>0</v>
      </c>
      <c r="O141" s="84">
        <v>4000</v>
      </c>
      <c r="P141" s="84">
        <v>0</v>
      </c>
      <c r="Q141" s="85">
        <v>114957</v>
      </c>
      <c r="R141" s="83">
        <v>0</v>
      </c>
      <c r="S141" s="83">
        <v>5</v>
      </c>
      <c r="T141" s="11" t="str">
        <f ca="1">IF(ISBLANK(BudgetsTable[[#This Row],[budg_seq_yr]]),"FY"&amp;fiscalyear,"FY"&amp;fiscalyear-1+BudgetsTable[[#This Row],[budg_seq_yr]])</f>
        <v>FY22</v>
      </c>
      <c r="U141" s="84">
        <v>114957</v>
      </c>
      <c r="V141" s="83" t="s">
        <v>231</v>
      </c>
      <c r="W141" s="83" t="s">
        <v>417</v>
      </c>
      <c r="X141" s="83" t="s">
        <v>557</v>
      </c>
      <c r="Y141" s="81" t="s">
        <v>434</v>
      </c>
      <c r="Z141" s="81" t="s">
        <v>13</v>
      </c>
    </row>
    <row r="142" spans="1:26" x14ac:dyDescent="0.4">
      <c r="A142" s="10" t="s">
        <v>389</v>
      </c>
      <c r="B142" s="81" t="s">
        <v>96</v>
      </c>
      <c r="C142" s="82">
        <v>42954.500694444447</v>
      </c>
      <c r="D142" s="83" t="s">
        <v>561</v>
      </c>
      <c r="E142" s="83" t="s">
        <v>231</v>
      </c>
      <c r="F142" s="83" t="s">
        <v>562</v>
      </c>
      <c r="G142" s="83" t="s">
        <v>389</v>
      </c>
      <c r="H142" s="7" t="str">
        <f>IF(BudgetsTable[[#This Row],[pi_last_name]]=" ","",HYPERLINK("https://www.ejacket.nsf.gov/ej/showProposal.do?Continue=Y&amp;ID="&amp;BudgetsTable[[#This Row],[prop_id]],BudgetsTable[[#This Row],[prop_id]]))</f>
        <v>1755481</v>
      </c>
      <c r="I142" s="7" t="s">
        <v>999</v>
      </c>
      <c r="J142" s="83" t="s">
        <v>426</v>
      </c>
      <c r="K142" s="83" t="s">
        <v>564</v>
      </c>
      <c r="L142" s="83"/>
      <c r="M142" s="83"/>
      <c r="N142" s="84"/>
      <c r="O142" s="84"/>
      <c r="P142" s="84"/>
      <c r="Q142" s="85"/>
      <c r="R142" s="83">
        <v>0</v>
      </c>
      <c r="S142" s="83"/>
      <c r="T142" s="11" t="str">
        <f ca="1">IF(ISBLANK(BudgetsTable[[#This Row],[budg_seq_yr]]),"FY"&amp;fiscalyear,"FY"&amp;fiscalyear-1+BudgetsTable[[#This Row],[budg_seq_yr]])</f>
        <v>FY18</v>
      </c>
      <c r="U142" s="84">
        <v>168126</v>
      </c>
      <c r="V142" s="83" t="s">
        <v>231</v>
      </c>
      <c r="W142" s="83" t="s">
        <v>562</v>
      </c>
      <c r="X142" s="83" t="s">
        <v>566</v>
      </c>
      <c r="Y142" s="81" t="s">
        <v>434</v>
      </c>
      <c r="Z142" s="81" t="s">
        <v>565</v>
      </c>
    </row>
    <row r="143" spans="1:26" x14ac:dyDescent="0.4">
      <c r="A143" s="10" t="s">
        <v>389</v>
      </c>
      <c r="B143" s="81" t="s">
        <v>96</v>
      </c>
      <c r="C143" s="82">
        <v>42954.500694444447</v>
      </c>
      <c r="D143" s="83" t="s">
        <v>561</v>
      </c>
      <c r="E143" s="83" t="s">
        <v>231</v>
      </c>
      <c r="F143" s="83" t="s">
        <v>562</v>
      </c>
      <c r="G143" s="83" t="s">
        <v>389</v>
      </c>
      <c r="H143" s="7" t="str">
        <f>IF(BudgetsTable[[#This Row],[pi_last_name]]=" ","",HYPERLINK("https://www.ejacket.nsf.gov/ej/showProposal.do?Continue=Y&amp;ID="&amp;BudgetsTable[[#This Row],[prop_id]],BudgetsTable[[#This Row],[prop_id]]))</f>
        <v/>
      </c>
      <c r="I143" s="7" t="s">
        <v>1000</v>
      </c>
      <c r="J143" s="83" t="s">
        <v>13</v>
      </c>
      <c r="K143" s="83" t="s">
        <v>13</v>
      </c>
      <c r="L143" s="83">
        <v>0</v>
      </c>
      <c r="M143" s="83">
        <v>0</v>
      </c>
      <c r="N143" s="84">
        <v>0</v>
      </c>
      <c r="O143" s="84">
        <v>0</v>
      </c>
      <c r="P143" s="84">
        <v>0</v>
      </c>
      <c r="Q143" s="85">
        <v>90062</v>
      </c>
      <c r="R143" s="83">
        <v>0</v>
      </c>
      <c r="S143" s="83">
        <v>1</v>
      </c>
      <c r="T143" s="11" t="str">
        <f ca="1">IF(ISBLANK(BudgetsTable[[#This Row],[budg_seq_yr]]),"FY"&amp;fiscalyear,"FY"&amp;fiscalyear-1+BudgetsTable[[#This Row],[budg_seq_yr]])</f>
        <v>FY18</v>
      </c>
      <c r="U143" s="84">
        <v>90062</v>
      </c>
      <c r="V143" s="83" t="s">
        <v>231</v>
      </c>
      <c r="W143" s="83" t="s">
        <v>562</v>
      </c>
      <c r="X143" s="83" t="s">
        <v>566</v>
      </c>
      <c r="Y143" s="81" t="s">
        <v>434</v>
      </c>
      <c r="Z143" s="81" t="s">
        <v>13</v>
      </c>
    </row>
    <row r="144" spans="1:26" x14ac:dyDescent="0.4">
      <c r="A144" s="10" t="s">
        <v>389</v>
      </c>
      <c r="B144" s="81" t="s">
        <v>96</v>
      </c>
      <c r="C144" s="82">
        <v>42954.500694444447</v>
      </c>
      <c r="D144" s="83" t="s">
        <v>561</v>
      </c>
      <c r="E144" s="83" t="s">
        <v>231</v>
      </c>
      <c r="F144" s="83" t="s">
        <v>562</v>
      </c>
      <c r="G144" s="83" t="s">
        <v>389</v>
      </c>
      <c r="H144" s="7" t="str">
        <f>IF(BudgetsTable[[#This Row],[pi_last_name]]=" ","",HYPERLINK("https://www.ejacket.nsf.gov/ej/showProposal.do?Continue=Y&amp;ID="&amp;BudgetsTable[[#This Row],[prop_id]],BudgetsTable[[#This Row],[prop_id]]))</f>
        <v/>
      </c>
      <c r="I144" s="7" t="s">
        <v>1000</v>
      </c>
      <c r="J144" s="83" t="s">
        <v>13</v>
      </c>
      <c r="K144" s="83" t="s">
        <v>13</v>
      </c>
      <c r="L144" s="83">
        <v>0</v>
      </c>
      <c r="M144" s="83">
        <v>0</v>
      </c>
      <c r="N144" s="84">
        <v>0</v>
      </c>
      <c r="O144" s="84">
        <v>0</v>
      </c>
      <c r="P144" s="84">
        <v>0</v>
      </c>
      <c r="Q144" s="85">
        <v>78064</v>
      </c>
      <c r="R144" s="83">
        <v>0</v>
      </c>
      <c r="S144" s="83">
        <v>2</v>
      </c>
      <c r="T144" s="11" t="str">
        <f ca="1">IF(ISBLANK(BudgetsTable[[#This Row],[budg_seq_yr]]),"FY"&amp;fiscalyear,"FY"&amp;fiscalyear-1+BudgetsTable[[#This Row],[budg_seq_yr]])</f>
        <v>FY19</v>
      </c>
      <c r="U144" s="84">
        <v>78064</v>
      </c>
      <c r="V144" s="83" t="s">
        <v>231</v>
      </c>
      <c r="W144" s="83" t="s">
        <v>562</v>
      </c>
      <c r="X144" s="83" t="s">
        <v>566</v>
      </c>
      <c r="Y144" s="81" t="s">
        <v>434</v>
      </c>
      <c r="Z144" s="81" t="s">
        <v>13</v>
      </c>
    </row>
    <row r="145" spans="1:26" x14ac:dyDescent="0.4">
      <c r="A145" s="10" t="s">
        <v>390</v>
      </c>
      <c r="B145" s="81" t="s">
        <v>96</v>
      </c>
      <c r="C145" s="82">
        <v>42956.472222222219</v>
      </c>
      <c r="D145" s="83" t="s">
        <v>561</v>
      </c>
      <c r="E145" s="83" t="s">
        <v>231</v>
      </c>
      <c r="F145" s="83" t="s">
        <v>562</v>
      </c>
      <c r="G145" s="83" t="s">
        <v>390</v>
      </c>
      <c r="H145" s="7" t="str">
        <f>IF(BudgetsTable[[#This Row],[pi_last_name]]=" ","",HYPERLINK("https://www.ejacket.nsf.gov/ej/showProposal.do?Continue=Y&amp;ID="&amp;BudgetsTable[[#This Row],[prop_id]],BudgetsTable[[#This Row],[prop_id]]))</f>
        <v>1755702</v>
      </c>
      <c r="I145" s="7" t="s">
        <v>999</v>
      </c>
      <c r="J145" s="83" t="s">
        <v>569</v>
      </c>
      <c r="K145" s="83" t="s">
        <v>571</v>
      </c>
      <c r="L145" s="83"/>
      <c r="M145" s="83"/>
      <c r="N145" s="84"/>
      <c r="O145" s="84"/>
      <c r="P145" s="84"/>
      <c r="Q145" s="85"/>
      <c r="R145" s="83">
        <v>0</v>
      </c>
      <c r="S145" s="83"/>
      <c r="T145" s="11" t="str">
        <f ca="1">IF(ISBLANK(BudgetsTable[[#This Row],[budg_seq_yr]]),"FY"&amp;fiscalyear,"FY"&amp;fiscalyear-1+BudgetsTable[[#This Row],[budg_seq_yr]])</f>
        <v>FY18</v>
      </c>
      <c r="U145" s="84">
        <v>172682</v>
      </c>
      <c r="V145" s="83" t="s">
        <v>231</v>
      </c>
      <c r="W145" s="83" t="s">
        <v>562</v>
      </c>
      <c r="X145" s="83" t="s">
        <v>566</v>
      </c>
      <c r="Y145" s="81" t="s">
        <v>418</v>
      </c>
      <c r="Z145" s="81" t="s">
        <v>573</v>
      </c>
    </row>
    <row r="146" spans="1:26" x14ac:dyDescent="0.4">
      <c r="A146" s="10" t="s">
        <v>390</v>
      </c>
      <c r="B146" s="81" t="s">
        <v>96</v>
      </c>
      <c r="C146" s="82">
        <v>42956.472222222219</v>
      </c>
      <c r="D146" s="83" t="s">
        <v>561</v>
      </c>
      <c r="E146" s="83" t="s">
        <v>231</v>
      </c>
      <c r="F146" s="83" t="s">
        <v>562</v>
      </c>
      <c r="G146" s="83" t="s">
        <v>390</v>
      </c>
      <c r="H146" s="7" t="str">
        <f>IF(BudgetsTable[[#This Row],[pi_last_name]]=" ","",HYPERLINK("https://www.ejacket.nsf.gov/ej/showProposal.do?Continue=Y&amp;ID="&amp;BudgetsTable[[#This Row],[prop_id]],BudgetsTable[[#This Row],[prop_id]]))</f>
        <v/>
      </c>
      <c r="I146" s="7" t="s">
        <v>1000</v>
      </c>
      <c r="J146" s="83" t="s">
        <v>13</v>
      </c>
      <c r="K146" s="83" t="s">
        <v>13</v>
      </c>
      <c r="L146" s="83">
        <v>0</v>
      </c>
      <c r="M146" s="83">
        <v>0</v>
      </c>
      <c r="N146" s="84">
        <v>0</v>
      </c>
      <c r="O146" s="84">
        <v>0</v>
      </c>
      <c r="P146" s="84">
        <v>0</v>
      </c>
      <c r="Q146" s="85">
        <v>86673</v>
      </c>
      <c r="R146" s="83">
        <v>0</v>
      </c>
      <c r="S146" s="83">
        <v>1</v>
      </c>
      <c r="T146" s="11" t="str">
        <f ca="1">IF(ISBLANK(BudgetsTable[[#This Row],[budg_seq_yr]]),"FY"&amp;fiscalyear,"FY"&amp;fiscalyear-1+BudgetsTable[[#This Row],[budg_seq_yr]])</f>
        <v>FY18</v>
      </c>
      <c r="U146" s="84">
        <v>86673</v>
      </c>
      <c r="V146" s="83" t="s">
        <v>231</v>
      </c>
      <c r="W146" s="83" t="s">
        <v>562</v>
      </c>
      <c r="X146" s="83" t="s">
        <v>566</v>
      </c>
      <c r="Y146" s="81" t="s">
        <v>418</v>
      </c>
      <c r="Z146" s="81" t="s">
        <v>13</v>
      </c>
    </row>
    <row r="147" spans="1:26" x14ac:dyDescent="0.4">
      <c r="A147" s="10" t="s">
        <v>390</v>
      </c>
      <c r="B147" s="81" t="s">
        <v>96</v>
      </c>
      <c r="C147" s="82">
        <v>42956.472222222219</v>
      </c>
      <c r="D147" s="83" t="s">
        <v>561</v>
      </c>
      <c r="E147" s="83" t="s">
        <v>231</v>
      </c>
      <c r="F147" s="83" t="s">
        <v>562</v>
      </c>
      <c r="G147" s="83" t="s">
        <v>390</v>
      </c>
      <c r="H147" s="7" t="str">
        <f>IF(BudgetsTable[[#This Row],[pi_last_name]]=" ","",HYPERLINK("https://www.ejacket.nsf.gov/ej/showProposal.do?Continue=Y&amp;ID="&amp;BudgetsTable[[#This Row],[prop_id]],BudgetsTable[[#This Row],[prop_id]]))</f>
        <v/>
      </c>
      <c r="I147" s="7" t="s">
        <v>1000</v>
      </c>
      <c r="J147" s="83" t="s">
        <v>13</v>
      </c>
      <c r="K147" s="83" t="s">
        <v>13</v>
      </c>
      <c r="L147" s="83">
        <v>0</v>
      </c>
      <c r="M147" s="83">
        <v>0</v>
      </c>
      <c r="N147" s="84">
        <v>0</v>
      </c>
      <c r="O147" s="84">
        <v>0</v>
      </c>
      <c r="P147" s="84">
        <v>0</v>
      </c>
      <c r="Q147" s="85">
        <v>86009</v>
      </c>
      <c r="R147" s="83">
        <v>0</v>
      </c>
      <c r="S147" s="83">
        <v>2</v>
      </c>
      <c r="T147" s="11" t="str">
        <f ca="1">IF(ISBLANK(BudgetsTable[[#This Row],[budg_seq_yr]]),"FY"&amp;fiscalyear,"FY"&amp;fiscalyear-1+BudgetsTable[[#This Row],[budg_seq_yr]])</f>
        <v>FY19</v>
      </c>
      <c r="U147" s="84">
        <v>86009</v>
      </c>
      <c r="V147" s="83" t="s">
        <v>231</v>
      </c>
      <c r="W147" s="83" t="s">
        <v>562</v>
      </c>
      <c r="X147" s="83" t="s">
        <v>566</v>
      </c>
      <c r="Y147" s="81" t="s">
        <v>418</v>
      </c>
      <c r="Z147" s="81" t="s">
        <v>13</v>
      </c>
    </row>
    <row r="148" spans="1:26" x14ac:dyDescent="0.4">
      <c r="A148" s="10" t="s">
        <v>391</v>
      </c>
      <c r="B148" s="81" t="s">
        <v>96</v>
      </c>
      <c r="C148" s="82">
        <v>42956.581944444442</v>
      </c>
      <c r="D148" s="83" t="s">
        <v>561</v>
      </c>
      <c r="E148" s="83" t="s">
        <v>231</v>
      </c>
      <c r="F148" s="83" t="s">
        <v>562</v>
      </c>
      <c r="G148" s="83" t="s">
        <v>391</v>
      </c>
      <c r="H148" s="7" t="str">
        <f>IF(BudgetsTable[[#This Row],[pi_last_name]]=" ","",HYPERLINK("https://www.ejacket.nsf.gov/ej/showProposal.do?Continue=Y&amp;ID="&amp;BudgetsTable[[#This Row],[prop_id]],BudgetsTable[[#This Row],[prop_id]]))</f>
        <v>1755791</v>
      </c>
      <c r="I148" s="7" t="s">
        <v>999</v>
      </c>
      <c r="J148" s="83" t="s">
        <v>576</v>
      </c>
      <c r="K148" s="83" t="s">
        <v>578</v>
      </c>
      <c r="L148" s="83"/>
      <c r="M148" s="83"/>
      <c r="N148" s="84"/>
      <c r="O148" s="84"/>
      <c r="P148" s="84"/>
      <c r="Q148" s="85"/>
      <c r="R148" s="83">
        <v>0</v>
      </c>
      <c r="S148" s="83"/>
      <c r="T148" s="11" t="str">
        <f ca="1">IF(ISBLANK(BudgetsTable[[#This Row],[budg_seq_yr]]),"FY"&amp;fiscalyear,"FY"&amp;fiscalyear-1+BudgetsTable[[#This Row],[budg_seq_yr]])</f>
        <v>FY18</v>
      </c>
      <c r="U148" s="84">
        <v>175000</v>
      </c>
      <c r="V148" s="83" t="s">
        <v>231</v>
      </c>
      <c r="W148" s="83" t="s">
        <v>562</v>
      </c>
      <c r="X148" s="83" t="s">
        <v>566</v>
      </c>
      <c r="Y148" s="81" t="s">
        <v>434</v>
      </c>
      <c r="Z148" s="81" t="s">
        <v>579</v>
      </c>
    </row>
    <row r="149" spans="1:26" x14ac:dyDescent="0.4">
      <c r="A149" s="10" t="s">
        <v>391</v>
      </c>
      <c r="B149" s="81" t="s">
        <v>96</v>
      </c>
      <c r="C149" s="82">
        <v>42956.581944444442</v>
      </c>
      <c r="D149" s="83" t="s">
        <v>561</v>
      </c>
      <c r="E149" s="83" t="s">
        <v>231</v>
      </c>
      <c r="F149" s="83" t="s">
        <v>562</v>
      </c>
      <c r="G149" s="83" t="s">
        <v>391</v>
      </c>
      <c r="H149" s="7" t="str">
        <f>IF(BudgetsTable[[#This Row],[pi_last_name]]=" ","",HYPERLINK("https://www.ejacket.nsf.gov/ej/showProposal.do?Continue=Y&amp;ID="&amp;BudgetsTable[[#This Row],[prop_id]],BudgetsTable[[#This Row],[prop_id]]))</f>
        <v/>
      </c>
      <c r="I149" s="7" t="s">
        <v>1000</v>
      </c>
      <c r="J149" s="83" t="s">
        <v>13</v>
      </c>
      <c r="K149" s="83" t="s">
        <v>13</v>
      </c>
      <c r="L149" s="83">
        <v>0</v>
      </c>
      <c r="M149" s="83">
        <v>0</v>
      </c>
      <c r="N149" s="84">
        <v>0</v>
      </c>
      <c r="O149" s="84">
        <v>6000</v>
      </c>
      <c r="P149" s="84">
        <v>0</v>
      </c>
      <c r="Q149" s="85">
        <v>73951</v>
      </c>
      <c r="R149" s="83">
        <v>0</v>
      </c>
      <c r="S149" s="83">
        <v>1</v>
      </c>
      <c r="T149" s="11" t="str">
        <f ca="1">IF(ISBLANK(BudgetsTable[[#This Row],[budg_seq_yr]]),"FY"&amp;fiscalyear,"FY"&amp;fiscalyear-1+BudgetsTable[[#This Row],[budg_seq_yr]])</f>
        <v>FY18</v>
      </c>
      <c r="U149" s="84">
        <v>73951</v>
      </c>
      <c r="V149" s="83" t="s">
        <v>231</v>
      </c>
      <c r="W149" s="83" t="s">
        <v>562</v>
      </c>
      <c r="X149" s="83" t="s">
        <v>566</v>
      </c>
      <c r="Y149" s="81" t="s">
        <v>434</v>
      </c>
      <c r="Z149" s="81" t="s">
        <v>13</v>
      </c>
    </row>
    <row r="150" spans="1:26" x14ac:dyDescent="0.4">
      <c r="A150" s="10" t="s">
        <v>391</v>
      </c>
      <c r="B150" s="81" t="s">
        <v>96</v>
      </c>
      <c r="C150" s="82">
        <v>42956.581944444442</v>
      </c>
      <c r="D150" s="83" t="s">
        <v>561</v>
      </c>
      <c r="E150" s="83" t="s">
        <v>231</v>
      </c>
      <c r="F150" s="83" t="s">
        <v>562</v>
      </c>
      <c r="G150" s="83" t="s">
        <v>391</v>
      </c>
      <c r="H150" s="7" t="str">
        <f>IF(BudgetsTable[[#This Row],[pi_last_name]]=" ","",HYPERLINK("https://www.ejacket.nsf.gov/ej/showProposal.do?Continue=Y&amp;ID="&amp;BudgetsTable[[#This Row],[prop_id]],BudgetsTable[[#This Row],[prop_id]]))</f>
        <v/>
      </c>
      <c r="I150" s="7" t="s">
        <v>1000</v>
      </c>
      <c r="J150" s="83" t="s">
        <v>13</v>
      </c>
      <c r="K150" s="83" t="s">
        <v>13</v>
      </c>
      <c r="L150" s="83">
        <v>0</v>
      </c>
      <c r="M150" s="83">
        <v>0</v>
      </c>
      <c r="N150" s="84">
        <v>0</v>
      </c>
      <c r="O150" s="84">
        <v>4000</v>
      </c>
      <c r="P150" s="84">
        <v>0</v>
      </c>
      <c r="Q150" s="85">
        <v>101049</v>
      </c>
      <c r="R150" s="83">
        <v>0</v>
      </c>
      <c r="S150" s="83">
        <v>2</v>
      </c>
      <c r="T150" s="11" t="str">
        <f ca="1">IF(ISBLANK(BudgetsTable[[#This Row],[budg_seq_yr]]),"FY"&amp;fiscalyear,"FY"&amp;fiscalyear-1+BudgetsTable[[#This Row],[budg_seq_yr]])</f>
        <v>FY19</v>
      </c>
      <c r="U150" s="84">
        <v>101049</v>
      </c>
      <c r="V150" s="83" t="s">
        <v>231</v>
      </c>
      <c r="W150" s="83" t="s">
        <v>562</v>
      </c>
      <c r="X150" s="83" t="s">
        <v>566</v>
      </c>
      <c r="Y150" s="81" t="s">
        <v>434</v>
      </c>
      <c r="Z150" s="81" t="s">
        <v>13</v>
      </c>
    </row>
    <row r="151" spans="1:26" x14ac:dyDescent="0.4">
      <c r="A151" s="10" t="s">
        <v>392</v>
      </c>
      <c r="B151" s="81" t="s">
        <v>96</v>
      </c>
      <c r="C151" s="82">
        <v>42956.621527777781</v>
      </c>
      <c r="D151" s="83" t="s">
        <v>561</v>
      </c>
      <c r="E151" s="83" t="s">
        <v>231</v>
      </c>
      <c r="F151" s="83" t="s">
        <v>562</v>
      </c>
      <c r="G151" s="83" t="s">
        <v>392</v>
      </c>
      <c r="H151" s="7" t="str">
        <f>IF(BudgetsTable[[#This Row],[pi_last_name]]=" ","",HYPERLINK("https://www.ejacket.nsf.gov/ej/showProposal.do?Continue=Y&amp;ID="&amp;BudgetsTable[[#This Row],[prop_id]],BudgetsTable[[#This Row],[prop_id]]))</f>
        <v>1755847</v>
      </c>
      <c r="I151" s="7" t="s">
        <v>999</v>
      </c>
      <c r="J151" s="83" t="s">
        <v>582</v>
      </c>
      <c r="K151" s="83" t="s">
        <v>466</v>
      </c>
      <c r="L151" s="83"/>
      <c r="M151" s="83"/>
      <c r="N151" s="84"/>
      <c r="O151" s="84"/>
      <c r="P151" s="84"/>
      <c r="Q151" s="85"/>
      <c r="R151" s="83">
        <v>0</v>
      </c>
      <c r="S151" s="83"/>
      <c r="T151" s="11" t="str">
        <f ca="1">IF(ISBLANK(BudgetsTable[[#This Row],[budg_seq_yr]]),"FY"&amp;fiscalyear,"FY"&amp;fiscalyear-1+BudgetsTable[[#This Row],[budg_seq_yr]])</f>
        <v>FY18</v>
      </c>
      <c r="U151" s="84">
        <v>175000</v>
      </c>
      <c r="V151" s="83" t="s">
        <v>231</v>
      </c>
      <c r="W151" s="83" t="s">
        <v>562</v>
      </c>
      <c r="X151" s="83" t="s">
        <v>585</v>
      </c>
      <c r="Y151" s="81" t="s">
        <v>463</v>
      </c>
      <c r="Z151" s="81" t="s">
        <v>584</v>
      </c>
    </row>
    <row r="152" spans="1:26" x14ac:dyDescent="0.4">
      <c r="A152" s="10" t="s">
        <v>392</v>
      </c>
      <c r="B152" s="81" t="s">
        <v>96</v>
      </c>
      <c r="C152" s="82">
        <v>42956.621527777781</v>
      </c>
      <c r="D152" s="83" t="s">
        <v>561</v>
      </c>
      <c r="E152" s="83" t="s">
        <v>231</v>
      </c>
      <c r="F152" s="83" t="s">
        <v>562</v>
      </c>
      <c r="G152" s="83" t="s">
        <v>392</v>
      </c>
      <c r="H152" s="7" t="str">
        <f>IF(BudgetsTable[[#This Row],[pi_last_name]]=" ","",HYPERLINK("https://www.ejacket.nsf.gov/ej/showProposal.do?Continue=Y&amp;ID="&amp;BudgetsTable[[#This Row],[prop_id]],BudgetsTable[[#This Row],[prop_id]]))</f>
        <v/>
      </c>
      <c r="I152" s="7" t="s">
        <v>1000</v>
      </c>
      <c r="J152" s="83" t="s">
        <v>13</v>
      </c>
      <c r="K152" s="83" t="s">
        <v>13</v>
      </c>
      <c r="L152" s="83">
        <v>0</v>
      </c>
      <c r="M152" s="83">
        <v>0</v>
      </c>
      <c r="N152" s="84">
        <v>0</v>
      </c>
      <c r="O152" s="84">
        <v>2000</v>
      </c>
      <c r="P152" s="84">
        <v>0</v>
      </c>
      <c r="Q152" s="85">
        <v>86350</v>
      </c>
      <c r="R152" s="83">
        <v>0</v>
      </c>
      <c r="S152" s="83">
        <v>1</v>
      </c>
      <c r="T152" s="11" t="str">
        <f ca="1">IF(ISBLANK(BudgetsTable[[#This Row],[budg_seq_yr]]),"FY"&amp;fiscalyear,"FY"&amp;fiscalyear-1+BudgetsTable[[#This Row],[budg_seq_yr]])</f>
        <v>FY18</v>
      </c>
      <c r="U152" s="84">
        <v>86350</v>
      </c>
      <c r="V152" s="83" t="s">
        <v>231</v>
      </c>
      <c r="W152" s="83" t="s">
        <v>562</v>
      </c>
      <c r="X152" s="83" t="s">
        <v>585</v>
      </c>
      <c r="Y152" s="81" t="s">
        <v>463</v>
      </c>
      <c r="Z152" s="81" t="s">
        <v>13</v>
      </c>
    </row>
    <row r="153" spans="1:26" x14ac:dyDescent="0.4">
      <c r="A153" s="10" t="s">
        <v>392</v>
      </c>
      <c r="B153" s="81" t="s">
        <v>96</v>
      </c>
      <c r="C153" s="82">
        <v>42956.621527777781</v>
      </c>
      <c r="D153" s="83" t="s">
        <v>561</v>
      </c>
      <c r="E153" s="83" t="s">
        <v>231</v>
      </c>
      <c r="F153" s="83" t="s">
        <v>562</v>
      </c>
      <c r="G153" s="83" t="s">
        <v>392</v>
      </c>
      <c r="H153" s="7" t="str">
        <f>IF(BudgetsTable[[#This Row],[pi_last_name]]=" ","",HYPERLINK("https://www.ejacket.nsf.gov/ej/showProposal.do?Continue=Y&amp;ID="&amp;BudgetsTable[[#This Row],[prop_id]],BudgetsTable[[#This Row],[prop_id]]))</f>
        <v/>
      </c>
      <c r="I153" s="7" t="s">
        <v>1000</v>
      </c>
      <c r="J153" s="83" t="s">
        <v>13</v>
      </c>
      <c r="K153" s="83" t="s">
        <v>13</v>
      </c>
      <c r="L153" s="83">
        <v>0</v>
      </c>
      <c r="M153" s="83">
        <v>0</v>
      </c>
      <c r="N153" s="84">
        <v>0</v>
      </c>
      <c r="O153" s="84">
        <v>2000</v>
      </c>
      <c r="P153" s="84">
        <v>0</v>
      </c>
      <c r="Q153" s="85">
        <v>88650</v>
      </c>
      <c r="R153" s="83">
        <v>0</v>
      </c>
      <c r="S153" s="83">
        <v>2</v>
      </c>
      <c r="T153" s="11" t="str">
        <f ca="1">IF(ISBLANK(BudgetsTable[[#This Row],[budg_seq_yr]]),"FY"&amp;fiscalyear,"FY"&amp;fiscalyear-1+BudgetsTable[[#This Row],[budg_seq_yr]])</f>
        <v>FY19</v>
      </c>
      <c r="U153" s="84">
        <v>88650</v>
      </c>
      <c r="V153" s="83" t="s">
        <v>231</v>
      </c>
      <c r="W153" s="83" t="s">
        <v>562</v>
      </c>
      <c r="X153" s="83" t="s">
        <v>585</v>
      </c>
      <c r="Y153" s="81" t="s">
        <v>463</v>
      </c>
      <c r="Z153" s="81" t="s">
        <v>13</v>
      </c>
    </row>
    <row r="154" spans="1:26" x14ac:dyDescent="0.4">
      <c r="A154" s="10" t="s">
        <v>393</v>
      </c>
      <c r="B154" s="81" t="s">
        <v>96</v>
      </c>
      <c r="C154" s="82">
        <v>42956.647916666669</v>
      </c>
      <c r="D154" s="83" t="s">
        <v>561</v>
      </c>
      <c r="E154" s="83" t="s">
        <v>231</v>
      </c>
      <c r="F154" s="83" t="s">
        <v>562</v>
      </c>
      <c r="G154" s="83" t="s">
        <v>393</v>
      </c>
      <c r="H154" s="7" t="str">
        <f>IF(BudgetsTable[[#This Row],[pi_last_name]]=" ","",HYPERLINK("https://www.ejacket.nsf.gov/ej/showProposal.do?Continue=Y&amp;ID="&amp;BudgetsTable[[#This Row],[prop_id]],BudgetsTable[[#This Row],[prop_id]]))</f>
        <v>1755881</v>
      </c>
      <c r="I154" s="7" t="s">
        <v>999</v>
      </c>
      <c r="J154" s="83" t="s">
        <v>588</v>
      </c>
      <c r="K154" s="83" t="s">
        <v>590</v>
      </c>
      <c r="L154" s="83"/>
      <c r="M154" s="83"/>
      <c r="N154" s="84"/>
      <c r="O154" s="84"/>
      <c r="P154" s="84"/>
      <c r="Q154" s="85"/>
      <c r="R154" s="83">
        <v>0</v>
      </c>
      <c r="S154" s="83"/>
      <c r="T154" s="11" t="str">
        <f ca="1">IF(ISBLANK(BudgetsTable[[#This Row],[budg_seq_yr]]),"FY"&amp;fiscalyear,"FY"&amp;fiscalyear-1+BudgetsTable[[#This Row],[budg_seq_yr]])</f>
        <v>FY18</v>
      </c>
      <c r="U154" s="84">
        <v>170144</v>
      </c>
      <c r="V154" s="83" t="s">
        <v>231</v>
      </c>
      <c r="W154" s="83" t="s">
        <v>562</v>
      </c>
      <c r="X154" s="83" t="s">
        <v>592</v>
      </c>
      <c r="Y154" s="81" t="s">
        <v>418</v>
      </c>
      <c r="Z154" s="81" t="s">
        <v>591</v>
      </c>
    </row>
    <row r="155" spans="1:26" x14ac:dyDescent="0.4">
      <c r="A155" s="10" t="s">
        <v>393</v>
      </c>
      <c r="B155" s="81" t="s">
        <v>96</v>
      </c>
      <c r="C155" s="82">
        <v>42956.647916666669</v>
      </c>
      <c r="D155" s="83" t="s">
        <v>561</v>
      </c>
      <c r="E155" s="83" t="s">
        <v>231</v>
      </c>
      <c r="F155" s="83" t="s">
        <v>562</v>
      </c>
      <c r="G155" s="83" t="s">
        <v>393</v>
      </c>
      <c r="H155" s="7" t="str">
        <f>IF(BudgetsTable[[#This Row],[pi_last_name]]=" ","",HYPERLINK("https://www.ejacket.nsf.gov/ej/showProposal.do?Continue=Y&amp;ID="&amp;BudgetsTable[[#This Row],[prop_id]],BudgetsTable[[#This Row],[prop_id]]))</f>
        <v/>
      </c>
      <c r="I155" s="7" t="s">
        <v>1000</v>
      </c>
      <c r="J155" s="83" t="s">
        <v>13</v>
      </c>
      <c r="K155" s="83" t="s">
        <v>13</v>
      </c>
      <c r="L155" s="83">
        <v>0</v>
      </c>
      <c r="M155" s="83">
        <v>0</v>
      </c>
      <c r="N155" s="84">
        <v>0</v>
      </c>
      <c r="O155" s="84">
        <v>0</v>
      </c>
      <c r="P155" s="84">
        <v>0</v>
      </c>
      <c r="Q155" s="85">
        <v>83724</v>
      </c>
      <c r="R155" s="83">
        <v>0</v>
      </c>
      <c r="S155" s="83">
        <v>1</v>
      </c>
      <c r="T155" s="11" t="str">
        <f ca="1">IF(ISBLANK(BudgetsTable[[#This Row],[budg_seq_yr]]),"FY"&amp;fiscalyear,"FY"&amp;fiscalyear-1+BudgetsTable[[#This Row],[budg_seq_yr]])</f>
        <v>FY18</v>
      </c>
      <c r="U155" s="84">
        <v>83724</v>
      </c>
      <c r="V155" s="83" t="s">
        <v>231</v>
      </c>
      <c r="W155" s="83" t="s">
        <v>562</v>
      </c>
      <c r="X155" s="83" t="s">
        <v>592</v>
      </c>
      <c r="Y155" s="81" t="s">
        <v>418</v>
      </c>
      <c r="Z155" s="81" t="s">
        <v>13</v>
      </c>
    </row>
    <row r="156" spans="1:26" x14ac:dyDescent="0.4">
      <c r="A156" s="10" t="s">
        <v>393</v>
      </c>
      <c r="B156" s="81" t="s">
        <v>96</v>
      </c>
      <c r="C156" s="82">
        <v>42956.647916666669</v>
      </c>
      <c r="D156" s="83" t="s">
        <v>561</v>
      </c>
      <c r="E156" s="83" t="s">
        <v>231</v>
      </c>
      <c r="F156" s="83" t="s">
        <v>562</v>
      </c>
      <c r="G156" s="83" t="s">
        <v>393</v>
      </c>
      <c r="H156" s="7" t="str">
        <f>IF(BudgetsTable[[#This Row],[pi_last_name]]=" ","",HYPERLINK("https://www.ejacket.nsf.gov/ej/showProposal.do?Continue=Y&amp;ID="&amp;BudgetsTable[[#This Row],[prop_id]],BudgetsTable[[#This Row],[prop_id]]))</f>
        <v/>
      </c>
      <c r="I156" s="7" t="s">
        <v>1000</v>
      </c>
      <c r="J156" s="83" t="s">
        <v>13</v>
      </c>
      <c r="K156" s="83" t="s">
        <v>13</v>
      </c>
      <c r="L156" s="83">
        <v>0</v>
      </c>
      <c r="M156" s="83">
        <v>0</v>
      </c>
      <c r="N156" s="84">
        <v>0</v>
      </c>
      <c r="O156" s="84">
        <v>0</v>
      </c>
      <c r="P156" s="84">
        <v>0</v>
      </c>
      <c r="Q156" s="85">
        <v>86420</v>
      </c>
      <c r="R156" s="83">
        <v>0</v>
      </c>
      <c r="S156" s="83">
        <v>2</v>
      </c>
      <c r="T156" s="11" t="str">
        <f ca="1">IF(ISBLANK(BudgetsTable[[#This Row],[budg_seq_yr]]),"FY"&amp;fiscalyear,"FY"&amp;fiscalyear-1+BudgetsTable[[#This Row],[budg_seq_yr]])</f>
        <v>FY19</v>
      </c>
      <c r="U156" s="84">
        <v>86420</v>
      </c>
      <c r="V156" s="83" t="s">
        <v>231</v>
      </c>
      <c r="W156" s="83" t="s">
        <v>562</v>
      </c>
      <c r="X156" s="83" t="s">
        <v>592</v>
      </c>
      <c r="Y156" s="81" t="s">
        <v>418</v>
      </c>
      <c r="Z156" s="81" t="s">
        <v>13</v>
      </c>
    </row>
    <row r="157" spans="1:26" x14ac:dyDescent="0.4">
      <c r="A157" s="10" t="s">
        <v>394</v>
      </c>
      <c r="B157" s="81" t="s">
        <v>96</v>
      </c>
      <c r="C157" s="82">
        <v>42956.697222222225</v>
      </c>
      <c r="D157" s="83" t="s">
        <v>561</v>
      </c>
      <c r="E157" s="83" t="s">
        <v>231</v>
      </c>
      <c r="F157" s="83" t="s">
        <v>562</v>
      </c>
      <c r="G157" s="83" t="s">
        <v>394</v>
      </c>
      <c r="H157" s="7" t="str">
        <f>IF(BudgetsTable[[#This Row],[pi_last_name]]=" ","",HYPERLINK("https://www.ejacket.nsf.gov/ej/showProposal.do?Continue=Y&amp;ID="&amp;BudgetsTable[[#This Row],[prop_id]],BudgetsTable[[#This Row],[prop_id]]))</f>
        <v>1755954</v>
      </c>
      <c r="I157" s="7" t="s">
        <v>999</v>
      </c>
      <c r="J157" s="83" t="s">
        <v>595</v>
      </c>
      <c r="K157" s="83" t="s">
        <v>597</v>
      </c>
      <c r="L157" s="83"/>
      <c r="M157" s="83"/>
      <c r="N157" s="84"/>
      <c r="O157" s="84"/>
      <c r="P157" s="84"/>
      <c r="Q157" s="85"/>
      <c r="R157" s="83">
        <v>0</v>
      </c>
      <c r="S157" s="83"/>
      <c r="T157" s="11" t="str">
        <f ca="1">IF(ISBLANK(BudgetsTable[[#This Row],[budg_seq_yr]]),"FY"&amp;fiscalyear,"FY"&amp;fiscalyear-1+BudgetsTable[[#This Row],[budg_seq_yr]])</f>
        <v>FY18</v>
      </c>
      <c r="U157" s="84">
        <v>175000</v>
      </c>
      <c r="V157" s="83" t="s">
        <v>231</v>
      </c>
      <c r="W157" s="83" t="s">
        <v>562</v>
      </c>
      <c r="X157" s="83" t="s">
        <v>585</v>
      </c>
      <c r="Y157" s="81" t="s">
        <v>418</v>
      </c>
      <c r="Z157" s="81" t="s">
        <v>598</v>
      </c>
    </row>
    <row r="158" spans="1:26" x14ac:dyDescent="0.4">
      <c r="A158" s="10" t="s">
        <v>394</v>
      </c>
      <c r="B158" s="81" t="s">
        <v>96</v>
      </c>
      <c r="C158" s="82">
        <v>42956.697222222225</v>
      </c>
      <c r="D158" s="83" t="s">
        <v>561</v>
      </c>
      <c r="E158" s="83" t="s">
        <v>231</v>
      </c>
      <c r="F158" s="83" t="s">
        <v>562</v>
      </c>
      <c r="G158" s="83" t="s">
        <v>394</v>
      </c>
      <c r="H158" s="7" t="str">
        <f>IF(BudgetsTable[[#This Row],[pi_last_name]]=" ","",HYPERLINK("https://www.ejacket.nsf.gov/ej/showProposal.do?Continue=Y&amp;ID="&amp;BudgetsTable[[#This Row],[prop_id]],BudgetsTable[[#This Row],[prop_id]]))</f>
        <v/>
      </c>
      <c r="I158" s="7" t="s">
        <v>1000</v>
      </c>
      <c r="J158" s="83" t="s">
        <v>13</v>
      </c>
      <c r="K158" s="83" t="s">
        <v>13</v>
      </c>
      <c r="L158" s="83">
        <v>0</v>
      </c>
      <c r="M158" s="83">
        <v>0</v>
      </c>
      <c r="N158" s="84">
        <v>0</v>
      </c>
      <c r="O158" s="84">
        <v>0</v>
      </c>
      <c r="P158" s="84">
        <v>0</v>
      </c>
      <c r="Q158" s="85">
        <v>86245</v>
      </c>
      <c r="R158" s="83">
        <v>0</v>
      </c>
      <c r="S158" s="83">
        <v>1</v>
      </c>
      <c r="T158" s="11" t="str">
        <f ca="1">IF(ISBLANK(BudgetsTable[[#This Row],[budg_seq_yr]]),"FY"&amp;fiscalyear,"FY"&amp;fiscalyear-1+BudgetsTable[[#This Row],[budg_seq_yr]])</f>
        <v>FY18</v>
      </c>
      <c r="U158" s="84">
        <v>86245</v>
      </c>
      <c r="V158" s="83" t="s">
        <v>231</v>
      </c>
      <c r="W158" s="83" t="s">
        <v>562</v>
      </c>
      <c r="X158" s="83" t="s">
        <v>585</v>
      </c>
      <c r="Y158" s="81" t="s">
        <v>418</v>
      </c>
      <c r="Z158" s="81" t="s">
        <v>13</v>
      </c>
    </row>
    <row r="159" spans="1:26" x14ac:dyDescent="0.4">
      <c r="A159" s="10" t="s">
        <v>394</v>
      </c>
      <c r="B159" s="81" t="s">
        <v>96</v>
      </c>
      <c r="C159" s="82">
        <v>42956.697222222225</v>
      </c>
      <c r="D159" s="83" t="s">
        <v>561</v>
      </c>
      <c r="E159" s="83" t="s">
        <v>231</v>
      </c>
      <c r="F159" s="83" t="s">
        <v>562</v>
      </c>
      <c r="G159" s="83" t="s">
        <v>394</v>
      </c>
      <c r="H159" s="7" t="str">
        <f>IF(BudgetsTable[[#This Row],[pi_last_name]]=" ","",HYPERLINK("https://www.ejacket.nsf.gov/ej/showProposal.do?Continue=Y&amp;ID="&amp;BudgetsTable[[#This Row],[prop_id]],BudgetsTable[[#This Row],[prop_id]]))</f>
        <v/>
      </c>
      <c r="I159" s="7" t="s">
        <v>1000</v>
      </c>
      <c r="J159" s="83" t="s">
        <v>13</v>
      </c>
      <c r="K159" s="83" t="s">
        <v>13</v>
      </c>
      <c r="L159" s="83">
        <v>0</v>
      </c>
      <c r="M159" s="83">
        <v>0</v>
      </c>
      <c r="N159" s="84">
        <v>0</v>
      </c>
      <c r="O159" s="84">
        <v>0</v>
      </c>
      <c r="P159" s="84">
        <v>0</v>
      </c>
      <c r="Q159" s="85">
        <v>88755</v>
      </c>
      <c r="R159" s="83">
        <v>0</v>
      </c>
      <c r="S159" s="83">
        <v>2</v>
      </c>
      <c r="T159" s="11" t="str">
        <f ca="1">IF(ISBLANK(BudgetsTable[[#This Row],[budg_seq_yr]]),"FY"&amp;fiscalyear,"FY"&amp;fiscalyear-1+BudgetsTable[[#This Row],[budg_seq_yr]])</f>
        <v>FY19</v>
      </c>
      <c r="U159" s="84">
        <v>88755</v>
      </c>
      <c r="V159" s="83" t="s">
        <v>231</v>
      </c>
      <c r="W159" s="83" t="s">
        <v>562</v>
      </c>
      <c r="X159" s="83" t="s">
        <v>585</v>
      </c>
      <c r="Y159" s="81" t="s">
        <v>418</v>
      </c>
      <c r="Z159" s="81" t="s">
        <v>13</v>
      </c>
    </row>
    <row r="160" spans="1:26" x14ac:dyDescent="0.4">
      <c r="A160" s="10" t="s">
        <v>395</v>
      </c>
      <c r="B160" s="81" t="s">
        <v>96</v>
      </c>
      <c r="C160" s="82">
        <v>42956.717361111114</v>
      </c>
      <c r="D160" s="83" t="s">
        <v>561</v>
      </c>
      <c r="E160" s="83" t="s">
        <v>231</v>
      </c>
      <c r="F160" s="83" t="s">
        <v>562</v>
      </c>
      <c r="G160" s="83" t="s">
        <v>395</v>
      </c>
      <c r="H160" s="7" t="str">
        <f>IF(BudgetsTable[[#This Row],[pi_last_name]]=" ","",HYPERLINK("https://www.ejacket.nsf.gov/ej/showProposal.do?Continue=Y&amp;ID="&amp;BudgetsTable[[#This Row],[prop_id]],BudgetsTable[[#This Row],[prop_id]]))</f>
        <v>1755978</v>
      </c>
      <c r="I160" s="7" t="s">
        <v>999</v>
      </c>
      <c r="J160" s="83" t="s">
        <v>601</v>
      </c>
      <c r="K160" s="83" t="s">
        <v>603</v>
      </c>
      <c r="L160" s="83"/>
      <c r="M160" s="83"/>
      <c r="N160" s="84"/>
      <c r="O160" s="84"/>
      <c r="P160" s="84"/>
      <c r="Q160" s="85"/>
      <c r="R160" s="83">
        <v>0</v>
      </c>
      <c r="S160" s="83"/>
      <c r="T160" s="11" t="str">
        <f ca="1">IF(ISBLANK(BudgetsTable[[#This Row],[budg_seq_yr]]),"FY"&amp;fiscalyear,"FY"&amp;fiscalyear-1+BudgetsTable[[#This Row],[budg_seq_yr]])</f>
        <v>FY18</v>
      </c>
      <c r="U160" s="84">
        <v>175000</v>
      </c>
      <c r="V160" s="83" t="s">
        <v>231</v>
      </c>
      <c r="W160" s="83" t="s">
        <v>562</v>
      </c>
      <c r="X160" s="83" t="s">
        <v>362</v>
      </c>
      <c r="Y160" s="81" t="s">
        <v>418</v>
      </c>
      <c r="Z160" s="81" t="s">
        <v>604</v>
      </c>
    </row>
    <row r="161" spans="1:26" x14ac:dyDescent="0.4">
      <c r="A161" s="10" t="s">
        <v>395</v>
      </c>
      <c r="B161" s="81" t="s">
        <v>96</v>
      </c>
      <c r="C161" s="82">
        <v>42956.717361111114</v>
      </c>
      <c r="D161" s="83" t="s">
        <v>561</v>
      </c>
      <c r="E161" s="83" t="s">
        <v>231</v>
      </c>
      <c r="F161" s="83" t="s">
        <v>562</v>
      </c>
      <c r="G161" s="83" t="s">
        <v>395</v>
      </c>
      <c r="H161" s="7" t="str">
        <f>IF(BudgetsTable[[#This Row],[pi_last_name]]=" ","",HYPERLINK("https://www.ejacket.nsf.gov/ej/showProposal.do?Continue=Y&amp;ID="&amp;BudgetsTable[[#This Row],[prop_id]],BudgetsTable[[#This Row],[prop_id]]))</f>
        <v/>
      </c>
      <c r="I161" s="7" t="s">
        <v>1000</v>
      </c>
      <c r="J161" s="83" t="s">
        <v>13</v>
      </c>
      <c r="K161" s="83" t="s">
        <v>13</v>
      </c>
      <c r="L161" s="83">
        <v>0</v>
      </c>
      <c r="M161" s="83">
        <v>0</v>
      </c>
      <c r="N161" s="84">
        <v>0</v>
      </c>
      <c r="O161" s="84">
        <v>0</v>
      </c>
      <c r="P161" s="84">
        <v>0</v>
      </c>
      <c r="Q161" s="85">
        <v>85200</v>
      </c>
      <c r="R161" s="83">
        <v>0</v>
      </c>
      <c r="S161" s="83">
        <v>1</v>
      </c>
      <c r="T161" s="11" t="str">
        <f ca="1">IF(ISBLANK(BudgetsTable[[#This Row],[budg_seq_yr]]),"FY"&amp;fiscalyear,"FY"&amp;fiscalyear-1+BudgetsTable[[#This Row],[budg_seq_yr]])</f>
        <v>FY18</v>
      </c>
      <c r="U161" s="84">
        <v>85200</v>
      </c>
      <c r="V161" s="83" t="s">
        <v>231</v>
      </c>
      <c r="W161" s="83" t="s">
        <v>562</v>
      </c>
      <c r="X161" s="83" t="s">
        <v>362</v>
      </c>
      <c r="Y161" s="81" t="s">
        <v>418</v>
      </c>
      <c r="Z161" s="81" t="s">
        <v>13</v>
      </c>
    </row>
    <row r="162" spans="1:26" x14ac:dyDescent="0.4">
      <c r="A162" s="10" t="s">
        <v>395</v>
      </c>
      <c r="B162" s="81" t="s">
        <v>96</v>
      </c>
      <c r="C162" s="82">
        <v>42956.717361111114</v>
      </c>
      <c r="D162" s="83" t="s">
        <v>561</v>
      </c>
      <c r="E162" s="83" t="s">
        <v>231</v>
      </c>
      <c r="F162" s="83" t="s">
        <v>562</v>
      </c>
      <c r="G162" s="83" t="s">
        <v>395</v>
      </c>
      <c r="H162" s="7" t="str">
        <f>IF(BudgetsTable[[#This Row],[pi_last_name]]=" ","",HYPERLINK("https://www.ejacket.nsf.gov/ej/showProposal.do?Continue=Y&amp;ID="&amp;BudgetsTable[[#This Row],[prop_id]],BudgetsTable[[#This Row],[prop_id]]))</f>
        <v/>
      </c>
      <c r="I162" s="7" t="s">
        <v>1000</v>
      </c>
      <c r="J162" s="83" t="s">
        <v>13</v>
      </c>
      <c r="K162" s="83" t="s">
        <v>13</v>
      </c>
      <c r="L162" s="83">
        <v>0</v>
      </c>
      <c r="M162" s="83">
        <v>0</v>
      </c>
      <c r="N162" s="84">
        <v>0</v>
      </c>
      <c r="O162" s="84">
        <v>0</v>
      </c>
      <c r="P162" s="84">
        <v>0</v>
      </c>
      <c r="Q162" s="85">
        <v>89800</v>
      </c>
      <c r="R162" s="83">
        <v>0</v>
      </c>
      <c r="S162" s="83">
        <v>2</v>
      </c>
      <c r="T162" s="11" t="str">
        <f ca="1">IF(ISBLANK(BudgetsTable[[#This Row],[budg_seq_yr]]),"FY"&amp;fiscalyear,"FY"&amp;fiscalyear-1+BudgetsTable[[#This Row],[budg_seq_yr]])</f>
        <v>FY19</v>
      </c>
      <c r="U162" s="84">
        <v>89800</v>
      </c>
      <c r="V162" s="83" t="s">
        <v>231</v>
      </c>
      <c r="W162" s="83" t="s">
        <v>562</v>
      </c>
      <c r="X162" s="83" t="s">
        <v>362</v>
      </c>
      <c r="Y162" s="81" t="s">
        <v>418</v>
      </c>
      <c r="Z162" s="81" t="s">
        <v>13</v>
      </c>
    </row>
    <row r="163" spans="1:26" x14ac:dyDescent="0.4">
      <c r="A163" s="10" t="s">
        <v>396</v>
      </c>
      <c r="B163" s="81" t="s">
        <v>96</v>
      </c>
      <c r="C163" s="82">
        <v>42956.746527777781</v>
      </c>
      <c r="D163" s="83" t="s">
        <v>561</v>
      </c>
      <c r="E163" s="83" t="s">
        <v>231</v>
      </c>
      <c r="F163" s="83" t="s">
        <v>562</v>
      </c>
      <c r="G163" s="83" t="s">
        <v>396</v>
      </c>
      <c r="H163" s="7" t="str">
        <f>IF(BudgetsTable[[#This Row],[pi_last_name]]=" ","",HYPERLINK("https://www.ejacket.nsf.gov/ej/showProposal.do?Continue=Y&amp;ID="&amp;BudgetsTable[[#This Row],[prop_id]],BudgetsTable[[#This Row],[prop_id]]))</f>
        <v>1756014</v>
      </c>
      <c r="I163" s="7" t="s">
        <v>999</v>
      </c>
      <c r="J163" s="83" t="s">
        <v>276</v>
      </c>
      <c r="K163" s="83" t="s">
        <v>608</v>
      </c>
      <c r="L163" s="83"/>
      <c r="M163" s="83"/>
      <c r="N163" s="84"/>
      <c r="O163" s="84"/>
      <c r="P163" s="84"/>
      <c r="Q163" s="85"/>
      <c r="R163" s="83">
        <v>0</v>
      </c>
      <c r="S163" s="83"/>
      <c r="T163" s="11" t="str">
        <f ca="1">IF(ISBLANK(BudgetsTable[[#This Row],[budg_seq_yr]]),"FY"&amp;fiscalyear,"FY"&amp;fiscalyear-1+BudgetsTable[[#This Row],[budg_seq_yr]])</f>
        <v>FY18</v>
      </c>
      <c r="U163" s="84">
        <v>148477</v>
      </c>
      <c r="V163" s="83" t="s">
        <v>231</v>
      </c>
      <c r="W163" s="83" t="s">
        <v>562</v>
      </c>
      <c r="X163" s="83" t="s">
        <v>566</v>
      </c>
      <c r="Y163" s="81" t="s">
        <v>434</v>
      </c>
      <c r="Z163" s="81" t="s">
        <v>609</v>
      </c>
    </row>
    <row r="164" spans="1:26" x14ac:dyDescent="0.4">
      <c r="A164" s="10" t="s">
        <v>396</v>
      </c>
      <c r="B164" s="81" t="s">
        <v>96</v>
      </c>
      <c r="C164" s="82">
        <v>42956.746527777781</v>
      </c>
      <c r="D164" s="83" t="s">
        <v>561</v>
      </c>
      <c r="E164" s="83" t="s">
        <v>231</v>
      </c>
      <c r="F164" s="83" t="s">
        <v>562</v>
      </c>
      <c r="G164" s="83" t="s">
        <v>396</v>
      </c>
      <c r="H164" s="7" t="str">
        <f>IF(BudgetsTable[[#This Row],[pi_last_name]]=" ","",HYPERLINK("https://www.ejacket.nsf.gov/ej/showProposal.do?Continue=Y&amp;ID="&amp;BudgetsTable[[#This Row],[prop_id]],BudgetsTable[[#This Row],[prop_id]]))</f>
        <v/>
      </c>
      <c r="I164" s="7" t="s">
        <v>1000</v>
      </c>
      <c r="J164" s="83" t="s">
        <v>13</v>
      </c>
      <c r="K164" s="83" t="s">
        <v>13</v>
      </c>
      <c r="L164" s="83">
        <v>0</v>
      </c>
      <c r="M164" s="83">
        <v>0</v>
      </c>
      <c r="N164" s="84">
        <v>0</v>
      </c>
      <c r="O164" s="84">
        <v>3500</v>
      </c>
      <c r="P164" s="84">
        <v>0</v>
      </c>
      <c r="Q164" s="85">
        <v>53317</v>
      </c>
      <c r="R164" s="83">
        <v>0</v>
      </c>
      <c r="S164" s="83">
        <v>1</v>
      </c>
      <c r="T164" s="11" t="str">
        <f ca="1">IF(ISBLANK(BudgetsTable[[#This Row],[budg_seq_yr]]),"FY"&amp;fiscalyear,"FY"&amp;fiscalyear-1+BudgetsTable[[#This Row],[budg_seq_yr]])</f>
        <v>FY18</v>
      </c>
      <c r="U164" s="84">
        <v>53317</v>
      </c>
      <c r="V164" s="83" t="s">
        <v>231</v>
      </c>
      <c r="W164" s="83" t="s">
        <v>562</v>
      </c>
      <c r="X164" s="83" t="s">
        <v>566</v>
      </c>
      <c r="Y164" s="81" t="s">
        <v>434</v>
      </c>
      <c r="Z164" s="81" t="s">
        <v>13</v>
      </c>
    </row>
    <row r="165" spans="1:26" x14ac:dyDescent="0.4">
      <c r="A165" s="10" t="s">
        <v>396</v>
      </c>
      <c r="B165" s="81" t="s">
        <v>96</v>
      </c>
      <c r="C165" s="82">
        <v>42956.746527777781</v>
      </c>
      <c r="D165" s="83" t="s">
        <v>561</v>
      </c>
      <c r="E165" s="83" t="s">
        <v>231</v>
      </c>
      <c r="F165" s="83" t="s">
        <v>562</v>
      </c>
      <c r="G165" s="83" t="s">
        <v>396</v>
      </c>
      <c r="H165" s="7" t="str">
        <f>IF(BudgetsTable[[#This Row],[pi_last_name]]=" ","",HYPERLINK("https://www.ejacket.nsf.gov/ej/showProposal.do?Continue=Y&amp;ID="&amp;BudgetsTable[[#This Row],[prop_id]],BudgetsTable[[#This Row],[prop_id]]))</f>
        <v/>
      </c>
      <c r="I165" s="7" t="s">
        <v>1000</v>
      </c>
      <c r="J165" s="83" t="s">
        <v>13</v>
      </c>
      <c r="K165" s="83" t="s">
        <v>13</v>
      </c>
      <c r="L165" s="83">
        <v>0</v>
      </c>
      <c r="M165" s="83">
        <v>0</v>
      </c>
      <c r="N165" s="84">
        <v>0</v>
      </c>
      <c r="O165" s="84">
        <v>3500</v>
      </c>
      <c r="P165" s="84">
        <v>0</v>
      </c>
      <c r="Q165" s="85">
        <v>95160</v>
      </c>
      <c r="R165" s="83">
        <v>0</v>
      </c>
      <c r="S165" s="83">
        <v>2</v>
      </c>
      <c r="T165" s="11" t="str">
        <f ca="1">IF(ISBLANK(BudgetsTable[[#This Row],[budg_seq_yr]]),"FY"&amp;fiscalyear,"FY"&amp;fiscalyear-1+BudgetsTable[[#This Row],[budg_seq_yr]])</f>
        <v>FY19</v>
      </c>
      <c r="U165" s="84">
        <v>95160</v>
      </c>
      <c r="V165" s="83" t="s">
        <v>231</v>
      </c>
      <c r="W165" s="83" t="s">
        <v>562</v>
      </c>
      <c r="X165" s="83" t="s">
        <v>566</v>
      </c>
      <c r="Y165" s="81" t="s">
        <v>434</v>
      </c>
      <c r="Z165" s="81" t="s">
        <v>13</v>
      </c>
    </row>
  </sheetData>
  <conditionalFormatting sqref="A4:G80 A82:G165">
    <cfRule type="expression" dxfId="27" priority="1128">
      <formula>MOD($G4,5)=1</formula>
    </cfRule>
    <cfRule type="expression" dxfId="26" priority="1129">
      <formula>$G4&lt;&gt;$H1047915</formula>
    </cfRule>
    <cfRule type="expression" dxfId="25" priority="1130">
      <formula>MOD($G4,5)=2</formula>
    </cfRule>
    <cfRule type="expression" dxfId="24" priority="1131">
      <formula>MOD($G4,5)=0</formula>
    </cfRule>
    <cfRule type="expression" dxfId="23" priority="1132">
      <formula>MOD($G4,5)=3</formula>
    </cfRule>
  </conditionalFormatting>
  <conditionalFormatting sqref="H4:Z165">
    <cfRule type="expression" dxfId="22" priority="1153">
      <formula>MOD($A4,5)=3</formula>
    </cfRule>
    <cfRule type="expression" dxfId="21" priority="1154">
      <formula>MOD($A4,5)=0</formula>
    </cfRule>
    <cfRule type="expression" dxfId="20" priority="1155">
      <formula>MOD($A4,5)=2</formula>
    </cfRule>
    <cfRule type="expression" dxfId="19" priority="1156">
      <formula>MOD($A4,5)=1</formula>
    </cfRule>
    <cfRule type="expression" dxfId="18" priority="1157">
      <formula>ISBLANK($S4)</formula>
    </cfRule>
  </conditionalFormatting>
  <conditionalFormatting sqref="A81:G81">
    <cfRule type="expression" dxfId="17" priority="1158">
      <formula>MOD($G81,5)=1</formula>
    </cfRule>
    <cfRule type="expression" dxfId="16" priority="1159">
      <formula>$G81&lt;&gt;$H1047908</formula>
    </cfRule>
    <cfRule type="expression" dxfId="15" priority="1160">
      <formula>MOD($G81,5)=2</formula>
    </cfRule>
    <cfRule type="expression" dxfId="14" priority="1161">
      <formula>MOD($G81,5)=0</formula>
    </cfRule>
    <cfRule type="expression" dxfId="13" priority="1162">
      <formula>MOD($G81,5)=3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sheetPr>
  <dimension ref="A1:BN32"/>
  <sheetViews>
    <sheetView workbookViewId="0">
      <selection activeCell="E1" sqref="E1"/>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6.53515625" style="33" customWidth="1"/>
    <col min="9" max="9" width="7.3828125" customWidth="1"/>
    <col min="10" max="10" width="9.3828125" customWidth="1"/>
    <col min="11" max="11" width="7.3828125" customWidth="1"/>
    <col min="12" max="12" width="3.53515625" customWidth="1"/>
    <col min="13" max="13" width="2.3828125" style="24" customWidth="1"/>
    <col min="14" max="14" width="8.84375" style="42" customWidth="1"/>
    <col min="15" max="15" width="4.53515625" style="42" customWidth="1"/>
    <col min="16" max="16" width="8.84375" customWidth="1"/>
    <col min="17" max="17" width="4.3828125" customWidth="1"/>
    <col min="18" max="18" width="3.69140625" customWidth="1"/>
    <col min="19" max="19" width="8.69140625" style="33" customWidth="1"/>
    <col min="20" max="20" width="3.69140625" customWidth="1"/>
    <col min="21" max="21" width="9.3046875" style="33"/>
    <col min="22" max="22" width="9.53515625" style="33" customWidth="1"/>
    <col min="23" max="23" width="11.53515625" customWidth="1"/>
    <col min="24" max="24" width="12.15234375" customWidth="1"/>
    <col min="25" max="25" width="9.84375" customWidth="1"/>
    <col min="26" max="26" width="10.15234375" customWidth="1"/>
    <col min="27" max="27" width="14" customWidth="1"/>
    <col min="28" max="29" width="6.3828125" customWidth="1"/>
    <col min="30" max="30" width="7.84375" customWidth="1"/>
    <col min="31" max="31" width="5" customWidth="1"/>
    <col min="32" max="32" width="12.3046875" customWidth="1"/>
    <col min="33" max="33" width="11" customWidth="1"/>
    <col min="34" max="35" width="10.15234375" customWidth="1"/>
    <col min="36" max="36" width="3.69140625" customWidth="1"/>
    <col min="37" max="37" width="13.3046875" style="86" customWidth="1"/>
    <col min="38" max="38" width="4.3046875" style="23" customWidth="1"/>
    <col min="39" max="39" width="13.3046875" style="86" customWidth="1"/>
    <col min="40" max="44" width="12.69140625" style="86" customWidth="1"/>
    <col min="45" max="49" width="5.53515625" style="23" customWidth="1"/>
    <col min="50" max="50" width="4.3828125" customWidth="1"/>
    <col min="51" max="56" width="3" customWidth="1"/>
    <col min="57" max="57" width="9.3046875" style="1"/>
    <col min="59" max="59" width="85.53515625" customWidth="1"/>
    <col min="60" max="60" width="10.3828125" customWidth="1"/>
    <col min="61" max="61" width="9.53515625" style="13" customWidth="1"/>
    <col min="62" max="62" width="10.3828125" customWidth="1"/>
    <col min="63" max="63" width="15.3828125" customWidth="1"/>
    <col min="64" max="64" width="11.69140625" customWidth="1"/>
    <col min="65" max="65" width="9.3046875" hidden="1" customWidth="1"/>
    <col min="66" max="66" width="11" hidden="1" customWidth="1"/>
    <col min="67" max="70" width="4.3046875" customWidth="1"/>
  </cols>
  <sheetData>
    <row r="1" spans="1:61" ht="29.15" customHeight="1" x14ac:dyDescent="0.4">
      <c r="A1" s="33" t="s">
        <v>7</v>
      </c>
      <c r="B1" t="s">
        <v>8</v>
      </c>
      <c r="C1" t="s">
        <v>5</v>
      </c>
      <c r="D1" t="s">
        <v>4</v>
      </c>
      <c r="E1" t="s">
        <v>91</v>
      </c>
      <c r="F1" t="s">
        <v>92</v>
      </c>
      <c r="G1" t="s">
        <v>93</v>
      </c>
      <c r="H1" t="s">
        <v>130</v>
      </c>
      <c r="I1" t="s">
        <v>17</v>
      </c>
      <c r="J1" s="24" t="s">
        <v>16</v>
      </c>
      <c r="K1" s="14" t="s">
        <v>136</v>
      </c>
      <c r="L1" s="14" t="s">
        <v>102</v>
      </c>
      <c r="M1" t="s">
        <v>88</v>
      </c>
      <c r="N1" t="s">
        <v>9</v>
      </c>
      <c r="O1" t="s">
        <v>1</v>
      </c>
      <c r="P1" t="s">
        <v>0</v>
      </c>
      <c r="Q1" t="s">
        <v>10</v>
      </c>
      <c r="R1" t="s">
        <v>18</v>
      </c>
      <c r="S1" s="33" t="s">
        <v>19</v>
      </c>
      <c r="T1" t="s">
        <v>20</v>
      </c>
      <c r="U1" t="s">
        <v>89</v>
      </c>
      <c r="V1" t="s">
        <v>90</v>
      </c>
      <c r="W1" t="s">
        <v>36</v>
      </c>
      <c r="X1" t="s">
        <v>138</v>
      </c>
      <c r="Y1" t="s">
        <v>137</v>
      </c>
      <c r="Z1" t="s">
        <v>87</v>
      </c>
      <c r="AA1" t="s">
        <v>176</v>
      </c>
      <c r="AB1" t="s">
        <v>175</v>
      </c>
      <c r="AC1" t="s">
        <v>173</v>
      </c>
      <c r="AD1" t="s">
        <v>979</v>
      </c>
      <c r="AE1" t="s">
        <v>153</v>
      </c>
      <c r="AF1" t="s">
        <v>397</v>
      </c>
      <c r="AG1" t="s">
        <v>155</v>
      </c>
      <c r="AH1" t="s">
        <v>398</v>
      </c>
      <c r="AI1" t="s">
        <v>986</v>
      </c>
      <c r="AJ1" t="s">
        <v>990</v>
      </c>
      <c r="AK1" s="86" t="s">
        <v>21</v>
      </c>
      <c r="AL1" s="23" t="s">
        <v>406</v>
      </c>
      <c r="AM1" s="86" t="s">
        <v>22</v>
      </c>
      <c r="AN1" s="86" t="s">
        <v>991</v>
      </c>
      <c r="AO1" s="86" t="s">
        <v>407</v>
      </c>
      <c r="AP1" s="86" t="s">
        <v>408</v>
      </c>
      <c r="AQ1" s="86" t="s">
        <v>409</v>
      </c>
      <c r="AR1" s="86" t="s">
        <v>410</v>
      </c>
      <c r="AS1" s="23" t="s">
        <v>411</v>
      </c>
      <c r="AT1" s="23" t="s">
        <v>412</v>
      </c>
      <c r="AU1" s="23" t="s">
        <v>413</v>
      </c>
      <c r="AV1" s="23" t="s">
        <v>414</v>
      </c>
      <c r="AW1" s="23" t="s">
        <v>415</v>
      </c>
      <c r="BE1"/>
      <c r="BI1"/>
    </row>
    <row r="2" spans="1:61" x14ac:dyDescent="0.4">
      <c r="A2" s="33">
        <v>42930.554166666669</v>
      </c>
      <c r="B2" t="s">
        <v>266</v>
      </c>
      <c r="C2" t="s">
        <v>231</v>
      </c>
      <c r="D2" t="s">
        <v>417</v>
      </c>
      <c r="E2" t="s">
        <v>418</v>
      </c>
      <c r="F2" t="s">
        <v>94</v>
      </c>
      <c r="G2" t="s">
        <v>285</v>
      </c>
      <c r="H2" t="b">
        <f>_xlfn.XOR(IFERROR(MATCH(ckAwdTable[[#This Row],[st_code]],EpscorTable[],0)&gt;0,FALSE),IFERROR(FIND("9150",#REF!)&gt;0,FALSE))</f>
        <v>0</v>
      </c>
      <c r="I2" t="s">
        <v>416</v>
      </c>
      <c r="J2" s="24"/>
      <c r="K2" s="15" t="str">
        <f>HYPERLINK("mailto:"&amp; ckAwdTable[[#This Row],[email]]&amp;"&amp;subject=Your NSF Proposal:  "&amp;ckAwdTable[[#This Row],[prop_id]], ckAwdTable[[#This Row],[email]])</f>
        <v>steffen.borgwardt@ucdenver.edu</v>
      </c>
      <c r="L2">
        <f xml:space="preserve"> L1+(ckAwdTable[ILN]&lt;"M")</f>
        <v>1</v>
      </c>
      <c r="M2" t="s">
        <v>96</v>
      </c>
      <c r="N2" t="s">
        <v>366</v>
      </c>
      <c r="O2" s="15" t="str">
        <f>HYPERLINK("https://www.ejacket.nsf.gov/ej/showProposal.do?ID="&amp;ckAwdTable[[#This Row],[prop_id]],"eJ")</f>
        <v>eJ</v>
      </c>
      <c r="P2" t="s">
        <v>366</v>
      </c>
      <c r="Q2" t="s">
        <v>419</v>
      </c>
      <c r="R2" t="s">
        <v>420</v>
      </c>
      <c r="S2" s="33">
        <v>43101</v>
      </c>
      <c r="T2">
        <v>60</v>
      </c>
      <c r="U2"/>
      <c r="V2"/>
      <c r="W2" t="s">
        <v>425</v>
      </c>
      <c r="Y2" t="s">
        <v>284</v>
      </c>
      <c r="Z2" s="8"/>
      <c r="AA2" s="8" t="s">
        <v>182</v>
      </c>
      <c r="AB2" s="8" t="s">
        <v>181</v>
      </c>
      <c r="AC2" s="8" t="s">
        <v>179</v>
      </c>
      <c r="AD2" s="8" t="s">
        <v>987</v>
      </c>
      <c r="AE2" s="8" t="s">
        <v>233</v>
      </c>
      <c r="AF2" s="8" t="s">
        <v>421</v>
      </c>
      <c r="AG2" s="8" t="s">
        <v>422</v>
      </c>
      <c r="AH2" s="8" t="s">
        <v>423</v>
      </c>
      <c r="AI2" s="8"/>
      <c r="AJ2" s="8" t="s">
        <v>992</v>
      </c>
      <c r="AK2" s="86">
        <v>470400</v>
      </c>
      <c r="AL2" s="23">
        <v>0</v>
      </c>
      <c r="AM2" s="86">
        <v>470400</v>
      </c>
      <c r="AP2" s="86">
        <v>9600</v>
      </c>
      <c r="AS2" s="23">
        <v>5</v>
      </c>
      <c r="AT2" s="23">
        <v>5</v>
      </c>
      <c r="AU2" s="23">
        <v>7.5</v>
      </c>
      <c r="BE2"/>
      <c r="BI2"/>
    </row>
    <row r="3" spans="1:61" x14ac:dyDescent="0.4">
      <c r="A3" s="33">
        <v>42933.547222222223</v>
      </c>
      <c r="B3" t="s">
        <v>266</v>
      </c>
      <c r="C3" t="s">
        <v>231</v>
      </c>
      <c r="D3" t="s">
        <v>417</v>
      </c>
      <c r="E3" t="s">
        <v>418</v>
      </c>
      <c r="F3" t="s">
        <v>94</v>
      </c>
      <c r="G3" t="s">
        <v>429</v>
      </c>
      <c r="H3" t="b">
        <f>_xlfn.XOR(IFERROR(MATCH(ckAwdTable[[#This Row],[st_code]],EpscorTable[],0)&gt;0,FALSE),IFERROR(FIND("9150",#REF!)&gt;0,FALSE))</f>
        <v>0</v>
      </c>
      <c r="I3" t="s">
        <v>416</v>
      </c>
      <c r="J3" s="24"/>
      <c r="K3" s="15" t="str">
        <f>HYPERLINK("mailto:"&amp; ckAwdTable[[#This Row],[email]]&amp;"&amp;subject=Your NSF Proposal:  "&amp;ckAwdTable[[#This Row],[prop_id]], ckAwdTable[[#This Row],[email]])</f>
        <v>haitao.wang@usu.edu</v>
      </c>
      <c r="L3">
        <f xml:space="preserve"> L2+(ckAwdTable[ILN]&lt;"M")</f>
        <v>2</v>
      </c>
      <c r="M3" t="s">
        <v>96</v>
      </c>
      <c r="N3" t="s">
        <v>367</v>
      </c>
      <c r="O3" s="15" t="str">
        <f>HYPERLINK("https://www.ejacket.nsf.gov/ej/showProposal.do?ID="&amp;ckAwdTable[[#This Row],[prop_id]],"eJ")</f>
        <v>eJ</v>
      </c>
      <c r="P3" t="s">
        <v>367</v>
      </c>
      <c r="Q3" t="s">
        <v>426</v>
      </c>
      <c r="R3" t="s">
        <v>427</v>
      </c>
      <c r="S3" s="33">
        <v>43221</v>
      </c>
      <c r="T3">
        <v>60</v>
      </c>
      <c r="U3"/>
      <c r="V3"/>
      <c r="W3" t="s">
        <v>433</v>
      </c>
      <c r="Y3" t="s">
        <v>993</v>
      </c>
      <c r="Z3" s="8"/>
      <c r="AA3" s="8" t="s">
        <v>182</v>
      </c>
      <c r="AB3" s="8" t="s">
        <v>181</v>
      </c>
      <c r="AC3" s="8" t="s">
        <v>179</v>
      </c>
      <c r="AD3" s="8" t="s">
        <v>987</v>
      </c>
      <c r="AE3" s="8" t="s">
        <v>233</v>
      </c>
      <c r="AF3" s="8" t="s">
        <v>428</v>
      </c>
      <c r="AG3" s="8" t="s">
        <v>430</v>
      </c>
      <c r="AH3" s="8" t="s">
        <v>431</v>
      </c>
      <c r="AI3" s="8"/>
      <c r="AJ3" s="8" t="s">
        <v>992</v>
      </c>
      <c r="AK3" s="86">
        <v>524898</v>
      </c>
      <c r="AL3" s="23">
        <v>0</v>
      </c>
      <c r="AM3" s="86">
        <v>524898</v>
      </c>
      <c r="AP3" s="86">
        <v>15000</v>
      </c>
      <c r="AS3" s="23">
        <v>10</v>
      </c>
      <c r="AT3" s="23">
        <v>5</v>
      </c>
      <c r="AU3" s="23">
        <v>5</v>
      </c>
      <c r="BE3"/>
      <c r="BI3"/>
    </row>
    <row r="4" spans="1:61" x14ac:dyDescent="0.4">
      <c r="A4" s="33">
        <v>42933.579861111109</v>
      </c>
      <c r="B4" t="s">
        <v>266</v>
      </c>
      <c r="C4" t="s">
        <v>231</v>
      </c>
      <c r="D4" t="s">
        <v>417</v>
      </c>
      <c r="E4" t="s">
        <v>434</v>
      </c>
      <c r="F4" t="s">
        <v>94</v>
      </c>
      <c r="G4" t="s">
        <v>286</v>
      </c>
      <c r="H4" t="b">
        <f>_xlfn.XOR(IFERROR(MATCH(ckAwdTable[[#This Row],[st_code]],EpscorTable[],0)&gt;0,FALSE),IFERROR(FIND("9150",#REF!)&gt;0,FALSE))</f>
        <v>0</v>
      </c>
      <c r="I4" t="s">
        <v>416</v>
      </c>
      <c r="J4" s="24"/>
      <c r="K4" s="15" t="str">
        <f>HYPERLINK("mailto:"&amp; ckAwdTable[[#This Row],[email]]&amp;"&amp;subject=Your NSF Proposal:  "&amp;ckAwdTable[[#This Row],[prop_id]], ckAwdTable[[#This Row],[email]])</f>
        <v>bmoseley@seas.wustl.edu</v>
      </c>
      <c r="L4">
        <f xml:space="preserve"> L3+(ckAwdTable[ILN]&lt;"M")</f>
        <v>3</v>
      </c>
      <c r="M4" t="s">
        <v>96</v>
      </c>
      <c r="N4" t="s">
        <v>368</v>
      </c>
      <c r="O4" s="15" t="str">
        <f>HYPERLINK("https://www.ejacket.nsf.gov/ej/showProposal.do?ID="&amp;ckAwdTable[[#This Row],[prop_id]],"eJ")</f>
        <v>eJ</v>
      </c>
      <c r="P4" t="s">
        <v>368</v>
      </c>
      <c r="Q4" t="s">
        <v>435</v>
      </c>
      <c r="R4" t="s">
        <v>272</v>
      </c>
      <c r="S4" s="33">
        <v>43282</v>
      </c>
      <c r="T4">
        <v>60</v>
      </c>
      <c r="U4"/>
      <c r="V4"/>
      <c r="W4" t="s">
        <v>440</v>
      </c>
      <c r="Z4" s="8"/>
      <c r="AA4" s="8" t="s">
        <v>182</v>
      </c>
      <c r="AB4" s="8" t="s">
        <v>181</v>
      </c>
      <c r="AC4" s="8" t="s">
        <v>179</v>
      </c>
      <c r="AD4" s="8" t="s">
        <v>987</v>
      </c>
      <c r="AE4" s="8" t="s">
        <v>233</v>
      </c>
      <c r="AF4" s="8" t="s">
        <v>436</v>
      </c>
      <c r="AG4" s="8" t="s">
        <v>437</v>
      </c>
      <c r="AH4" s="8" t="s">
        <v>438</v>
      </c>
      <c r="AI4" s="8"/>
      <c r="AJ4" s="8" t="s">
        <v>992</v>
      </c>
      <c r="AK4" s="86">
        <v>545000</v>
      </c>
      <c r="AL4" s="23">
        <v>0</v>
      </c>
      <c r="AM4" s="86">
        <v>545000</v>
      </c>
      <c r="AR4" s="86">
        <v>8000</v>
      </c>
      <c r="AS4" s="23">
        <v>5</v>
      </c>
      <c r="AT4" s="23">
        <v>5</v>
      </c>
      <c r="AU4" s="23">
        <v>6.5</v>
      </c>
      <c r="BE4"/>
      <c r="BI4"/>
    </row>
    <row r="5" spans="1:61" x14ac:dyDescent="0.4">
      <c r="A5" s="33">
        <v>42933.713888888888</v>
      </c>
      <c r="B5" t="s">
        <v>266</v>
      </c>
      <c r="C5" t="s">
        <v>231</v>
      </c>
      <c r="D5" t="s">
        <v>417</v>
      </c>
      <c r="E5" t="s">
        <v>418</v>
      </c>
      <c r="F5" t="s">
        <v>94</v>
      </c>
      <c r="G5" t="s">
        <v>287</v>
      </c>
      <c r="H5" t="b">
        <f>_xlfn.XOR(IFERROR(MATCH(ckAwdTable[[#This Row],[st_code]],EpscorTable[],0)&gt;0,FALSE),IFERROR(FIND("9150",#REF!)&gt;0,FALSE))</f>
        <v>0</v>
      </c>
      <c r="I5" t="s">
        <v>416</v>
      </c>
      <c r="J5" s="24"/>
      <c r="K5" s="15" t="str">
        <f>HYPERLINK("mailto:"&amp; ckAwdTable[[#This Row],[email]]&amp;"&amp;subject=Your NSF Proposal:  "&amp;ckAwdTable[[#This Row],[prop_id]], ckAwdTable[[#This Row],[email]])</f>
        <v>delpia@wisc.edu</v>
      </c>
      <c r="L5">
        <f xml:space="preserve"> L4+(ckAwdTable[ILN]&lt;"M")</f>
        <v>4</v>
      </c>
      <c r="M5" t="s">
        <v>96</v>
      </c>
      <c r="N5" t="s">
        <v>369</v>
      </c>
      <c r="O5" s="15" t="str">
        <f>HYPERLINK("https://www.ejacket.nsf.gov/ej/showProposal.do?ID="&amp;ckAwdTable[[#This Row],[prop_id]],"eJ")</f>
        <v>eJ</v>
      </c>
      <c r="P5" t="s">
        <v>369</v>
      </c>
      <c r="Q5" t="s">
        <v>441</v>
      </c>
      <c r="R5" t="s">
        <v>442</v>
      </c>
      <c r="S5" s="33">
        <v>43344</v>
      </c>
      <c r="T5">
        <v>60</v>
      </c>
      <c r="U5"/>
      <c r="V5"/>
      <c r="W5" t="s">
        <v>445</v>
      </c>
      <c r="Y5" t="s">
        <v>284</v>
      </c>
      <c r="Z5" s="8"/>
      <c r="AA5" s="8" t="s">
        <v>182</v>
      </c>
      <c r="AB5" s="8" t="s">
        <v>181</v>
      </c>
      <c r="AC5" s="8" t="s">
        <v>179</v>
      </c>
      <c r="AD5" s="8" t="s">
        <v>987</v>
      </c>
      <c r="AE5" s="8" t="s">
        <v>233</v>
      </c>
      <c r="AF5" s="8" t="s">
        <v>271</v>
      </c>
      <c r="AG5" s="8" t="s">
        <v>443</v>
      </c>
      <c r="AH5" s="8" t="s">
        <v>423</v>
      </c>
      <c r="AI5" s="8"/>
      <c r="AJ5" s="8" t="s">
        <v>992</v>
      </c>
      <c r="AK5" s="86">
        <v>500000</v>
      </c>
      <c r="AL5" s="23">
        <v>0</v>
      </c>
      <c r="AM5" s="86">
        <v>500000</v>
      </c>
      <c r="AP5" s="86">
        <v>12416</v>
      </c>
      <c r="AS5" s="23">
        <v>5</v>
      </c>
      <c r="AT5" s="23">
        <v>5</v>
      </c>
      <c r="AU5" s="23">
        <v>5</v>
      </c>
      <c r="BE5"/>
      <c r="BI5"/>
    </row>
    <row r="6" spans="1:61" x14ac:dyDescent="0.4">
      <c r="A6" s="33">
        <v>42933.820138888892</v>
      </c>
      <c r="B6" t="s">
        <v>266</v>
      </c>
      <c r="C6" t="s">
        <v>231</v>
      </c>
      <c r="D6" t="s">
        <v>417</v>
      </c>
      <c r="E6" t="s">
        <v>418</v>
      </c>
      <c r="F6" t="s">
        <v>94</v>
      </c>
      <c r="G6" t="s">
        <v>288</v>
      </c>
      <c r="H6" t="b">
        <f>_xlfn.XOR(IFERROR(MATCH(ckAwdTable[[#This Row],[st_code]],EpscorTable[],0)&gt;0,FALSE),IFERROR(FIND("9150",#REF!)&gt;0,FALSE))</f>
        <v>0</v>
      </c>
      <c r="I6" t="s">
        <v>416</v>
      </c>
      <c r="J6" s="24"/>
      <c r="K6" s="15" t="str">
        <f>HYPERLINK("mailto:"&amp; ckAwdTable[[#This Row],[email]]&amp;"&amp;subject=Your NSF Proposal:  "&amp;ckAwdTable[[#This Row],[prop_id]], ckAwdTable[[#This Row],[email]])</f>
        <v>yintat@uw.edu</v>
      </c>
      <c r="L6">
        <f xml:space="preserve"> L5+(ckAwdTable[ILN]&lt;"M")</f>
        <v>5</v>
      </c>
      <c r="M6" t="s">
        <v>96</v>
      </c>
      <c r="N6" t="s">
        <v>370</v>
      </c>
      <c r="O6" s="15" t="str">
        <f>HYPERLINK("https://www.ejacket.nsf.gov/ej/showProposal.do?ID="&amp;ckAwdTable[[#This Row],[prop_id]],"eJ")</f>
        <v>eJ</v>
      </c>
      <c r="P6" t="s">
        <v>370</v>
      </c>
      <c r="Q6" t="s">
        <v>446</v>
      </c>
      <c r="R6" t="s">
        <v>447</v>
      </c>
      <c r="S6" s="33">
        <v>43175</v>
      </c>
      <c r="T6">
        <v>60</v>
      </c>
      <c r="U6"/>
      <c r="V6"/>
      <c r="W6" t="s">
        <v>450</v>
      </c>
      <c r="Z6" s="8"/>
      <c r="AA6" s="8" t="s">
        <v>182</v>
      </c>
      <c r="AB6" s="8" t="s">
        <v>181</v>
      </c>
      <c r="AC6" s="8" t="s">
        <v>179</v>
      </c>
      <c r="AD6" s="8" t="s">
        <v>987</v>
      </c>
      <c r="AE6" s="8" t="s">
        <v>233</v>
      </c>
      <c r="AF6" s="8" t="s">
        <v>268</v>
      </c>
      <c r="AG6" s="8" t="s">
        <v>448</v>
      </c>
      <c r="AH6" s="8" t="s">
        <v>423</v>
      </c>
      <c r="AI6" s="8"/>
      <c r="AJ6" s="8" t="s">
        <v>992</v>
      </c>
      <c r="AK6" s="86">
        <v>549841</v>
      </c>
      <c r="AL6" s="23">
        <v>0</v>
      </c>
      <c r="AM6" s="86">
        <v>549841</v>
      </c>
      <c r="AS6" s="23">
        <v>5</v>
      </c>
      <c r="AT6" s="23">
        <v>5</v>
      </c>
      <c r="AU6" s="23">
        <v>2.5</v>
      </c>
      <c r="AW6" s="23">
        <v>2.5</v>
      </c>
      <c r="BE6"/>
      <c r="BI6"/>
    </row>
    <row r="7" spans="1:61" x14ac:dyDescent="0.4">
      <c r="A7" s="33">
        <v>42934.453472222223</v>
      </c>
      <c r="B7" t="s">
        <v>266</v>
      </c>
      <c r="C7" t="s">
        <v>231</v>
      </c>
      <c r="D7" t="s">
        <v>417</v>
      </c>
      <c r="E7" t="s">
        <v>434</v>
      </c>
      <c r="F7" t="s">
        <v>94</v>
      </c>
      <c r="G7" t="s">
        <v>289</v>
      </c>
      <c r="H7" t="b">
        <f>_xlfn.XOR(IFERROR(MATCH(ckAwdTable[[#This Row],[st_code]],EpscorTable[],0)&gt;0,FALSE),IFERROR(FIND("9150",#REF!)&gt;0,FALSE))</f>
        <v>0</v>
      </c>
      <c r="I7" t="s">
        <v>416</v>
      </c>
      <c r="J7" s="24"/>
      <c r="K7" s="15" t="str">
        <f>HYPERLINK("mailto:"&amp; ckAwdTable[[#This Row],[email]]&amp;"&amp;subject=Your NSF Proposal:  "&amp;ckAwdTable[[#This Row],[prop_id]], ckAwdTable[[#This Row],[email]])</f>
        <v>sim3@ucmerced.edu</v>
      </c>
      <c r="L7">
        <f xml:space="preserve"> L6+(ckAwdTable[ILN]&lt;"M")</f>
        <v>6</v>
      </c>
      <c r="M7" t="s">
        <v>96</v>
      </c>
      <c r="N7" t="s">
        <v>371</v>
      </c>
      <c r="O7" s="15" t="str">
        <f>HYPERLINK("https://www.ejacket.nsf.gov/ej/showProposal.do?ID="&amp;ckAwdTable[[#This Row],[prop_id]],"eJ")</f>
        <v>eJ</v>
      </c>
      <c r="P7" t="s">
        <v>371</v>
      </c>
      <c r="Q7" t="s">
        <v>451</v>
      </c>
      <c r="R7" t="s">
        <v>452</v>
      </c>
      <c r="S7" s="33">
        <v>43282</v>
      </c>
      <c r="T7">
        <v>60</v>
      </c>
      <c r="U7"/>
      <c r="V7"/>
      <c r="W7" t="s">
        <v>456</v>
      </c>
      <c r="Z7" s="8"/>
      <c r="AA7" s="8" t="s">
        <v>182</v>
      </c>
      <c r="AB7" s="8" t="s">
        <v>181</v>
      </c>
      <c r="AC7" s="8" t="s">
        <v>179</v>
      </c>
      <c r="AD7" s="8" t="s">
        <v>987</v>
      </c>
      <c r="AE7" s="8" t="s">
        <v>233</v>
      </c>
      <c r="AF7" s="8" t="s">
        <v>453</v>
      </c>
      <c r="AG7" s="8" t="s">
        <v>454</v>
      </c>
      <c r="AH7" s="8" t="s">
        <v>423</v>
      </c>
      <c r="AI7" s="8"/>
      <c r="AJ7" s="8" t="s">
        <v>992</v>
      </c>
      <c r="AK7" s="86">
        <v>514477</v>
      </c>
      <c r="AL7" s="23">
        <v>0</v>
      </c>
      <c r="AM7" s="86">
        <v>514477</v>
      </c>
      <c r="AS7" s="23">
        <v>10</v>
      </c>
      <c r="AT7" s="23">
        <v>4</v>
      </c>
      <c r="AU7" s="23">
        <v>7</v>
      </c>
      <c r="BE7"/>
      <c r="BI7"/>
    </row>
    <row r="8" spans="1:61" x14ac:dyDescent="0.4">
      <c r="A8" s="33">
        <v>42934.507638888892</v>
      </c>
      <c r="B8" t="s">
        <v>266</v>
      </c>
      <c r="C8" t="s">
        <v>231</v>
      </c>
      <c r="D8" t="s">
        <v>417</v>
      </c>
      <c r="E8" t="s">
        <v>434</v>
      </c>
      <c r="F8" t="s">
        <v>94</v>
      </c>
      <c r="G8" t="s">
        <v>289</v>
      </c>
      <c r="H8" t="b">
        <f>_xlfn.XOR(IFERROR(MATCH(ckAwdTable[[#This Row],[st_code]],EpscorTable[],0)&gt;0,FALSE),IFERROR(FIND("9150",#REF!)&gt;0,FALSE))</f>
        <v>0</v>
      </c>
      <c r="I8" t="s">
        <v>416</v>
      </c>
      <c r="J8" s="24"/>
      <c r="K8" s="15" t="str">
        <f>HYPERLINK("mailto:"&amp; ckAwdTable[[#This Row],[email]]&amp;"&amp;subject=Your NSF Proposal:  "&amp;ckAwdTable[[#This Row],[prop_id]], ckAwdTable[[#This Row],[email]])</f>
        <v>sidford@stanford.edu</v>
      </c>
      <c r="L8">
        <f xml:space="preserve"> L7+(ckAwdTable[ILN]&lt;"M")</f>
        <v>7</v>
      </c>
      <c r="M8" t="s">
        <v>96</v>
      </c>
      <c r="N8" t="s">
        <v>372</v>
      </c>
      <c r="O8" s="15" t="str">
        <f>HYPERLINK("https://www.ejacket.nsf.gov/ej/showProposal.do?ID="&amp;ckAwdTable[[#This Row],[prop_id]],"eJ")</f>
        <v>eJ</v>
      </c>
      <c r="P8" t="s">
        <v>372</v>
      </c>
      <c r="Q8" t="s">
        <v>457</v>
      </c>
      <c r="R8" t="s">
        <v>458</v>
      </c>
      <c r="S8" s="33">
        <v>43009</v>
      </c>
      <c r="T8">
        <v>60</v>
      </c>
      <c r="U8"/>
      <c r="V8"/>
      <c r="W8" t="s">
        <v>462</v>
      </c>
      <c r="Z8" s="8"/>
      <c r="AA8" s="8" t="s">
        <v>182</v>
      </c>
      <c r="AB8" s="8" t="s">
        <v>181</v>
      </c>
      <c r="AC8" s="8" t="s">
        <v>179</v>
      </c>
      <c r="AD8" s="8" t="s">
        <v>987</v>
      </c>
      <c r="AE8" s="8" t="s">
        <v>233</v>
      </c>
      <c r="AF8" s="8" t="s">
        <v>459</v>
      </c>
      <c r="AG8" s="8" t="s">
        <v>460</v>
      </c>
      <c r="AH8" s="8" t="s">
        <v>275</v>
      </c>
      <c r="AI8" s="8"/>
      <c r="AJ8" s="8" t="s">
        <v>992</v>
      </c>
      <c r="AK8" s="86">
        <v>500000</v>
      </c>
      <c r="AL8" s="23">
        <v>0</v>
      </c>
      <c r="AM8" s="86">
        <v>500000</v>
      </c>
      <c r="AR8" s="86">
        <v>7500</v>
      </c>
      <c r="AS8" s="23">
        <v>5</v>
      </c>
      <c r="AT8" s="23">
        <v>5</v>
      </c>
      <c r="AU8" s="23">
        <v>6.75</v>
      </c>
      <c r="BE8"/>
      <c r="BI8"/>
    </row>
    <row r="9" spans="1:61" x14ac:dyDescent="0.4">
      <c r="A9" s="33">
        <v>42934.524305555555</v>
      </c>
      <c r="B9" t="s">
        <v>266</v>
      </c>
      <c r="C9" t="s">
        <v>231</v>
      </c>
      <c r="D9" t="s">
        <v>417</v>
      </c>
      <c r="E9" t="s">
        <v>463</v>
      </c>
      <c r="F9" t="s">
        <v>94</v>
      </c>
      <c r="G9" t="s">
        <v>467</v>
      </c>
      <c r="H9" t="b">
        <f>_xlfn.XOR(IFERROR(MATCH(ckAwdTable[[#This Row],[st_code]],EpscorTable[],0)&gt;0,FALSE),IFERROR(FIND("9150",#REF!)&gt;0,FALSE))</f>
        <v>0</v>
      </c>
      <c r="I9" t="s">
        <v>416</v>
      </c>
      <c r="J9" s="24"/>
      <c r="K9" s="15" t="str">
        <f>HYPERLINK("mailto:"&amp; ckAwdTable[[#This Row],[email]]&amp;"&amp;subject=Your NSF Proposal:  "&amp;ckAwdTable[[#This Row],[prop_id]], ckAwdTable[[#This Row],[email]])</f>
        <v>karthe@illinois.edu</v>
      </c>
      <c r="L9">
        <f xml:space="preserve"> L8+(ckAwdTable[ILN]&lt;"M")</f>
        <v>8</v>
      </c>
      <c r="M9" t="s">
        <v>96</v>
      </c>
      <c r="N9" t="s">
        <v>373</v>
      </c>
      <c r="O9" s="15" t="str">
        <f>HYPERLINK("https://www.ejacket.nsf.gov/ej/showProposal.do?ID="&amp;ckAwdTable[[#This Row],[prop_id]],"eJ")</f>
        <v>eJ</v>
      </c>
      <c r="P9" t="s">
        <v>373</v>
      </c>
      <c r="Q9" t="s">
        <v>464</v>
      </c>
      <c r="R9" t="s">
        <v>465</v>
      </c>
      <c r="S9" s="33">
        <v>43115</v>
      </c>
      <c r="T9">
        <v>60</v>
      </c>
      <c r="U9"/>
      <c r="V9"/>
      <c r="W9" t="s">
        <v>470</v>
      </c>
      <c r="Y9" t="s">
        <v>284</v>
      </c>
      <c r="Z9" s="8"/>
      <c r="AA9" s="8" t="s">
        <v>182</v>
      </c>
      <c r="AB9" s="8" t="s">
        <v>181</v>
      </c>
      <c r="AC9" s="8" t="s">
        <v>179</v>
      </c>
      <c r="AD9" s="8" t="s">
        <v>987</v>
      </c>
      <c r="AE9" s="8" t="s">
        <v>233</v>
      </c>
      <c r="AF9" s="8" t="s">
        <v>466</v>
      </c>
      <c r="AG9" s="8" t="s">
        <v>468</v>
      </c>
      <c r="AH9" s="8" t="s">
        <v>423</v>
      </c>
      <c r="AI9" s="8"/>
      <c r="AJ9" s="8" t="s">
        <v>992</v>
      </c>
      <c r="AK9" s="86">
        <v>446040</v>
      </c>
      <c r="AL9" s="23">
        <v>0</v>
      </c>
      <c r="AM9" s="86">
        <v>446040</v>
      </c>
      <c r="AP9" s="86">
        <v>20000</v>
      </c>
      <c r="AS9" s="23">
        <v>5</v>
      </c>
      <c r="AT9" s="23">
        <v>5</v>
      </c>
      <c r="AU9" s="23">
        <v>5</v>
      </c>
      <c r="BE9"/>
      <c r="BI9"/>
    </row>
    <row r="10" spans="1:61" x14ac:dyDescent="0.4">
      <c r="A10" s="33">
        <v>42934.695138888892</v>
      </c>
      <c r="B10" t="s">
        <v>266</v>
      </c>
      <c r="C10" t="s">
        <v>231</v>
      </c>
      <c r="D10" t="s">
        <v>417</v>
      </c>
      <c r="E10" t="s">
        <v>418</v>
      </c>
      <c r="F10" t="s">
        <v>94</v>
      </c>
      <c r="G10" t="s">
        <v>290</v>
      </c>
      <c r="H10" t="b">
        <f>_xlfn.XOR(IFERROR(MATCH(ckAwdTable[[#This Row],[st_code]],EpscorTable[],0)&gt;0,FALSE),IFERROR(FIND("9150",#REF!)&gt;0,FALSE))</f>
        <v>0</v>
      </c>
      <c r="I10" t="s">
        <v>416</v>
      </c>
      <c r="J10" s="24"/>
      <c r="K10" s="15" t="str">
        <f>HYPERLINK("mailto:"&amp; ckAwdTable[[#This Row],[email]]&amp;"&amp;subject=Your NSF Proposal:  "&amp;ckAwdTable[[#This Row],[prop_id]], ckAwdTable[[#This Row],[email]])</f>
        <v>jsolomon@mit.edu</v>
      </c>
      <c r="L10">
        <f xml:space="preserve"> L9+(ckAwdTable[ILN]&lt;"M")</f>
        <v>9</v>
      </c>
      <c r="M10" t="s">
        <v>96</v>
      </c>
      <c r="N10" t="s">
        <v>374</v>
      </c>
      <c r="O10" s="15" t="str">
        <f>HYPERLINK("https://www.ejacket.nsf.gov/ej/showProposal.do?ID="&amp;ckAwdTable[[#This Row],[prop_id]],"eJ")</f>
        <v>eJ</v>
      </c>
      <c r="P10" t="s">
        <v>374</v>
      </c>
      <c r="Q10" t="s">
        <v>471</v>
      </c>
      <c r="R10" t="s">
        <v>472</v>
      </c>
      <c r="S10" s="33">
        <v>43101</v>
      </c>
      <c r="T10">
        <v>60</v>
      </c>
      <c r="U10"/>
      <c r="V10"/>
      <c r="W10" t="s">
        <v>475</v>
      </c>
      <c r="Z10" s="8"/>
      <c r="AA10" s="8" t="s">
        <v>182</v>
      </c>
      <c r="AB10" s="8" t="s">
        <v>181</v>
      </c>
      <c r="AC10" s="8" t="s">
        <v>179</v>
      </c>
      <c r="AD10" s="8" t="s">
        <v>987</v>
      </c>
      <c r="AE10" s="8" t="s">
        <v>233</v>
      </c>
      <c r="AF10" s="8" t="s">
        <v>232</v>
      </c>
      <c r="AG10" s="8" t="s">
        <v>473</v>
      </c>
      <c r="AH10" s="8" t="s">
        <v>431</v>
      </c>
      <c r="AI10" s="8"/>
      <c r="AJ10" s="8" t="s">
        <v>992</v>
      </c>
      <c r="AK10" s="86">
        <v>550000</v>
      </c>
      <c r="AL10" s="23">
        <v>0</v>
      </c>
      <c r="AM10" s="86">
        <v>550000</v>
      </c>
      <c r="AS10" s="23">
        <v>5</v>
      </c>
      <c r="AT10" s="23">
        <v>5</v>
      </c>
      <c r="AU10" s="23">
        <v>2.5</v>
      </c>
      <c r="BE10"/>
      <c r="BI10"/>
    </row>
    <row r="11" spans="1:61" x14ac:dyDescent="0.4">
      <c r="A11" s="33">
        <v>42934.737500000003</v>
      </c>
      <c r="B11" t="s">
        <v>266</v>
      </c>
      <c r="C11" t="s">
        <v>231</v>
      </c>
      <c r="D11" t="s">
        <v>417</v>
      </c>
      <c r="E11" t="s">
        <v>463</v>
      </c>
      <c r="F11" t="s">
        <v>94</v>
      </c>
      <c r="G11" t="s">
        <v>467</v>
      </c>
      <c r="H11" t="b">
        <f>_xlfn.XOR(IFERROR(MATCH(ckAwdTable[[#This Row],[st_code]],EpscorTable[],0)&gt;0,FALSE),IFERROR(FIND("9150",#REF!)&gt;0,FALSE))</f>
        <v>0</v>
      </c>
      <c r="I11" t="s">
        <v>416</v>
      </c>
      <c r="J11" s="24"/>
      <c r="K11" s="15" t="str">
        <f>HYPERLINK("mailto:"&amp; ckAwdTable[[#This Row],[email]]&amp;"&amp;subject=Your NSF Proposal:  "&amp;ckAwdTable[[#This Row],[prop_id]], ckAwdTable[[#This Row],[email]])</f>
        <v>solomon2@illinois.edu</v>
      </c>
      <c r="L11">
        <f xml:space="preserve"> L10+(ckAwdTable[ILN]&lt;"M")</f>
        <v>10</v>
      </c>
      <c r="M11" t="s">
        <v>96</v>
      </c>
      <c r="N11" t="s">
        <v>375</v>
      </c>
      <c r="O11" s="15" t="str">
        <f>HYPERLINK("https://www.ejacket.nsf.gov/ej/showProposal.do?ID="&amp;ckAwdTable[[#This Row],[prop_id]],"eJ")</f>
        <v>eJ</v>
      </c>
      <c r="P11" t="s">
        <v>375</v>
      </c>
      <c r="Q11" t="s">
        <v>476</v>
      </c>
      <c r="R11" t="s">
        <v>477</v>
      </c>
      <c r="S11" s="33">
        <v>43132</v>
      </c>
      <c r="T11">
        <v>60</v>
      </c>
      <c r="U11"/>
      <c r="V11"/>
      <c r="W11" t="s">
        <v>480</v>
      </c>
      <c r="Y11" t="s">
        <v>284</v>
      </c>
      <c r="Z11" s="8"/>
      <c r="AA11" s="8" t="s">
        <v>182</v>
      </c>
      <c r="AB11" s="8" t="s">
        <v>181</v>
      </c>
      <c r="AC11" s="8" t="s">
        <v>179</v>
      </c>
      <c r="AD11" s="8" t="s">
        <v>987</v>
      </c>
      <c r="AE11" s="8" t="s">
        <v>233</v>
      </c>
      <c r="AF11" s="8" t="s">
        <v>466</v>
      </c>
      <c r="AG11" s="8" t="s">
        <v>478</v>
      </c>
      <c r="AH11" s="8" t="s">
        <v>438</v>
      </c>
      <c r="AI11" s="8"/>
      <c r="AJ11" s="8" t="s">
        <v>992</v>
      </c>
      <c r="AK11" s="86">
        <v>524117</v>
      </c>
      <c r="AL11" s="23">
        <v>0</v>
      </c>
      <c r="AM11" s="86">
        <v>524117</v>
      </c>
      <c r="AP11" s="86">
        <v>11250</v>
      </c>
      <c r="AS11" s="23">
        <v>5</v>
      </c>
      <c r="AT11" s="23">
        <v>5</v>
      </c>
      <c r="AU11" s="23">
        <v>2.5</v>
      </c>
      <c r="BE11"/>
      <c r="BI11"/>
    </row>
    <row r="12" spans="1:61" x14ac:dyDescent="0.4">
      <c r="A12" s="33">
        <v>42934.808333333334</v>
      </c>
      <c r="B12" t="s">
        <v>266</v>
      </c>
      <c r="C12" t="s">
        <v>231</v>
      </c>
      <c r="D12" t="s">
        <v>417</v>
      </c>
      <c r="E12" t="s">
        <v>418</v>
      </c>
      <c r="F12" t="s">
        <v>94</v>
      </c>
      <c r="G12" t="s">
        <v>289</v>
      </c>
      <c r="H12" t="b">
        <f>_xlfn.XOR(IFERROR(MATCH(ckAwdTable[[#This Row],[st_code]],EpscorTable[],0)&gt;0,FALSE),IFERROR(FIND("9150",#REF!)&gt;0,FALSE))</f>
        <v>0</v>
      </c>
      <c r="I12" t="s">
        <v>416</v>
      </c>
      <c r="J12" s="24"/>
      <c r="K12" s="15" t="str">
        <f>HYPERLINK("mailto:"&amp; ckAwdTable[[#This Row],[email]]&amp;"&amp;subject=Your NSF Proposal:  "&amp;ckAwdTable[[#This Row],[prop_id]], ckAwdTable[[#This Row],[email]])</f>
        <v>craig@ucr.edu</v>
      </c>
      <c r="L12">
        <f xml:space="preserve"> L11+(ckAwdTable[ILN]&lt;"M")</f>
        <v>11</v>
      </c>
      <c r="M12" t="s">
        <v>96</v>
      </c>
      <c r="N12" t="s">
        <v>376</v>
      </c>
      <c r="O12" s="15" t="str">
        <f>HYPERLINK("https://www.ejacket.nsf.gov/ej/showProposal.do?ID="&amp;ckAwdTable[[#This Row],[prop_id]],"eJ")</f>
        <v>eJ</v>
      </c>
      <c r="P12" t="s">
        <v>376</v>
      </c>
      <c r="Q12" t="s">
        <v>481</v>
      </c>
      <c r="R12" t="s">
        <v>482</v>
      </c>
      <c r="S12" s="33">
        <v>43101</v>
      </c>
      <c r="T12">
        <v>60</v>
      </c>
      <c r="U12"/>
      <c r="V12"/>
      <c r="W12" t="s">
        <v>487</v>
      </c>
      <c r="Z12" s="8"/>
      <c r="AA12" s="8" t="s">
        <v>182</v>
      </c>
      <c r="AB12" s="8" t="s">
        <v>181</v>
      </c>
      <c r="AC12" s="8" t="s">
        <v>179</v>
      </c>
      <c r="AD12" s="8" t="s">
        <v>987</v>
      </c>
      <c r="AE12" s="8" t="s">
        <v>233</v>
      </c>
      <c r="AF12" s="8" t="s">
        <v>483</v>
      </c>
      <c r="AG12" s="8" t="s">
        <v>484</v>
      </c>
      <c r="AH12" s="8" t="s">
        <v>485</v>
      </c>
      <c r="AI12" s="8"/>
      <c r="AJ12" s="8" t="s">
        <v>992</v>
      </c>
      <c r="AK12" s="86">
        <v>440331</v>
      </c>
      <c r="AL12" s="23">
        <v>0</v>
      </c>
      <c r="AM12" s="86">
        <v>440331</v>
      </c>
      <c r="AS12" s="23">
        <v>5</v>
      </c>
      <c r="AT12" s="23">
        <v>5</v>
      </c>
      <c r="AU12" s="23">
        <v>5</v>
      </c>
      <c r="BE12"/>
      <c r="BI12"/>
    </row>
    <row r="13" spans="1:61" x14ac:dyDescent="0.4">
      <c r="A13" s="33">
        <v>42935.359027777777</v>
      </c>
      <c r="B13" t="s">
        <v>266</v>
      </c>
      <c r="C13" t="s">
        <v>231</v>
      </c>
      <c r="D13" t="s">
        <v>417</v>
      </c>
      <c r="E13" t="s">
        <v>434</v>
      </c>
      <c r="F13" t="s">
        <v>94</v>
      </c>
      <c r="G13" t="s">
        <v>291</v>
      </c>
      <c r="H13" t="b">
        <f>_xlfn.XOR(IFERROR(MATCH(ckAwdTable[[#This Row],[st_code]],EpscorTable[],0)&gt;0,FALSE),IFERROR(FIND("9150",#REF!)&gt;0,FALSE))</f>
        <v>0</v>
      </c>
      <c r="I13" t="s">
        <v>416</v>
      </c>
      <c r="J13" s="24"/>
      <c r="K13" s="15" t="str">
        <f>HYPERLINK("mailto:"&amp; ckAwdTable[[#This Row],[email]]&amp;"&amp;subject=Your NSF Proposal:  "&amp;ckAwdTable[[#This Row],[prop_id]], ckAwdTable[[#This Row],[email]])</f>
        <v>shil@buffalo.edu</v>
      </c>
      <c r="L13">
        <f xml:space="preserve"> L12+(ckAwdTable[ILN]&lt;"M")</f>
        <v>12</v>
      </c>
      <c r="M13" t="s">
        <v>96</v>
      </c>
      <c r="N13" t="s">
        <v>377</v>
      </c>
      <c r="O13" s="15" t="str">
        <f>HYPERLINK("https://www.ejacket.nsf.gov/ej/showProposal.do?ID="&amp;ckAwdTable[[#This Row],[prop_id]],"eJ")</f>
        <v>eJ</v>
      </c>
      <c r="P13" t="s">
        <v>377</v>
      </c>
      <c r="Q13" t="s">
        <v>488</v>
      </c>
      <c r="R13" t="s">
        <v>489</v>
      </c>
      <c r="S13" s="33">
        <v>43344</v>
      </c>
      <c r="T13">
        <v>60</v>
      </c>
      <c r="U13"/>
      <c r="V13"/>
      <c r="W13" t="s">
        <v>492</v>
      </c>
      <c r="Y13" t="s">
        <v>994</v>
      </c>
      <c r="Z13" s="8"/>
      <c r="AA13" s="8" t="s">
        <v>182</v>
      </c>
      <c r="AB13" s="8" t="s">
        <v>181</v>
      </c>
      <c r="AC13" s="8" t="s">
        <v>179</v>
      </c>
      <c r="AD13" s="8" t="s">
        <v>987</v>
      </c>
      <c r="AE13" s="8" t="s">
        <v>233</v>
      </c>
      <c r="AF13" s="8" t="s">
        <v>229</v>
      </c>
      <c r="AG13" s="8" t="s">
        <v>490</v>
      </c>
      <c r="AH13" s="8" t="s">
        <v>423</v>
      </c>
      <c r="AI13" s="8"/>
      <c r="AJ13" s="8" t="s">
        <v>992</v>
      </c>
      <c r="AK13" s="86">
        <v>530842</v>
      </c>
      <c r="AL13" s="23">
        <v>0</v>
      </c>
      <c r="AM13" s="86">
        <v>530842</v>
      </c>
      <c r="AP13" s="86">
        <v>10000</v>
      </c>
      <c r="AS13" s="23">
        <v>5</v>
      </c>
      <c r="AT13" s="23">
        <v>5</v>
      </c>
      <c r="AU13" s="23">
        <v>5</v>
      </c>
      <c r="BE13"/>
      <c r="BI13"/>
    </row>
    <row r="14" spans="1:61" x14ac:dyDescent="0.4">
      <c r="A14" s="33">
        <v>42935.374305555553</v>
      </c>
      <c r="B14" t="s">
        <v>266</v>
      </c>
      <c r="C14" t="s">
        <v>231</v>
      </c>
      <c r="D14" t="s">
        <v>417</v>
      </c>
      <c r="E14" t="s">
        <v>434</v>
      </c>
      <c r="F14" t="s">
        <v>94</v>
      </c>
      <c r="G14" t="s">
        <v>496</v>
      </c>
      <c r="H14" t="b">
        <f>_xlfn.XOR(IFERROR(MATCH(ckAwdTable[[#This Row],[st_code]],EpscorTable[],0)&gt;0,FALSE),IFERROR(FIND("9150",#REF!)&gt;0,FALSE))</f>
        <v>0</v>
      </c>
      <c r="I14" t="s">
        <v>416</v>
      </c>
      <c r="J14" s="24"/>
      <c r="K14" s="15" t="str">
        <f>HYPERLINK("mailto:"&amp; ckAwdTable[[#This Row],[email]]&amp;"&amp;subject=Your NSF Proposal:  "&amp;ckAwdTable[[#This Row],[prop_id]], ckAwdTable[[#This Row],[email]])</f>
        <v>viswa@umich.edu</v>
      </c>
      <c r="L14">
        <f xml:space="preserve"> L13+(ckAwdTable[ILN]&lt;"M")</f>
        <v>13</v>
      </c>
      <c r="M14" t="s">
        <v>96</v>
      </c>
      <c r="N14" t="s">
        <v>378</v>
      </c>
      <c r="O14" s="15" t="str">
        <f>HYPERLINK("https://www.ejacket.nsf.gov/ej/showProposal.do?ID="&amp;ckAwdTable[[#This Row],[prop_id]],"eJ")</f>
        <v>eJ</v>
      </c>
      <c r="P14" t="s">
        <v>378</v>
      </c>
      <c r="Q14" t="s">
        <v>493</v>
      </c>
      <c r="R14" t="s">
        <v>494</v>
      </c>
      <c r="S14" s="33">
        <v>43221</v>
      </c>
      <c r="T14">
        <v>60</v>
      </c>
      <c r="U14"/>
      <c r="V14"/>
      <c r="W14" t="s">
        <v>499</v>
      </c>
      <c r="Z14" s="8"/>
      <c r="AA14" s="8" t="s">
        <v>182</v>
      </c>
      <c r="AB14" s="8" t="s">
        <v>181</v>
      </c>
      <c r="AC14" s="8" t="s">
        <v>179</v>
      </c>
      <c r="AD14" s="8" t="s">
        <v>987</v>
      </c>
      <c r="AE14" s="8" t="s">
        <v>233</v>
      </c>
      <c r="AF14" s="8" t="s">
        <v>495</v>
      </c>
      <c r="AG14" s="8" t="s">
        <v>497</v>
      </c>
      <c r="AH14" s="8" t="s">
        <v>275</v>
      </c>
      <c r="AI14" s="8"/>
      <c r="AJ14" s="8" t="s">
        <v>992</v>
      </c>
      <c r="AK14" s="86">
        <v>524840</v>
      </c>
      <c r="AL14" s="23">
        <v>0</v>
      </c>
      <c r="AM14" s="86">
        <v>524840</v>
      </c>
      <c r="AR14" s="86">
        <v>3000</v>
      </c>
      <c r="AS14" s="23">
        <v>5</v>
      </c>
      <c r="AT14" s="23">
        <v>5</v>
      </c>
      <c r="AU14" s="23">
        <v>5</v>
      </c>
      <c r="BE14"/>
      <c r="BI14"/>
    </row>
    <row r="15" spans="1:61" x14ac:dyDescent="0.4">
      <c r="A15" s="33">
        <v>42935.387499999997</v>
      </c>
      <c r="B15" t="s">
        <v>266</v>
      </c>
      <c r="C15" t="s">
        <v>231</v>
      </c>
      <c r="D15" t="s">
        <v>417</v>
      </c>
      <c r="E15" t="s">
        <v>434</v>
      </c>
      <c r="F15" t="s">
        <v>94</v>
      </c>
      <c r="G15" t="s">
        <v>503</v>
      </c>
      <c r="H15" t="b">
        <f>_xlfn.XOR(IFERROR(MATCH(ckAwdTable[[#This Row],[st_code]],EpscorTable[],0)&gt;0,FALSE),IFERROR(FIND("9150",#REF!)&gt;0,FALSE))</f>
        <v>0</v>
      </c>
      <c r="I15" t="s">
        <v>416</v>
      </c>
      <c r="J15" s="24"/>
      <c r="K15" s="15" t="str">
        <f>HYPERLINK("mailto:"&amp; ckAwdTable[[#This Row],[email]]&amp;"&amp;subject=Your NSF Proposal:  "&amp;ckAwdTable[[#This Row],[prop_id]], ckAwdTable[[#This Row],[email]])</f>
        <v>debmalya.panigrahi@gmail.com</v>
      </c>
      <c r="L15">
        <f xml:space="preserve"> L14+(ckAwdTable[ILN]&lt;"M")</f>
        <v>14</v>
      </c>
      <c r="M15" t="s">
        <v>96</v>
      </c>
      <c r="N15" t="s">
        <v>379</v>
      </c>
      <c r="O15" s="15" t="str">
        <f>HYPERLINK("https://www.ejacket.nsf.gov/ej/showProposal.do?ID="&amp;ckAwdTable[[#This Row],[prop_id]],"eJ")</f>
        <v>eJ</v>
      </c>
      <c r="P15" t="s">
        <v>379</v>
      </c>
      <c r="Q15" t="s">
        <v>500</v>
      </c>
      <c r="R15" t="s">
        <v>501</v>
      </c>
      <c r="S15" s="33">
        <v>43160</v>
      </c>
      <c r="T15">
        <v>60</v>
      </c>
      <c r="U15"/>
      <c r="V15"/>
      <c r="W15" t="s">
        <v>505</v>
      </c>
      <c r="Y15" t="s">
        <v>284</v>
      </c>
      <c r="Z15" s="8"/>
      <c r="AA15" s="8" t="s">
        <v>182</v>
      </c>
      <c r="AB15" s="8" t="s">
        <v>181</v>
      </c>
      <c r="AC15" s="8" t="s">
        <v>179</v>
      </c>
      <c r="AD15" s="8" t="s">
        <v>987</v>
      </c>
      <c r="AE15" s="8" t="s">
        <v>233</v>
      </c>
      <c r="AF15" s="8" t="s">
        <v>502</v>
      </c>
      <c r="AG15" s="8" t="s">
        <v>504</v>
      </c>
      <c r="AH15" s="8" t="s">
        <v>423</v>
      </c>
      <c r="AI15" s="8"/>
      <c r="AJ15" s="8" t="s">
        <v>992</v>
      </c>
      <c r="AK15" s="86">
        <v>602288</v>
      </c>
      <c r="AL15" s="23">
        <v>0</v>
      </c>
      <c r="AM15" s="86">
        <v>602288</v>
      </c>
      <c r="AP15" s="86">
        <v>21026</v>
      </c>
      <c r="AR15" s="86">
        <v>16000</v>
      </c>
      <c r="AS15" s="23">
        <v>5</v>
      </c>
      <c r="AT15" s="23">
        <v>5</v>
      </c>
      <c r="AU15" s="23">
        <v>7</v>
      </c>
      <c r="BE15"/>
      <c r="BI15"/>
    </row>
    <row r="16" spans="1:61" x14ac:dyDescent="0.4">
      <c r="A16" s="33">
        <v>42935.475694444445</v>
      </c>
      <c r="B16" t="s">
        <v>266</v>
      </c>
      <c r="C16" t="s">
        <v>231</v>
      </c>
      <c r="D16" t="s">
        <v>417</v>
      </c>
      <c r="E16" t="s">
        <v>434</v>
      </c>
      <c r="F16" t="s">
        <v>94</v>
      </c>
      <c r="G16" t="s">
        <v>292</v>
      </c>
      <c r="H16" t="b">
        <f>_xlfn.XOR(IFERROR(MATCH(ckAwdTable[[#This Row],[st_code]],EpscorTable[],0)&gt;0,FALSE),IFERROR(FIND("9150",#REF!)&gt;0,FALSE))</f>
        <v>0</v>
      </c>
      <c r="I16" t="s">
        <v>416</v>
      </c>
      <c r="J16" s="24"/>
      <c r="K16" s="15" t="str">
        <f>HYPERLINK("mailto:"&amp; ckAwdTable[[#This Row],[email]]&amp;"&amp;subject=Your NSF Proposal:  "&amp;ckAwdTable[[#This Row],[prop_id]], ckAwdTable[[#This Row],[email]])</f>
        <v>mdinitz@cs.jhu.edu</v>
      </c>
      <c r="L16">
        <f xml:space="preserve"> L15+(ckAwdTable[ILN]&lt;"M")</f>
        <v>15</v>
      </c>
      <c r="M16" t="s">
        <v>96</v>
      </c>
      <c r="N16" t="s">
        <v>380</v>
      </c>
      <c r="O16" s="15" t="str">
        <f>HYPERLINK("https://www.ejacket.nsf.gov/ej/showProposal.do?ID="&amp;ckAwdTable[[#This Row],[prop_id]],"eJ")</f>
        <v>eJ</v>
      </c>
      <c r="P16" t="s">
        <v>380</v>
      </c>
      <c r="Q16" t="s">
        <v>506</v>
      </c>
      <c r="R16" t="s">
        <v>283</v>
      </c>
      <c r="S16" s="33">
        <v>43282</v>
      </c>
      <c r="T16">
        <v>60</v>
      </c>
      <c r="U16"/>
      <c r="V16"/>
      <c r="W16" t="s">
        <v>510</v>
      </c>
      <c r="Y16" t="s">
        <v>284</v>
      </c>
      <c r="Z16" s="8"/>
      <c r="AA16" s="8" t="s">
        <v>182</v>
      </c>
      <c r="AB16" s="8" t="s">
        <v>181</v>
      </c>
      <c r="AC16" s="8" t="s">
        <v>179</v>
      </c>
      <c r="AD16" s="8" t="s">
        <v>987</v>
      </c>
      <c r="AE16" s="8" t="s">
        <v>233</v>
      </c>
      <c r="AF16" s="8" t="s">
        <v>507</v>
      </c>
      <c r="AG16" s="8" t="s">
        <v>508</v>
      </c>
      <c r="AH16" s="8" t="s">
        <v>423</v>
      </c>
      <c r="AI16" s="8"/>
      <c r="AJ16" s="8" t="s">
        <v>992</v>
      </c>
      <c r="AK16" s="86">
        <v>507459</v>
      </c>
      <c r="AL16" s="23">
        <v>0</v>
      </c>
      <c r="AM16" s="86">
        <v>507459</v>
      </c>
      <c r="AP16" s="86">
        <v>4200</v>
      </c>
      <c r="AS16" s="23">
        <v>5</v>
      </c>
      <c r="AT16" s="23">
        <v>5</v>
      </c>
      <c r="AW16" s="23">
        <v>5</v>
      </c>
      <c r="BE16"/>
      <c r="BI16"/>
    </row>
    <row r="17" spans="1:61" x14ac:dyDescent="0.4">
      <c r="A17" s="33">
        <v>42935.488888888889</v>
      </c>
      <c r="B17" t="s">
        <v>266</v>
      </c>
      <c r="C17" t="s">
        <v>231</v>
      </c>
      <c r="D17" t="s">
        <v>417</v>
      </c>
      <c r="E17" t="s">
        <v>434</v>
      </c>
      <c r="F17" t="s">
        <v>94</v>
      </c>
      <c r="G17" t="s">
        <v>290</v>
      </c>
      <c r="H17" t="b">
        <f>_xlfn.XOR(IFERROR(MATCH(ckAwdTable[[#This Row],[st_code]],EpscorTable[],0)&gt;0,FALSE),IFERROR(FIND("9150",#REF!)&gt;0,FALSE))</f>
        <v>0</v>
      </c>
      <c r="I17" t="s">
        <v>416</v>
      </c>
      <c r="J17" s="24"/>
      <c r="K17" s="15" t="str">
        <f>HYPERLINK("mailto:"&amp; ckAwdTable[[#This Row],[email]]&amp;"&amp;subject=Your NSF Proposal:  "&amp;ckAwdTable[[#This Row],[prop_id]], ckAwdTable[[#This Row],[email]])</f>
        <v>aene@bu.edu</v>
      </c>
      <c r="L17">
        <f xml:space="preserve"> L16+(ckAwdTable[ILN]&lt;"M")</f>
        <v>16</v>
      </c>
      <c r="M17" t="s">
        <v>96</v>
      </c>
      <c r="N17" t="s">
        <v>381</v>
      </c>
      <c r="O17" s="15" t="str">
        <f>HYPERLINK("https://www.ejacket.nsf.gov/ej/showProposal.do?ID="&amp;ckAwdTable[[#This Row],[prop_id]],"eJ")</f>
        <v>eJ</v>
      </c>
      <c r="P17" t="s">
        <v>381</v>
      </c>
      <c r="Q17" t="s">
        <v>511</v>
      </c>
      <c r="R17" t="s">
        <v>512</v>
      </c>
      <c r="S17" s="33">
        <v>43101</v>
      </c>
      <c r="T17">
        <v>60</v>
      </c>
      <c r="U17"/>
      <c r="V17"/>
      <c r="W17" t="s">
        <v>516</v>
      </c>
      <c r="Y17" t="s">
        <v>284</v>
      </c>
      <c r="Z17" s="8"/>
      <c r="AA17" s="8" t="s">
        <v>182</v>
      </c>
      <c r="AB17" s="8" t="s">
        <v>181</v>
      </c>
      <c r="AC17" s="8" t="s">
        <v>179</v>
      </c>
      <c r="AD17" s="8" t="s">
        <v>987</v>
      </c>
      <c r="AE17" s="8" t="s">
        <v>233</v>
      </c>
      <c r="AF17" s="8" t="s">
        <v>513</v>
      </c>
      <c r="AG17" s="8" t="s">
        <v>514</v>
      </c>
      <c r="AH17" s="8" t="s">
        <v>423</v>
      </c>
      <c r="AI17" s="8"/>
      <c r="AJ17" s="8" t="s">
        <v>992</v>
      </c>
      <c r="AK17" s="86">
        <v>507423</v>
      </c>
      <c r="AL17" s="23">
        <v>0</v>
      </c>
      <c r="AM17" s="86">
        <v>507423</v>
      </c>
      <c r="AP17" s="86">
        <v>15000</v>
      </c>
      <c r="AS17" s="23">
        <v>5</v>
      </c>
      <c r="AT17" s="23">
        <v>5</v>
      </c>
      <c r="AU17" s="23">
        <v>5</v>
      </c>
      <c r="BE17"/>
      <c r="BI17"/>
    </row>
    <row r="18" spans="1:61" x14ac:dyDescent="0.4">
      <c r="A18" s="33">
        <v>42935.54583333333</v>
      </c>
      <c r="B18" t="s">
        <v>266</v>
      </c>
      <c r="C18" t="s">
        <v>231</v>
      </c>
      <c r="D18" t="s">
        <v>417</v>
      </c>
      <c r="E18" t="s">
        <v>434</v>
      </c>
      <c r="F18" t="s">
        <v>94</v>
      </c>
      <c r="G18" t="s">
        <v>520</v>
      </c>
      <c r="H18" t="b">
        <f>_xlfn.XOR(IFERROR(MATCH(ckAwdTable[[#This Row],[st_code]],EpscorTable[],0)&gt;0,FALSE),IFERROR(FIND("9150",#REF!)&gt;0,FALSE))</f>
        <v>0</v>
      </c>
      <c r="I18" t="s">
        <v>416</v>
      </c>
      <c r="J18" s="24"/>
      <c r="K18" s="15" t="str">
        <f>HYPERLINK("mailto:"&amp; ckAwdTable[[#This Row],[email]]&amp;"&amp;subject=Your NSF Proposal:  "&amp;ckAwdTable[[#This Row],[prop_id]], ckAwdTable[[#This Row],[email]])</f>
        <v>sharathr@vt.edu</v>
      </c>
      <c r="L18">
        <f xml:space="preserve"> L17+(ckAwdTable[ILN]&lt;"M")</f>
        <v>17</v>
      </c>
      <c r="M18" t="s">
        <v>96</v>
      </c>
      <c r="N18" t="s">
        <v>382</v>
      </c>
      <c r="O18" s="15" t="str">
        <f>HYPERLINK("https://www.ejacket.nsf.gov/ej/showProposal.do?ID="&amp;ckAwdTable[[#This Row],[prop_id]],"eJ")</f>
        <v>eJ</v>
      </c>
      <c r="P18" t="s">
        <v>382</v>
      </c>
      <c r="Q18" t="s">
        <v>517</v>
      </c>
      <c r="R18" t="s">
        <v>518</v>
      </c>
      <c r="S18" s="33">
        <v>43110</v>
      </c>
      <c r="T18">
        <v>60</v>
      </c>
      <c r="U18"/>
      <c r="V18"/>
      <c r="W18" t="s">
        <v>523</v>
      </c>
      <c r="Y18" t="s">
        <v>284</v>
      </c>
      <c r="Z18" s="8"/>
      <c r="AA18" s="8" t="s">
        <v>182</v>
      </c>
      <c r="AB18" s="8" t="s">
        <v>181</v>
      </c>
      <c r="AC18" s="8" t="s">
        <v>179</v>
      </c>
      <c r="AD18" s="8" t="s">
        <v>987</v>
      </c>
      <c r="AE18" s="8" t="s">
        <v>233</v>
      </c>
      <c r="AF18" s="8" t="s">
        <v>519</v>
      </c>
      <c r="AG18" s="8" t="s">
        <v>521</v>
      </c>
      <c r="AH18" s="8" t="s">
        <v>423</v>
      </c>
      <c r="AI18" s="8"/>
      <c r="AJ18" s="8" t="s">
        <v>992</v>
      </c>
      <c r="AK18" s="86">
        <v>533991</v>
      </c>
      <c r="AL18" s="23">
        <v>0</v>
      </c>
      <c r="AM18" s="86">
        <v>533991</v>
      </c>
      <c r="AP18" s="86">
        <v>7500</v>
      </c>
      <c r="AS18" s="23">
        <v>5</v>
      </c>
      <c r="AT18" s="23">
        <v>5</v>
      </c>
      <c r="AU18" s="23">
        <v>6.5</v>
      </c>
    </row>
    <row r="19" spans="1:61" x14ac:dyDescent="0.4">
      <c r="A19" s="33">
        <v>42935.633333333331</v>
      </c>
      <c r="B19" t="s">
        <v>266</v>
      </c>
      <c r="C19" t="s">
        <v>231</v>
      </c>
      <c r="D19" t="s">
        <v>417</v>
      </c>
      <c r="E19" t="s">
        <v>418</v>
      </c>
      <c r="F19" t="s">
        <v>94</v>
      </c>
      <c r="G19" t="s">
        <v>526</v>
      </c>
      <c r="H19" t="b">
        <f>_xlfn.XOR(IFERROR(MATCH(ckAwdTable[[#This Row],[st_code]],EpscorTable[],0)&gt;0,FALSE),IFERROR(FIND("9150",#REF!)&gt;0,FALSE))</f>
        <v>0</v>
      </c>
      <c r="I19" t="s">
        <v>416</v>
      </c>
      <c r="J19" s="24"/>
      <c r="K19" s="15" t="str">
        <f>HYPERLINK("mailto:"&amp; ckAwdTable[[#This Row],[email]]&amp;"&amp;subject=Your NSF Proposal:  "&amp;ckAwdTable[[#This Row],[prop_id]], ckAwdTable[[#This Row],[email]])</f>
        <v>Benjamin.Raichel@utdallas.edu</v>
      </c>
      <c r="L19">
        <f xml:space="preserve"> L18+(ckAwdTable[ILN]&lt;"M")</f>
        <v>18</v>
      </c>
      <c r="M19" t="s">
        <v>96</v>
      </c>
      <c r="N19" t="s">
        <v>383</v>
      </c>
      <c r="O19" s="15" t="str">
        <f>HYPERLINK("https://www.ejacket.nsf.gov/ej/showProposal.do?ID="&amp;ckAwdTable[[#This Row],[prop_id]],"eJ")</f>
        <v>eJ</v>
      </c>
      <c r="P19" t="s">
        <v>383</v>
      </c>
      <c r="Q19" t="s">
        <v>524</v>
      </c>
      <c r="R19" t="s">
        <v>272</v>
      </c>
      <c r="S19" s="33">
        <v>43344</v>
      </c>
      <c r="T19">
        <v>60</v>
      </c>
      <c r="U19"/>
      <c r="V19"/>
      <c r="W19" t="s">
        <v>528</v>
      </c>
      <c r="Y19" t="s">
        <v>284</v>
      </c>
      <c r="Z19" s="8"/>
      <c r="AA19" s="8" t="s">
        <v>182</v>
      </c>
      <c r="AB19" s="8" t="s">
        <v>181</v>
      </c>
      <c r="AC19" s="8" t="s">
        <v>179</v>
      </c>
      <c r="AD19" s="8" t="s">
        <v>987</v>
      </c>
      <c r="AE19" s="8" t="s">
        <v>233</v>
      </c>
      <c r="AF19" s="8" t="s">
        <v>525</v>
      </c>
      <c r="AG19" s="8" t="s">
        <v>527</v>
      </c>
      <c r="AH19" s="8" t="s">
        <v>431</v>
      </c>
      <c r="AI19" s="8"/>
      <c r="AJ19" s="8" t="s">
        <v>992</v>
      </c>
      <c r="AK19" s="86">
        <v>582785</v>
      </c>
      <c r="AL19" s="23">
        <v>0</v>
      </c>
      <c r="AM19" s="86">
        <v>582785</v>
      </c>
      <c r="AP19" s="86">
        <v>7500</v>
      </c>
      <c r="AS19" s="23">
        <v>10</v>
      </c>
      <c r="AT19" s="23">
        <v>5</v>
      </c>
      <c r="AU19" s="23">
        <v>5</v>
      </c>
    </row>
    <row r="20" spans="1:61" x14ac:dyDescent="0.4">
      <c r="A20" s="33">
        <v>42935.680555555555</v>
      </c>
      <c r="B20" t="s">
        <v>266</v>
      </c>
      <c r="C20" t="s">
        <v>231</v>
      </c>
      <c r="D20" t="s">
        <v>417</v>
      </c>
      <c r="E20" t="s">
        <v>418</v>
      </c>
      <c r="F20" t="s">
        <v>94</v>
      </c>
      <c r="G20" t="s">
        <v>526</v>
      </c>
      <c r="H20" t="b">
        <f>_xlfn.XOR(IFERROR(MATCH(ckAwdTable[[#This Row],[st_code]],EpscorTable[],0)&gt;0,FALSE),IFERROR(FIND("9150",#REF!)&gt;0,FALSE))</f>
        <v>0</v>
      </c>
      <c r="I20" t="s">
        <v>416</v>
      </c>
      <c r="J20" s="24"/>
      <c r="K20" s="15" t="str">
        <f>HYPERLINK("mailto:"&amp; ckAwdTable[[#This Row],[email]]&amp;"&amp;subject=Your NSF Proposal:  "&amp;ckAwdTable[[#This Row],[prop_id]], ckAwdTable[[#This Row],[email]])</f>
        <v>MATTHEW.GIBSON@UTSA.EDU</v>
      </c>
      <c r="L20">
        <f xml:space="preserve"> L19+(ckAwdTable[ILN]&lt;"M")</f>
        <v>19</v>
      </c>
      <c r="M20" t="s">
        <v>96</v>
      </c>
      <c r="N20" t="s">
        <v>384</v>
      </c>
      <c r="O20" s="15" t="str">
        <f>HYPERLINK("https://www.ejacket.nsf.gov/ej/showProposal.do?ID="&amp;ckAwdTable[[#This Row],[prop_id]],"eJ")</f>
        <v>eJ</v>
      </c>
      <c r="P20" t="s">
        <v>384</v>
      </c>
      <c r="Q20" t="s">
        <v>529</v>
      </c>
      <c r="R20" t="s">
        <v>530</v>
      </c>
      <c r="S20" s="33">
        <v>43132</v>
      </c>
      <c r="T20">
        <v>60</v>
      </c>
      <c r="U20"/>
      <c r="V20"/>
      <c r="W20" t="s">
        <v>534</v>
      </c>
      <c r="Y20" t="s">
        <v>284</v>
      </c>
      <c r="Z20" s="8"/>
      <c r="AA20" s="8" t="s">
        <v>182</v>
      </c>
      <c r="AB20" s="8" t="s">
        <v>181</v>
      </c>
      <c r="AC20" s="8" t="s">
        <v>179</v>
      </c>
      <c r="AD20" s="8" t="s">
        <v>987</v>
      </c>
      <c r="AE20" s="8" t="s">
        <v>233</v>
      </c>
      <c r="AF20" s="8" t="s">
        <v>531</v>
      </c>
      <c r="AG20" s="8" t="s">
        <v>532</v>
      </c>
      <c r="AH20" s="8" t="s">
        <v>431</v>
      </c>
      <c r="AI20" s="8"/>
      <c r="AJ20" s="8" t="s">
        <v>992</v>
      </c>
      <c r="AK20" s="86">
        <v>415497</v>
      </c>
      <c r="AL20" s="23">
        <v>0</v>
      </c>
      <c r="AM20" s="86">
        <v>415497</v>
      </c>
      <c r="AP20" s="86">
        <v>12250</v>
      </c>
      <c r="AR20" s="86">
        <v>16000</v>
      </c>
      <c r="AS20" s="23">
        <v>5</v>
      </c>
      <c r="AT20" s="23">
        <v>5</v>
      </c>
      <c r="AU20" s="23">
        <v>5</v>
      </c>
    </row>
    <row r="21" spans="1:61" x14ac:dyDescent="0.4">
      <c r="A21" s="33">
        <v>42935.69027777778</v>
      </c>
      <c r="B21" t="s">
        <v>266</v>
      </c>
      <c r="C21" t="s">
        <v>231</v>
      </c>
      <c r="D21" t="s">
        <v>417</v>
      </c>
      <c r="E21" t="s">
        <v>418</v>
      </c>
      <c r="F21" t="s">
        <v>94</v>
      </c>
      <c r="G21" t="s">
        <v>526</v>
      </c>
      <c r="H21" t="b">
        <f>_xlfn.XOR(IFERROR(MATCH(ckAwdTable[[#This Row],[st_code]],EpscorTable[],0)&gt;0,FALSE),IFERROR(FIND("9150",#REF!)&gt;0,FALSE))</f>
        <v>0</v>
      </c>
      <c r="I21" t="s">
        <v>416</v>
      </c>
      <c r="J21" s="24"/>
      <c r="K21" s="15" t="str">
        <f>HYPERLINK("mailto:"&amp; ckAwdTable[[#This Row],[email]]&amp;"&amp;subject=Your NSF Proposal:  "&amp;ckAwdTable[[#This Row],[prop_id]], ckAwdTable[[#This Row],[email]])</f>
        <v>evouga@cs.utexas.edu</v>
      </c>
      <c r="L21">
        <f xml:space="preserve"> L20+(ckAwdTable[ILN]&lt;"M")</f>
        <v>20</v>
      </c>
      <c r="M21" t="s">
        <v>96</v>
      </c>
      <c r="N21" t="s">
        <v>385</v>
      </c>
      <c r="O21" s="15" t="str">
        <f>HYPERLINK("https://www.ejacket.nsf.gov/ej/showProposal.do?ID="&amp;ckAwdTable[[#This Row],[prop_id]],"eJ")</f>
        <v>eJ</v>
      </c>
      <c r="P21" t="s">
        <v>385</v>
      </c>
      <c r="Q21" t="s">
        <v>535</v>
      </c>
      <c r="R21" t="s">
        <v>536</v>
      </c>
      <c r="S21" s="33">
        <v>43344</v>
      </c>
      <c r="T21">
        <v>60</v>
      </c>
      <c r="U21"/>
      <c r="V21"/>
      <c r="W21" t="s">
        <v>539</v>
      </c>
      <c r="Y21" t="s">
        <v>284</v>
      </c>
      <c r="Z21" s="8"/>
      <c r="AA21" s="8" t="s">
        <v>182</v>
      </c>
      <c r="AB21" s="8" t="s">
        <v>181</v>
      </c>
      <c r="AC21" s="8" t="s">
        <v>179</v>
      </c>
      <c r="AD21" s="8" t="s">
        <v>987</v>
      </c>
      <c r="AE21" s="8" t="s">
        <v>233</v>
      </c>
      <c r="AF21" s="8" t="s">
        <v>537</v>
      </c>
      <c r="AG21" s="8" t="s">
        <v>538</v>
      </c>
      <c r="AH21" s="8" t="s">
        <v>431</v>
      </c>
      <c r="AI21" s="8"/>
      <c r="AJ21" s="8" t="s">
        <v>992</v>
      </c>
      <c r="AK21" s="86">
        <v>523537</v>
      </c>
      <c r="AL21" s="23">
        <v>0</v>
      </c>
      <c r="AM21" s="86">
        <v>523537</v>
      </c>
      <c r="AP21" s="86">
        <v>15000</v>
      </c>
      <c r="AS21" s="23">
        <v>7</v>
      </c>
      <c r="AT21" s="23">
        <v>5</v>
      </c>
      <c r="AU21" s="23">
        <v>2</v>
      </c>
    </row>
    <row r="22" spans="1:61" x14ac:dyDescent="0.4">
      <c r="A22" s="33">
        <v>42935.696527777778</v>
      </c>
      <c r="B22" t="s">
        <v>266</v>
      </c>
      <c r="C22" t="s">
        <v>231</v>
      </c>
      <c r="D22" t="s">
        <v>417</v>
      </c>
      <c r="E22" t="s">
        <v>418</v>
      </c>
      <c r="F22" t="s">
        <v>94</v>
      </c>
      <c r="G22" t="s">
        <v>543</v>
      </c>
      <c r="H22" t="b">
        <f>_xlfn.XOR(IFERROR(MATCH(ckAwdTable[[#This Row],[st_code]],EpscorTable[],0)&gt;0,FALSE),IFERROR(FIND("9150",#REF!)&gt;0,FALSE))</f>
        <v>0</v>
      </c>
      <c r="I22" t="s">
        <v>416</v>
      </c>
      <c r="J22" s="24"/>
      <c r="K22" s="15" t="str">
        <f>HYPERLINK("mailto:"&amp; ckAwdTable[[#This Row],[email]]&amp;"&amp;subject=Your NSF Proposal:  "&amp;ckAwdTable[[#This Row],[prop_id]], ckAwdTable[[#This Row],[email]])</f>
        <v>nayyeria@eecs.oregonstate.edu</v>
      </c>
      <c r="L22">
        <f xml:space="preserve"> L21+(ckAwdTable[ILN]&lt;"M")</f>
        <v>21</v>
      </c>
      <c r="M22" t="s">
        <v>96</v>
      </c>
      <c r="N22" t="s">
        <v>386</v>
      </c>
      <c r="O22" s="15" t="str">
        <f>HYPERLINK("https://www.ejacket.nsf.gov/ej/showProposal.do?ID="&amp;ckAwdTable[[#This Row],[prop_id]],"eJ")</f>
        <v>eJ</v>
      </c>
      <c r="P22" t="s">
        <v>386</v>
      </c>
      <c r="Q22" t="s">
        <v>540</v>
      </c>
      <c r="R22" t="s">
        <v>541</v>
      </c>
      <c r="S22" s="33">
        <v>43344</v>
      </c>
      <c r="T22">
        <v>60</v>
      </c>
      <c r="U22"/>
      <c r="V22"/>
      <c r="W22" t="s">
        <v>546</v>
      </c>
      <c r="Y22" t="s">
        <v>284</v>
      </c>
      <c r="Z22" s="8"/>
      <c r="AA22" s="8" t="s">
        <v>182</v>
      </c>
      <c r="AB22" s="8" t="s">
        <v>181</v>
      </c>
      <c r="AC22" s="8" t="s">
        <v>179</v>
      </c>
      <c r="AD22" s="8" t="s">
        <v>987</v>
      </c>
      <c r="AE22" s="8" t="s">
        <v>233</v>
      </c>
      <c r="AF22" s="8" t="s">
        <v>542</v>
      </c>
      <c r="AG22" s="8" t="s">
        <v>544</v>
      </c>
      <c r="AH22" s="8" t="s">
        <v>431</v>
      </c>
      <c r="AI22" s="8"/>
      <c r="AJ22" s="8" t="s">
        <v>992</v>
      </c>
      <c r="AK22" s="86">
        <v>607459</v>
      </c>
      <c r="AL22" s="23">
        <v>0</v>
      </c>
      <c r="AM22" s="86">
        <v>607459</v>
      </c>
      <c r="AP22" s="86">
        <v>23133</v>
      </c>
      <c r="AR22" s="86">
        <v>5500</v>
      </c>
      <c r="AS22" s="23">
        <v>5</v>
      </c>
      <c r="AT22" s="23">
        <v>5</v>
      </c>
      <c r="AU22" s="23">
        <v>4.5</v>
      </c>
    </row>
    <row r="23" spans="1:61" x14ac:dyDescent="0.4">
      <c r="A23" s="33">
        <v>42935.723611111112</v>
      </c>
      <c r="B23" t="s">
        <v>266</v>
      </c>
      <c r="C23" t="s">
        <v>231</v>
      </c>
      <c r="D23" t="s">
        <v>417</v>
      </c>
      <c r="E23" t="s">
        <v>463</v>
      </c>
      <c r="F23" t="s">
        <v>94</v>
      </c>
      <c r="G23" t="s">
        <v>114</v>
      </c>
      <c r="H23" t="b">
        <f>_xlfn.XOR(IFERROR(MATCH(ckAwdTable[[#This Row],[st_code]],EpscorTable[],0)&gt;0,FALSE),IFERROR(FIND("9150",#REF!)&gt;0,FALSE))</f>
        <v>1</v>
      </c>
      <c r="I23" t="s">
        <v>416</v>
      </c>
      <c r="J23" s="24"/>
      <c r="K23" s="15" t="str">
        <f>HYPERLINK("mailto:"&amp; ckAwdTable[[#This Row],[email]]&amp;"&amp;subject=Your NSF Proposal:  "&amp;ckAwdTable[[#This Row],[prop_id]], ckAwdTable[[#This Row],[email]])</f>
        <v>brittany@cs.montana.edu</v>
      </c>
      <c r="L23">
        <f xml:space="preserve"> L22+(ckAwdTable[ILN]&lt;"M")</f>
        <v>22</v>
      </c>
      <c r="M23" t="s">
        <v>96</v>
      </c>
      <c r="N23" t="s">
        <v>387</v>
      </c>
      <c r="O23" s="15" t="str">
        <f>HYPERLINK("https://www.ejacket.nsf.gov/ej/showProposal.do?ID="&amp;ckAwdTable[[#This Row],[prop_id]],"eJ")</f>
        <v>eJ</v>
      </c>
      <c r="P23" t="s">
        <v>387</v>
      </c>
      <c r="Q23" t="s">
        <v>547</v>
      </c>
      <c r="R23" t="s">
        <v>548</v>
      </c>
      <c r="S23" s="33">
        <v>43344</v>
      </c>
      <c r="T23">
        <v>60</v>
      </c>
      <c r="U23" t="s">
        <v>995</v>
      </c>
      <c r="V23"/>
      <c r="W23" t="s">
        <v>552</v>
      </c>
      <c r="Y23" t="s">
        <v>996</v>
      </c>
      <c r="Z23" s="8"/>
      <c r="AA23" s="8" t="s">
        <v>182</v>
      </c>
      <c r="AB23" s="8" t="s">
        <v>181</v>
      </c>
      <c r="AC23" s="8" t="s">
        <v>179</v>
      </c>
      <c r="AD23" s="8" t="s">
        <v>987</v>
      </c>
      <c r="AE23" s="8" t="s">
        <v>233</v>
      </c>
      <c r="AF23" s="8" t="s">
        <v>549</v>
      </c>
      <c r="AG23" s="8" t="s">
        <v>550</v>
      </c>
      <c r="AH23" s="8" t="s">
        <v>551</v>
      </c>
      <c r="AI23" s="8"/>
      <c r="AJ23" s="8" t="s">
        <v>992</v>
      </c>
      <c r="AK23" s="86">
        <v>552355</v>
      </c>
      <c r="AL23" s="23">
        <v>0</v>
      </c>
      <c r="AM23" s="86">
        <v>552355</v>
      </c>
      <c r="AP23" s="86">
        <v>13000</v>
      </c>
      <c r="AS23" s="23">
        <v>12</v>
      </c>
      <c r="AT23" s="23">
        <v>5</v>
      </c>
      <c r="AU23" s="23">
        <v>5</v>
      </c>
    </row>
    <row r="24" spans="1:61" x14ac:dyDescent="0.4">
      <c r="A24" s="33">
        <v>42935.851388888892</v>
      </c>
      <c r="B24" t="s">
        <v>266</v>
      </c>
      <c r="C24" t="s">
        <v>231</v>
      </c>
      <c r="D24" t="s">
        <v>417</v>
      </c>
      <c r="E24" t="s">
        <v>434</v>
      </c>
      <c r="F24" t="s">
        <v>94</v>
      </c>
      <c r="G24" t="s">
        <v>101</v>
      </c>
      <c r="H24" t="b">
        <f>_xlfn.XOR(IFERROR(MATCH(ckAwdTable[[#This Row],[st_code]],EpscorTable[],0)&gt;0,FALSE),IFERROR(FIND("9150",#REF!)&gt;0,FALSE))</f>
        <v>1</v>
      </c>
      <c r="I24" t="s">
        <v>416</v>
      </c>
      <c r="J24" s="24"/>
      <c r="K24" s="15" t="str">
        <f>HYPERLINK("mailto:"&amp; ckAwdTable[[#This Row],[email]]&amp;"&amp;subject=Your NSF Proposal:  "&amp;ckAwdTable[[#This Row],[prop_id]], ckAwdTable[[#This Row],[email]])</f>
        <v>nodari@hawaii.edu</v>
      </c>
      <c r="L24">
        <f xml:space="preserve"> L23+(ckAwdTable[ILN]&lt;"M")</f>
        <v>23</v>
      </c>
      <c r="M24" t="s">
        <v>96</v>
      </c>
      <c r="N24" t="s">
        <v>388</v>
      </c>
      <c r="O24" s="15" t="str">
        <f>HYPERLINK("https://www.ejacket.nsf.gov/ej/showProposal.do?ID="&amp;ckAwdTable[[#This Row],[prop_id]],"eJ")</f>
        <v>eJ</v>
      </c>
      <c r="P24" t="s">
        <v>388</v>
      </c>
      <c r="Q24" t="s">
        <v>553</v>
      </c>
      <c r="R24" t="s">
        <v>554</v>
      </c>
      <c r="S24" s="33">
        <v>43160</v>
      </c>
      <c r="T24">
        <v>60</v>
      </c>
      <c r="U24"/>
      <c r="V24"/>
      <c r="W24" t="s">
        <v>559</v>
      </c>
      <c r="Y24" t="s">
        <v>284</v>
      </c>
      <c r="Z24" s="8"/>
      <c r="AA24" s="8" t="s">
        <v>182</v>
      </c>
      <c r="AB24" s="8" t="s">
        <v>181</v>
      </c>
      <c r="AC24" s="8" t="s">
        <v>179</v>
      </c>
      <c r="AD24" s="8" t="s">
        <v>987</v>
      </c>
      <c r="AE24" s="8" t="s">
        <v>233</v>
      </c>
      <c r="AF24" s="8" t="s">
        <v>555</v>
      </c>
      <c r="AG24" s="8" t="s">
        <v>556</v>
      </c>
      <c r="AH24" s="8" t="s">
        <v>557</v>
      </c>
      <c r="AI24" s="8"/>
      <c r="AJ24" s="8" t="s">
        <v>992</v>
      </c>
      <c r="AK24" s="86">
        <v>549999</v>
      </c>
      <c r="AL24" s="23">
        <v>0</v>
      </c>
      <c r="AM24" s="86">
        <v>549999</v>
      </c>
      <c r="AP24" s="86">
        <v>20000</v>
      </c>
      <c r="AS24" s="23">
        <v>5</v>
      </c>
      <c r="AT24" s="23">
        <v>5</v>
      </c>
      <c r="AU24" s="23">
        <v>5</v>
      </c>
      <c r="AV24" s="23">
        <v>4.5199999999999996</v>
      </c>
    </row>
    <row r="25" spans="1:61" x14ac:dyDescent="0.4">
      <c r="A25" s="33">
        <v>42954.500694444447</v>
      </c>
      <c r="B25" t="s">
        <v>561</v>
      </c>
      <c r="C25" t="s">
        <v>231</v>
      </c>
      <c r="D25" t="s">
        <v>562</v>
      </c>
      <c r="E25" t="s">
        <v>434</v>
      </c>
      <c r="F25" t="s">
        <v>94</v>
      </c>
      <c r="G25" t="s">
        <v>293</v>
      </c>
      <c r="H25" t="b">
        <f>_xlfn.XOR(IFERROR(MATCH(ckAwdTable[[#This Row],[st_code]],EpscorTable[],0)&gt;0,FALSE),IFERROR(FIND("9150",#REF!)&gt;0,FALSE))</f>
        <v>0</v>
      </c>
      <c r="I25" t="s">
        <v>560</v>
      </c>
      <c r="J25" s="24"/>
      <c r="K25" s="15" t="str">
        <f>HYPERLINK("mailto:"&amp; ckAwdTable[[#This Row],[email]]&amp;"&amp;subject=Your NSF Proposal:  "&amp;ckAwdTable[[#This Row],[prop_id]], ckAwdTable[[#This Row],[email]])</f>
        <v>kwang@georgiasouthern.edu</v>
      </c>
      <c r="L25">
        <f xml:space="preserve"> L24+(ckAwdTable[ILN]&lt;"M")</f>
        <v>24</v>
      </c>
      <c r="M25" t="s">
        <v>96</v>
      </c>
      <c r="N25" t="s">
        <v>389</v>
      </c>
      <c r="O25" s="15" t="str">
        <f>HYPERLINK("https://www.ejacket.nsf.gov/ej/showProposal.do?ID="&amp;ckAwdTable[[#This Row],[prop_id]],"eJ")</f>
        <v>eJ</v>
      </c>
      <c r="P25" t="s">
        <v>389</v>
      </c>
      <c r="Q25" t="s">
        <v>426</v>
      </c>
      <c r="R25" t="s">
        <v>563</v>
      </c>
      <c r="S25" s="33">
        <v>43101</v>
      </c>
      <c r="T25">
        <v>24</v>
      </c>
      <c r="U25"/>
      <c r="V25"/>
      <c r="W25" t="s">
        <v>568</v>
      </c>
      <c r="Z25" s="8"/>
      <c r="AA25" s="8" t="s">
        <v>182</v>
      </c>
      <c r="AB25" s="8" t="s">
        <v>181</v>
      </c>
      <c r="AC25" s="8" t="s">
        <v>179</v>
      </c>
      <c r="AD25" s="8" t="s">
        <v>987</v>
      </c>
      <c r="AE25" s="8" t="s">
        <v>233</v>
      </c>
      <c r="AF25" s="8" t="s">
        <v>564</v>
      </c>
      <c r="AG25" s="8" t="s">
        <v>565</v>
      </c>
      <c r="AH25" s="8" t="s">
        <v>566</v>
      </c>
      <c r="AI25" s="8"/>
      <c r="AJ25" s="8" t="s">
        <v>992</v>
      </c>
      <c r="AK25" s="86">
        <v>168126</v>
      </c>
      <c r="AL25" s="23">
        <v>0</v>
      </c>
      <c r="AM25" s="86">
        <v>168126</v>
      </c>
      <c r="AS25" s="23">
        <v>4</v>
      </c>
    </row>
    <row r="26" spans="1:61" x14ac:dyDescent="0.4">
      <c r="A26" s="33">
        <v>42956.472222222219</v>
      </c>
      <c r="B26" t="s">
        <v>561</v>
      </c>
      <c r="C26" t="s">
        <v>231</v>
      </c>
      <c r="D26" t="s">
        <v>562</v>
      </c>
      <c r="E26" t="s">
        <v>418</v>
      </c>
      <c r="F26" t="s">
        <v>94</v>
      </c>
      <c r="G26" t="s">
        <v>572</v>
      </c>
      <c r="H26" t="b">
        <f>_xlfn.XOR(IFERROR(MATCH(ckAwdTable[[#This Row],[st_code]],EpscorTable[],0)&gt;0,FALSE),IFERROR(FIND("9150",#REF!)&gt;0,FALSE))</f>
        <v>0</v>
      </c>
      <c r="I26" t="s">
        <v>560</v>
      </c>
      <c r="J26" s="24"/>
      <c r="K26" s="15" t="str">
        <f>HYPERLINK("mailto:"&amp; ckAwdTable[[#This Row],[email]]&amp;"&amp;subject=Your NSF Proposal:  "&amp;ckAwdTable[[#This Row],[prop_id]], ckAwdTable[[#This Row],[email]])</f>
        <v>hcharkhgard@usf.edu</v>
      </c>
      <c r="L26">
        <f xml:space="preserve"> L25+(ckAwdTable[ILN]&lt;"M")</f>
        <v>25</v>
      </c>
      <c r="M26" t="s">
        <v>96</v>
      </c>
      <c r="N26" t="s">
        <v>390</v>
      </c>
      <c r="O26" s="15" t="str">
        <f>HYPERLINK("https://www.ejacket.nsf.gov/ej/showProposal.do?ID="&amp;ckAwdTable[[#This Row],[prop_id]],"eJ")</f>
        <v>eJ</v>
      </c>
      <c r="P26" t="s">
        <v>390</v>
      </c>
      <c r="Q26" t="s">
        <v>569</v>
      </c>
      <c r="R26" t="s">
        <v>570</v>
      </c>
      <c r="S26" s="33">
        <v>43221</v>
      </c>
      <c r="T26">
        <v>24</v>
      </c>
      <c r="U26"/>
      <c r="V26"/>
      <c r="W26" t="s">
        <v>575</v>
      </c>
      <c r="Z26" s="8"/>
      <c r="AA26" s="8" t="s">
        <v>182</v>
      </c>
      <c r="AB26" s="8" t="s">
        <v>181</v>
      </c>
      <c r="AC26" s="8" t="s">
        <v>179</v>
      </c>
      <c r="AD26" s="8" t="s">
        <v>987</v>
      </c>
      <c r="AE26" s="8" t="s">
        <v>233</v>
      </c>
      <c r="AF26" s="8" t="s">
        <v>571</v>
      </c>
      <c r="AG26" s="8" t="s">
        <v>573</v>
      </c>
      <c r="AH26" s="8" t="s">
        <v>566</v>
      </c>
      <c r="AI26" s="8"/>
      <c r="AJ26" s="8" t="s">
        <v>992</v>
      </c>
      <c r="AK26" s="86">
        <v>172682</v>
      </c>
      <c r="AL26" s="23">
        <v>0</v>
      </c>
      <c r="AM26" s="86">
        <v>172682</v>
      </c>
      <c r="AS26" s="23">
        <v>4</v>
      </c>
    </row>
    <row r="27" spans="1:61" x14ac:dyDescent="0.4">
      <c r="A27" s="33">
        <v>42956.581944444442</v>
      </c>
      <c r="B27" t="s">
        <v>561</v>
      </c>
      <c r="C27" t="s">
        <v>231</v>
      </c>
      <c r="D27" t="s">
        <v>562</v>
      </c>
      <c r="E27" t="s">
        <v>434</v>
      </c>
      <c r="F27" t="s">
        <v>94</v>
      </c>
      <c r="G27" t="s">
        <v>291</v>
      </c>
      <c r="H27" t="b">
        <f>_xlfn.XOR(IFERROR(MATCH(ckAwdTable[[#This Row],[st_code]],EpscorTable[],0)&gt;0,FALSE),IFERROR(FIND("9150",#REF!)&gt;0,FALSE))</f>
        <v>0</v>
      </c>
      <c r="I27" t="s">
        <v>560</v>
      </c>
      <c r="J27" s="24"/>
      <c r="K27" s="15" t="str">
        <f>HYPERLINK("mailto:"&amp; ckAwdTable[[#This Row],[email]]&amp;"&amp;subject=Your NSF Proposal:  "&amp;ckAwdTable[[#This Row],[prop_id]], ckAwdTable[[#This Row],[email]])</f>
        <v>Mayank.Goswami@qc.cuny.edu</v>
      </c>
      <c r="L27">
        <f xml:space="preserve"> L26+(ckAwdTable[ILN]&lt;"M")</f>
        <v>26</v>
      </c>
      <c r="M27" t="s">
        <v>96</v>
      </c>
      <c r="N27" t="s">
        <v>391</v>
      </c>
      <c r="O27" s="15" t="str">
        <f>HYPERLINK("https://www.ejacket.nsf.gov/ej/showProposal.do?ID="&amp;ckAwdTable[[#This Row],[prop_id]],"eJ")</f>
        <v>eJ</v>
      </c>
      <c r="P27" t="s">
        <v>391</v>
      </c>
      <c r="Q27" t="s">
        <v>576</v>
      </c>
      <c r="R27" t="s">
        <v>577</v>
      </c>
      <c r="S27" s="33">
        <v>43344</v>
      </c>
      <c r="T27">
        <v>24</v>
      </c>
      <c r="U27"/>
      <c r="V27"/>
      <c r="W27" t="s">
        <v>581</v>
      </c>
      <c r="X27" t="s">
        <v>933</v>
      </c>
      <c r="Y27" t="s">
        <v>997</v>
      </c>
      <c r="Z27" s="8"/>
      <c r="AA27" s="8" t="s">
        <v>182</v>
      </c>
      <c r="AB27" s="8" t="s">
        <v>181</v>
      </c>
      <c r="AC27" s="8" t="s">
        <v>179</v>
      </c>
      <c r="AD27" s="8" t="s">
        <v>987</v>
      </c>
      <c r="AE27" s="8" t="s">
        <v>233</v>
      </c>
      <c r="AF27" s="8" t="s">
        <v>578</v>
      </c>
      <c r="AG27" s="8" t="s">
        <v>579</v>
      </c>
      <c r="AH27" s="8" t="s">
        <v>566</v>
      </c>
      <c r="AI27" s="8"/>
      <c r="AJ27" s="8" t="s">
        <v>992</v>
      </c>
      <c r="AK27" s="86">
        <v>175000</v>
      </c>
      <c r="AL27" s="23">
        <v>0</v>
      </c>
      <c r="AM27" s="86">
        <v>175000</v>
      </c>
      <c r="AP27" s="86">
        <v>10000</v>
      </c>
      <c r="AS27" s="23">
        <v>2</v>
      </c>
    </row>
    <row r="28" spans="1:61" x14ac:dyDescent="0.4">
      <c r="A28" s="33">
        <v>42956.621527777781</v>
      </c>
      <c r="B28" t="s">
        <v>561</v>
      </c>
      <c r="C28" t="s">
        <v>231</v>
      </c>
      <c r="D28" t="s">
        <v>562</v>
      </c>
      <c r="E28" t="s">
        <v>463</v>
      </c>
      <c r="F28" t="s">
        <v>94</v>
      </c>
      <c r="G28" t="s">
        <v>467</v>
      </c>
      <c r="H28" t="b">
        <f>_xlfn.XOR(IFERROR(MATCH(ckAwdTable[[#This Row],[st_code]],EpscorTable[],0)&gt;0,FALSE),IFERROR(FIND("9150",#REF!)&gt;0,FALSE))</f>
        <v>0</v>
      </c>
      <c r="I28" t="s">
        <v>560</v>
      </c>
      <c r="J28" s="24"/>
      <c r="K28" s="15" t="str">
        <f>HYPERLINK("mailto:"&amp; ckAwdTable[[#This Row],[email]]&amp;"&amp;subject=Your NSF Proposal:  "&amp;ckAwdTable[[#This Row],[prop_id]], ckAwdTable[[#This Row],[email]])</f>
        <v>ruoyus@illinois.edu</v>
      </c>
      <c r="L28">
        <f xml:space="preserve"> L27+(ckAwdTable[ILN]&lt;"M")</f>
        <v>27</v>
      </c>
      <c r="M28" t="s">
        <v>96</v>
      </c>
      <c r="N28" t="s">
        <v>392</v>
      </c>
      <c r="O28" s="15" t="str">
        <f>HYPERLINK("https://www.ejacket.nsf.gov/ej/showProposal.do?ID="&amp;ckAwdTable[[#This Row],[prop_id]],"eJ")</f>
        <v>eJ</v>
      </c>
      <c r="P28" t="s">
        <v>392</v>
      </c>
      <c r="Q28" t="s">
        <v>582</v>
      </c>
      <c r="R28" t="s">
        <v>583</v>
      </c>
      <c r="S28" s="33">
        <v>43282</v>
      </c>
      <c r="T28">
        <v>24</v>
      </c>
      <c r="U28"/>
      <c r="V28"/>
      <c r="W28" t="s">
        <v>587</v>
      </c>
      <c r="Y28" t="s">
        <v>284</v>
      </c>
      <c r="Z28" s="8"/>
      <c r="AA28" s="8" t="s">
        <v>182</v>
      </c>
      <c r="AB28" s="8" t="s">
        <v>181</v>
      </c>
      <c r="AC28" s="8" t="s">
        <v>179</v>
      </c>
      <c r="AD28" s="8" t="s">
        <v>987</v>
      </c>
      <c r="AE28" s="8" t="s">
        <v>233</v>
      </c>
      <c r="AF28" s="8" t="s">
        <v>466</v>
      </c>
      <c r="AG28" s="8" t="s">
        <v>584</v>
      </c>
      <c r="AH28" s="8" t="s">
        <v>585</v>
      </c>
      <c r="AI28" s="8"/>
      <c r="AJ28" s="8" t="s">
        <v>992</v>
      </c>
      <c r="AK28" s="86">
        <v>175000</v>
      </c>
      <c r="AL28" s="23">
        <v>0</v>
      </c>
      <c r="AM28" s="86">
        <v>175000</v>
      </c>
      <c r="AP28" s="86">
        <v>4000</v>
      </c>
      <c r="AS28" s="23">
        <v>4</v>
      </c>
    </row>
    <row r="29" spans="1:61" x14ac:dyDescent="0.4">
      <c r="A29" s="33">
        <v>42956.647916666669</v>
      </c>
      <c r="B29" t="s">
        <v>561</v>
      </c>
      <c r="C29" t="s">
        <v>231</v>
      </c>
      <c r="D29" t="s">
        <v>562</v>
      </c>
      <c r="E29" t="s">
        <v>418</v>
      </c>
      <c r="F29" t="s">
        <v>94</v>
      </c>
      <c r="G29" t="s">
        <v>120</v>
      </c>
      <c r="H29" t="b">
        <f>_xlfn.XOR(IFERROR(MATCH(ckAwdTable[[#This Row],[st_code]],EpscorTable[],0)&gt;0,FALSE),IFERROR(FIND("9150",#REF!)&gt;0,FALSE))</f>
        <v>1</v>
      </c>
      <c r="I29" t="s">
        <v>560</v>
      </c>
      <c r="J29" s="24"/>
      <c r="K29" s="15" t="str">
        <f>HYPERLINK("mailto:"&amp; ckAwdTable[[#This Row],[email]]&amp;"&amp;subject=Your NSF Proposal:  "&amp;ckAwdTable[[#This Row],[prop_id]], ckAwdTable[[#This Row],[email]])</f>
        <v>osan@okstate.edu</v>
      </c>
      <c r="L29">
        <f xml:space="preserve"> L28+(ckAwdTable[ILN]&lt;"M")</f>
        <v>28</v>
      </c>
      <c r="M29" t="s">
        <v>96</v>
      </c>
      <c r="N29" t="s">
        <v>393</v>
      </c>
      <c r="O29" s="15" t="str">
        <f>HYPERLINK("https://www.ejacket.nsf.gov/ej/showProposal.do?ID="&amp;ckAwdTable[[#This Row],[prop_id]],"eJ")</f>
        <v>eJ</v>
      </c>
      <c r="P29" t="s">
        <v>393</v>
      </c>
      <c r="Q29" t="s">
        <v>588</v>
      </c>
      <c r="R29" t="s">
        <v>589</v>
      </c>
      <c r="S29" s="33">
        <v>43252</v>
      </c>
      <c r="T29">
        <v>24</v>
      </c>
      <c r="U29"/>
      <c r="V29"/>
      <c r="W29" t="s">
        <v>594</v>
      </c>
      <c r="Z29" s="8"/>
      <c r="AA29" s="8" t="s">
        <v>182</v>
      </c>
      <c r="AB29" s="8" t="s">
        <v>181</v>
      </c>
      <c r="AC29" s="8" t="s">
        <v>179</v>
      </c>
      <c r="AD29" s="8" t="s">
        <v>987</v>
      </c>
      <c r="AE29" s="8" t="s">
        <v>233</v>
      </c>
      <c r="AF29" s="8" t="s">
        <v>590</v>
      </c>
      <c r="AG29" s="8" t="s">
        <v>591</v>
      </c>
      <c r="AH29" s="8" t="s">
        <v>592</v>
      </c>
      <c r="AI29" s="8"/>
      <c r="AJ29" s="8" t="s">
        <v>992</v>
      </c>
      <c r="AK29" s="86">
        <v>170144</v>
      </c>
      <c r="AL29" s="23">
        <v>0</v>
      </c>
      <c r="AM29" s="86">
        <v>170144</v>
      </c>
      <c r="AS29" s="23">
        <v>4</v>
      </c>
    </row>
    <row r="30" spans="1:61" x14ac:dyDescent="0.4">
      <c r="A30" s="33">
        <v>42956.697222222225</v>
      </c>
      <c r="B30" t="s">
        <v>561</v>
      </c>
      <c r="C30" t="s">
        <v>231</v>
      </c>
      <c r="D30" t="s">
        <v>562</v>
      </c>
      <c r="E30" t="s">
        <v>418</v>
      </c>
      <c r="F30" t="s">
        <v>94</v>
      </c>
      <c r="G30" t="s">
        <v>526</v>
      </c>
      <c r="H30" t="b">
        <f>_xlfn.XOR(IFERROR(MATCH(ckAwdTable[[#This Row],[st_code]],EpscorTable[],0)&gt;0,FALSE),IFERROR(FIND("9150",#REF!)&gt;0,FALSE))</f>
        <v>0</v>
      </c>
      <c r="I30" t="s">
        <v>560</v>
      </c>
      <c r="J30" s="24"/>
      <c r="K30" s="15" t="str">
        <f>HYPERLINK("mailto:"&amp; ckAwdTable[[#This Row],[email]]&amp;"&amp;subject=Your NSF Proposal:  "&amp;ckAwdTable[[#This Row],[prop_id]], ckAwdTable[[#This Row],[email]])</f>
        <v>shima.hm@tamu.edu</v>
      </c>
      <c r="L30">
        <f xml:space="preserve"> L29+(ckAwdTable[ILN]&lt;"M")</f>
        <v>29</v>
      </c>
      <c r="M30" t="s">
        <v>96</v>
      </c>
      <c r="N30" t="s">
        <v>394</v>
      </c>
      <c r="O30" s="15" t="str">
        <f>HYPERLINK("https://www.ejacket.nsf.gov/ej/showProposal.do?ID="&amp;ckAwdTable[[#This Row],[prop_id]],"eJ")</f>
        <v>eJ</v>
      </c>
      <c r="P30" t="s">
        <v>394</v>
      </c>
      <c r="Q30" t="s">
        <v>595</v>
      </c>
      <c r="R30" t="s">
        <v>596</v>
      </c>
      <c r="S30" s="33">
        <v>43252</v>
      </c>
      <c r="T30">
        <v>24</v>
      </c>
      <c r="U30"/>
      <c r="V30"/>
      <c r="W30" t="s">
        <v>600</v>
      </c>
      <c r="Z30" s="8"/>
      <c r="AA30" s="8" t="s">
        <v>182</v>
      </c>
      <c r="AB30" s="8" t="s">
        <v>181</v>
      </c>
      <c r="AC30" s="8" t="s">
        <v>179</v>
      </c>
      <c r="AD30" s="8" t="s">
        <v>987</v>
      </c>
      <c r="AE30" s="8" t="s">
        <v>233</v>
      </c>
      <c r="AF30" s="8" t="s">
        <v>597</v>
      </c>
      <c r="AG30" s="8" t="s">
        <v>598</v>
      </c>
      <c r="AH30" s="8" t="s">
        <v>585</v>
      </c>
      <c r="AI30" s="8"/>
      <c r="AJ30" s="8" t="s">
        <v>992</v>
      </c>
      <c r="AK30" s="86">
        <v>175000</v>
      </c>
      <c r="AL30" s="23">
        <v>0</v>
      </c>
      <c r="AM30" s="86">
        <v>175000</v>
      </c>
      <c r="AS30" s="23">
        <v>4</v>
      </c>
    </row>
    <row r="31" spans="1:61" x14ac:dyDescent="0.4">
      <c r="A31" s="33">
        <v>42956.717361111114</v>
      </c>
      <c r="B31" t="s">
        <v>561</v>
      </c>
      <c r="C31" t="s">
        <v>231</v>
      </c>
      <c r="D31" t="s">
        <v>562</v>
      </c>
      <c r="E31" t="s">
        <v>418</v>
      </c>
      <c r="F31" t="s">
        <v>94</v>
      </c>
      <c r="G31" t="s">
        <v>526</v>
      </c>
      <c r="H31" t="b">
        <f>_xlfn.XOR(IFERROR(MATCH(ckAwdTable[[#This Row],[st_code]],EpscorTable[],0)&gt;0,FALSE),IFERROR(FIND("9150",#REF!)&gt;0,FALSE))</f>
        <v>0</v>
      </c>
      <c r="I31" t="s">
        <v>560</v>
      </c>
      <c r="J31" s="24"/>
      <c r="K31" s="15" t="str">
        <f>HYPERLINK("mailto:"&amp; ckAwdTable[[#This Row],[email]]&amp;"&amp;subject=Your NSF Proposal:  "&amp;ckAwdTable[[#This Row],[prop_id]], ckAwdTable[[#This Row],[email]])</f>
        <v>harsha@smu.edu</v>
      </c>
      <c r="L31">
        <f xml:space="preserve"> L30+(ckAwdTable[ILN]&lt;"M")</f>
        <v>30</v>
      </c>
      <c r="M31" t="s">
        <v>96</v>
      </c>
      <c r="N31" t="s">
        <v>395</v>
      </c>
      <c r="O31" s="15" t="str">
        <f>HYPERLINK("https://www.ejacket.nsf.gov/ej/showProposal.do?ID="&amp;ckAwdTable[[#This Row],[prop_id]],"eJ")</f>
        <v>eJ</v>
      </c>
      <c r="P31" t="s">
        <v>395</v>
      </c>
      <c r="Q31" t="s">
        <v>601</v>
      </c>
      <c r="R31" t="s">
        <v>602</v>
      </c>
      <c r="S31" s="33">
        <v>43101</v>
      </c>
      <c r="T31">
        <v>24</v>
      </c>
      <c r="U31"/>
      <c r="V31"/>
      <c r="W31" t="s">
        <v>606</v>
      </c>
      <c r="Z31" s="8"/>
      <c r="AA31" s="8" t="s">
        <v>182</v>
      </c>
      <c r="AB31" s="8" t="s">
        <v>181</v>
      </c>
      <c r="AC31" s="8" t="s">
        <v>179</v>
      </c>
      <c r="AD31" s="8" t="s">
        <v>987</v>
      </c>
      <c r="AE31" s="8" t="s">
        <v>233</v>
      </c>
      <c r="AF31" s="8" t="s">
        <v>603</v>
      </c>
      <c r="AG31" s="8" t="s">
        <v>604</v>
      </c>
      <c r="AH31" s="8" t="s">
        <v>362</v>
      </c>
      <c r="AI31" s="8"/>
      <c r="AJ31" s="8" t="s">
        <v>992</v>
      </c>
      <c r="AK31" s="86">
        <v>175000</v>
      </c>
      <c r="AL31" s="23">
        <v>0</v>
      </c>
      <c r="AM31" s="86">
        <v>175000</v>
      </c>
      <c r="AS31" s="23">
        <v>4</v>
      </c>
    </row>
    <row r="32" spans="1:61" x14ac:dyDescent="0.4">
      <c r="A32" s="33">
        <v>42956.746527777781</v>
      </c>
      <c r="B32" t="s">
        <v>561</v>
      </c>
      <c r="C32" t="s">
        <v>231</v>
      </c>
      <c r="D32" t="s">
        <v>562</v>
      </c>
      <c r="E32" t="s">
        <v>434</v>
      </c>
      <c r="F32" t="s">
        <v>94</v>
      </c>
      <c r="G32" t="s">
        <v>526</v>
      </c>
      <c r="H32" t="b">
        <f>_xlfn.XOR(IFERROR(MATCH(ckAwdTable[[#This Row],[st_code]],EpscorTable[],0)&gt;0,FALSE),IFERROR(FIND("9150",#REF!)&gt;0,FALSE))</f>
        <v>0</v>
      </c>
      <c r="I32" t="s">
        <v>560</v>
      </c>
      <c r="J32" s="24"/>
      <c r="K32" s="15" t="str">
        <f>HYPERLINK("mailto:"&amp; ckAwdTable[[#This Row],[email]]&amp;"&amp;subject=Your NSF Proposal:  "&amp;ckAwdTable[[#This Row],[prop_id]], ckAwdTable[[#This Row],[email]])</f>
        <v>lchen49@central.uh.edu</v>
      </c>
      <c r="L32">
        <f xml:space="preserve"> L31+(ckAwdTable[ILN]&lt;"M")</f>
        <v>31</v>
      </c>
      <c r="M32" t="s">
        <v>96</v>
      </c>
      <c r="N32" t="s">
        <v>396</v>
      </c>
      <c r="O32" s="15" t="str">
        <f>HYPERLINK("https://www.ejacket.nsf.gov/ej/showProposal.do?ID="&amp;ckAwdTable[[#This Row],[prop_id]],"eJ")</f>
        <v>eJ</v>
      </c>
      <c r="P32" t="s">
        <v>396</v>
      </c>
      <c r="Q32" t="s">
        <v>276</v>
      </c>
      <c r="R32" t="s">
        <v>607</v>
      </c>
      <c r="S32" s="33">
        <v>43252</v>
      </c>
      <c r="T32">
        <v>24</v>
      </c>
      <c r="U32"/>
      <c r="V32"/>
      <c r="W32" t="s">
        <v>611</v>
      </c>
      <c r="Y32" t="s">
        <v>284</v>
      </c>
      <c r="Z32" s="8"/>
      <c r="AA32" s="8" t="s">
        <v>182</v>
      </c>
      <c r="AB32" s="8" t="s">
        <v>181</v>
      </c>
      <c r="AC32" s="8" t="s">
        <v>179</v>
      </c>
      <c r="AD32" s="8" t="s">
        <v>987</v>
      </c>
      <c r="AE32" s="8" t="s">
        <v>233</v>
      </c>
      <c r="AF32" s="8" t="s">
        <v>608</v>
      </c>
      <c r="AG32" s="8" t="s">
        <v>609</v>
      </c>
      <c r="AH32" s="8" t="s">
        <v>566</v>
      </c>
      <c r="AI32" s="8"/>
      <c r="AJ32" s="8" t="s">
        <v>992</v>
      </c>
      <c r="AK32" s="86">
        <v>148477</v>
      </c>
      <c r="AL32" s="23">
        <v>0</v>
      </c>
      <c r="AM32" s="86">
        <v>148477</v>
      </c>
      <c r="AP32" s="86">
        <v>7000</v>
      </c>
      <c r="AS32" s="23">
        <v>3</v>
      </c>
    </row>
  </sheetData>
  <conditionalFormatting sqref="G2:G32">
    <cfRule type="expression" dxfId="12" priority="5">
      <formula>$H2</formula>
    </cfRule>
  </conditionalFormatting>
  <conditionalFormatting sqref="Y2:Y32">
    <cfRule type="expression" dxfId="11" priority="1239">
      <formula>AND($M2="N", Y2&lt;&gt;BJ1048532)</formula>
    </cfRule>
  </conditionalFormatting>
  <conditionalFormatting sqref="U2:X32">
    <cfRule type="expression" dxfId="10" priority="1241">
      <formula>AND($M2="N", U2&lt;&gt;BE1048532)</formula>
    </cfRule>
  </conditionalFormatting>
  <conditionalFormatting sqref="S17:Y17 B2:F32">
    <cfRule type="expression" dxfId="9" priority="1246">
      <formula>AND($M2="N", B2&lt;&gt;B1048547)</formula>
    </cfRule>
  </conditionalFormatting>
  <conditionalFormatting sqref="S2:T32">
    <cfRule type="expression" dxfId="8" priority="1251">
      <formula>AND($M2="N", S2&lt;&gt;Z1048547)</formula>
    </cfRule>
  </conditionalFormatting>
  <conditionalFormatting sqref="A2:AW32">
    <cfRule type="expression" dxfId="7" priority="1260">
      <formula>MOD($L2,2)</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rgb="FF6C8B1B"/>
  </sheetPr>
  <dimension ref="A1:BU32"/>
  <sheetViews>
    <sheetView workbookViewId="0">
      <selection activeCell="P1" sqref="P1:P1048576"/>
    </sheetView>
  </sheetViews>
  <sheetFormatPr defaultRowHeight="14.6" x14ac:dyDescent="0.4"/>
  <cols>
    <col min="1" max="1" width="9.3046875" style="33" customWidth="1"/>
    <col min="2" max="2" width="11.15234375" customWidth="1"/>
    <col min="3" max="3" width="7.3828125" customWidth="1"/>
    <col min="4" max="4" width="3.3046875" style="33" customWidth="1"/>
    <col min="5" max="5" width="3.53515625" style="33" customWidth="1"/>
    <col min="6" max="6" width="3.84375" customWidth="1"/>
    <col min="7" max="8" width="7.3828125" hidden="1" customWidth="1"/>
    <col min="9" max="9" width="5.3828125" customWidth="1"/>
    <col min="10" max="10" width="11" customWidth="1"/>
    <col min="11" max="11" width="14.3046875" style="24" customWidth="1"/>
    <col min="12" max="12" width="5.3046875" style="42" customWidth="1"/>
    <col min="13" max="13" width="4.53515625" style="42" customWidth="1"/>
    <col min="14" max="14" width="11.84375" customWidth="1"/>
    <col min="15" max="15" width="16.84375" customWidth="1"/>
    <col min="16" max="28" width="11.84375" customWidth="1"/>
    <col min="29" max="29" width="15.15234375" customWidth="1"/>
    <col min="30" max="33" width="11.84375" customWidth="1"/>
    <col min="34" max="34" width="3.3046875" style="23" customWidth="1"/>
    <col min="35" max="35" width="13.3828125" style="86" customWidth="1"/>
    <col min="36" max="37" width="11.84375" style="86" customWidth="1"/>
    <col min="38" max="38" width="10.3828125" style="86" customWidth="1"/>
    <col min="39" max="39" width="11.84375" style="86" customWidth="1"/>
    <col min="40" max="44" width="5.53515625" style="23" customWidth="1"/>
    <col min="45" max="46" width="11.84375" customWidth="1"/>
    <col min="47" max="47" width="4.3828125" customWidth="1"/>
    <col min="48" max="48" width="3.69140625" customWidth="1"/>
    <col min="49" max="49" width="8.69140625" style="33" customWidth="1"/>
    <col min="50" max="50" width="3.69140625" customWidth="1"/>
    <col min="51" max="51" width="9.3046875" style="33"/>
    <col min="52" max="52" width="9.53515625" style="33" customWidth="1"/>
    <col min="53" max="53" width="11.53515625" customWidth="1"/>
    <col min="54" max="54" width="12.15234375" customWidth="1"/>
    <col min="55" max="55" width="9.84375" customWidth="1"/>
    <col min="56" max="56" width="10.15234375"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29.15" customHeight="1" x14ac:dyDescent="0.4">
      <c r="A1" s="33" t="s">
        <v>7</v>
      </c>
      <c r="B1" t="s">
        <v>8</v>
      </c>
      <c r="C1" t="s">
        <v>92</v>
      </c>
      <c r="D1" t="s">
        <v>17</v>
      </c>
      <c r="E1" s="24" t="s">
        <v>16</v>
      </c>
      <c r="F1" s="14" t="s">
        <v>102</v>
      </c>
      <c r="G1" t="s">
        <v>88</v>
      </c>
      <c r="H1" t="s">
        <v>9</v>
      </c>
      <c r="I1" t="s">
        <v>1</v>
      </c>
      <c r="J1" t="s">
        <v>0</v>
      </c>
      <c r="K1" t="s">
        <v>10</v>
      </c>
      <c r="L1" t="s">
        <v>18</v>
      </c>
      <c r="M1" t="s">
        <v>36</v>
      </c>
      <c r="N1" t="s">
        <v>87</v>
      </c>
      <c r="O1" t="s">
        <v>176</v>
      </c>
      <c r="P1" t="s">
        <v>973</v>
      </c>
      <c r="Q1" t="s">
        <v>974</v>
      </c>
      <c r="R1" t="s">
        <v>975</v>
      </c>
      <c r="S1" t="s">
        <v>976</v>
      </c>
      <c r="T1" t="s">
        <v>977</v>
      </c>
      <c r="U1" t="s">
        <v>978</v>
      </c>
      <c r="V1" t="s">
        <v>175</v>
      </c>
      <c r="W1" t="s">
        <v>173</v>
      </c>
      <c r="X1" t="s">
        <v>988</v>
      </c>
      <c r="Y1" t="s">
        <v>979</v>
      </c>
      <c r="Z1" t="s">
        <v>153</v>
      </c>
      <c r="AA1" t="s">
        <v>980</v>
      </c>
      <c r="AB1" t="s">
        <v>397</v>
      </c>
      <c r="AC1" t="s">
        <v>155</v>
      </c>
      <c r="AD1" t="s">
        <v>981</v>
      </c>
      <c r="AE1" t="s">
        <v>982</v>
      </c>
      <c r="AF1" t="s">
        <v>983</v>
      </c>
      <c r="AG1" t="s">
        <v>58</v>
      </c>
      <c r="AH1" s="23" t="s">
        <v>984</v>
      </c>
      <c r="AI1" s="86" t="s">
        <v>985</v>
      </c>
      <c r="AJ1" s="86" t="s">
        <v>407</v>
      </c>
      <c r="AK1" s="86" t="s">
        <v>408</v>
      </c>
      <c r="AL1" s="86" t="s">
        <v>409</v>
      </c>
      <c r="AM1" s="86" t="s">
        <v>410</v>
      </c>
      <c r="AN1" s="23" t="s">
        <v>411</v>
      </c>
      <c r="AO1" s="23" t="s">
        <v>412</v>
      </c>
      <c r="AP1" s="23" t="s">
        <v>413</v>
      </c>
      <c r="AQ1" s="23" t="s">
        <v>414</v>
      </c>
      <c r="AR1" s="23" t="s">
        <v>415</v>
      </c>
      <c r="AS1" t="s">
        <v>398</v>
      </c>
      <c r="AT1" t="s">
        <v>986</v>
      </c>
      <c r="AW1"/>
      <c r="AY1"/>
      <c r="AZ1"/>
      <c r="BL1"/>
      <c r="BP1"/>
    </row>
    <row r="2" spans="1:68" x14ac:dyDescent="0.4">
      <c r="A2" s="33">
        <v>42930.554166666669</v>
      </c>
      <c r="B2" t="s">
        <v>266</v>
      </c>
      <c r="C2" t="s">
        <v>94</v>
      </c>
      <c r="D2" t="s">
        <v>416</v>
      </c>
      <c r="E2" s="24"/>
      <c r="F2">
        <f xml:space="preserve"> F1+(ckSplitTable[ILN]&lt;"M")</f>
        <v>1</v>
      </c>
      <c r="G2" t="s">
        <v>96</v>
      </c>
      <c r="H2" t="s">
        <v>366</v>
      </c>
      <c r="I2" s="15" t="str">
        <f>HYPERLINK("https://www.ejacket.nsf.gov/ej/showProposal.do?ID="&amp;ckSplitTable[[#This Row],[prop_id]],"eJ")</f>
        <v>eJ</v>
      </c>
      <c r="K2" t="s">
        <v>419</v>
      </c>
      <c r="L2" t="s">
        <v>420</v>
      </c>
      <c r="M2" t="s">
        <v>425</v>
      </c>
      <c r="N2" s="8"/>
      <c r="O2" s="8" t="s">
        <v>182</v>
      </c>
      <c r="P2" s="8" t="s">
        <v>231</v>
      </c>
      <c r="Q2" s="8"/>
      <c r="R2" s="8" t="s">
        <v>417</v>
      </c>
      <c r="S2" s="8"/>
      <c r="T2" s="8" t="s">
        <v>418</v>
      </c>
      <c r="U2" s="8"/>
      <c r="V2" s="8" t="s">
        <v>181</v>
      </c>
      <c r="W2" s="8" t="s">
        <v>179</v>
      </c>
      <c r="X2" s="8"/>
      <c r="Y2" s="8" t="s">
        <v>987</v>
      </c>
      <c r="Z2" s="8" t="s">
        <v>233</v>
      </c>
      <c r="AA2" s="8"/>
      <c r="AB2" s="8" t="s">
        <v>421</v>
      </c>
      <c r="AC2" s="8" t="s">
        <v>422</v>
      </c>
      <c r="AD2" s="8"/>
      <c r="AE2" s="8"/>
      <c r="AF2" s="8"/>
      <c r="AG2" s="8" t="s">
        <v>366</v>
      </c>
      <c r="AH2" s="23">
        <v>0</v>
      </c>
      <c r="AI2" s="86">
        <v>470400</v>
      </c>
      <c r="AK2" s="86">
        <v>9600</v>
      </c>
      <c r="AN2" s="23">
        <v>5</v>
      </c>
      <c r="AO2" s="23">
        <v>5</v>
      </c>
      <c r="AP2" s="23">
        <v>7.5</v>
      </c>
      <c r="AS2" s="8" t="s">
        <v>423</v>
      </c>
      <c r="AT2" s="8"/>
      <c r="AW2"/>
      <c r="AY2"/>
      <c r="AZ2"/>
      <c r="BL2"/>
      <c r="BP2"/>
    </row>
    <row r="3" spans="1:68" x14ac:dyDescent="0.4">
      <c r="A3" s="33">
        <v>42933.547222222223</v>
      </c>
      <c r="B3" t="s">
        <v>266</v>
      </c>
      <c r="C3" t="s">
        <v>94</v>
      </c>
      <c r="D3" t="s">
        <v>416</v>
      </c>
      <c r="E3" s="24"/>
      <c r="F3">
        <f xml:space="preserve"> F2+(ckSplitTable[ILN]&lt;"M")</f>
        <v>2</v>
      </c>
      <c r="G3" t="s">
        <v>96</v>
      </c>
      <c r="H3" t="s">
        <v>367</v>
      </c>
      <c r="I3" s="15" t="str">
        <f>HYPERLINK("https://www.ejacket.nsf.gov/ej/showProposal.do?ID="&amp;ckSplitTable[[#This Row],[prop_id]],"eJ")</f>
        <v>eJ</v>
      </c>
      <c r="K3" t="s">
        <v>426</v>
      </c>
      <c r="L3" t="s">
        <v>427</v>
      </c>
      <c r="M3" t="s">
        <v>433</v>
      </c>
      <c r="N3" s="8"/>
      <c r="O3" s="8" t="s">
        <v>182</v>
      </c>
      <c r="P3" s="8" t="s">
        <v>231</v>
      </c>
      <c r="Q3" s="8"/>
      <c r="R3" s="8" t="s">
        <v>417</v>
      </c>
      <c r="S3" s="8"/>
      <c r="T3" s="8" t="s">
        <v>418</v>
      </c>
      <c r="U3" s="8"/>
      <c r="V3" s="8" t="s">
        <v>181</v>
      </c>
      <c r="W3" s="8" t="s">
        <v>179</v>
      </c>
      <c r="X3" s="8"/>
      <c r="Y3" s="8" t="s">
        <v>987</v>
      </c>
      <c r="Z3" s="8" t="s">
        <v>233</v>
      </c>
      <c r="AA3" s="8"/>
      <c r="AB3" s="8" t="s">
        <v>428</v>
      </c>
      <c r="AC3" s="8" t="s">
        <v>430</v>
      </c>
      <c r="AD3" s="8"/>
      <c r="AE3" s="8"/>
      <c r="AF3" s="8"/>
      <c r="AG3" s="8" t="s">
        <v>367</v>
      </c>
      <c r="AH3" s="23">
        <v>0</v>
      </c>
      <c r="AI3" s="86">
        <v>524898</v>
      </c>
      <c r="AK3" s="86">
        <v>15000</v>
      </c>
      <c r="AN3" s="23">
        <v>10</v>
      </c>
      <c r="AO3" s="23">
        <v>5</v>
      </c>
      <c r="AP3" s="23">
        <v>5</v>
      </c>
      <c r="AS3" s="8" t="s">
        <v>431</v>
      </c>
      <c r="AT3" s="8"/>
      <c r="AW3"/>
      <c r="AY3"/>
      <c r="AZ3"/>
      <c r="BL3"/>
      <c r="BP3"/>
    </row>
    <row r="4" spans="1:68" x14ac:dyDescent="0.4">
      <c r="A4" s="33">
        <v>42933.579861111109</v>
      </c>
      <c r="B4" t="s">
        <v>266</v>
      </c>
      <c r="C4" t="s">
        <v>94</v>
      </c>
      <c r="D4" t="s">
        <v>416</v>
      </c>
      <c r="E4" s="24"/>
      <c r="F4">
        <f xml:space="preserve"> F3+(ckSplitTable[ILN]&lt;"M")</f>
        <v>3</v>
      </c>
      <c r="G4" t="s">
        <v>96</v>
      </c>
      <c r="H4" t="s">
        <v>368</v>
      </c>
      <c r="I4" s="15" t="str">
        <f>HYPERLINK("https://www.ejacket.nsf.gov/ej/showProposal.do?ID="&amp;ckSplitTable[[#This Row],[prop_id]],"eJ")</f>
        <v>eJ</v>
      </c>
      <c r="K4" t="s">
        <v>435</v>
      </c>
      <c r="L4" t="s">
        <v>272</v>
      </c>
      <c r="M4" t="s">
        <v>440</v>
      </c>
      <c r="N4" s="8"/>
      <c r="O4" s="8" t="s">
        <v>182</v>
      </c>
      <c r="P4" s="8" t="s">
        <v>231</v>
      </c>
      <c r="Q4" s="8"/>
      <c r="R4" s="8" t="s">
        <v>417</v>
      </c>
      <c r="S4" s="8"/>
      <c r="T4" s="8" t="s">
        <v>434</v>
      </c>
      <c r="U4" s="8"/>
      <c r="V4" s="8" t="s">
        <v>181</v>
      </c>
      <c r="W4" s="8" t="s">
        <v>179</v>
      </c>
      <c r="X4" s="8"/>
      <c r="Y4" s="8" t="s">
        <v>987</v>
      </c>
      <c r="Z4" s="8" t="s">
        <v>233</v>
      </c>
      <c r="AA4" s="8"/>
      <c r="AB4" s="8" t="s">
        <v>436</v>
      </c>
      <c r="AC4" s="8" t="s">
        <v>437</v>
      </c>
      <c r="AD4" s="8"/>
      <c r="AE4" s="8"/>
      <c r="AF4" s="8"/>
      <c r="AG4" s="8" t="s">
        <v>368</v>
      </c>
      <c r="AH4" s="23">
        <v>0</v>
      </c>
      <c r="AI4" s="86">
        <v>545000</v>
      </c>
      <c r="AM4" s="86">
        <v>8000</v>
      </c>
      <c r="AN4" s="23">
        <v>5</v>
      </c>
      <c r="AO4" s="23">
        <v>5</v>
      </c>
      <c r="AP4" s="23">
        <v>6.5</v>
      </c>
      <c r="AS4" s="8" t="s">
        <v>438</v>
      </c>
      <c r="AT4" s="8"/>
      <c r="AW4"/>
      <c r="AY4"/>
      <c r="AZ4"/>
      <c r="BL4"/>
      <c r="BP4"/>
    </row>
    <row r="5" spans="1:68" x14ac:dyDescent="0.4">
      <c r="A5" s="33">
        <v>42933.713888888888</v>
      </c>
      <c r="B5" t="s">
        <v>266</v>
      </c>
      <c r="C5" t="s">
        <v>94</v>
      </c>
      <c r="D5" t="s">
        <v>416</v>
      </c>
      <c r="E5" s="24"/>
      <c r="F5">
        <f xml:space="preserve"> F4+(ckSplitTable[ILN]&lt;"M")</f>
        <v>4</v>
      </c>
      <c r="G5" t="s">
        <v>96</v>
      </c>
      <c r="H5" t="s">
        <v>369</v>
      </c>
      <c r="I5" s="15" t="str">
        <f>HYPERLINK("https://www.ejacket.nsf.gov/ej/showProposal.do?ID="&amp;ckSplitTable[[#This Row],[prop_id]],"eJ")</f>
        <v>eJ</v>
      </c>
      <c r="K5" t="s">
        <v>441</v>
      </c>
      <c r="L5" t="s">
        <v>442</v>
      </c>
      <c r="M5" t="s">
        <v>445</v>
      </c>
      <c r="N5" s="8"/>
      <c r="O5" s="8" t="s">
        <v>182</v>
      </c>
      <c r="P5" s="8" t="s">
        <v>231</v>
      </c>
      <c r="Q5" s="8"/>
      <c r="R5" s="8" t="s">
        <v>417</v>
      </c>
      <c r="S5" s="8"/>
      <c r="T5" s="8" t="s">
        <v>418</v>
      </c>
      <c r="U5" s="8"/>
      <c r="V5" s="8" t="s">
        <v>181</v>
      </c>
      <c r="W5" s="8" t="s">
        <v>179</v>
      </c>
      <c r="X5" s="8"/>
      <c r="Y5" s="8" t="s">
        <v>987</v>
      </c>
      <c r="Z5" s="8" t="s">
        <v>233</v>
      </c>
      <c r="AA5" s="8"/>
      <c r="AB5" s="8" t="s">
        <v>271</v>
      </c>
      <c r="AC5" s="8" t="s">
        <v>443</v>
      </c>
      <c r="AD5" s="8"/>
      <c r="AE5" s="8"/>
      <c r="AF5" s="8"/>
      <c r="AG5" s="8" t="s">
        <v>369</v>
      </c>
      <c r="AH5" s="23">
        <v>0</v>
      </c>
      <c r="AI5" s="86">
        <v>500000</v>
      </c>
      <c r="AK5" s="86">
        <v>12416</v>
      </c>
      <c r="AN5" s="23">
        <v>5</v>
      </c>
      <c r="AO5" s="23">
        <v>5</v>
      </c>
      <c r="AP5" s="23">
        <v>5</v>
      </c>
      <c r="AS5" s="8" t="s">
        <v>423</v>
      </c>
      <c r="AT5" s="8"/>
      <c r="AW5"/>
      <c r="AY5"/>
      <c r="AZ5"/>
      <c r="BL5"/>
      <c r="BP5"/>
    </row>
    <row r="6" spans="1:68" x14ac:dyDescent="0.4">
      <c r="A6" s="33">
        <v>42933.820138888892</v>
      </c>
      <c r="B6" t="s">
        <v>266</v>
      </c>
      <c r="C6" t="s">
        <v>94</v>
      </c>
      <c r="D6" t="s">
        <v>416</v>
      </c>
      <c r="E6" s="24"/>
      <c r="F6">
        <f xml:space="preserve"> F5+(ckSplitTable[ILN]&lt;"M")</f>
        <v>5</v>
      </c>
      <c r="G6" t="s">
        <v>96</v>
      </c>
      <c r="H6" t="s">
        <v>370</v>
      </c>
      <c r="I6" s="15" t="str">
        <f>HYPERLINK("https://www.ejacket.nsf.gov/ej/showProposal.do?ID="&amp;ckSplitTable[[#This Row],[prop_id]],"eJ")</f>
        <v>eJ</v>
      </c>
      <c r="K6" t="s">
        <v>446</v>
      </c>
      <c r="L6" t="s">
        <v>447</v>
      </c>
      <c r="M6" t="s">
        <v>450</v>
      </c>
      <c r="N6" s="8"/>
      <c r="O6" s="8" t="s">
        <v>182</v>
      </c>
      <c r="P6" s="8" t="s">
        <v>231</v>
      </c>
      <c r="Q6" s="8"/>
      <c r="R6" s="8" t="s">
        <v>417</v>
      </c>
      <c r="S6" s="8"/>
      <c r="T6" s="8" t="s">
        <v>418</v>
      </c>
      <c r="U6" s="8"/>
      <c r="V6" s="8" t="s">
        <v>181</v>
      </c>
      <c r="W6" s="8" t="s">
        <v>179</v>
      </c>
      <c r="X6" s="8"/>
      <c r="Y6" s="8" t="s">
        <v>987</v>
      </c>
      <c r="Z6" s="8" t="s">
        <v>233</v>
      </c>
      <c r="AA6" s="8"/>
      <c r="AB6" s="8" t="s">
        <v>268</v>
      </c>
      <c r="AC6" s="8" t="s">
        <v>448</v>
      </c>
      <c r="AD6" s="8"/>
      <c r="AE6" s="8"/>
      <c r="AF6" s="8"/>
      <c r="AG6" s="8" t="s">
        <v>370</v>
      </c>
      <c r="AH6" s="23">
        <v>0</v>
      </c>
      <c r="AI6" s="86">
        <v>549841</v>
      </c>
      <c r="AN6" s="23">
        <v>5</v>
      </c>
      <c r="AO6" s="23">
        <v>5</v>
      </c>
      <c r="AP6" s="23">
        <v>2.5</v>
      </c>
      <c r="AR6" s="23">
        <v>2.5</v>
      </c>
      <c r="AS6" s="8" t="s">
        <v>423</v>
      </c>
      <c r="AT6" s="8"/>
      <c r="AW6"/>
      <c r="AY6"/>
      <c r="AZ6"/>
      <c r="BL6"/>
      <c r="BP6"/>
    </row>
    <row r="7" spans="1:68" x14ac:dyDescent="0.4">
      <c r="A7" s="33">
        <v>42934.453472222223</v>
      </c>
      <c r="B7" t="s">
        <v>266</v>
      </c>
      <c r="C7" t="s">
        <v>94</v>
      </c>
      <c r="D7" t="s">
        <v>416</v>
      </c>
      <c r="E7" s="24"/>
      <c r="F7">
        <f xml:space="preserve"> F6+(ckSplitTable[ILN]&lt;"M")</f>
        <v>6</v>
      </c>
      <c r="G7" t="s">
        <v>96</v>
      </c>
      <c r="H7" t="s">
        <v>371</v>
      </c>
      <c r="I7" s="15" t="str">
        <f>HYPERLINK("https://www.ejacket.nsf.gov/ej/showProposal.do?ID="&amp;ckSplitTable[[#This Row],[prop_id]],"eJ")</f>
        <v>eJ</v>
      </c>
      <c r="K7" t="s">
        <v>451</v>
      </c>
      <c r="L7" t="s">
        <v>452</v>
      </c>
      <c r="M7" t="s">
        <v>456</v>
      </c>
      <c r="N7" s="8"/>
      <c r="O7" s="8" t="s">
        <v>182</v>
      </c>
      <c r="P7" s="8" t="s">
        <v>231</v>
      </c>
      <c r="Q7" s="8"/>
      <c r="R7" s="8" t="s">
        <v>417</v>
      </c>
      <c r="S7" s="8"/>
      <c r="T7" s="8" t="s">
        <v>434</v>
      </c>
      <c r="U7" s="8"/>
      <c r="V7" s="8" t="s">
        <v>181</v>
      </c>
      <c r="W7" s="8" t="s">
        <v>179</v>
      </c>
      <c r="X7" s="8"/>
      <c r="Y7" s="8" t="s">
        <v>987</v>
      </c>
      <c r="Z7" s="8" t="s">
        <v>233</v>
      </c>
      <c r="AA7" s="8"/>
      <c r="AB7" s="8" t="s">
        <v>453</v>
      </c>
      <c r="AC7" s="8" t="s">
        <v>454</v>
      </c>
      <c r="AD7" s="8"/>
      <c r="AE7" s="8"/>
      <c r="AF7" s="8"/>
      <c r="AG7" s="8" t="s">
        <v>371</v>
      </c>
      <c r="AH7" s="23">
        <v>0</v>
      </c>
      <c r="AI7" s="86">
        <v>514477</v>
      </c>
      <c r="AN7" s="23">
        <v>10</v>
      </c>
      <c r="AO7" s="23">
        <v>4</v>
      </c>
      <c r="AP7" s="23">
        <v>7</v>
      </c>
      <c r="AS7" s="8" t="s">
        <v>423</v>
      </c>
      <c r="AT7" s="8"/>
      <c r="AW7"/>
      <c r="AY7"/>
      <c r="AZ7"/>
      <c r="BL7"/>
      <c r="BP7"/>
    </row>
    <row r="8" spans="1:68" x14ac:dyDescent="0.4">
      <c r="A8" s="33">
        <v>42934.507638888892</v>
      </c>
      <c r="B8" t="s">
        <v>266</v>
      </c>
      <c r="C8" t="s">
        <v>94</v>
      </c>
      <c r="D8" t="s">
        <v>416</v>
      </c>
      <c r="E8" s="24"/>
      <c r="F8">
        <f xml:space="preserve"> F7+(ckSplitTable[ILN]&lt;"M")</f>
        <v>7</v>
      </c>
      <c r="G8" t="s">
        <v>96</v>
      </c>
      <c r="H8" t="s">
        <v>372</v>
      </c>
      <c r="I8" s="15" t="str">
        <f>HYPERLINK("https://www.ejacket.nsf.gov/ej/showProposal.do?ID="&amp;ckSplitTable[[#This Row],[prop_id]],"eJ")</f>
        <v>eJ</v>
      </c>
      <c r="K8" t="s">
        <v>457</v>
      </c>
      <c r="L8" t="s">
        <v>458</v>
      </c>
      <c r="M8" t="s">
        <v>462</v>
      </c>
      <c r="N8" s="8"/>
      <c r="O8" s="8" t="s">
        <v>182</v>
      </c>
      <c r="P8" s="8" t="s">
        <v>231</v>
      </c>
      <c r="Q8" s="8"/>
      <c r="R8" s="8" t="s">
        <v>417</v>
      </c>
      <c r="S8" s="8"/>
      <c r="T8" s="8" t="s">
        <v>434</v>
      </c>
      <c r="U8" s="8"/>
      <c r="V8" s="8" t="s">
        <v>181</v>
      </c>
      <c r="W8" s="8" t="s">
        <v>179</v>
      </c>
      <c r="X8" s="8"/>
      <c r="Y8" s="8" t="s">
        <v>987</v>
      </c>
      <c r="Z8" s="8" t="s">
        <v>233</v>
      </c>
      <c r="AA8" s="8"/>
      <c r="AB8" s="8" t="s">
        <v>459</v>
      </c>
      <c r="AC8" s="8" t="s">
        <v>460</v>
      </c>
      <c r="AD8" s="8"/>
      <c r="AE8" s="8"/>
      <c r="AF8" s="8"/>
      <c r="AG8" s="8" t="s">
        <v>372</v>
      </c>
      <c r="AH8" s="23">
        <v>0</v>
      </c>
      <c r="AI8" s="86">
        <v>500000</v>
      </c>
      <c r="AM8" s="86">
        <v>7500</v>
      </c>
      <c r="AN8" s="23">
        <v>5</v>
      </c>
      <c r="AO8" s="23">
        <v>5</v>
      </c>
      <c r="AP8" s="23">
        <v>6.75</v>
      </c>
      <c r="AS8" s="8" t="s">
        <v>275</v>
      </c>
      <c r="AT8" s="8"/>
      <c r="AW8"/>
      <c r="AY8"/>
      <c r="AZ8"/>
      <c r="BL8"/>
      <c r="BP8"/>
    </row>
    <row r="9" spans="1:68" x14ac:dyDescent="0.4">
      <c r="A9" s="33">
        <v>42934.524305555555</v>
      </c>
      <c r="B9" t="s">
        <v>266</v>
      </c>
      <c r="C9" t="s">
        <v>94</v>
      </c>
      <c r="D9" t="s">
        <v>416</v>
      </c>
      <c r="E9" s="24"/>
      <c r="F9">
        <f xml:space="preserve"> F8+(ckSplitTable[ILN]&lt;"M")</f>
        <v>8</v>
      </c>
      <c r="G9" t="s">
        <v>96</v>
      </c>
      <c r="H9" t="s">
        <v>373</v>
      </c>
      <c r="I9" s="15" t="str">
        <f>HYPERLINK("https://www.ejacket.nsf.gov/ej/showProposal.do?ID="&amp;ckSplitTable[[#This Row],[prop_id]],"eJ")</f>
        <v>eJ</v>
      </c>
      <c r="K9" t="s">
        <v>464</v>
      </c>
      <c r="L9" t="s">
        <v>465</v>
      </c>
      <c r="M9" t="s">
        <v>470</v>
      </c>
      <c r="N9" s="8"/>
      <c r="O9" s="8" t="s">
        <v>182</v>
      </c>
      <c r="P9" s="8" t="s">
        <v>231</v>
      </c>
      <c r="Q9" s="8"/>
      <c r="R9" s="8" t="s">
        <v>417</v>
      </c>
      <c r="S9" s="8"/>
      <c r="T9" s="8" t="s">
        <v>463</v>
      </c>
      <c r="U9" s="8"/>
      <c r="V9" s="8" t="s">
        <v>181</v>
      </c>
      <c r="W9" s="8" t="s">
        <v>179</v>
      </c>
      <c r="X9" s="8"/>
      <c r="Y9" s="8" t="s">
        <v>987</v>
      </c>
      <c r="Z9" s="8" t="s">
        <v>233</v>
      </c>
      <c r="AA9" s="8"/>
      <c r="AB9" s="8" t="s">
        <v>466</v>
      </c>
      <c r="AC9" s="8" t="s">
        <v>468</v>
      </c>
      <c r="AD9" s="8"/>
      <c r="AE9" s="8"/>
      <c r="AF9" s="8"/>
      <c r="AG9" s="8" t="s">
        <v>373</v>
      </c>
      <c r="AH9" s="23">
        <v>0</v>
      </c>
      <c r="AI9" s="86">
        <v>446040</v>
      </c>
      <c r="AK9" s="86">
        <v>20000</v>
      </c>
      <c r="AN9" s="23">
        <v>5</v>
      </c>
      <c r="AO9" s="23">
        <v>5</v>
      </c>
      <c r="AP9" s="23">
        <v>5</v>
      </c>
      <c r="AS9" s="8" t="s">
        <v>423</v>
      </c>
      <c r="AT9" s="8"/>
      <c r="AW9"/>
      <c r="AY9"/>
      <c r="AZ9"/>
      <c r="BL9"/>
      <c r="BP9"/>
    </row>
    <row r="10" spans="1:68" x14ac:dyDescent="0.4">
      <c r="A10" s="33">
        <v>42934.695138888892</v>
      </c>
      <c r="B10" t="s">
        <v>266</v>
      </c>
      <c r="C10" t="s">
        <v>94</v>
      </c>
      <c r="D10" t="s">
        <v>416</v>
      </c>
      <c r="E10" s="24"/>
      <c r="F10">
        <f xml:space="preserve"> F9+(ckSplitTable[ILN]&lt;"M")</f>
        <v>9</v>
      </c>
      <c r="G10" t="s">
        <v>96</v>
      </c>
      <c r="H10" t="s">
        <v>374</v>
      </c>
      <c r="I10" s="15" t="str">
        <f>HYPERLINK("https://www.ejacket.nsf.gov/ej/showProposal.do?ID="&amp;ckSplitTable[[#This Row],[prop_id]],"eJ")</f>
        <v>eJ</v>
      </c>
      <c r="K10" t="s">
        <v>471</v>
      </c>
      <c r="L10" t="s">
        <v>472</v>
      </c>
      <c r="M10" t="s">
        <v>475</v>
      </c>
      <c r="N10" s="8"/>
      <c r="O10" s="8" t="s">
        <v>182</v>
      </c>
      <c r="P10" s="8" t="s">
        <v>231</v>
      </c>
      <c r="Q10" s="8"/>
      <c r="R10" s="8" t="s">
        <v>417</v>
      </c>
      <c r="S10" s="8"/>
      <c r="T10" s="8" t="s">
        <v>418</v>
      </c>
      <c r="U10" s="8"/>
      <c r="V10" s="8" t="s">
        <v>181</v>
      </c>
      <c r="W10" s="8" t="s">
        <v>179</v>
      </c>
      <c r="X10" s="8"/>
      <c r="Y10" s="8" t="s">
        <v>987</v>
      </c>
      <c r="Z10" s="8" t="s">
        <v>233</v>
      </c>
      <c r="AA10" s="8"/>
      <c r="AB10" s="8" t="s">
        <v>232</v>
      </c>
      <c r="AC10" s="8" t="s">
        <v>473</v>
      </c>
      <c r="AD10" s="8"/>
      <c r="AE10" s="8"/>
      <c r="AF10" s="8"/>
      <c r="AG10" s="8" t="s">
        <v>374</v>
      </c>
      <c r="AH10" s="23">
        <v>0</v>
      </c>
      <c r="AI10" s="86">
        <v>550000</v>
      </c>
      <c r="AN10" s="23">
        <v>5</v>
      </c>
      <c r="AO10" s="23">
        <v>5</v>
      </c>
      <c r="AP10" s="23">
        <v>2.5</v>
      </c>
      <c r="AS10" s="8" t="s">
        <v>431</v>
      </c>
      <c r="AT10" s="8"/>
      <c r="AW10"/>
      <c r="AY10"/>
      <c r="AZ10"/>
      <c r="BL10"/>
      <c r="BP10"/>
    </row>
    <row r="11" spans="1:68" x14ac:dyDescent="0.4">
      <c r="A11" s="33">
        <v>42934.737500000003</v>
      </c>
      <c r="B11" t="s">
        <v>266</v>
      </c>
      <c r="C11" t="s">
        <v>94</v>
      </c>
      <c r="D11" t="s">
        <v>416</v>
      </c>
      <c r="E11" s="24"/>
      <c r="F11">
        <f xml:space="preserve"> F10+(ckSplitTable[ILN]&lt;"M")</f>
        <v>10</v>
      </c>
      <c r="G11" t="s">
        <v>96</v>
      </c>
      <c r="H11" t="s">
        <v>375</v>
      </c>
      <c r="I11" s="15" t="str">
        <f>HYPERLINK("https://www.ejacket.nsf.gov/ej/showProposal.do?ID="&amp;ckSplitTable[[#This Row],[prop_id]],"eJ")</f>
        <v>eJ</v>
      </c>
      <c r="K11" t="s">
        <v>476</v>
      </c>
      <c r="L11" t="s">
        <v>477</v>
      </c>
      <c r="M11" t="s">
        <v>480</v>
      </c>
      <c r="N11" s="8"/>
      <c r="O11" s="8" t="s">
        <v>182</v>
      </c>
      <c r="P11" s="8" t="s">
        <v>231</v>
      </c>
      <c r="Q11" s="8"/>
      <c r="R11" s="8" t="s">
        <v>417</v>
      </c>
      <c r="S11" s="8"/>
      <c r="T11" s="8" t="s">
        <v>463</v>
      </c>
      <c r="U11" s="8"/>
      <c r="V11" s="8" t="s">
        <v>181</v>
      </c>
      <c r="W11" s="8" t="s">
        <v>179</v>
      </c>
      <c r="X11" s="8"/>
      <c r="Y11" s="8" t="s">
        <v>987</v>
      </c>
      <c r="Z11" s="8" t="s">
        <v>233</v>
      </c>
      <c r="AA11" s="8"/>
      <c r="AB11" s="8" t="s">
        <v>466</v>
      </c>
      <c r="AC11" s="8" t="s">
        <v>478</v>
      </c>
      <c r="AD11" s="8"/>
      <c r="AE11" s="8"/>
      <c r="AF11" s="8"/>
      <c r="AG11" s="8" t="s">
        <v>375</v>
      </c>
      <c r="AH11" s="23">
        <v>0</v>
      </c>
      <c r="AI11" s="86">
        <v>524117</v>
      </c>
      <c r="AK11" s="86">
        <v>11250</v>
      </c>
      <c r="AN11" s="23">
        <v>5</v>
      </c>
      <c r="AO11" s="23">
        <v>5</v>
      </c>
      <c r="AP11" s="23">
        <v>2.5</v>
      </c>
      <c r="AS11" s="8" t="s">
        <v>438</v>
      </c>
      <c r="AT11" s="8"/>
      <c r="AW11"/>
      <c r="AY11"/>
      <c r="AZ11"/>
      <c r="BL11"/>
      <c r="BP11"/>
    </row>
    <row r="12" spans="1:68" x14ac:dyDescent="0.4">
      <c r="A12" s="33">
        <v>42934.808333333334</v>
      </c>
      <c r="B12" t="s">
        <v>266</v>
      </c>
      <c r="C12" t="s">
        <v>94</v>
      </c>
      <c r="D12" t="s">
        <v>416</v>
      </c>
      <c r="E12" s="24"/>
      <c r="F12">
        <f xml:space="preserve"> F11+(ckSplitTable[ILN]&lt;"M")</f>
        <v>11</v>
      </c>
      <c r="G12" t="s">
        <v>96</v>
      </c>
      <c r="H12" t="s">
        <v>376</v>
      </c>
      <c r="I12" s="15" t="str">
        <f>HYPERLINK("https://www.ejacket.nsf.gov/ej/showProposal.do?ID="&amp;ckSplitTable[[#This Row],[prop_id]],"eJ")</f>
        <v>eJ</v>
      </c>
      <c r="K12" t="s">
        <v>481</v>
      </c>
      <c r="L12" t="s">
        <v>482</v>
      </c>
      <c r="M12" t="s">
        <v>487</v>
      </c>
      <c r="N12" s="8"/>
      <c r="O12" s="8" t="s">
        <v>182</v>
      </c>
      <c r="P12" s="8" t="s">
        <v>231</v>
      </c>
      <c r="Q12" s="8"/>
      <c r="R12" s="8" t="s">
        <v>417</v>
      </c>
      <c r="S12" s="8"/>
      <c r="T12" s="8" t="s">
        <v>418</v>
      </c>
      <c r="U12" s="8"/>
      <c r="V12" s="8" t="s">
        <v>181</v>
      </c>
      <c r="W12" s="8" t="s">
        <v>179</v>
      </c>
      <c r="X12" s="8"/>
      <c r="Y12" s="8" t="s">
        <v>987</v>
      </c>
      <c r="Z12" s="8" t="s">
        <v>233</v>
      </c>
      <c r="AA12" s="8"/>
      <c r="AB12" s="8" t="s">
        <v>483</v>
      </c>
      <c r="AC12" s="8" t="s">
        <v>484</v>
      </c>
      <c r="AD12" s="8"/>
      <c r="AE12" s="8"/>
      <c r="AF12" s="8"/>
      <c r="AG12" s="8" t="s">
        <v>376</v>
      </c>
      <c r="AH12" s="23">
        <v>0</v>
      </c>
      <c r="AI12" s="86">
        <v>440331</v>
      </c>
      <c r="AN12" s="23">
        <v>5</v>
      </c>
      <c r="AO12" s="23">
        <v>5</v>
      </c>
      <c r="AP12" s="23">
        <v>5</v>
      </c>
      <c r="AS12" s="8" t="s">
        <v>485</v>
      </c>
      <c r="AT12" s="8"/>
      <c r="AW12"/>
      <c r="AY12"/>
      <c r="AZ12"/>
      <c r="BL12"/>
      <c r="BP12"/>
    </row>
    <row r="13" spans="1:68" x14ac:dyDescent="0.4">
      <c r="A13" s="33">
        <v>42935.359027777777</v>
      </c>
      <c r="B13" t="s">
        <v>266</v>
      </c>
      <c r="C13" t="s">
        <v>94</v>
      </c>
      <c r="D13" t="s">
        <v>416</v>
      </c>
      <c r="E13" s="24"/>
      <c r="F13">
        <f xml:space="preserve"> F12+(ckSplitTable[ILN]&lt;"M")</f>
        <v>12</v>
      </c>
      <c r="G13" t="s">
        <v>96</v>
      </c>
      <c r="H13" t="s">
        <v>377</v>
      </c>
      <c r="I13" s="15" t="str">
        <f>HYPERLINK("https://www.ejacket.nsf.gov/ej/showProposal.do?ID="&amp;ckSplitTable[[#This Row],[prop_id]],"eJ")</f>
        <v>eJ</v>
      </c>
      <c r="K13" t="s">
        <v>488</v>
      </c>
      <c r="L13" t="s">
        <v>489</v>
      </c>
      <c r="M13" t="s">
        <v>492</v>
      </c>
      <c r="N13" s="8"/>
      <c r="O13" s="8" t="s">
        <v>182</v>
      </c>
      <c r="P13" s="8" t="s">
        <v>231</v>
      </c>
      <c r="Q13" s="8"/>
      <c r="R13" s="8" t="s">
        <v>417</v>
      </c>
      <c r="S13" s="8"/>
      <c r="T13" s="8" t="s">
        <v>434</v>
      </c>
      <c r="U13" s="8"/>
      <c r="V13" s="8" t="s">
        <v>181</v>
      </c>
      <c r="W13" s="8" t="s">
        <v>179</v>
      </c>
      <c r="X13" s="8"/>
      <c r="Y13" s="8" t="s">
        <v>987</v>
      </c>
      <c r="Z13" s="8" t="s">
        <v>233</v>
      </c>
      <c r="AA13" s="8"/>
      <c r="AB13" s="8" t="s">
        <v>229</v>
      </c>
      <c r="AC13" s="8" t="s">
        <v>490</v>
      </c>
      <c r="AD13" s="8"/>
      <c r="AE13" s="8"/>
      <c r="AF13" s="8"/>
      <c r="AG13" s="8" t="s">
        <v>377</v>
      </c>
      <c r="AH13" s="23">
        <v>0</v>
      </c>
      <c r="AI13" s="86">
        <v>530842</v>
      </c>
      <c r="AK13" s="86">
        <v>10000</v>
      </c>
      <c r="AN13" s="23">
        <v>5</v>
      </c>
      <c r="AO13" s="23">
        <v>5</v>
      </c>
      <c r="AP13" s="23">
        <v>5</v>
      </c>
      <c r="AS13" s="8" t="s">
        <v>423</v>
      </c>
      <c r="AT13" s="8"/>
      <c r="AW13"/>
      <c r="AY13"/>
      <c r="AZ13"/>
      <c r="BL13"/>
      <c r="BP13"/>
    </row>
    <row r="14" spans="1:68" x14ac:dyDescent="0.4">
      <c r="A14" s="33">
        <v>42935.374305555553</v>
      </c>
      <c r="B14" t="s">
        <v>266</v>
      </c>
      <c r="C14" t="s">
        <v>94</v>
      </c>
      <c r="D14" t="s">
        <v>416</v>
      </c>
      <c r="E14" s="24"/>
      <c r="F14">
        <f xml:space="preserve"> F13+(ckSplitTable[ILN]&lt;"M")</f>
        <v>13</v>
      </c>
      <c r="G14" t="s">
        <v>96</v>
      </c>
      <c r="H14" t="s">
        <v>378</v>
      </c>
      <c r="I14" s="15" t="str">
        <f>HYPERLINK("https://www.ejacket.nsf.gov/ej/showProposal.do?ID="&amp;ckSplitTable[[#This Row],[prop_id]],"eJ")</f>
        <v>eJ</v>
      </c>
      <c r="K14" t="s">
        <v>493</v>
      </c>
      <c r="L14" t="s">
        <v>494</v>
      </c>
      <c r="M14" t="s">
        <v>499</v>
      </c>
      <c r="N14" s="8"/>
      <c r="O14" s="8" t="s">
        <v>182</v>
      </c>
      <c r="P14" s="8" t="s">
        <v>231</v>
      </c>
      <c r="Q14" s="8"/>
      <c r="R14" s="8" t="s">
        <v>417</v>
      </c>
      <c r="S14" s="8"/>
      <c r="T14" s="8" t="s">
        <v>434</v>
      </c>
      <c r="U14" s="8"/>
      <c r="V14" s="8" t="s">
        <v>181</v>
      </c>
      <c r="W14" s="8" t="s">
        <v>179</v>
      </c>
      <c r="X14" s="8"/>
      <c r="Y14" s="8" t="s">
        <v>987</v>
      </c>
      <c r="Z14" s="8" t="s">
        <v>233</v>
      </c>
      <c r="AA14" s="8"/>
      <c r="AB14" s="8" t="s">
        <v>495</v>
      </c>
      <c r="AC14" s="8" t="s">
        <v>497</v>
      </c>
      <c r="AD14" s="8"/>
      <c r="AE14" s="8"/>
      <c r="AF14" s="8"/>
      <c r="AG14" s="8" t="s">
        <v>378</v>
      </c>
      <c r="AH14" s="23">
        <v>0</v>
      </c>
      <c r="AI14" s="86">
        <v>524840</v>
      </c>
      <c r="AM14" s="86">
        <v>3000</v>
      </c>
      <c r="AN14" s="23">
        <v>5</v>
      </c>
      <c r="AO14" s="23">
        <v>5</v>
      </c>
      <c r="AP14" s="23">
        <v>5</v>
      </c>
      <c r="AS14" s="8" t="s">
        <v>275</v>
      </c>
      <c r="AT14" s="8"/>
      <c r="AW14"/>
      <c r="AY14"/>
      <c r="AZ14"/>
      <c r="BL14"/>
      <c r="BP14"/>
    </row>
    <row r="15" spans="1:68" x14ac:dyDescent="0.4">
      <c r="A15" s="33">
        <v>42935.387499999997</v>
      </c>
      <c r="B15" t="s">
        <v>266</v>
      </c>
      <c r="C15" t="s">
        <v>94</v>
      </c>
      <c r="D15" t="s">
        <v>416</v>
      </c>
      <c r="E15" s="24"/>
      <c r="F15">
        <f xml:space="preserve"> F14+(ckSplitTable[ILN]&lt;"M")</f>
        <v>14</v>
      </c>
      <c r="G15" t="s">
        <v>96</v>
      </c>
      <c r="H15" t="s">
        <v>379</v>
      </c>
      <c r="I15" s="15" t="str">
        <f>HYPERLINK("https://www.ejacket.nsf.gov/ej/showProposal.do?ID="&amp;ckSplitTable[[#This Row],[prop_id]],"eJ")</f>
        <v>eJ</v>
      </c>
      <c r="K15" t="s">
        <v>500</v>
      </c>
      <c r="L15" t="s">
        <v>501</v>
      </c>
      <c r="M15" t="s">
        <v>505</v>
      </c>
      <c r="N15" s="8"/>
      <c r="O15" s="8" t="s">
        <v>182</v>
      </c>
      <c r="P15" s="8" t="s">
        <v>231</v>
      </c>
      <c r="Q15" s="8"/>
      <c r="R15" s="8" t="s">
        <v>417</v>
      </c>
      <c r="S15" s="8"/>
      <c r="T15" s="8" t="s">
        <v>434</v>
      </c>
      <c r="U15" s="8"/>
      <c r="V15" s="8" t="s">
        <v>181</v>
      </c>
      <c r="W15" s="8" t="s">
        <v>179</v>
      </c>
      <c r="X15" s="8"/>
      <c r="Y15" s="8" t="s">
        <v>987</v>
      </c>
      <c r="Z15" s="8" t="s">
        <v>233</v>
      </c>
      <c r="AA15" s="8"/>
      <c r="AB15" s="8" t="s">
        <v>502</v>
      </c>
      <c r="AC15" s="8" t="s">
        <v>504</v>
      </c>
      <c r="AD15" s="8"/>
      <c r="AE15" s="8"/>
      <c r="AF15" s="8"/>
      <c r="AG15" s="8" t="s">
        <v>379</v>
      </c>
      <c r="AH15" s="23">
        <v>0</v>
      </c>
      <c r="AI15" s="86">
        <v>602288</v>
      </c>
      <c r="AK15" s="86">
        <v>21026</v>
      </c>
      <c r="AM15" s="86">
        <v>16000</v>
      </c>
      <c r="AN15" s="23">
        <v>5</v>
      </c>
      <c r="AO15" s="23">
        <v>5</v>
      </c>
      <c r="AP15" s="23">
        <v>7</v>
      </c>
      <c r="AS15" s="8" t="s">
        <v>423</v>
      </c>
      <c r="AT15" s="8"/>
      <c r="AW15"/>
      <c r="AY15"/>
      <c r="AZ15"/>
      <c r="BL15"/>
      <c r="BP15"/>
    </row>
    <row r="16" spans="1:68" x14ac:dyDescent="0.4">
      <c r="A16" s="33">
        <v>42935.475694444445</v>
      </c>
      <c r="B16" t="s">
        <v>266</v>
      </c>
      <c r="C16" t="s">
        <v>94</v>
      </c>
      <c r="D16" t="s">
        <v>416</v>
      </c>
      <c r="E16" s="24"/>
      <c r="F16">
        <f xml:space="preserve"> F15+(ckSplitTable[ILN]&lt;"M")</f>
        <v>15</v>
      </c>
      <c r="G16" t="s">
        <v>96</v>
      </c>
      <c r="H16" t="s">
        <v>380</v>
      </c>
      <c r="I16" s="15" t="str">
        <f>HYPERLINK("https://www.ejacket.nsf.gov/ej/showProposal.do?ID="&amp;ckSplitTable[[#This Row],[prop_id]],"eJ")</f>
        <v>eJ</v>
      </c>
      <c r="K16" t="s">
        <v>506</v>
      </c>
      <c r="L16" t="s">
        <v>283</v>
      </c>
      <c r="M16" t="s">
        <v>510</v>
      </c>
      <c r="N16" s="8"/>
      <c r="O16" s="8" t="s">
        <v>182</v>
      </c>
      <c r="P16" s="8" t="s">
        <v>231</v>
      </c>
      <c r="Q16" s="8"/>
      <c r="R16" s="8" t="s">
        <v>417</v>
      </c>
      <c r="S16" s="8"/>
      <c r="T16" s="8" t="s">
        <v>434</v>
      </c>
      <c r="U16" s="8"/>
      <c r="V16" s="8" t="s">
        <v>181</v>
      </c>
      <c r="W16" s="8" t="s">
        <v>179</v>
      </c>
      <c r="X16" s="8"/>
      <c r="Y16" s="8" t="s">
        <v>987</v>
      </c>
      <c r="Z16" s="8" t="s">
        <v>233</v>
      </c>
      <c r="AA16" s="8"/>
      <c r="AB16" s="8" t="s">
        <v>507</v>
      </c>
      <c r="AC16" s="8" t="s">
        <v>508</v>
      </c>
      <c r="AD16" s="8"/>
      <c r="AE16" s="8"/>
      <c r="AF16" s="8"/>
      <c r="AG16" s="8" t="s">
        <v>380</v>
      </c>
      <c r="AH16" s="23">
        <v>0</v>
      </c>
      <c r="AI16" s="86">
        <v>507459</v>
      </c>
      <c r="AK16" s="86">
        <v>4200</v>
      </c>
      <c r="AN16" s="23">
        <v>5</v>
      </c>
      <c r="AO16" s="23">
        <v>5</v>
      </c>
      <c r="AR16" s="23">
        <v>5</v>
      </c>
      <c r="AS16" s="8" t="s">
        <v>423</v>
      </c>
      <c r="AT16" s="8"/>
      <c r="AW16"/>
      <c r="AY16"/>
      <c r="AZ16"/>
      <c r="BL16"/>
      <c r="BP16"/>
    </row>
    <row r="17" spans="1:68" x14ac:dyDescent="0.4">
      <c r="A17" s="33">
        <v>42935.488888888889</v>
      </c>
      <c r="B17" t="s">
        <v>266</v>
      </c>
      <c r="C17" t="s">
        <v>94</v>
      </c>
      <c r="D17" t="s">
        <v>416</v>
      </c>
      <c r="E17" s="24"/>
      <c r="F17">
        <f xml:space="preserve"> F16+(ckSplitTable[ILN]&lt;"M")</f>
        <v>16</v>
      </c>
      <c r="G17" t="s">
        <v>96</v>
      </c>
      <c r="H17" t="s">
        <v>381</v>
      </c>
      <c r="I17" s="15" t="str">
        <f>HYPERLINK("https://www.ejacket.nsf.gov/ej/showProposal.do?ID="&amp;ckSplitTable[[#This Row],[prop_id]],"eJ")</f>
        <v>eJ</v>
      </c>
      <c r="K17" t="s">
        <v>511</v>
      </c>
      <c r="L17" t="s">
        <v>512</v>
      </c>
      <c r="M17" t="s">
        <v>516</v>
      </c>
      <c r="N17" s="8"/>
      <c r="O17" s="8" t="s">
        <v>182</v>
      </c>
      <c r="P17" s="8" t="s">
        <v>231</v>
      </c>
      <c r="Q17" s="8"/>
      <c r="R17" s="8" t="s">
        <v>417</v>
      </c>
      <c r="S17" s="8"/>
      <c r="T17" s="8" t="s">
        <v>434</v>
      </c>
      <c r="U17" s="8"/>
      <c r="V17" s="8" t="s">
        <v>181</v>
      </c>
      <c r="W17" s="8" t="s">
        <v>179</v>
      </c>
      <c r="X17" s="8"/>
      <c r="Y17" s="8" t="s">
        <v>987</v>
      </c>
      <c r="Z17" s="8" t="s">
        <v>233</v>
      </c>
      <c r="AA17" s="8"/>
      <c r="AB17" s="8" t="s">
        <v>513</v>
      </c>
      <c r="AC17" s="8" t="s">
        <v>514</v>
      </c>
      <c r="AD17" s="8"/>
      <c r="AE17" s="8"/>
      <c r="AF17" s="8"/>
      <c r="AG17" s="8" t="s">
        <v>381</v>
      </c>
      <c r="AH17" s="23">
        <v>0</v>
      </c>
      <c r="AI17" s="86">
        <v>507423</v>
      </c>
      <c r="AK17" s="86">
        <v>15000</v>
      </c>
      <c r="AN17" s="23">
        <v>5</v>
      </c>
      <c r="AO17" s="23">
        <v>5</v>
      </c>
      <c r="AP17" s="23">
        <v>5</v>
      </c>
      <c r="AS17" s="8" t="s">
        <v>423</v>
      </c>
      <c r="AT17" s="8"/>
      <c r="AW17"/>
      <c r="AY17"/>
      <c r="AZ17"/>
      <c r="BL17"/>
      <c r="BP17"/>
    </row>
    <row r="18" spans="1:68" x14ac:dyDescent="0.4">
      <c r="A18" s="33">
        <v>42935.54583333333</v>
      </c>
      <c r="B18" t="s">
        <v>266</v>
      </c>
      <c r="C18" t="s">
        <v>94</v>
      </c>
      <c r="D18" t="s">
        <v>416</v>
      </c>
      <c r="E18" s="24"/>
      <c r="F18">
        <f xml:space="preserve"> F17+(ckSplitTable[ILN]&lt;"M")</f>
        <v>17</v>
      </c>
      <c r="G18" t="s">
        <v>96</v>
      </c>
      <c r="H18" t="s">
        <v>382</v>
      </c>
      <c r="I18" s="15" t="str">
        <f>HYPERLINK("https://www.ejacket.nsf.gov/ej/showProposal.do?ID="&amp;ckSplitTable[[#This Row],[prop_id]],"eJ")</f>
        <v>eJ</v>
      </c>
      <c r="K18" t="s">
        <v>517</v>
      </c>
      <c r="L18" t="s">
        <v>518</v>
      </c>
      <c r="M18" t="s">
        <v>523</v>
      </c>
      <c r="N18" s="8"/>
      <c r="O18" s="8" t="s">
        <v>182</v>
      </c>
      <c r="P18" s="8" t="s">
        <v>231</v>
      </c>
      <c r="Q18" s="8"/>
      <c r="R18" s="8" t="s">
        <v>417</v>
      </c>
      <c r="S18" s="8"/>
      <c r="T18" s="8" t="s">
        <v>434</v>
      </c>
      <c r="U18" s="8"/>
      <c r="V18" s="8" t="s">
        <v>181</v>
      </c>
      <c r="W18" s="8" t="s">
        <v>179</v>
      </c>
      <c r="X18" s="8"/>
      <c r="Y18" s="8" t="s">
        <v>987</v>
      </c>
      <c r="Z18" s="8" t="s">
        <v>233</v>
      </c>
      <c r="AA18" s="8"/>
      <c r="AB18" s="8" t="s">
        <v>519</v>
      </c>
      <c r="AC18" s="8" t="s">
        <v>521</v>
      </c>
      <c r="AD18" s="8"/>
      <c r="AE18" s="8"/>
      <c r="AF18" s="8"/>
      <c r="AG18" s="8" t="s">
        <v>382</v>
      </c>
      <c r="AH18" s="23">
        <v>0</v>
      </c>
      <c r="AI18" s="86">
        <v>533991</v>
      </c>
      <c r="AK18" s="86">
        <v>7500</v>
      </c>
      <c r="AN18" s="23">
        <v>5</v>
      </c>
      <c r="AO18" s="23">
        <v>5</v>
      </c>
      <c r="AP18" s="23">
        <v>6.5</v>
      </c>
      <c r="AS18" s="8" t="s">
        <v>423</v>
      </c>
      <c r="AT18" s="8"/>
    </row>
    <row r="19" spans="1:68" x14ac:dyDescent="0.4">
      <c r="A19" s="33">
        <v>42935.633333333331</v>
      </c>
      <c r="B19" t="s">
        <v>266</v>
      </c>
      <c r="C19" t="s">
        <v>94</v>
      </c>
      <c r="D19" t="s">
        <v>416</v>
      </c>
      <c r="E19" s="24"/>
      <c r="F19">
        <f xml:space="preserve"> F18+(ckSplitTable[ILN]&lt;"M")</f>
        <v>18</v>
      </c>
      <c r="G19" t="s">
        <v>96</v>
      </c>
      <c r="H19" t="s">
        <v>383</v>
      </c>
      <c r="I19" s="15" t="str">
        <f>HYPERLINK("https://www.ejacket.nsf.gov/ej/showProposal.do?ID="&amp;ckSplitTable[[#This Row],[prop_id]],"eJ")</f>
        <v>eJ</v>
      </c>
      <c r="K19" t="s">
        <v>524</v>
      </c>
      <c r="L19" t="s">
        <v>272</v>
      </c>
      <c r="M19" t="s">
        <v>528</v>
      </c>
      <c r="N19" s="8"/>
      <c r="O19" s="8" t="s">
        <v>182</v>
      </c>
      <c r="P19" s="8" t="s">
        <v>231</v>
      </c>
      <c r="Q19" s="8"/>
      <c r="R19" s="8" t="s">
        <v>417</v>
      </c>
      <c r="S19" s="8"/>
      <c r="T19" s="8" t="s">
        <v>418</v>
      </c>
      <c r="U19" s="8"/>
      <c r="V19" s="8" t="s">
        <v>181</v>
      </c>
      <c r="W19" s="8" t="s">
        <v>179</v>
      </c>
      <c r="X19" s="8"/>
      <c r="Y19" s="8" t="s">
        <v>987</v>
      </c>
      <c r="Z19" s="8" t="s">
        <v>233</v>
      </c>
      <c r="AA19" s="8"/>
      <c r="AB19" s="8" t="s">
        <v>525</v>
      </c>
      <c r="AC19" s="8" t="s">
        <v>527</v>
      </c>
      <c r="AD19" s="8"/>
      <c r="AE19" s="8"/>
      <c r="AF19" s="8"/>
      <c r="AG19" s="8" t="s">
        <v>383</v>
      </c>
      <c r="AH19" s="23">
        <v>0</v>
      </c>
      <c r="AI19" s="86">
        <v>582785</v>
      </c>
      <c r="AK19" s="86">
        <v>7500</v>
      </c>
      <c r="AN19" s="23">
        <v>10</v>
      </c>
      <c r="AO19" s="23">
        <v>5</v>
      </c>
      <c r="AP19" s="23">
        <v>5</v>
      </c>
      <c r="AS19" s="8" t="s">
        <v>431</v>
      </c>
      <c r="AT19" s="8"/>
    </row>
    <row r="20" spans="1:68" x14ac:dyDescent="0.4">
      <c r="A20" s="33">
        <v>42935.680555555555</v>
      </c>
      <c r="B20" t="s">
        <v>266</v>
      </c>
      <c r="C20" t="s">
        <v>94</v>
      </c>
      <c r="D20" t="s">
        <v>416</v>
      </c>
      <c r="E20" s="24"/>
      <c r="F20">
        <f xml:space="preserve"> F19+(ckSplitTable[ILN]&lt;"M")</f>
        <v>19</v>
      </c>
      <c r="G20" t="s">
        <v>96</v>
      </c>
      <c r="H20" t="s">
        <v>384</v>
      </c>
      <c r="I20" s="15" t="str">
        <f>HYPERLINK("https://www.ejacket.nsf.gov/ej/showProposal.do?ID="&amp;ckSplitTable[[#This Row],[prop_id]],"eJ")</f>
        <v>eJ</v>
      </c>
      <c r="K20" t="s">
        <v>529</v>
      </c>
      <c r="L20" t="s">
        <v>530</v>
      </c>
      <c r="M20" t="s">
        <v>534</v>
      </c>
      <c r="N20" s="8"/>
      <c r="O20" s="8" t="s">
        <v>182</v>
      </c>
      <c r="P20" s="8" t="s">
        <v>231</v>
      </c>
      <c r="Q20" s="8"/>
      <c r="R20" s="8" t="s">
        <v>417</v>
      </c>
      <c r="S20" s="8"/>
      <c r="T20" s="8" t="s">
        <v>418</v>
      </c>
      <c r="U20" s="8"/>
      <c r="V20" s="8" t="s">
        <v>181</v>
      </c>
      <c r="W20" s="8" t="s">
        <v>179</v>
      </c>
      <c r="X20" s="8"/>
      <c r="Y20" s="8" t="s">
        <v>987</v>
      </c>
      <c r="Z20" s="8" t="s">
        <v>233</v>
      </c>
      <c r="AA20" s="8"/>
      <c r="AB20" s="8" t="s">
        <v>531</v>
      </c>
      <c r="AC20" s="8" t="s">
        <v>532</v>
      </c>
      <c r="AD20" s="8"/>
      <c r="AE20" s="8"/>
      <c r="AF20" s="8"/>
      <c r="AG20" s="8" t="s">
        <v>384</v>
      </c>
      <c r="AH20" s="23">
        <v>0</v>
      </c>
      <c r="AI20" s="86">
        <v>415497</v>
      </c>
      <c r="AK20" s="86">
        <v>12250</v>
      </c>
      <c r="AM20" s="86">
        <v>16000</v>
      </c>
      <c r="AN20" s="23">
        <v>5</v>
      </c>
      <c r="AO20" s="23">
        <v>5</v>
      </c>
      <c r="AP20" s="23">
        <v>5</v>
      </c>
      <c r="AS20" s="8" t="s">
        <v>431</v>
      </c>
      <c r="AT20" s="8"/>
    </row>
    <row r="21" spans="1:68" x14ac:dyDescent="0.4">
      <c r="A21" s="33">
        <v>42935.69027777778</v>
      </c>
      <c r="B21" t="s">
        <v>266</v>
      </c>
      <c r="C21" t="s">
        <v>94</v>
      </c>
      <c r="D21" t="s">
        <v>416</v>
      </c>
      <c r="E21" s="24"/>
      <c r="F21">
        <f xml:space="preserve"> F20+(ckSplitTable[ILN]&lt;"M")</f>
        <v>20</v>
      </c>
      <c r="G21" t="s">
        <v>96</v>
      </c>
      <c r="H21" t="s">
        <v>385</v>
      </c>
      <c r="I21" s="15" t="str">
        <f>HYPERLINK("https://www.ejacket.nsf.gov/ej/showProposal.do?ID="&amp;ckSplitTable[[#This Row],[prop_id]],"eJ")</f>
        <v>eJ</v>
      </c>
      <c r="K21" t="s">
        <v>535</v>
      </c>
      <c r="L21" t="s">
        <v>536</v>
      </c>
      <c r="M21" t="s">
        <v>539</v>
      </c>
      <c r="N21" s="8"/>
      <c r="O21" s="8" t="s">
        <v>182</v>
      </c>
      <c r="P21" s="8" t="s">
        <v>231</v>
      </c>
      <c r="Q21" s="8"/>
      <c r="R21" s="8" t="s">
        <v>417</v>
      </c>
      <c r="S21" s="8"/>
      <c r="T21" s="8" t="s">
        <v>418</v>
      </c>
      <c r="U21" s="8"/>
      <c r="V21" s="8" t="s">
        <v>181</v>
      </c>
      <c r="W21" s="8" t="s">
        <v>179</v>
      </c>
      <c r="X21" s="8"/>
      <c r="Y21" s="8" t="s">
        <v>987</v>
      </c>
      <c r="Z21" s="8" t="s">
        <v>233</v>
      </c>
      <c r="AA21" s="8"/>
      <c r="AB21" s="8" t="s">
        <v>537</v>
      </c>
      <c r="AC21" s="8" t="s">
        <v>538</v>
      </c>
      <c r="AD21" s="8"/>
      <c r="AE21" s="8"/>
      <c r="AF21" s="8"/>
      <c r="AG21" s="8" t="s">
        <v>385</v>
      </c>
      <c r="AH21" s="23">
        <v>0</v>
      </c>
      <c r="AI21" s="86">
        <v>523537</v>
      </c>
      <c r="AK21" s="86">
        <v>15000</v>
      </c>
      <c r="AN21" s="23">
        <v>7</v>
      </c>
      <c r="AO21" s="23">
        <v>5</v>
      </c>
      <c r="AP21" s="23">
        <v>2</v>
      </c>
      <c r="AS21" s="8" t="s">
        <v>431</v>
      </c>
      <c r="AT21" s="8"/>
    </row>
    <row r="22" spans="1:68" x14ac:dyDescent="0.4">
      <c r="A22" s="33">
        <v>42935.696527777778</v>
      </c>
      <c r="B22" t="s">
        <v>266</v>
      </c>
      <c r="C22" t="s">
        <v>94</v>
      </c>
      <c r="D22" t="s">
        <v>416</v>
      </c>
      <c r="E22" s="24"/>
      <c r="F22">
        <f xml:space="preserve"> F21+(ckSplitTable[ILN]&lt;"M")</f>
        <v>21</v>
      </c>
      <c r="G22" t="s">
        <v>96</v>
      </c>
      <c r="H22" t="s">
        <v>386</v>
      </c>
      <c r="I22" s="15" t="str">
        <f>HYPERLINK("https://www.ejacket.nsf.gov/ej/showProposal.do?ID="&amp;ckSplitTable[[#This Row],[prop_id]],"eJ")</f>
        <v>eJ</v>
      </c>
      <c r="K22" t="s">
        <v>540</v>
      </c>
      <c r="L22" t="s">
        <v>541</v>
      </c>
      <c r="M22" t="s">
        <v>546</v>
      </c>
      <c r="N22" s="8"/>
      <c r="O22" s="8" t="s">
        <v>182</v>
      </c>
      <c r="P22" s="8" t="s">
        <v>231</v>
      </c>
      <c r="Q22" s="8"/>
      <c r="R22" s="8" t="s">
        <v>417</v>
      </c>
      <c r="S22" s="8"/>
      <c r="T22" s="8" t="s">
        <v>418</v>
      </c>
      <c r="U22" s="8"/>
      <c r="V22" s="8" t="s">
        <v>181</v>
      </c>
      <c r="W22" s="8" t="s">
        <v>179</v>
      </c>
      <c r="X22" s="8"/>
      <c r="Y22" s="8" t="s">
        <v>987</v>
      </c>
      <c r="Z22" s="8" t="s">
        <v>233</v>
      </c>
      <c r="AA22" s="8"/>
      <c r="AB22" s="8" t="s">
        <v>542</v>
      </c>
      <c r="AC22" s="8" t="s">
        <v>544</v>
      </c>
      <c r="AD22" s="8"/>
      <c r="AE22" s="8"/>
      <c r="AF22" s="8"/>
      <c r="AG22" s="8" t="s">
        <v>386</v>
      </c>
      <c r="AH22" s="23">
        <v>0</v>
      </c>
      <c r="AI22" s="86">
        <v>607459</v>
      </c>
      <c r="AK22" s="86">
        <v>23133</v>
      </c>
      <c r="AM22" s="86">
        <v>5500</v>
      </c>
      <c r="AN22" s="23">
        <v>5</v>
      </c>
      <c r="AO22" s="23">
        <v>5</v>
      </c>
      <c r="AP22" s="23">
        <v>4.5</v>
      </c>
      <c r="AS22" s="8" t="s">
        <v>431</v>
      </c>
      <c r="AT22" s="8"/>
    </row>
    <row r="23" spans="1:68" x14ac:dyDescent="0.4">
      <c r="A23" s="33">
        <v>42935.723611111112</v>
      </c>
      <c r="B23" t="s">
        <v>266</v>
      </c>
      <c r="C23" t="s">
        <v>94</v>
      </c>
      <c r="D23" t="s">
        <v>416</v>
      </c>
      <c r="E23" s="24"/>
      <c r="F23">
        <f xml:space="preserve"> F22+(ckSplitTable[ILN]&lt;"M")</f>
        <v>22</v>
      </c>
      <c r="G23" t="s">
        <v>96</v>
      </c>
      <c r="H23" t="s">
        <v>387</v>
      </c>
      <c r="I23" s="15" t="str">
        <f>HYPERLINK("https://www.ejacket.nsf.gov/ej/showProposal.do?ID="&amp;ckSplitTable[[#This Row],[prop_id]],"eJ")</f>
        <v>eJ</v>
      </c>
      <c r="K23" t="s">
        <v>547</v>
      </c>
      <c r="L23" t="s">
        <v>548</v>
      </c>
      <c r="M23" t="s">
        <v>552</v>
      </c>
      <c r="N23" s="8"/>
      <c r="O23" s="8" t="s">
        <v>182</v>
      </c>
      <c r="P23" s="8" t="s">
        <v>231</v>
      </c>
      <c r="Q23" s="8"/>
      <c r="R23" s="8" t="s">
        <v>417</v>
      </c>
      <c r="S23" s="8"/>
      <c r="T23" s="8" t="s">
        <v>463</v>
      </c>
      <c r="U23" s="8"/>
      <c r="V23" s="8" t="s">
        <v>181</v>
      </c>
      <c r="W23" s="8" t="s">
        <v>179</v>
      </c>
      <c r="X23" s="8"/>
      <c r="Y23" s="8" t="s">
        <v>987</v>
      </c>
      <c r="Z23" s="8" t="s">
        <v>233</v>
      </c>
      <c r="AA23" s="8"/>
      <c r="AB23" s="8" t="s">
        <v>549</v>
      </c>
      <c r="AC23" s="8" t="s">
        <v>550</v>
      </c>
      <c r="AD23" s="8"/>
      <c r="AE23" s="8"/>
      <c r="AF23" s="8"/>
      <c r="AG23" s="8" t="s">
        <v>387</v>
      </c>
      <c r="AH23" s="23">
        <v>0</v>
      </c>
      <c r="AI23" s="86">
        <v>552355</v>
      </c>
      <c r="AK23" s="86">
        <v>13000</v>
      </c>
      <c r="AN23" s="23">
        <v>12</v>
      </c>
      <c r="AO23" s="23">
        <v>5</v>
      </c>
      <c r="AP23" s="23">
        <v>5</v>
      </c>
      <c r="AS23" s="8" t="s">
        <v>551</v>
      </c>
      <c r="AT23" s="8"/>
    </row>
    <row r="24" spans="1:68" x14ac:dyDescent="0.4">
      <c r="A24" s="33">
        <v>42935.851388888892</v>
      </c>
      <c r="B24" t="s">
        <v>266</v>
      </c>
      <c r="C24" t="s">
        <v>94</v>
      </c>
      <c r="D24" t="s">
        <v>416</v>
      </c>
      <c r="E24" s="24"/>
      <c r="F24">
        <f xml:space="preserve"> F23+(ckSplitTable[ILN]&lt;"M")</f>
        <v>23</v>
      </c>
      <c r="G24" t="s">
        <v>96</v>
      </c>
      <c r="H24" t="s">
        <v>388</v>
      </c>
      <c r="I24" s="15" t="str">
        <f>HYPERLINK("https://www.ejacket.nsf.gov/ej/showProposal.do?ID="&amp;ckSplitTable[[#This Row],[prop_id]],"eJ")</f>
        <v>eJ</v>
      </c>
      <c r="K24" t="s">
        <v>553</v>
      </c>
      <c r="L24" t="s">
        <v>554</v>
      </c>
      <c r="M24" t="s">
        <v>559</v>
      </c>
      <c r="N24" s="8"/>
      <c r="O24" s="8" t="s">
        <v>182</v>
      </c>
      <c r="P24" s="8" t="s">
        <v>231</v>
      </c>
      <c r="Q24" s="8"/>
      <c r="R24" s="8" t="s">
        <v>417</v>
      </c>
      <c r="S24" s="8"/>
      <c r="T24" s="8" t="s">
        <v>434</v>
      </c>
      <c r="U24" s="8"/>
      <c r="V24" s="8" t="s">
        <v>181</v>
      </c>
      <c r="W24" s="8" t="s">
        <v>179</v>
      </c>
      <c r="X24" s="8"/>
      <c r="Y24" s="8" t="s">
        <v>987</v>
      </c>
      <c r="Z24" s="8" t="s">
        <v>233</v>
      </c>
      <c r="AA24" s="8"/>
      <c r="AB24" s="8" t="s">
        <v>555</v>
      </c>
      <c r="AC24" s="8" t="s">
        <v>556</v>
      </c>
      <c r="AD24" s="8"/>
      <c r="AE24" s="8"/>
      <c r="AF24" s="8"/>
      <c r="AG24" s="8" t="s">
        <v>388</v>
      </c>
      <c r="AH24" s="23">
        <v>0</v>
      </c>
      <c r="AI24" s="86">
        <v>549999</v>
      </c>
      <c r="AK24" s="86">
        <v>20000</v>
      </c>
      <c r="AN24" s="23">
        <v>5</v>
      </c>
      <c r="AO24" s="23">
        <v>5</v>
      </c>
      <c r="AP24" s="23">
        <v>5</v>
      </c>
      <c r="AQ24" s="23">
        <v>4.5199999999999996</v>
      </c>
      <c r="AS24" s="8" t="s">
        <v>557</v>
      </c>
      <c r="AT24" s="8"/>
    </row>
    <row r="25" spans="1:68" x14ac:dyDescent="0.4">
      <c r="A25" s="33">
        <v>42954.500694444447</v>
      </c>
      <c r="B25" t="s">
        <v>561</v>
      </c>
      <c r="C25" t="s">
        <v>94</v>
      </c>
      <c r="D25" t="s">
        <v>560</v>
      </c>
      <c r="E25" s="24"/>
      <c r="F25">
        <f xml:space="preserve"> F24+(ckSplitTable[ILN]&lt;"M")</f>
        <v>24</v>
      </c>
      <c r="G25" t="s">
        <v>96</v>
      </c>
      <c r="H25" t="s">
        <v>389</v>
      </c>
      <c r="I25" s="15" t="str">
        <f>HYPERLINK("https://www.ejacket.nsf.gov/ej/showProposal.do?ID="&amp;ckSplitTable[[#This Row],[prop_id]],"eJ")</f>
        <v>eJ</v>
      </c>
      <c r="K25" t="s">
        <v>426</v>
      </c>
      <c r="L25" t="s">
        <v>563</v>
      </c>
      <c r="M25" t="s">
        <v>568</v>
      </c>
      <c r="N25" s="8"/>
      <c r="O25" s="8" t="s">
        <v>182</v>
      </c>
      <c r="P25" s="8" t="s">
        <v>231</v>
      </c>
      <c r="Q25" s="8"/>
      <c r="R25" s="8" t="s">
        <v>562</v>
      </c>
      <c r="S25" s="8"/>
      <c r="T25" s="8" t="s">
        <v>434</v>
      </c>
      <c r="U25" s="8"/>
      <c r="V25" s="8" t="s">
        <v>181</v>
      </c>
      <c r="W25" s="8" t="s">
        <v>179</v>
      </c>
      <c r="X25" s="8"/>
      <c r="Y25" s="8" t="s">
        <v>987</v>
      </c>
      <c r="Z25" s="8" t="s">
        <v>233</v>
      </c>
      <c r="AA25" s="8"/>
      <c r="AB25" s="8" t="s">
        <v>564</v>
      </c>
      <c r="AC25" s="8" t="s">
        <v>565</v>
      </c>
      <c r="AD25" s="8"/>
      <c r="AE25" s="8"/>
      <c r="AF25" s="8"/>
      <c r="AG25" s="8" t="s">
        <v>389</v>
      </c>
      <c r="AH25" s="23">
        <v>0</v>
      </c>
      <c r="AI25" s="86">
        <v>168126</v>
      </c>
      <c r="AN25" s="23">
        <v>4</v>
      </c>
      <c r="AS25" s="8" t="s">
        <v>566</v>
      </c>
      <c r="AT25" s="8"/>
    </row>
    <row r="26" spans="1:68" x14ac:dyDescent="0.4">
      <c r="A26" s="33">
        <v>42956.472222222219</v>
      </c>
      <c r="B26" t="s">
        <v>561</v>
      </c>
      <c r="C26" t="s">
        <v>94</v>
      </c>
      <c r="D26" t="s">
        <v>560</v>
      </c>
      <c r="E26" s="24"/>
      <c r="F26">
        <f xml:space="preserve"> F25+(ckSplitTable[ILN]&lt;"M")</f>
        <v>25</v>
      </c>
      <c r="G26" t="s">
        <v>96</v>
      </c>
      <c r="H26" t="s">
        <v>390</v>
      </c>
      <c r="I26" s="15" t="str">
        <f>HYPERLINK("https://www.ejacket.nsf.gov/ej/showProposal.do?ID="&amp;ckSplitTable[[#This Row],[prop_id]],"eJ")</f>
        <v>eJ</v>
      </c>
      <c r="K26" t="s">
        <v>569</v>
      </c>
      <c r="L26" t="s">
        <v>570</v>
      </c>
      <c r="M26" t="s">
        <v>575</v>
      </c>
      <c r="N26" s="8"/>
      <c r="O26" s="8" t="s">
        <v>182</v>
      </c>
      <c r="P26" s="8" t="s">
        <v>231</v>
      </c>
      <c r="Q26" s="8"/>
      <c r="R26" s="8" t="s">
        <v>562</v>
      </c>
      <c r="S26" s="8"/>
      <c r="T26" s="8" t="s">
        <v>418</v>
      </c>
      <c r="U26" s="8"/>
      <c r="V26" s="8" t="s">
        <v>181</v>
      </c>
      <c r="W26" s="8" t="s">
        <v>179</v>
      </c>
      <c r="X26" s="8"/>
      <c r="Y26" s="8" t="s">
        <v>987</v>
      </c>
      <c r="Z26" s="8" t="s">
        <v>233</v>
      </c>
      <c r="AA26" s="8"/>
      <c r="AB26" s="8" t="s">
        <v>571</v>
      </c>
      <c r="AC26" s="8" t="s">
        <v>573</v>
      </c>
      <c r="AD26" s="8"/>
      <c r="AE26" s="8"/>
      <c r="AF26" s="8"/>
      <c r="AG26" s="8" t="s">
        <v>390</v>
      </c>
      <c r="AH26" s="23">
        <v>0</v>
      </c>
      <c r="AI26" s="86">
        <v>172682</v>
      </c>
      <c r="AN26" s="23">
        <v>4</v>
      </c>
      <c r="AS26" s="8" t="s">
        <v>566</v>
      </c>
      <c r="AT26" s="8"/>
    </row>
    <row r="27" spans="1:68" x14ac:dyDescent="0.4">
      <c r="A27" s="33">
        <v>42956.581944444442</v>
      </c>
      <c r="B27" t="s">
        <v>561</v>
      </c>
      <c r="C27" t="s">
        <v>94</v>
      </c>
      <c r="D27" t="s">
        <v>560</v>
      </c>
      <c r="E27" s="24"/>
      <c r="F27">
        <f xml:space="preserve"> F26+(ckSplitTable[ILN]&lt;"M")</f>
        <v>26</v>
      </c>
      <c r="G27" t="s">
        <v>96</v>
      </c>
      <c r="H27" t="s">
        <v>391</v>
      </c>
      <c r="I27" s="15" t="str">
        <f>HYPERLINK("https://www.ejacket.nsf.gov/ej/showProposal.do?ID="&amp;ckSplitTable[[#This Row],[prop_id]],"eJ")</f>
        <v>eJ</v>
      </c>
      <c r="K27" t="s">
        <v>576</v>
      </c>
      <c r="L27" t="s">
        <v>577</v>
      </c>
      <c r="M27" t="s">
        <v>581</v>
      </c>
      <c r="N27" s="8"/>
      <c r="O27" s="8" t="s">
        <v>182</v>
      </c>
      <c r="P27" s="8" t="s">
        <v>231</v>
      </c>
      <c r="Q27" s="8"/>
      <c r="R27" s="8" t="s">
        <v>562</v>
      </c>
      <c r="S27" s="8"/>
      <c r="T27" s="8" t="s">
        <v>434</v>
      </c>
      <c r="U27" s="8"/>
      <c r="V27" s="8" t="s">
        <v>181</v>
      </c>
      <c r="W27" s="8" t="s">
        <v>179</v>
      </c>
      <c r="X27" s="8"/>
      <c r="Y27" s="8" t="s">
        <v>987</v>
      </c>
      <c r="Z27" s="8" t="s">
        <v>233</v>
      </c>
      <c r="AA27" s="8"/>
      <c r="AB27" s="8" t="s">
        <v>578</v>
      </c>
      <c r="AC27" s="8" t="s">
        <v>579</v>
      </c>
      <c r="AD27" s="8"/>
      <c r="AE27" s="8"/>
      <c r="AF27" s="8"/>
      <c r="AG27" s="8" t="s">
        <v>391</v>
      </c>
      <c r="AH27" s="23">
        <v>0</v>
      </c>
      <c r="AI27" s="86">
        <v>175000</v>
      </c>
      <c r="AK27" s="86">
        <v>10000</v>
      </c>
      <c r="AN27" s="23">
        <v>2</v>
      </c>
      <c r="AS27" s="8" t="s">
        <v>566</v>
      </c>
      <c r="AT27" s="8"/>
    </row>
    <row r="28" spans="1:68" x14ac:dyDescent="0.4">
      <c r="A28" s="33">
        <v>42956.621527777781</v>
      </c>
      <c r="B28" t="s">
        <v>561</v>
      </c>
      <c r="C28" t="s">
        <v>94</v>
      </c>
      <c r="D28" t="s">
        <v>560</v>
      </c>
      <c r="E28" s="24"/>
      <c r="F28">
        <f xml:space="preserve"> F27+(ckSplitTable[ILN]&lt;"M")</f>
        <v>27</v>
      </c>
      <c r="G28" t="s">
        <v>96</v>
      </c>
      <c r="H28" t="s">
        <v>392</v>
      </c>
      <c r="I28" s="15" t="str">
        <f>HYPERLINK("https://www.ejacket.nsf.gov/ej/showProposal.do?ID="&amp;ckSplitTable[[#This Row],[prop_id]],"eJ")</f>
        <v>eJ</v>
      </c>
      <c r="K28" t="s">
        <v>582</v>
      </c>
      <c r="L28" t="s">
        <v>583</v>
      </c>
      <c r="M28" t="s">
        <v>587</v>
      </c>
      <c r="N28" s="8"/>
      <c r="O28" s="8" t="s">
        <v>182</v>
      </c>
      <c r="P28" s="8" t="s">
        <v>231</v>
      </c>
      <c r="Q28" s="8"/>
      <c r="R28" s="8" t="s">
        <v>562</v>
      </c>
      <c r="S28" s="8"/>
      <c r="T28" s="8" t="s">
        <v>463</v>
      </c>
      <c r="U28" s="8"/>
      <c r="V28" s="8" t="s">
        <v>181</v>
      </c>
      <c r="W28" s="8" t="s">
        <v>179</v>
      </c>
      <c r="X28" s="8"/>
      <c r="Y28" s="8" t="s">
        <v>987</v>
      </c>
      <c r="Z28" s="8" t="s">
        <v>233</v>
      </c>
      <c r="AA28" s="8"/>
      <c r="AB28" s="8" t="s">
        <v>466</v>
      </c>
      <c r="AC28" s="8" t="s">
        <v>584</v>
      </c>
      <c r="AD28" s="8"/>
      <c r="AE28" s="8"/>
      <c r="AF28" s="8"/>
      <c r="AG28" s="8" t="s">
        <v>392</v>
      </c>
      <c r="AH28" s="23">
        <v>0</v>
      </c>
      <c r="AI28" s="86">
        <v>175000</v>
      </c>
      <c r="AK28" s="86">
        <v>4000</v>
      </c>
      <c r="AN28" s="23">
        <v>4</v>
      </c>
      <c r="AS28" s="8" t="s">
        <v>585</v>
      </c>
      <c r="AT28" s="8"/>
    </row>
    <row r="29" spans="1:68" x14ac:dyDescent="0.4">
      <c r="A29" s="33">
        <v>42956.647916666669</v>
      </c>
      <c r="B29" t="s">
        <v>561</v>
      </c>
      <c r="C29" t="s">
        <v>94</v>
      </c>
      <c r="D29" t="s">
        <v>560</v>
      </c>
      <c r="E29" s="24"/>
      <c r="F29">
        <f xml:space="preserve"> F28+(ckSplitTable[ILN]&lt;"M")</f>
        <v>28</v>
      </c>
      <c r="G29" t="s">
        <v>96</v>
      </c>
      <c r="H29" t="s">
        <v>393</v>
      </c>
      <c r="I29" s="15" t="str">
        <f>HYPERLINK("https://www.ejacket.nsf.gov/ej/showProposal.do?ID="&amp;ckSplitTable[[#This Row],[prop_id]],"eJ")</f>
        <v>eJ</v>
      </c>
      <c r="K29" t="s">
        <v>588</v>
      </c>
      <c r="L29" t="s">
        <v>589</v>
      </c>
      <c r="M29" t="s">
        <v>594</v>
      </c>
      <c r="N29" s="8"/>
      <c r="O29" s="8" t="s">
        <v>182</v>
      </c>
      <c r="P29" s="8" t="s">
        <v>231</v>
      </c>
      <c r="Q29" s="8"/>
      <c r="R29" s="8" t="s">
        <v>562</v>
      </c>
      <c r="S29" s="8"/>
      <c r="T29" s="8" t="s">
        <v>418</v>
      </c>
      <c r="U29" s="8"/>
      <c r="V29" s="8" t="s">
        <v>181</v>
      </c>
      <c r="W29" s="8" t="s">
        <v>179</v>
      </c>
      <c r="X29" s="8"/>
      <c r="Y29" s="8" t="s">
        <v>987</v>
      </c>
      <c r="Z29" s="8" t="s">
        <v>233</v>
      </c>
      <c r="AA29" s="8"/>
      <c r="AB29" s="8" t="s">
        <v>590</v>
      </c>
      <c r="AC29" s="8" t="s">
        <v>591</v>
      </c>
      <c r="AD29" s="8"/>
      <c r="AE29" s="8"/>
      <c r="AF29" s="8"/>
      <c r="AG29" s="8" t="s">
        <v>393</v>
      </c>
      <c r="AH29" s="23">
        <v>0</v>
      </c>
      <c r="AI29" s="86">
        <v>170144</v>
      </c>
      <c r="AN29" s="23">
        <v>4</v>
      </c>
      <c r="AS29" s="8" t="s">
        <v>592</v>
      </c>
      <c r="AT29" s="8"/>
    </row>
    <row r="30" spans="1:68" x14ac:dyDescent="0.4">
      <c r="A30" s="33">
        <v>42956.697222222225</v>
      </c>
      <c r="B30" t="s">
        <v>561</v>
      </c>
      <c r="C30" t="s">
        <v>94</v>
      </c>
      <c r="D30" t="s">
        <v>560</v>
      </c>
      <c r="E30" s="24"/>
      <c r="F30">
        <f xml:space="preserve"> F29+(ckSplitTable[ILN]&lt;"M")</f>
        <v>29</v>
      </c>
      <c r="G30" t="s">
        <v>96</v>
      </c>
      <c r="H30" t="s">
        <v>394</v>
      </c>
      <c r="I30" s="15" t="str">
        <f>HYPERLINK("https://www.ejacket.nsf.gov/ej/showProposal.do?ID="&amp;ckSplitTable[[#This Row],[prop_id]],"eJ")</f>
        <v>eJ</v>
      </c>
      <c r="K30" t="s">
        <v>595</v>
      </c>
      <c r="L30" t="s">
        <v>596</v>
      </c>
      <c r="M30" t="s">
        <v>600</v>
      </c>
      <c r="N30" s="8"/>
      <c r="O30" s="8" t="s">
        <v>182</v>
      </c>
      <c r="P30" s="8" t="s">
        <v>231</v>
      </c>
      <c r="Q30" s="8"/>
      <c r="R30" s="8" t="s">
        <v>562</v>
      </c>
      <c r="S30" s="8"/>
      <c r="T30" s="8" t="s">
        <v>418</v>
      </c>
      <c r="U30" s="8"/>
      <c r="V30" s="8" t="s">
        <v>181</v>
      </c>
      <c r="W30" s="8" t="s">
        <v>179</v>
      </c>
      <c r="X30" s="8"/>
      <c r="Y30" s="8" t="s">
        <v>987</v>
      </c>
      <c r="Z30" s="8" t="s">
        <v>233</v>
      </c>
      <c r="AA30" s="8"/>
      <c r="AB30" s="8" t="s">
        <v>597</v>
      </c>
      <c r="AC30" s="8" t="s">
        <v>598</v>
      </c>
      <c r="AD30" s="8"/>
      <c r="AE30" s="8"/>
      <c r="AF30" s="8"/>
      <c r="AG30" s="8" t="s">
        <v>394</v>
      </c>
      <c r="AH30" s="23">
        <v>0</v>
      </c>
      <c r="AI30" s="86">
        <v>175000</v>
      </c>
      <c r="AN30" s="23">
        <v>4</v>
      </c>
      <c r="AS30" s="8" t="s">
        <v>585</v>
      </c>
      <c r="AT30" s="8"/>
    </row>
    <row r="31" spans="1:68" x14ac:dyDescent="0.4">
      <c r="A31" s="33">
        <v>42956.717361111114</v>
      </c>
      <c r="B31" t="s">
        <v>561</v>
      </c>
      <c r="C31" t="s">
        <v>94</v>
      </c>
      <c r="D31" t="s">
        <v>560</v>
      </c>
      <c r="E31" s="24"/>
      <c r="F31">
        <f xml:space="preserve"> F30+(ckSplitTable[ILN]&lt;"M")</f>
        <v>30</v>
      </c>
      <c r="G31" t="s">
        <v>96</v>
      </c>
      <c r="H31" t="s">
        <v>395</v>
      </c>
      <c r="I31" s="15" t="str">
        <f>HYPERLINK("https://www.ejacket.nsf.gov/ej/showProposal.do?ID="&amp;ckSplitTable[[#This Row],[prop_id]],"eJ")</f>
        <v>eJ</v>
      </c>
      <c r="K31" t="s">
        <v>601</v>
      </c>
      <c r="L31" t="s">
        <v>602</v>
      </c>
      <c r="M31" t="s">
        <v>606</v>
      </c>
      <c r="N31" s="8"/>
      <c r="O31" s="8" t="s">
        <v>182</v>
      </c>
      <c r="P31" s="8" t="s">
        <v>231</v>
      </c>
      <c r="Q31" s="8"/>
      <c r="R31" s="8" t="s">
        <v>562</v>
      </c>
      <c r="S31" s="8"/>
      <c r="T31" s="8" t="s">
        <v>418</v>
      </c>
      <c r="U31" s="8"/>
      <c r="V31" s="8" t="s">
        <v>181</v>
      </c>
      <c r="W31" s="8" t="s">
        <v>179</v>
      </c>
      <c r="X31" s="8"/>
      <c r="Y31" s="8" t="s">
        <v>987</v>
      </c>
      <c r="Z31" s="8" t="s">
        <v>233</v>
      </c>
      <c r="AA31" s="8"/>
      <c r="AB31" s="8" t="s">
        <v>603</v>
      </c>
      <c r="AC31" s="8" t="s">
        <v>604</v>
      </c>
      <c r="AD31" s="8"/>
      <c r="AE31" s="8"/>
      <c r="AF31" s="8"/>
      <c r="AG31" s="8" t="s">
        <v>395</v>
      </c>
      <c r="AH31" s="23">
        <v>0</v>
      </c>
      <c r="AI31" s="86">
        <v>175000</v>
      </c>
      <c r="AN31" s="23">
        <v>4</v>
      </c>
      <c r="AS31" s="8" t="s">
        <v>362</v>
      </c>
      <c r="AT31" s="8"/>
    </row>
    <row r="32" spans="1:68" x14ac:dyDescent="0.4">
      <c r="A32" s="33">
        <v>42956.746527777781</v>
      </c>
      <c r="B32" t="s">
        <v>561</v>
      </c>
      <c r="C32" t="s">
        <v>94</v>
      </c>
      <c r="D32" t="s">
        <v>560</v>
      </c>
      <c r="E32" s="24"/>
      <c r="F32">
        <f xml:space="preserve"> F31+(ckSplitTable[ILN]&lt;"M")</f>
        <v>31</v>
      </c>
      <c r="G32" t="s">
        <v>96</v>
      </c>
      <c r="H32" t="s">
        <v>396</v>
      </c>
      <c r="I32" s="15" t="str">
        <f>HYPERLINK("https://www.ejacket.nsf.gov/ej/showProposal.do?ID="&amp;ckSplitTable[[#This Row],[prop_id]],"eJ")</f>
        <v>eJ</v>
      </c>
      <c r="K32" t="s">
        <v>276</v>
      </c>
      <c r="L32" t="s">
        <v>607</v>
      </c>
      <c r="M32" t="s">
        <v>611</v>
      </c>
      <c r="N32" s="8"/>
      <c r="O32" s="8" t="s">
        <v>182</v>
      </c>
      <c r="P32" s="8" t="s">
        <v>231</v>
      </c>
      <c r="Q32" s="8"/>
      <c r="R32" s="8" t="s">
        <v>562</v>
      </c>
      <c r="S32" s="8"/>
      <c r="T32" s="8" t="s">
        <v>434</v>
      </c>
      <c r="U32" s="8"/>
      <c r="V32" s="8" t="s">
        <v>181</v>
      </c>
      <c r="W32" s="8" t="s">
        <v>179</v>
      </c>
      <c r="X32" s="8"/>
      <c r="Y32" s="8" t="s">
        <v>987</v>
      </c>
      <c r="Z32" s="8" t="s">
        <v>233</v>
      </c>
      <c r="AA32" s="8"/>
      <c r="AB32" s="8" t="s">
        <v>608</v>
      </c>
      <c r="AC32" s="8" t="s">
        <v>609</v>
      </c>
      <c r="AD32" s="8"/>
      <c r="AE32" s="8"/>
      <c r="AF32" s="8"/>
      <c r="AG32" s="8" t="s">
        <v>396</v>
      </c>
      <c r="AH32" s="23">
        <v>0</v>
      </c>
      <c r="AI32" s="86">
        <v>148477</v>
      </c>
      <c r="AK32" s="86">
        <v>7000</v>
      </c>
      <c r="AN32" s="23">
        <v>3</v>
      </c>
      <c r="AS32" s="8" t="s">
        <v>566</v>
      </c>
      <c r="AT32" s="8"/>
    </row>
  </sheetData>
  <conditionalFormatting sqref="M2:M32">
    <cfRule type="expression" dxfId="6" priority="1114">
      <formula>AND($G2="N", M2&lt;&gt;BN1048532)</formula>
    </cfRule>
  </conditionalFormatting>
  <conditionalFormatting sqref="M17 B17:C17 B2:B32">
    <cfRule type="expression" dxfId="5" priority="1117">
      <formula>AND($G2="N", B2&lt;&gt;B1048547)</formula>
    </cfRule>
  </conditionalFormatting>
  <conditionalFormatting sqref="C2:C32">
    <cfRule type="expression" dxfId="4" priority="1256">
      <formula>AND($G2="N", C2&lt;&gt;#REF!)</formula>
    </cfRule>
  </conditionalFormatting>
  <conditionalFormatting sqref="A2:AT32">
    <cfRule type="expression" dxfId="3" priority="1259">
      <formula>MOD($F2,2)</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78"/>
  <sheetViews>
    <sheetView workbookViewId="0">
      <selection activeCell="F11" sqref="F1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1" customWidth="1"/>
    <col min="12" max="12" width="16.15234375" customWidth="1"/>
    <col min="13" max="14" width="6.3046875" style="23" customWidth="1"/>
    <col min="15" max="15" width="5.15234375" customWidth="1"/>
    <col min="16" max="16" width="80.53515625" bestFit="1" customWidth="1"/>
  </cols>
  <sheetData>
    <row r="1" spans="1:16" ht="51.45" customHeight="1" x14ac:dyDescent="0.4">
      <c r="A1" t="s">
        <v>102</v>
      </c>
      <c r="B1" t="s">
        <v>9</v>
      </c>
      <c r="C1" t="s">
        <v>10</v>
      </c>
      <c r="D1" t="s">
        <v>192</v>
      </c>
      <c r="E1" t="s">
        <v>193</v>
      </c>
      <c r="F1" t="s">
        <v>194</v>
      </c>
      <c r="G1" t="s">
        <v>195</v>
      </c>
      <c r="H1" t="s">
        <v>196</v>
      </c>
      <c r="I1" t="s">
        <v>197</v>
      </c>
      <c r="J1" t="s">
        <v>198</v>
      </c>
      <c r="K1" s="31" t="s">
        <v>199</v>
      </c>
      <c r="L1" t="s">
        <v>200</v>
      </c>
      <c r="M1" s="23" t="s">
        <v>201</v>
      </c>
      <c r="N1" s="23" t="s">
        <v>202</v>
      </c>
      <c r="O1" t="s">
        <v>203</v>
      </c>
      <c r="P1" t="s">
        <v>204</v>
      </c>
    </row>
    <row r="2" spans="1:16" x14ac:dyDescent="0.4">
      <c r="A2">
        <f t="shared" ref="A2:A33" si="0">A1+(B2&lt;&gt;B1)</f>
        <v>1</v>
      </c>
      <c r="B2" t="s">
        <v>366</v>
      </c>
      <c r="C2" t="s">
        <v>419</v>
      </c>
      <c r="D2" t="s">
        <v>217</v>
      </c>
      <c r="E2" t="s">
        <v>463</v>
      </c>
      <c r="F2" t="s">
        <v>628</v>
      </c>
      <c r="G2" t="s">
        <v>736</v>
      </c>
      <c r="H2" t="s">
        <v>629</v>
      </c>
      <c r="I2" t="s">
        <v>212</v>
      </c>
      <c r="J2" t="s">
        <v>737</v>
      </c>
      <c r="K2" s="33">
        <v>43031</v>
      </c>
      <c r="L2" s="8"/>
      <c r="M2" s="23">
        <f>LEN(ProjTextTable[[#This Row],[text]])</f>
        <v>3392</v>
      </c>
      <c r="N2" s="23">
        <f>LEN(TRIM(CLEAN(SUBSTITUTE(ProjTextTable[[#This Row],[text]],CHAR(10)," "))))+1 - LEN(SUBSTITUTE(CLEAN(SUBSTITUTE(ProjTextTable[[#This Row],[text]],CHAR(10)," "))," ",""))</f>
        <v>513</v>
      </c>
      <c r="O2" t="s">
        <v>503</v>
      </c>
      <c r="P2" t="s">
        <v>738</v>
      </c>
    </row>
    <row r="3" spans="1:16" x14ac:dyDescent="0.4">
      <c r="A3">
        <f t="shared" si="0"/>
        <v>1</v>
      </c>
      <c r="B3" t="s">
        <v>366</v>
      </c>
      <c r="C3" t="s">
        <v>419</v>
      </c>
      <c r="D3" t="s">
        <v>206</v>
      </c>
      <c r="E3" t="s">
        <v>463</v>
      </c>
      <c r="F3" t="s">
        <v>739</v>
      </c>
      <c r="G3" t="s">
        <v>740</v>
      </c>
      <c r="H3" t="s">
        <v>741</v>
      </c>
      <c r="I3" t="s">
        <v>223</v>
      </c>
      <c r="J3" t="s">
        <v>185</v>
      </c>
      <c r="K3" s="33">
        <v>43032</v>
      </c>
      <c r="L3" s="8">
        <v>43031.583935185183</v>
      </c>
      <c r="M3" s="23">
        <f>LEN(ProjTextTable[[#This Row],[text]])</f>
        <v>3353</v>
      </c>
      <c r="N3" s="23">
        <f>LEN(TRIM(CLEAN(SUBSTITUTE(ProjTextTable[[#This Row],[text]],CHAR(10)," "))))+1 - LEN(SUBSTITUTE(CLEAN(SUBSTITUTE(ProjTextTable[[#This Row],[text]],CHAR(10)," "))," ",""))</f>
        <v>545</v>
      </c>
      <c r="O3" t="s">
        <v>230</v>
      </c>
      <c r="P3" t="s">
        <v>742</v>
      </c>
    </row>
    <row r="4" spans="1:16" x14ac:dyDescent="0.4">
      <c r="A4">
        <f t="shared" si="0"/>
        <v>1</v>
      </c>
      <c r="B4" t="s">
        <v>366</v>
      </c>
      <c r="C4" t="s">
        <v>419</v>
      </c>
      <c r="D4" t="s">
        <v>206</v>
      </c>
      <c r="E4" t="s">
        <v>463</v>
      </c>
      <c r="F4" t="s">
        <v>743</v>
      </c>
      <c r="G4" t="s">
        <v>744</v>
      </c>
      <c r="H4" t="s">
        <v>745</v>
      </c>
      <c r="I4" t="s">
        <v>223</v>
      </c>
      <c r="J4" t="s">
        <v>185</v>
      </c>
      <c r="K4" s="33">
        <v>43032</v>
      </c>
      <c r="L4" s="8">
        <v>43031.52008101852</v>
      </c>
      <c r="M4" s="23">
        <f>LEN(ProjTextTable[[#This Row],[text]])</f>
        <v>1749</v>
      </c>
      <c r="N4" s="23">
        <f>LEN(TRIM(CLEAN(SUBSTITUTE(ProjTextTable[[#This Row],[text]],CHAR(10)," "))))+1 - LEN(SUBSTITUTE(CLEAN(SUBSTITUTE(ProjTextTable[[#This Row],[text]],CHAR(10)," "))," ",""))</f>
        <v>271</v>
      </c>
      <c r="O4" t="s">
        <v>213</v>
      </c>
      <c r="P4" t="s">
        <v>746</v>
      </c>
    </row>
    <row r="5" spans="1:16" x14ac:dyDescent="0.4">
      <c r="A5">
        <f t="shared" si="0"/>
        <v>1</v>
      </c>
      <c r="B5" t="s">
        <v>366</v>
      </c>
      <c r="C5" t="s">
        <v>419</v>
      </c>
      <c r="D5" t="s">
        <v>206</v>
      </c>
      <c r="E5" t="s">
        <v>463</v>
      </c>
      <c r="F5" t="s">
        <v>747</v>
      </c>
      <c r="G5" t="s">
        <v>748</v>
      </c>
      <c r="H5" t="s">
        <v>749</v>
      </c>
      <c r="I5" t="s">
        <v>223</v>
      </c>
      <c r="J5" t="s">
        <v>185</v>
      </c>
      <c r="K5" s="33">
        <v>43032</v>
      </c>
      <c r="L5" s="8">
        <v>43026.508344907408</v>
      </c>
      <c r="M5" s="23">
        <f>LEN(ProjTextTable[[#This Row],[text]])</f>
        <v>3446</v>
      </c>
      <c r="N5" s="23">
        <f>LEN(TRIM(CLEAN(SUBSTITUTE(ProjTextTable[[#This Row],[text]],CHAR(10)," "))))+1 - LEN(SUBSTITUTE(CLEAN(SUBSTITUTE(ProjTextTable[[#This Row],[text]],CHAR(10)," "))," ",""))</f>
        <v>531</v>
      </c>
      <c r="O5" t="s">
        <v>211</v>
      </c>
      <c r="P5" t="s">
        <v>750</v>
      </c>
    </row>
    <row r="6" spans="1:16" x14ac:dyDescent="0.4">
      <c r="A6">
        <f t="shared" si="0"/>
        <v>1</v>
      </c>
      <c r="B6" t="s">
        <v>366</v>
      </c>
      <c r="C6" t="s">
        <v>419</v>
      </c>
      <c r="D6" t="s">
        <v>206</v>
      </c>
      <c r="E6" t="s">
        <v>418</v>
      </c>
      <c r="F6" t="s">
        <v>751</v>
      </c>
      <c r="G6" t="s">
        <v>752</v>
      </c>
      <c r="H6" t="s">
        <v>753</v>
      </c>
      <c r="I6" t="s">
        <v>223</v>
      </c>
      <c r="J6" t="s">
        <v>185</v>
      </c>
      <c r="K6" s="33">
        <v>43032</v>
      </c>
      <c r="L6" s="8">
        <v>43018.840243055558</v>
      </c>
      <c r="M6" s="23">
        <f>LEN(ProjTextTable[[#This Row],[text]])</f>
        <v>2975</v>
      </c>
      <c r="N6" s="23">
        <f>LEN(TRIM(CLEAN(SUBSTITUTE(ProjTextTable[[#This Row],[text]],CHAR(10)," "))))+1 - LEN(SUBSTITUTE(CLEAN(SUBSTITUTE(ProjTextTable[[#This Row],[text]],CHAR(10)," "))," ",""))</f>
        <v>476</v>
      </c>
      <c r="O6" t="s">
        <v>213</v>
      </c>
      <c r="P6" t="s">
        <v>754</v>
      </c>
    </row>
    <row r="7" spans="1:16" x14ac:dyDescent="0.4">
      <c r="A7">
        <f t="shared" si="0"/>
        <v>1</v>
      </c>
      <c r="B7" t="s">
        <v>366</v>
      </c>
      <c r="C7" t="s">
        <v>419</v>
      </c>
      <c r="D7" t="s">
        <v>208</v>
      </c>
      <c r="E7" t="s">
        <v>418</v>
      </c>
      <c r="F7" t="s">
        <v>13</v>
      </c>
      <c r="G7" t="s">
        <v>13</v>
      </c>
      <c r="H7" t="s">
        <v>13</v>
      </c>
      <c r="K7" s="33"/>
      <c r="L7" s="8">
        <v>42931.442777777775</v>
      </c>
      <c r="M7" s="23">
        <f>LEN(ProjTextTable[[#This Row],[text]])</f>
        <v>3950</v>
      </c>
      <c r="N7" s="23">
        <f>LEN(TRIM(CLEAN(SUBSTITUTE(ProjTextTable[[#This Row],[text]],CHAR(10)," "))))+1 - LEN(SUBSTITUTE(CLEAN(SUBSTITUTE(ProjTextTable[[#This Row],[text]],CHAR(10)," "))," ",""))</f>
        <v>602</v>
      </c>
      <c r="O7" t="s">
        <v>13</v>
      </c>
      <c r="P7" t="s">
        <v>755</v>
      </c>
    </row>
    <row r="8" spans="1:16" x14ac:dyDescent="0.4">
      <c r="A8">
        <f t="shared" si="0"/>
        <v>2</v>
      </c>
      <c r="B8" t="s">
        <v>367</v>
      </c>
      <c r="C8" t="s">
        <v>426</v>
      </c>
      <c r="D8" t="s">
        <v>217</v>
      </c>
      <c r="E8" t="s">
        <v>463</v>
      </c>
      <c r="F8" t="s">
        <v>628</v>
      </c>
      <c r="G8" t="s">
        <v>736</v>
      </c>
      <c r="H8" t="s">
        <v>274</v>
      </c>
      <c r="I8" t="s">
        <v>205</v>
      </c>
      <c r="J8" t="s">
        <v>756</v>
      </c>
      <c r="K8" s="33">
        <v>43031</v>
      </c>
      <c r="L8" s="8"/>
      <c r="M8" s="23">
        <f>LEN(ProjTextTable[[#This Row],[text]])</f>
        <v>4739</v>
      </c>
      <c r="N8" s="23">
        <f>LEN(TRIM(CLEAN(SUBSTITUTE(ProjTextTable[[#This Row],[text]],CHAR(10)," "))))+1 - LEN(SUBSTITUTE(CLEAN(SUBSTITUTE(ProjTextTable[[#This Row],[text]],CHAR(10)," "))," ",""))</f>
        <v>677</v>
      </c>
      <c r="O8" t="s">
        <v>273</v>
      </c>
      <c r="P8" t="s">
        <v>757</v>
      </c>
    </row>
    <row r="9" spans="1:16" x14ac:dyDescent="0.4">
      <c r="A9">
        <f t="shared" si="0"/>
        <v>2</v>
      </c>
      <c r="B9" t="s">
        <v>367</v>
      </c>
      <c r="C9" t="s">
        <v>426</v>
      </c>
      <c r="D9" t="s">
        <v>206</v>
      </c>
      <c r="E9" t="s">
        <v>463</v>
      </c>
      <c r="F9" t="s">
        <v>758</v>
      </c>
      <c r="G9" t="s">
        <v>759</v>
      </c>
      <c r="H9" t="s">
        <v>760</v>
      </c>
      <c r="I9" t="s">
        <v>223</v>
      </c>
      <c r="J9" t="s">
        <v>185</v>
      </c>
      <c r="K9" s="33">
        <v>43032</v>
      </c>
      <c r="L9" s="8">
        <v>43029.002870370372</v>
      </c>
      <c r="M9" s="23">
        <f>LEN(ProjTextTable[[#This Row],[text]])</f>
        <v>3294</v>
      </c>
      <c r="N9" s="23">
        <f>LEN(TRIM(CLEAN(SUBSTITUTE(ProjTextTable[[#This Row],[text]],CHAR(10)," "))))+1 - LEN(SUBSTITUTE(CLEAN(SUBSTITUTE(ProjTextTable[[#This Row],[text]],CHAR(10)," "))," ",""))</f>
        <v>495</v>
      </c>
      <c r="O9" t="s">
        <v>207</v>
      </c>
      <c r="P9" t="s">
        <v>761</v>
      </c>
    </row>
    <row r="10" spans="1:16" x14ac:dyDescent="0.4">
      <c r="A10">
        <f t="shared" si="0"/>
        <v>2</v>
      </c>
      <c r="B10" t="s">
        <v>367</v>
      </c>
      <c r="C10" t="s">
        <v>426</v>
      </c>
      <c r="D10" t="s">
        <v>206</v>
      </c>
      <c r="E10" t="s">
        <v>418</v>
      </c>
      <c r="F10" t="s">
        <v>762</v>
      </c>
      <c r="G10" t="s">
        <v>763</v>
      </c>
      <c r="H10" t="s">
        <v>764</v>
      </c>
      <c r="I10" t="s">
        <v>223</v>
      </c>
      <c r="J10" t="s">
        <v>185</v>
      </c>
      <c r="K10" s="33">
        <v>43032</v>
      </c>
      <c r="L10" s="8">
        <v>43030.179826388892</v>
      </c>
      <c r="M10" s="23">
        <f>LEN(ProjTextTable[[#This Row],[text]])</f>
        <v>2298</v>
      </c>
      <c r="N10" s="23">
        <f>LEN(TRIM(CLEAN(SUBSTITUTE(ProjTextTable[[#This Row],[text]],CHAR(10)," "))))+1 - LEN(SUBSTITUTE(CLEAN(SUBSTITUTE(ProjTextTable[[#This Row],[text]],CHAR(10)," "))," ",""))</f>
        <v>339</v>
      </c>
      <c r="O10" t="s">
        <v>211</v>
      </c>
      <c r="P10" t="s">
        <v>765</v>
      </c>
    </row>
    <row r="11" spans="1:16" x14ac:dyDescent="0.4">
      <c r="A11">
        <f t="shared" si="0"/>
        <v>2</v>
      </c>
      <c r="B11" t="s">
        <v>367</v>
      </c>
      <c r="C11" t="s">
        <v>426</v>
      </c>
      <c r="D11" t="s">
        <v>206</v>
      </c>
      <c r="E11" t="s">
        <v>463</v>
      </c>
      <c r="F11" t="s">
        <v>766</v>
      </c>
      <c r="G11" t="s">
        <v>767</v>
      </c>
      <c r="H11" t="s">
        <v>768</v>
      </c>
      <c r="I11" t="s">
        <v>223</v>
      </c>
      <c r="J11" t="s">
        <v>185</v>
      </c>
      <c r="K11" s="33">
        <v>43032</v>
      </c>
      <c r="L11" s="8">
        <v>43028.861863425926</v>
      </c>
      <c r="M11" s="23">
        <f>LEN(ProjTextTable[[#This Row],[text]])</f>
        <v>2774</v>
      </c>
      <c r="N11" s="23">
        <f>LEN(TRIM(CLEAN(SUBSTITUTE(ProjTextTable[[#This Row],[text]],CHAR(10)," "))))+1 - LEN(SUBSTITUTE(CLEAN(SUBSTITUTE(ProjTextTable[[#This Row],[text]],CHAR(10)," "))," ",""))</f>
        <v>392</v>
      </c>
      <c r="O11" t="s">
        <v>277</v>
      </c>
      <c r="P11" t="s">
        <v>769</v>
      </c>
    </row>
    <row r="12" spans="1:16" x14ac:dyDescent="0.4">
      <c r="A12">
        <f t="shared" si="0"/>
        <v>2</v>
      </c>
      <c r="B12" t="s">
        <v>367</v>
      </c>
      <c r="C12" t="s">
        <v>426</v>
      </c>
      <c r="D12" t="s">
        <v>206</v>
      </c>
      <c r="E12" t="s">
        <v>463</v>
      </c>
      <c r="F12" t="s">
        <v>770</v>
      </c>
      <c r="G12" t="s">
        <v>771</v>
      </c>
      <c r="H12" t="s">
        <v>772</v>
      </c>
      <c r="I12" t="s">
        <v>223</v>
      </c>
      <c r="J12" t="s">
        <v>185</v>
      </c>
      <c r="K12" s="33">
        <v>43032</v>
      </c>
      <c r="L12" s="8">
        <v>43029.985185185185</v>
      </c>
      <c r="M12" s="23">
        <f>LEN(ProjTextTable[[#This Row],[text]])</f>
        <v>3648</v>
      </c>
      <c r="N12" s="23">
        <f>LEN(TRIM(CLEAN(SUBSTITUTE(ProjTextTable[[#This Row],[text]],CHAR(10)," "))))+1 - LEN(SUBSTITUTE(CLEAN(SUBSTITUTE(ProjTextTable[[#This Row],[text]],CHAR(10)," "))," ",""))</f>
        <v>547</v>
      </c>
      <c r="O12" t="s">
        <v>215</v>
      </c>
      <c r="P12" t="s">
        <v>773</v>
      </c>
    </row>
    <row r="13" spans="1:16" x14ac:dyDescent="0.4">
      <c r="A13">
        <f t="shared" si="0"/>
        <v>2</v>
      </c>
      <c r="B13" t="s">
        <v>367</v>
      </c>
      <c r="C13" t="s">
        <v>426</v>
      </c>
      <c r="D13" t="s">
        <v>208</v>
      </c>
      <c r="E13" t="s">
        <v>418</v>
      </c>
      <c r="F13" t="s">
        <v>13</v>
      </c>
      <c r="G13" t="s">
        <v>13</v>
      </c>
      <c r="H13" t="s">
        <v>13</v>
      </c>
      <c r="K13" s="33"/>
      <c r="L13" s="8">
        <v>42934.042766203704</v>
      </c>
      <c r="M13" s="23">
        <f>LEN(ProjTextTable[[#This Row],[text]])</f>
        <v>3482</v>
      </c>
      <c r="N13" s="23">
        <f>LEN(TRIM(CLEAN(SUBSTITUTE(ProjTextTable[[#This Row],[text]],CHAR(10)," "))))+1 - LEN(SUBSTITUTE(CLEAN(SUBSTITUTE(ProjTextTable[[#This Row],[text]],CHAR(10)," "))," ",""))</f>
        <v>489</v>
      </c>
      <c r="O13" t="s">
        <v>13</v>
      </c>
      <c r="P13" t="s">
        <v>774</v>
      </c>
    </row>
    <row r="14" spans="1:16" x14ac:dyDescent="0.4">
      <c r="A14">
        <f t="shared" si="0"/>
        <v>3</v>
      </c>
      <c r="B14" t="s">
        <v>368</v>
      </c>
      <c r="C14" t="s">
        <v>435</v>
      </c>
      <c r="D14" t="s">
        <v>217</v>
      </c>
      <c r="E14" t="s">
        <v>463</v>
      </c>
      <c r="F14" t="s">
        <v>628</v>
      </c>
      <c r="G14" t="s">
        <v>736</v>
      </c>
      <c r="H14" t="s">
        <v>274</v>
      </c>
      <c r="I14" t="s">
        <v>205</v>
      </c>
      <c r="J14" t="s">
        <v>756</v>
      </c>
      <c r="K14" s="33">
        <v>43031</v>
      </c>
      <c r="L14" s="8"/>
      <c r="M14" s="23">
        <f>LEN(ProjTextTable[[#This Row],[text]])</f>
        <v>4890</v>
      </c>
      <c r="N14" s="23">
        <f>LEN(TRIM(CLEAN(SUBSTITUTE(ProjTextTable[[#This Row],[text]],CHAR(10)," "))))+1 - LEN(SUBSTITUTE(CLEAN(SUBSTITUTE(ProjTextTable[[#This Row],[text]],CHAR(10)," "))," ",""))</f>
        <v>733</v>
      </c>
      <c r="O14" t="s">
        <v>273</v>
      </c>
      <c r="P14" t="s">
        <v>775</v>
      </c>
    </row>
    <row r="15" spans="1:16" x14ac:dyDescent="0.4">
      <c r="A15">
        <f t="shared" si="0"/>
        <v>3</v>
      </c>
      <c r="B15" t="s">
        <v>368</v>
      </c>
      <c r="C15" t="s">
        <v>435</v>
      </c>
      <c r="D15" t="s">
        <v>206</v>
      </c>
      <c r="E15" t="s">
        <v>463</v>
      </c>
      <c r="F15" t="s">
        <v>743</v>
      </c>
      <c r="G15" t="s">
        <v>744</v>
      </c>
      <c r="H15" t="s">
        <v>745</v>
      </c>
      <c r="I15" t="s">
        <v>223</v>
      </c>
      <c r="J15" t="s">
        <v>185</v>
      </c>
      <c r="K15" s="33">
        <v>43032</v>
      </c>
      <c r="L15" s="8">
        <v>43032.397743055553</v>
      </c>
      <c r="M15" s="23">
        <f>LEN(ProjTextTable[[#This Row],[text]])</f>
        <v>3674</v>
      </c>
      <c r="N15" s="23">
        <f>LEN(TRIM(CLEAN(SUBSTITUTE(ProjTextTable[[#This Row],[text]],CHAR(10)," "))))+1 - LEN(SUBSTITUTE(CLEAN(SUBSTITUTE(ProjTextTable[[#This Row],[text]],CHAR(10)," "))," ",""))</f>
        <v>555</v>
      </c>
      <c r="O15" t="s">
        <v>207</v>
      </c>
      <c r="P15" t="s">
        <v>776</v>
      </c>
    </row>
    <row r="16" spans="1:16" x14ac:dyDescent="0.4">
      <c r="A16">
        <f t="shared" si="0"/>
        <v>3</v>
      </c>
      <c r="B16" t="s">
        <v>368</v>
      </c>
      <c r="C16" t="s">
        <v>435</v>
      </c>
      <c r="D16" t="s">
        <v>206</v>
      </c>
      <c r="E16" t="s">
        <v>463</v>
      </c>
      <c r="F16" t="s">
        <v>747</v>
      </c>
      <c r="G16" t="s">
        <v>748</v>
      </c>
      <c r="H16" t="s">
        <v>749</v>
      </c>
      <c r="I16" t="s">
        <v>223</v>
      </c>
      <c r="J16" t="s">
        <v>185</v>
      </c>
      <c r="K16" s="33">
        <v>43032</v>
      </c>
      <c r="L16" s="8">
        <v>43026.400833333333</v>
      </c>
      <c r="M16" s="23">
        <f>LEN(ProjTextTable[[#This Row],[text]])</f>
        <v>2867</v>
      </c>
      <c r="N16" s="23">
        <f>LEN(TRIM(CLEAN(SUBSTITUTE(ProjTextTable[[#This Row],[text]],CHAR(10)," "))))+1 - LEN(SUBSTITUTE(CLEAN(SUBSTITUTE(ProjTextTable[[#This Row],[text]],CHAR(10)," "))," ",""))</f>
        <v>428</v>
      </c>
      <c r="O16" t="s">
        <v>210</v>
      </c>
      <c r="P16" t="s">
        <v>777</v>
      </c>
    </row>
    <row r="17" spans="1:16" x14ac:dyDescent="0.4">
      <c r="A17">
        <f t="shared" si="0"/>
        <v>3</v>
      </c>
      <c r="B17" t="s">
        <v>368</v>
      </c>
      <c r="C17" t="s">
        <v>435</v>
      </c>
      <c r="D17" t="s">
        <v>206</v>
      </c>
      <c r="E17" t="s">
        <v>463</v>
      </c>
      <c r="F17" t="s">
        <v>778</v>
      </c>
      <c r="G17" t="s">
        <v>779</v>
      </c>
      <c r="H17" t="s">
        <v>780</v>
      </c>
      <c r="I17" t="s">
        <v>223</v>
      </c>
      <c r="J17" t="s">
        <v>185</v>
      </c>
      <c r="K17" s="33">
        <v>43032</v>
      </c>
      <c r="L17" s="8">
        <v>43032.510775462964</v>
      </c>
      <c r="M17" s="23">
        <f>LEN(ProjTextTable[[#This Row],[text]])</f>
        <v>6678</v>
      </c>
      <c r="N17" s="23">
        <f>LEN(TRIM(CLEAN(SUBSTITUTE(ProjTextTable[[#This Row],[text]],CHAR(10)," "))))+1 - LEN(SUBSTITUTE(CLEAN(SUBSTITUTE(ProjTextTable[[#This Row],[text]],CHAR(10)," "))," ",""))</f>
        <v>1128</v>
      </c>
      <c r="O17" t="s">
        <v>211</v>
      </c>
      <c r="P17" t="s">
        <v>781</v>
      </c>
    </row>
    <row r="18" spans="1:16" x14ac:dyDescent="0.4">
      <c r="A18">
        <f t="shared" si="0"/>
        <v>3</v>
      </c>
      <c r="B18" t="s">
        <v>368</v>
      </c>
      <c r="C18" t="s">
        <v>435</v>
      </c>
      <c r="D18" t="s">
        <v>206</v>
      </c>
      <c r="E18" t="s">
        <v>463</v>
      </c>
      <c r="F18" t="s">
        <v>770</v>
      </c>
      <c r="G18" t="s">
        <v>771</v>
      </c>
      <c r="H18" t="s">
        <v>772</v>
      </c>
      <c r="I18" t="s">
        <v>223</v>
      </c>
      <c r="J18" t="s">
        <v>185</v>
      </c>
      <c r="K18" s="33">
        <v>43032</v>
      </c>
      <c r="L18" s="8">
        <v>43030.016840277778</v>
      </c>
      <c r="M18" s="23">
        <f>LEN(ProjTextTable[[#This Row],[text]])</f>
        <v>2387</v>
      </c>
      <c r="N18" s="23">
        <f>LEN(TRIM(CLEAN(SUBSTITUTE(ProjTextTable[[#This Row],[text]],CHAR(10)," "))))+1 - LEN(SUBSTITUTE(CLEAN(SUBSTITUTE(ProjTextTable[[#This Row],[text]],CHAR(10)," "))," ",""))</f>
        <v>347</v>
      </c>
      <c r="O18" t="s">
        <v>277</v>
      </c>
      <c r="P18" t="s">
        <v>782</v>
      </c>
    </row>
    <row r="19" spans="1:16" x14ac:dyDescent="0.4">
      <c r="A19">
        <f t="shared" si="0"/>
        <v>3</v>
      </c>
      <c r="B19" t="s">
        <v>368</v>
      </c>
      <c r="C19" t="s">
        <v>435</v>
      </c>
      <c r="D19" t="s">
        <v>206</v>
      </c>
      <c r="E19" t="s">
        <v>463</v>
      </c>
      <c r="F19" t="s">
        <v>783</v>
      </c>
      <c r="G19" t="s">
        <v>784</v>
      </c>
      <c r="H19" t="s">
        <v>785</v>
      </c>
      <c r="I19" t="s">
        <v>223</v>
      </c>
      <c r="J19" t="s">
        <v>185</v>
      </c>
      <c r="K19" s="33">
        <v>43032</v>
      </c>
      <c r="L19" s="8">
        <v>43028.956053240741</v>
      </c>
      <c r="M19" s="23">
        <f>LEN(ProjTextTable[[#This Row],[text]])</f>
        <v>1695</v>
      </c>
      <c r="N19" s="23">
        <f>LEN(TRIM(CLEAN(SUBSTITUTE(ProjTextTable[[#This Row],[text]],CHAR(10)," "))))+1 - LEN(SUBSTITUTE(CLEAN(SUBSTITUTE(ProjTextTable[[#This Row],[text]],CHAR(10)," "))," ",""))</f>
        <v>264</v>
      </c>
      <c r="O19" t="s">
        <v>207</v>
      </c>
      <c r="P19" t="s">
        <v>786</v>
      </c>
    </row>
    <row r="20" spans="1:16" x14ac:dyDescent="0.4">
      <c r="A20">
        <f t="shared" si="0"/>
        <v>3</v>
      </c>
      <c r="B20" t="s">
        <v>368</v>
      </c>
      <c r="C20" t="s">
        <v>435</v>
      </c>
      <c r="D20" t="s">
        <v>208</v>
      </c>
      <c r="E20" t="s">
        <v>434</v>
      </c>
      <c r="F20" t="s">
        <v>13</v>
      </c>
      <c r="G20" t="s">
        <v>13</v>
      </c>
      <c r="H20" t="s">
        <v>13</v>
      </c>
      <c r="K20" s="33"/>
      <c r="L20" s="8">
        <v>42934.04283564815</v>
      </c>
      <c r="M20" s="23">
        <f>LEN(ProjTextTable[[#This Row],[text]])</f>
        <v>3485</v>
      </c>
      <c r="N20" s="23">
        <f>LEN(TRIM(CLEAN(SUBSTITUTE(ProjTextTable[[#This Row],[text]],CHAR(10)," "))))+1 - LEN(SUBSTITUTE(CLEAN(SUBSTITUTE(ProjTextTable[[#This Row],[text]],CHAR(10)," "))," ",""))</f>
        <v>473</v>
      </c>
      <c r="O20" t="s">
        <v>13</v>
      </c>
      <c r="P20" t="s">
        <v>787</v>
      </c>
    </row>
    <row r="21" spans="1:16" x14ac:dyDescent="0.4">
      <c r="A21">
        <f t="shared" si="0"/>
        <v>4</v>
      </c>
      <c r="B21" t="s">
        <v>369</v>
      </c>
      <c r="C21" t="s">
        <v>441</v>
      </c>
      <c r="D21" t="s">
        <v>217</v>
      </c>
      <c r="E21" t="s">
        <v>463</v>
      </c>
      <c r="F21" t="s">
        <v>628</v>
      </c>
      <c r="G21" t="s">
        <v>736</v>
      </c>
      <c r="H21" t="s">
        <v>220</v>
      </c>
      <c r="I21" t="s">
        <v>209</v>
      </c>
      <c r="J21" t="s">
        <v>205</v>
      </c>
      <c r="K21" s="33">
        <v>43031</v>
      </c>
      <c r="L21" s="8"/>
      <c r="M21" s="23">
        <f>LEN(ProjTextTable[[#This Row],[text]])</f>
        <v>4547</v>
      </c>
      <c r="N21" s="23">
        <f>LEN(TRIM(CLEAN(SUBSTITUTE(ProjTextTable[[#This Row],[text]],CHAR(10)," "))))+1 - LEN(SUBSTITUTE(CLEAN(SUBSTITUTE(ProjTextTable[[#This Row],[text]],CHAR(10)," "))," ",""))</f>
        <v>673</v>
      </c>
      <c r="O21" t="s">
        <v>221</v>
      </c>
      <c r="P21" t="s">
        <v>788</v>
      </c>
    </row>
    <row r="22" spans="1:16" x14ac:dyDescent="0.4">
      <c r="A22">
        <f t="shared" si="0"/>
        <v>4</v>
      </c>
      <c r="B22" t="s">
        <v>369</v>
      </c>
      <c r="C22" t="s">
        <v>441</v>
      </c>
      <c r="D22" t="s">
        <v>206</v>
      </c>
      <c r="E22" t="s">
        <v>463</v>
      </c>
      <c r="F22" t="s">
        <v>739</v>
      </c>
      <c r="G22" t="s">
        <v>740</v>
      </c>
      <c r="H22" t="s">
        <v>741</v>
      </c>
      <c r="I22" t="s">
        <v>223</v>
      </c>
      <c r="J22" t="s">
        <v>185</v>
      </c>
      <c r="K22" s="33">
        <v>43032</v>
      </c>
      <c r="L22" s="8">
        <v>43031.584305555552</v>
      </c>
      <c r="M22" s="23">
        <f>LEN(ProjTextTable[[#This Row],[text]])</f>
        <v>2413</v>
      </c>
      <c r="N22" s="23">
        <f>LEN(TRIM(CLEAN(SUBSTITUTE(ProjTextTable[[#This Row],[text]],CHAR(10)," "))))+1 - LEN(SUBSTITUTE(CLEAN(SUBSTITUTE(ProjTextTable[[#This Row],[text]],CHAR(10)," "))," ",""))</f>
        <v>378</v>
      </c>
      <c r="O22" t="s">
        <v>210</v>
      </c>
      <c r="P22" t="s">
        <v>789</v>
      </c>
    </row>
    <row r="23" spans="1:16" x14ac:dyDescent="0.4">
      <c r="A23">
        <f t="shared" si="0"/>
        <v>4</v>
      </c>
      <c r="B23" t="s">
        <v>369</v>
      </c>
      <c r="C23" t="s">
        <v>441</v>
      </c>
      <c r="D23" t="s">
        <v>206</v>
      </c>
      <c r="E23" t="s">
        <v>463</v>
      </c>
      <c r="F23" t="s">
        <v>743</v>
      </c>
      <c r="G23" t="s">
        <v>744</v>
      </c>
      <c r="H23" t="s">
        <v>745</v>
      </c>
      <c r="I23" t="s">
        <v>223</v>
      </c>
      <c r="J23" t="s">
        <v>185</v>
      </c>
      <c r="K23" s="33">
        <v>43032</v>
      </c>
      <c r="L23" s="8">
        <v>43031.433321759258</v>
      </c>
      <c r="M23" s="23">
        <f>LEN(ProjTextTable[[#This Row],[text]])</f>
        <v>2325</v>
      </c>
      <c r="N23" s="23">
        <f>LEN(TRIM(CLEAN(SUBSTITUTE(ProjTextTable[[#This Row],[text]],CHAR(10)," "))))+1 - LEN(SUBSTITUTE(CLEAN(SUBSTITUTE(ProjTextTable[[#This Row],[text]],CHAR(10)," "))," ",""))</f>
        <v>359</v>
      </c>
      <c r="O23" t="s">
        <v>214</v>
      </c>
      <c r="P23" t="s">
        <v>790</v>
      </c>
    </row>
    <row r="24" spans="1:16" x14ac:dyDescent="0.4">
      <c r="A24">
        <f t="shared" si="0"/>
        <v>4</v>
      </c>
      <c r="B24" t="s">
        <v>369</v>
      </c>
      <c r="C24" t="s">
        <v>441</v>
      </c>
      <c r="D24" t="s">
        <v>206</v>
      </c>
      <c r="E24" t="s">
        <v>418</v>
      </c>
      <c r="F24" t="s">
        <v>751</v>
      </c>
      <c r="G24" t="s">
        <v>752</v>
      </c>
      <c r="H24" t="s">
        <v>753</v>
      </c>
      <c r="I24" t="s">
        <v>223</v>
      </c>
      <c r="J24" t="s">
        <v>185</v>
      </c>
      <c r="K24" s="33">
        <v>43032</v>
      </c>
      <c r="L24" s="8">
        <v>43018.886724537035</v>
      </c>
      <c r="M24" s="23">
        <f>LEN(ProjTextTable[[#This Row],[text]])</f>
        <v>1961</v>
      </c>
      <c r="N24" s="23">
        <f>LEN(TRIM(CLEAN(SUBSTITUTE(ProjTextTable[[#This Row],[text]],CHAR(10)," "))))+1 - LEN(SUBSTITUTE(CLEAN(SUBSTITUTE(ProjTextTable[[#This Row],[text]],CHAR(10)," "))," ",""))</f>
        <v>296</v>
      </c>
      <c r="O24" t="s">
        <v>211</v>
      </c>
      <c r="P24" t="s">
        <v>791</v>
      </c>
    </row>
    <row r="25" spans="1:16" x14ac:dyDescent="0.4">
      <c r="A25">
        <f t="shared" si="0"/>
        <v>4</v>
      </c>
      <c r="B25" t="s">
        <v>369</v>
      </c>
      <c r="C25" t="s">
        <v>441</v>
      </c>
      <c r="D25" t="s">
        <v>206</v>
      </c>
      <c r="E25" t="s">
        <v>463</v>
      </c>
      <c r="F25" t="s">
        <v>783</v>
      </c>
      <c r="G25" t="s">
        <v>784</v>
      </c>
      <c r="H25" t="s">
        <v>785</v>
      </c>
      <c r="I25" t="s">
        <v>223</v>
      </c>
      <c r="J25" t="s">
        <v>185</v>
      </c>
      <c r="K25" s="33">
        <v>43032</v>
      </c>
      <c r="L25" s="8">
        <v>43029.019606481481</v>
      </c>
      <c r="M25" s="23">
        <f>LEN(ProjTextTable[[#This Row],[text]])</f>
        <v>1910</v>
      </c>
      <c r="N25" s="23">
        <f>LEN(TRIM(CLEAN(SUBSTITUTE(ProjTextTable[[#This Row],[text]],CHAR(10)," "))))+1 - LEN(SUBSTITUTE(CLEAN(SUBSTITUTE(ProjTextTable[[#This Row],[text]],CHAR(10)," "))," ",""))</f>
        <v>279</v>
      </c>
      <c r="O25" t="s">
        <v>211</v>
      </c>
      <c r="P25" t="s">
        <v>792</v>
      </c>
    </row>
    <row r="26" spans="1:16" x14ac:dyDescent="0.4">
      <c r="A26">
        <f t="shared" si="0"/>
        <v>4</v>
      </c>
      <c r="B26" t="s">
        <v>369</v>
      </c>
      <c r="C26" t="s">
        <v>441</v>
      </c>
      <c r="D26" t="s">
        <v>208</v>
      </c>
      <c r="E26" t="s">
        <v>418</v>
      </c>
      <c r="F26" t="s">
        <v>13</v>
      </c>
      <c r="G26" t="s">
        <v>13</v>
      </c>
      <c r="H26" t="s">
        <v>13</v>
      </c>
      <c r="K26" s="33"/>
      <c r="L26" s="8">
        <v>42934.043171296296</v>
      </c>
      <c r="M26" s="23">
        <f>LEN(ProjTextTable[[#This Row],[text]])</f>
        <v>4358</v>
      </c>
      <c r="N26" s="23">
        <f>LEN(TRIM(CLEAN(SUBSTITUTE(ProjTextTable[[#This Row],[text]],CHAR(10)," "))))+1 - LEN(SUBSTITUTE(CLEAN(SUBSTITUTE(ProjTextTable[[#This Row],[text]],CHAR(10)," "))," ",""))</f>
        <v>666</v>
      </c>
      <c r="O26" t="s">
        <v>13</v>
      </c>
      <c r="P26" t="s">
        <v>793</v>
      </c>
    </row>
    <row r="27" spans="1:16" x14ac:dyDescent="0.4">
      <c r="A27">
        <f t="shared" si="0"/>
        <v>5</v>
      </c>
      <c r="B27" t="s">
        <v>370</v>
      </c>
      <c r="C27" t="s">
        <v>446</v>
      </c>
      <c r="D27" t="s">
        <v>217</v>
      </c>
      <c r="E27" t="s">
        <v>463</v>
      </c>
      <c r="F27" t="s">
        <v>628</v>
      </c>
      <c r="G27" t="s">
        <v>736</v>
      </c>
      <c r="H27" t="s">
        <v>269</v>
      </c>
      <c r="I27" t="s">
        <v>95</v>
      </c>
      <c r="J27" t="s">
        <v>95</v>
      </c>
      <c r="K27" s="33">
        <v>43031</v>
      </c>
      <c r="L27" s="8"/>
      <c r="M27" s="23">
        <f>LEN(ProjTextTable[[#This Row],[text]])</f>
        <v>3611</v>
      </c>
      <c r="N27" s="23">
        <f>LEN(TRIM(CLEAN(SUBSTITUTE(ProjTextTable[[#This Row],[text]],CHAR(10)," "))))+1 - LEN(SUBSTITUTE(CLEAN(SUBSTITUTE(ProjTextTable[[#This Row],[text]],CHAR(10)," "))," ",""))</f>
        <v>527</v>
      </c>
      <c r="O27" t="s">
        <v>267</v>
      </c>
      <c r="P27" t="s">
        <v>794</v>
      </c>
    </row>
    <row r="28" spans="1:16" x14ac:dyDescent="0.4">
      <c r="A28">
        <f t="shared" si="0"/>
        <v>5</v>
      </c>
      <c r="B28" t="s">
        <v>370</v>
      </c>
      <c r="C28" t="s">
        <v>446</v>
      </c>
      <c r="D28" t="s">
        <v>206</v>
      </c>
      <c r="E28" t="s">
        <v>463</v>
      </c>
      <c r="F28" t="s">
        <v>766</v>
      </c>
      <c r="G28" t="s">
        <v>767</v>
      </c>
      <c r="H28" t="s">
        <v>768</v>
      </c>
      <c r="I28" t="s">
        <v>223</v>
      </c>
      <c r="J28" t="s">
        <v>185</v>
      </c>
      <c r="K28" s="33">
        <v>43032</v>
      </c>
      <c r="L28" s="8">
        <v>43028.861875000002</v>
      </c>
      <c r="M28" s="23">
        <f>LEN(ProjTextTable[[#This Row],[text]])</f>
        <v>2647</v>
      </c>
      <c r="N28" s="23">
        <f>LEN(TRIM(CLEAN(SUBSTITUTE(ProjTextTable[[#This Row],[text]],CHAR(10)," "))))+1 - LEN(SUBSTITUTE(CLEAN(SUBSTITUTE(ProjTextTable[[#This Row],[text]],CHAR(10)," "))," ",""))</f>
        <v>399</v>
      </c>
      <c r="O28" t="s">
        <v>277</v>
      </c>
      <c r="P28" t="s">
        <v>795</v>
      </c>
    </row>
    <row r="29" spans="1:16" x14ac:dyDescent="0.4">
      <c r="A29">
        <f t="shared" si="0"/>
        <v>5</v>
      </c>
      <c r="B29" t="s">
        <v>370</v>
      </c>
      <c r="C29" t="s">
        <v>446</v>
      </c>
      <c r="D29" t="s">
        <v>206</v>
      </c>
      <c r="E29" t="s">
        <v>463</v>
      </c>
      <c r="F29" t="s">
        <v>743</v>
      </c>
      <c r="G29" t="s">
        <v>744</v>
      </c>
      <c r="H29" t="s">
        <v>745</v>
      </c>
      <c r="I29" t="s">
        <v>223</v>
      </c>
      <c r="J29" t="s">
        <v>185</v>
      </c>
      <c r="K29" s="33">
        <v>43032</v>
      </c>
      <c r="L29" s="8">
        <v>43031.376006944447</v>
      </c>
      <c r="M29" s="23">
        <f>LEN(ProjTextTable[[#This Row],[text]])</f>
        <v>2191</v>
      </c>
      <c r="N29" s="23">
        <f>LEN(TRIM(CLEAN(SUBSTITUTE(ProjTextTable[[#This Row],[text]],CHAR(10)," "))))+1 - LEN(SUBSTITUTE(CLEAN(SUBSTITUTE(ProjTextTable[[#This Row],[text]],CHAR(10)," "))," ",""))</f>
        <v>350</v>
      </c>
      <c r="O29" t="s">
        <v>277</v>
      </c>
      <c r="P29" t="s">
        <v>796</v>
      </c>
    </row>
    <row r="30" spans="1:16" x14ac:dyDescent="0.4">
      <c r="A30">
        <f t="shared" si="0"/>
        <v>5</v>
      </c>
      <c r="B30" t="s">
        <v>370</v>
      </c>
      <c r="C30" t="s">
        <v>446</v>
      </c>
      <c r="D30" t="s">
        <v>206</v>
      </c>
      <c r="E30" t="s">
        <v>463</v>
      </c>
      <c r="F30" t="s">
        <v>747</v>
      </c>
      <c r="G30" t="s">
        <v>748</v>
      </c>
      <c r="H30" t="s">
        <v>749</v>
      </c>
      <c r="I30" t="s">
        <v>223</v>
      </c>
      <c r="J30" t="s">
        <v>185</v>
      </c>
      <c r="K30" s="33">
        <v>43032</v>
      </c>
      <c r="L30" s="8">
        <v>43030.878263888888</v>
      </c>
      <c r="M30" s="23">
        <f>LEN(ProjTextTable[[#This Row],[text]])</f>
        <v>1995</v>
      </c>
      <c r="N30" s="23">
        <f>LEN(TRIM(CLEAN(SUBSTITUTE(ProjTextTable[[#This Row],[text]],CHAR(10)," "))))+1 - LEN(SUBSTITUTE(CLEAN(SUBSTITUTE(ProjTextTable[[#This Row],[text]],CHAR(10)," "))," ",""))</f>
        <v>300</v>
      </c>
      <c r="O30" t="s">
        <v>210</v>
      </c>
      <c r="P30" t="s">
        <v>797</v>
      </c>
    </row>
    <row r="31" spans="1:16" x14ac:dyDescent="0.4">
      <c r="A31">
        <f t="shared" si="0"/>
        <v>5</v>
      </c>
      <c r="B31" t="s">
        <v>370</v>
      </c>
      <c r="C31" t="s">
        <v>446</v>
      </c>
      <c r="D31" t="s">
        <v>206</v>
      </c>
      <c r="E31" t="s">
        <v>418</v>
      </c>
      <c r="F31" t="s">
        <v>751</v>
      </c>
      <c r="G31" t="s">
        <v>752</v>
      </c>
      <c r="H31" t="s">
        <v>753</v>
      </c>
      <c r="I31" t="s">
        <v>223</v>
      </c>
      <c r="J31" t="s">
        <v>185</v>
      </c>
      <c r="K31" s="33">
        <v>43032</v>
      </c>
      <c r="L31" s="8">
        <v>43023.931284722225</v>
      </c>
      <c r="M31" s="23">
        <f>LEN(ProjTextTable[[#This Row],[text]])</f>
        <v>2561</v>
      </c>
      <c r="N31" s="23">
        <f>LEN(TRIM(CLEAN(SUBSTITUTE(ProjTextTable[[#This Row],[text]],CHAR(10)," "))))+1 - LEN(SUBSTITUTE(CLEAN(SUBSTITUTE(ProjTextTable[[#This Row],[text]],CHAR(10)," "))," ",""))</f>
        <v>401</v>
      </c>
      <c r="O31" t="s">
        <v>214</v>
      </c>
      <c r="P31" t="s">
        <v>798</v>
      </c>
    </row>
    <row r="32" spans="1:16" x14ac:dyDescent="0.4">
      <c r="A32">
        <f t="shared" si="0"/>
        <v>5</v>
      </c>
      <c r="B32" t="s">
        <v>370</v>
      </c>
      <c r="C32" t="s">
        <v>446</v>
      </c>
      <c r="D32" t="s">
        <v>208</v>
      </c>
      <c r="E32" t="s">
        <v>418</v>
      </c>
      <c r="F32" t="s">
        <v>13</v>
      </c>
      <c r="G32" t="s">
        <v>13</v>
      </c>
      <c r="H32" t="s">
        <v>13</v>
      </c>
      <c r="K32" s="33"/>
      <c r="L32" s="8">
        <v>42934.043275462966</v>
      </c>
      <c r="M32" s="23">
        <f>LEN(ProjTextTable[[#This Row],[text]])</f>
        <v>3506</v>
      </c>
      <c r="N32" s="23">
        <f>LEN(TRIM(CLEAN(SUBSTITUTE(ProjTextTable[[#This Row],[text]],CHAR(10)," "))))+1 - LEN(SUBSTITUTE(CLEAN(SUBSTITUTE(ProjTextTable[[#This Row],[text]],CHAR(10)," "))," ",""))</f>
        <v>480</v>
      </c>
      <c r="O32" t="s">
        <v>13</v>
      </c>
      <c r="P32" t="s">
        <v>799</v>
      </c>
    </row>
    <row r="33" spans="1:16" x14ac:dyDescent="0.4">
      <c r="A33">
        <f t="shared" si="0"/>
        <v>6</v>
      </c>
      <c r="B33" t="s">
        <v>371</v>
      </c>
      <c r="C33" t="s">
        <v>451</v>
      </c>
      <c r="D33" t="s">
        <v>217</v>
      </c>
      <c r="E33" t="s">
        <v>463</v>
      </c>
      <c r="F33" t="s">
        <v>628</v>
      </c>
      <c r="G33" t="s">
        <v>736</v>
      </c>
      <c r="H33" t="s">
        <v>220</v>
      </c>
      <c r="I33" t="s">
        <v>209</v>
      </c>
      <c r="J33" t="s">
        <v>800</v>
      </c>
      <c r="K33" s="33">
        <v>43031</v>
      </c>
      <c r="L33" s="8"/>
      <c r="M33" s="23">
        <f>LEN(ProjTextTable[[#This Row],[text]])</f>
        <v>3363</v>
      </c>
      <c r="N33" s="23">
        <f>LEN(TRIM(CLEAN(SUBSTITUTE(ProjTextTable[[#This Row],[text]],CHAR(10)," "))))+1 - LEN(SUBSTITUTE(CLEAN(SUBSTITUTE(ProjTextTable[[#This Row],[text]],CHAR(10)," "))," ",""))</f>
        <v>509</v>
      </c>
      <c r="O33" t="s">
        <v>221</v>
      </c>
      <c r="P33" t="s">
        <v>801</v>
      </c>
    </row>
    <row r="34" spans="1:16" x14ac:dyDescent="0.4">
      <c r="A34">
        <f t="shared" ref="A34:A65" si="1">A33+(B34&lt;&gt;B33)</f>
        <v>6</v>
      </c>
      <c r="B34" t="s">
        <v>371</v>
      </c>
      <c r="C34" t="s">
        <v>451</v>
      </c>
      <c r="D34" t="s">
        <v>206</v>
      </c>
      <c r="E34" t="s">
        <v>463</v>
      </c>
      <c r="F34" t="s">
        <v>802</v>
      </c>
      <c r="G34" t="s">
        <v>803</v>
      </c>
      <c r="H34" t="s">
        <v>804</v>
      </c>
      <c r="I34" t="s">
        <v>223</v>
      </c>
      <c r="J34" t="s">
        <v>185</v>
      </c>
      <c r="K34" s="33">
        <v>43032</v>
      </c>
      <c r="L34" s="8">
        <v>43030.868946759256</v>
      </c>
      <c r="M34" s="23">
        <f>LEN(ProjTextTable[[#This Row],[text]])</f>
        <v>3913</v>
      </c>
      <c r="N34" s="23">
        <f>LEN(TRIM(CLEAN(SUBSTITUTE(ProjTextTable[[#This Row],[text]],CHAR(10)," "))))+1 - LEN(SUBSTITUTE(CLEAN(SUBSTITUTE(ProjTextTable[[#This Row],[text]],CHAR(10)," "))," ",""))</f>
        <v>608</v>
      </c>
      <c r="O34" t="s">
        <v>211</v>
      </c>
      <c r="P34" t="s">
        <v>805</v>
      </c>
    </row>
    <row r="35" spans="1:16" x14ac:dyDescent="0.4">
      <c r="A35">
        <f t="shared" si="1"/>
        <v>6</v>
      </c>
      <c r="B35" t="s">
        <v>371</v>
      </c>
      <c r="C35" t="s">
        <v>451</v>
      </c>
      <c r="D35" t="s">
        <v>206</v>
      </c>
      <c r="E35" t="s">
        <v>463</v>
      </c>
      <c r="F35" t="s">
        <v>806</v>
      </c>
      <c r="G35" t="s">
        <v>807</v>
      </c>
      <c r="H35" t="s">
        <v>808</v>
      </c>
      <c r="I35" t="s">
        <v>223</v>
      </c>
      <c r="J35" t="s">
        <v>185</v>
      </c>
      <c r="K35" s="33">
        <v>43032</v>
      </c>
      <c r="L35" s="8">
        <v>43027.621539351851</v>
      </c>
      <c r="M35" s="23">
        <f>LEN(ProjTextTable[[#This Row],[text]])</f>
        <v>2023</v>
      </c>
      <c r="N35" s="23">
        <f>LEN(TRIM(CLEAN(SUBSTITUTE(ProjTextTable[[#This Row],[text]],CHAR(10)," "))))+1 - LEN(SUBSTITUTE(CLEAN(SUBSTITUTE(ProjTextTable[[#This Row],[text]],CHAR(10)," "))," ",""))</f>
        <v>292</v>
      </c>
      <c r="O35" t="s">
        <v>211</v>
      </c>
      <c r="P35" t="s">
        <v>809</v>
      </c>
    </row>
    <row r="36" spans="1:16" x14ac:dyDescent="0.4">
      <c r="A36">
        <f t="shared" si="1"/>
        <v>6</v>
      </c>
      <c r="B36" t="s">
        <v>371</v>
      </c>
      <c r="C36" t="s">
        <v>451</v>
      </c>
      <c r="D36" t="s">
        <v>206</v>
      </c>
      <c r="E36" t="s">
        <v>463</v>
      </c>
      <c r="F36" t="s">
        <v>778</v>
      </c>
      <c r="G36" t="s">
        <v>779</v>
      </c>
      <c r="H36" t="s">
        <v>780</v>
      </c>
      <c r="I36" t="s">
        <v>223</v>
      </c>
      <c r="J36" t="s">
        <v>185</v>
      </c>
      <c r="K36" s="33">
        <v>43032</v>
      </c>
      <c r="L36" s="8">
        <v>43032.51840277778</v>
      </c>
      <c r="M36" s="23">
        <f>LEN(ProjTextTable[[#This Row],[text]])</f>
        <v>6091</v>
      </c>
      <c r="N36" s="23">
        <f>LEN(TRIM(CLEAN(SUBSTITUTE(ProjTextTable[[#This Row],[text]],CHAR(10)," "))))+1 - LEN(SUBSTITUTE(CLEAN(SUBSTITUTE(ProjTextTable[[#This Row],[text]],CHAR(10)," "))," ",""))</f>
        <v>1005</v>
      </c>
      <c r="O36" t="s">
        <v>211</v>
      </c>
      <c r="P36" t="s">
        <v>810</v>
      </c>
    </row>
    <row r="37" spans="1:16" x14ac:dyDescent="0.4">
      <c r="A37">
        <f t="shared" si="1"/>
        <v>6</v>
      </c>
      <c r="B37" t="s">
        <v>371</v>
      </c>
      <c r="C37" t="s">
        <v>451</v>
      </c>
      <c r="D37" t="s">
        <v>206</v>
      </c>
      <c r="E37" t="s">
        <v>463</v>
      </c>
      <c r="F37" t="s">
        <v>811</v>
      </c>
      <c r="G37" t="s">
        <v>812</v>
      </c>
      <c r="H37" t="s">
        <v>813</v>
      </c>
      <c r="I37" t="s">
        <v>223</v>
      </c>
      <c r="J37" t="s">
        <v>185</v>
      </c>
      <c r="K37" s="33">
        <v>43032</v>
      </c>
      <c r="L37" s="8">
        <v>43026.70616898148</v>
      </c>
      <c r="M37" s="23">
        <f>LEN(ProjTextTable[[#This Row],[text]])</f>
        <v>2375</v>
      </c>
      <c r="N37" s="23">
        <f>LEN(TRIM(CLEAN(SUBSTITUTE(ProjTextTable[[#This Row],[text]],CHAR(10)," "))))+1 - LEN(SUBSTITUTE(CLEAN(SUBSTITUTE(ProjTextTable[[#This Row],[text]],CHAR(10)," "))," ",""))</f>
        <v>373</v>
      </c>
      <c r="O37" t="s">
        <v>207</v>
      </c>
      <c r="P37" t="s">
        <v>814</v>
      </c>
    </row>
    <row r="38" spans="1:16" x14ac:dyDescent="0.4">
      <c r="A38">
        <f t="shared" si="1"/>
        <v>6</v>
      </c>
      <c r="B38" t="s">
        <v>371</v>
      </c>
      <c r="C38" t="s">
        <v>451</v>
      </c>
      <c r="D38" t="s">
        <v>208</v>
      </c>
      <c r="E38" t="s">
        <v>434</v>
      </c>
      <c r="F38" t="s">
        <v>13</v>
      </c>
      <c r="G38" t="s">
        <v>13</v>
      </c>
      <c r="H38" t="s">
        <v>13</v>
      </c>
      <c r="K38" s="33"/>
      <c r="L38" s="8">
        <v>42935.042743055557</v>
      </c>
      <c r="M38" s="23">
        <f>LEN(ProjTextTable[[#This Row],[text]])</f>
        <v>4068</v>
      </c>
      <c r="N38" s="23">
        <f>LEN(TRIM(CLEAN(SUBSTITUTE(ProjTextTable[[#This Row],[text]],CHAR(10)," "))))+1 - LEN(SUBSTITUTE(CLEAN(SUBSTITUTE(ProjTextTable[[#This Row],[text]],CHAR(10)," "))," ",""))</f>
        <v>585</v>
      </c>
      <c r="O38" t="s">
        <v>13</v>
      </c>
      <c r="P38" t="s">
        <v>815</v>
      </c>
    </row>
    <row r="39" spans="1:16" x14ac:dyDescent="0.4">
      <c r="A39">
        <f t="shared" si="1"/>
        <v>7</v>
      </c>
      <c r="B39" t="s">
        <v>372</v>
      </c>
      <c r="C39" t="s">
        <v>457</v>
      </c>
      <c r="D39" t="s">
        <v>217</v>
      </c>
      <c r="E39" t="s">
        <v>463</v>
      </c>
      <c r="F39" t="s">
        <v>628</v>
      </c>
      <c r="G39" t="s">
        <v>736</v>
      </c>
      <c r="H39" t="s">
        <v>220</v>
      </c>
      <c r="I39" t="s">
        <v>209</v>
      </c>
      <c r="J39" t="s">
        <v>278</v>
      </c>
      <c r="K39" s="33">
        <v>43031</v>
      </c>
      <c r="L39" s="8"/>
      <c r="M39" s="23">
        <f>LEN(ProjTextTable[[#This Row],[text]])</f>
        <v>4027</v>
      </c>
      <c r="N39" s="23">
        <f>LEN(TRIM(CLEAN(SUBSTITUTE(ProjTextTable[[#This Row],[text]],CHAR(10)," "))))+1 - LEN(SUBSTITUTE(CLEAN(SUBSTITUTE(ProjTextTable[[#This Row],[text]],CHAR(10)," "))," ",""))</f>
        <v>611</v>
      </c>
      <c r="O39" t="s">
        <v>221</v>
      </c>
      <c r="P39" t="s">
        <v>816</v>
      </c>
    </row>
    <row r="40" spans="1:16" x14ac:dyDescent="0.4">
      <c r="A40">
        <f t="shared" si="1"/>
        <v>7</v>
      </c>
      <c r="B40" t="s">
        <v>372</v>
      </c>
      <c r="C40" t="s">
        <v>457</v>
      </c>
      <c r="D40" t="s">
        <v>206</v>
      </c>
      <c r="E40" t="s">
        <v>463</v>
      </c>
      <c r="F40" t="s">
        <v>766</v>
      </c>
      <c r="G40" t="s">
        <v>767</v>
      </c>
      <c r="H40" t="s">
        <v>768</v>
      </c>
      <c r="I40" t="s">
        <v>223</v>
      </c>
      <c r="J40" t="s">
        <v>185</v>
      </c>
      <c r="K40" s="33">
        <v>43032</v>
      </c>
      <c r="L40" s="8">
        <v>43028.861875000002</v>
      </c>
      <c r="M40" s="23">
        <f>LEN(ProjTextTable[[#This Row],[text]])</f>
        <v>2572</v>
      </c>
      <c r="N40" s="23">
        <f>LEN(TRIM(CLEAN(SUBSTITUTE(ProjTextTable[[#This Row],[text]],CHAR(10)," "))))+1 - LEN(SUBSTITUTE(CLEAN(SUBSTITUTE(ProjTextTable[[#This Row],[text]],CHAR(10)," "))," ",""))</f>
        <v>393</v>
      </c>
      <c r="O40" t="s">
        <v>211</v>
      </c>
      <c r="P40" t="s">
        <v>817</v>
      </c>
    </row>
    <row r="41" spans="1:16" x14ac:dyDescent="0.4">
      <c r="A41">
        <f t="shared" si="1"/>
        <v>7</v>
      </c>
      <c r="B41" t="s">
        <v>372</v>
      </c>
      <c r="C41" t="s">
        <v>457</v>
      </c>
      <c r="D41" t="s">
        <v>206</v>
      </c>
      <c r="E41" t="s">
        <v>434</v>
      </c>
      <c r="F41" t="s">
        <v>751</v>
      </c>
      <c r="G41" t="s">
        <v>752</v>
      </c>
      <c r="H41" t="s">
        <v>753</v>
      </c>
      <c r="I41" t="s">
        <v>223</v>
      </c>
      <c r="J41" t="s">
        <v>185</v>
      </c>
      <c r="K41" s="33">
        <v>43032</v>
      </c>
      <c r="L41" s="8">
        <v>43017.899826388886</v>
      </c>
      <c r="M41" s="23">
        <f>LEN(ProjTextTable[[#This Row],[text]])</f>
        <v>3376</v>
      </c>
      <c r="N41" s="23">
        <f>LEN(TRIM(CLEAN(SUBSTITUTE(ProjTextTable[[#This Row],[text]],CHAR(10)," "))))+1 - LEN(SUBSTITUTE(CLEAN(SUBSTITUTE(ProjTextTable[[#This Row],[text]],CHAR(10)," "))," ",""))</f>
        <v>539</v>
      </c>
      <c r="O41" t="s">
        <v>211</v>
      </c>
      <c r="P41" t="s">
        <v>818</v>
      </c>
    </row>
    <row r="42" spans="1:16" x14ac:dyDescent="0.4">
      <c r="A42">
        <f t="shared" si="1"/>
        <v>7</v>
      </c>
      <c r="B42" t="s">
        <v>372</v>
      </c>
      <c r="C42" t="s">
        <v>457</v>
      </c>
      <c r="D42" t="s">
        <v>206</v>
      </c>
      <c r="E42" t="s">
        <v>463</v>
      </c>
      <c r="F42" t="s">
        <v>778</v>
      </c>
      <c r="G42" t="s">
        <v>779</v>
      </c>
      <c r="H42" t="s">
        <v>780</v>
      </c>
      <c r="I42" t="s">
        <v>223</v>
      </c>
      <c r="J42" t="s">
        <v>185</v>
      </c>
      <c r="K42" s="33">
        <v>43032</v>
      </c>
      <c r="L42" s="8">
        <v>43032.515555555554</v>
      </c>
      <c r="M42" s="23">
        <f>LEN(ProjTextTable[[#This Row],[text]])</f>
        <v>5884</v>
      </c>
      <c r="N42" s="23">
        <f>LEN(TRIM(CLEAN(SUBSTITUTE(ProjTextTable[[#This Row],[text]],CHAR(10)," "))))+1 - LEN(SUBSTITUTE(CLEAN(SUBSTITUTE(ProjTextTable[[#This Row],[text]],CHAR(10)," "))," ",""))</f>
        <v>993</v>
      </c>
      <c r="O42" t="s">
        <v>211</v>
      </c>
      <c r="P42" t="s">
        <v>819</v>
      </c>
    </row>
    <row r="43" spans="1:16" x14ac:dyDescent="0.4">
      <c r="A43">
        <f t="shared" si="1"/>
        <v>7</v>
      </c>
      <c r="B43" t="s">
        <v>372</v>
      </c>
      <c r="C43" t="s">
        <v>457</v>
      </c>
      <c r="D43" t="s">
        <v>206</v>
      </c>
      <c r="E43" t="s">
        <v>463</v>
      </c>
      <c r="F43" t="s">
        <v>820</v>
      </c>
      <c r="G43" t="s">
        <v>821</v>
      </c>
      <c r="H43" t="s">
        <v>822</v>
      </c>
      <c r="I43" t="s">
        <v>223</v>
      </c>
      <c r="J43" t="s">
        <v>185</v>
      </c>
      <c r="K43" s="33">
        <v>43032</v>
      </c>
      <c r="L43" s="8">
        <v>43030.115324074075</v>
      </c>
      <c r="M43" s="23">
        <f>LEN(ProjTextTable[[#This Row],[text]])</f>
        <v>2904</v>
      </c>
      <c r="N43" s="23">
        <f>LEN(TRIM(CLEAN(SUBSTITUTE(ProjTextTable[[#This Row],[text]],CHAR(10)," "))))+1 - LEN(SUBSTITUTE(CLEAN(SUBSTITUTE(ProjTextTable[[#This Row],[text]],CHAR(10)," "))," ",""))</f>
        <v>453</v>
      </c>
      <c r="O43" t="s">
        <v>277</v>
      </c>
      <c r="P43" t="s">
        <v>823</v>
      </c>
    </row>
    <row r="44" spans="1:16" x14ac:dyDescent="0.4">
      <c r="A44">
        <f t="shared" si="1"/>
        <v>8</v>
      </c>
      <c r="B44" t="s">
        <v>373</v>
      </c>
      <c r="C44" t="s">
        <v>464</v>
      </c>
      <c r="D44" t="s">
        <v>217</v>
      </c>
      <c r="E44" t="s">
        <v>463</v>
      </c>
      <c r="F44" t="s">
        <v>628</v>
      </c>
      <c r="G44" t="s">
        <v>736</v>
      </c>
      <c r="H44" t="s">
        <v>220</v>
      </c>
      <c r="I44" t="s">
        <v>209</v>
      </c>
      <c r="J44" t="s">
        <v>279</v>
      </c>
      <c r="K44" s="33">
        <v>43031</v>
      </c>
      <c r="L44" s="8"/>
      <c r="M44" s="23">
        <f>LEN(ProjTextTable[[#This Row],[text]])</f>
        <v>3492</v>
      </c>
      <c r="N44" s="23">
        <f>LEN(TRIM(CLEAN(SUBSTITUTE(ProjTextTable[[#This Row],[text]],CHAR(10)," "))))+1 - LEN(SUBSTITUTE(CLEAN(SUBSTITUTE(ProjTextTable[[#This Row],[text]],CHAR(10)," "))," ",""))</f>
        <v>501</v>
      </c>
      <c r="O44" t="s">
        <v>221</v>
      </c>
      <c r="P44" t="s">
        <v>824</v>
      </c>
    </row>
    <row r="45" spans="1:16" x14ac:dyDescent="0.4">
      <c r="A45">
        <f t="shared" si="1"/>
        <v>8</v>
      </c>
      <c r="B45" t="s">
        <v>373</v>
      </c>
      <c r="C45" t="s">
        <v>464</v>
      </c>
      <c r="D45" t="s">
        <v>206</v>
      </c>
      <c r="E45" t="s">
        <v>463</v>
      </c>
      <c r="F45" t="s">
        <v>820</v>
      </c>
      <c r="G45" t="s">
        <v>821</v>
      </c>
      <c r="H45" t="s">
        <v>822</v>
      </c>
      <c r="I45" t="s">
        <v>223</v>
      </c>
      <c r="J45" t="s">
        <v>185</v>
      </c>
      <c r="K45" s="33">
        <v>43032</v>
      </c>
      <c r="L45" s="8">
        <v>43030.723078703704</v>
      </c>
      <c r="M45" s="23">
        <f>LEN(ProjTextTable[[#This Row],[text]])</f>
        <v>2678</v>
      </c>
      <c r="N45" s="23">
        <f>LEN(TRIM(CLEAN(SUBSTITUTE(ProjTextTable[[#This Row],[text]],CHAR(10)," "))))+1 - LEN(SUBSTITUTE(CLEAN(SUBSTITUTE(ProjTextTable[[#This Row],[text]],CHAR(10)," "))," ",""))</f>
        <v>407</v>
      </c>
      <c r="O45" t="s">
        <v>211</v>
      </c>
      <c r="P45" t="s">
        <v>825</v>
      </c>
    </row>
    <row r="46" spans="1:16" x14ac:dyDescent="0.4">
      <c r="A46">
        <f t="shared" si="1"/>
        <v>8</v>
      </c>
      <c r="B46" t="s">
        <v>373</v>
      </c>
      <c r="C46" t="s">
        <v>464</v>
      </c>
      <c r="D46" t="s">
        <v>206</v>
      </c>
      <c r="E46" t="s">
        <v>463</v>
      </c>
      <c r="F46" t="s">
        <v>770</v>
      </c>
      <c r="G46" t="s">
        <v>771</v>
      </c>
      <c r="H46" t="s">
        <v>772</v>
      </c>
      <c r="I46" t="s">
        <v>223</v>
      </c>
      <c r="J46" t="s">
        <v>185</v>
      </c>
      <c r="K46" s="33">
        <v>43032</v>
      </c>
      <c r="L46" s="8">
        <v>43030.031655092593</v>
      </c>
      <c r="M46" s="23">
        <f>LEN(ProjTextTable[[#This Row],[text]])</f>
        <v>2970</v>
      </c>
      <c r="N46" s="23">
        <f>LEN(TRIM(CLEAN(SUBSTITUTE(ProjTextTable[[#This Row],[text]],CHAR(10)," "))))+1 - LEN(SUBSTITUTE(CLEAN(SUBSTITUTE(ProjTextTable[[#This Row],[text]],CHAR(10)," "))," ",""))</f>
        <v>441</v>
      </c>
      <c r="O46" t="s">
        <v>211</v>
      </c>
      <c r="P46" t="s">
        <v>826</v>
      </c>
    </row>
    <row r="47" spans="1:16" x14ac:dyDescent="0.4">
      <c r="A47">
        <f t="shared" si="1"/>
        <v>8</v>
      </c>
      <c r="B47" t="s">
        <v>373</v>
      </c>
      <c r="C47" t="s">
        <v>464</v>
      </c>
      <c r="D47" t="s">
        <v>206</v>
      </c>
      <c r="E47" t="s">
        <v>463</v>
      </c>
      <c r="F47" t="s">
        <v>783</v>
      </c>
      <c r="G47" t="s">
        <v>784</v>
      </c>
      <c r="H47" t="s">
        <v>785</v>
      </c>
      <c r="I47" t="s">
        <v>223</v>
      </c>
      <c r="J47" t="s">
        <v>185</v>
      </c>
      <c r="K47" s="33">
        <v>43032</v>
      </c>
      <c r="L47" s="8">
        <v>43029.774409722224</v>
      </c>
      <c r="M47" s="23">
        <f>LEN(ProjTextTable[[#This Row],[text]])</f>
        <v>1606</v>
      </c>
      <c r="N47" s="23">
        <f>LEN(TRIM(CLEAN(SUBSTITUTE(ProjTextTable[[#This Row],[text]],CHAR(10)," "))))+1 - LEN(SUBSTITUTE(CLEAN(SUBSTITUTE(ProjTextTable[[#This Row],[text]],CHAR(10)," "))," ",""))</f>
        <v>239</v>
      </c>
      <c r="O47" t="s">
        <v>207</v>
      </c>
      <c r="P47" t="s">
        <v>827</v>
      </c>
    </row>
    <row r="48" spans="1:16" x14ac:dyDescent="0.4">
      <c r="A48">
        <f t="shared" si="1"/>
        <v>8</v>
      </c>
      <c r="B48" t="s">
        <v>373</v>
      </c>
      <c r="C48" t="s">
        <v>464</v>
      </c>
      <c r="D48" t="s">
        <v>206</v>
      </c>
      <c r="E48" t="s">
        <v>463</v>
      </c>
      <c r="F48" t="s">
        <v>811</v>
      </c>
      <c r="G48" t="s">
        <v>812</v>
      </c>
      <c r="H48" t="s">
        <v>813</v>
      </c>
      <c r="I48" t="s">
        <v>223</v>
      </c>
      <c r="J48" t="s">
        <v>185</v>
      </c>
      <c r="K48" s="33">
        <v>43032</v>
      </c>
      <c r="L48" s="8">
        <v>43027.338993055557</v>
      </c>
      <c r="M48" s="23">
        <f>LEN(ProjTextTable[[#This Row],[text]])</f>
        <v>3261</v>
      </c>
      <c r="N48" s="23">
        <f>LEN(TRIM(CLEAN(SUBSTITUTE(ProjTextTable[[#This Row],[text]],CHAR(10)," "))))+1 - LEN(SUBSTITUTE(CLEAN(SUBSTITUTE(ProjTextTable[[#This Row],[text]],CHAR(10)," "))," ",""))</f>
        <v>511</v>
      </c>
      <c r="O48" t="s">
        <v>210</v>
      </c>
      <c r="P48" t="s">
        <v>828</v>
      </c>
    </row>
    <row r="49" spans="1:16" x14ac:dyDescent="0.4">
      <c r="A49">
        <f t="shared" si="1"/>
        <v>8</v>
      </c>
      <c r="B49" t="s">
        <v>373</v>
      </c>
      <c r="C49" t="s">
        <v>464</v>
      </c>
      <c r="D49" t="s">
        <v>208</v>
      </c>
      <c r="E49" t="s">
        <v>463</v>
      </c>
      <c r="F49" t="s">
        <v>13</v>
      </c>
      <c r="G49" t="s">
        <v>13</v>
      </c>
      <c r="H49" t="s">
        <v>13</v>
      </c>
      <c r="K49" s="33"/>
      <c r="L49" s="8">
        <v>42935.042881944442</v>
      </c>
      <c r="M49" s="23">
        <f>LEN(ProjTextTable[[#This Row],[text]])</f>
        <v>4012</v>
      </c>
      <c r="N49" s="23">
        <f>LEN(TRIM(CLEAN(SUBSTITUTE(ProjTextTable[[#This Row],[text]],CHAR(10)," "))))+1 - LEN(SUBSTITUTE(CLEAN(SUBSTITUTE(ProjTextTable[[#This Row],[text]],CHAR(10)," "))," ",""))</f>
        <v>584</v>
      </c>
      <c r="O49" t="s">
        <v>13</v>
      </c>
      <c r="P49" t="s">
        <v>829</v>
      </c>
    </row>
    <row r="50" spans="1:16" x14ac:dyDescent="0.4">
      <c r="A50">
        <f t="shared" si="1"/>
        <v>9</v>
      </c>
      <c r="B50" t="s">
        <v>374</v>
      </c>
      <c r="C50" t="s">
        <v>471</v>
      </c>
      <c r="D50" t="s">
        <v>217</v>
      </c>
      <c r="E50" t="s">
        <v>463</v>
      </c>
      <c r="F50" t="s">
        <v>628</v>
      </c>
      <c r="G50" t="s">
        <v>736</v>
      </c>
      <c r="H50" t="s">
        <v>274</v>
      </c>
      <c r="I50" t="s">
        <v>205</v>
      </c>
      <c r="J50" t="s">
        <v>756</v>
      </c>
      <c r="K50" s="33">
        <v>43031</v>
      </c>
      <c r="L50" s="8"/>
      <c r="M50" s="23">
        <f>LEN(ProjTextTable[[#This Row],[text]])</f>
        <v>3155</v>
      </c>
      <c r="N50" s="23">
        <f>LEN(TRIM(CLEAN(SUBSTITUTE(ProjTextTable[[#This Row],[text]],CHAR(10)," "))))+1 - LEN(SUBSTITUTE(CLEAN(SUBSTITUTE(ProjTextTable[[#This Row],[text]],CHAR(10)," "))," ",""))</f>
        <v>468</v>
      </c>
      <c r="O50" t="s">
        <v>273</v>
      </c>
      <c r="P50" t="s">
        <v>830</v>
      </c>
    </row>
    <row r="51" spans="1:16" x14ac:dyDescent="0.4">
      <c r="A51">
        <f t="shared" si="1"/>
        <v>9</v>
      </c>
      <c r="B51" t="s">
        <v>374</v>
      </c>
      <c r="C51" t="s">
        <v>471</v>
      </c>
      <c r="D51" t="s">
        <v>206</v>
      </c>
      <c r="E51" t="s">
        <v>463</v>
      </c>
      <c r="F51" t="s">
        <v>758</v>
      </c>
      <c r="G51" t="s">
        <v>759</v>
      </c>
      <c r="H51" t="s">
        <v>760</v>
      </c>
      <c r="I51" t="s">
        <v>223</v>
      </c>
      <c r="J51" t="s">
        <v>185</v>
      </c>
      <c r="K51" s="33">
        <v>43032</v>
      </c>
      <c r="L51" s="8">
        <v>43022.920254629629</v>
      </c>
      <c r="M51" s="23">
        <f>LEN(ProjTextTable[[#This Row],[text]])</f>
        <v>1892</v>
      </c>
      <c r="N51" s="23">
        <f>LEN(TRIM(CLEAN(SUBSTITUTE(ProjTextTable[[#This Row],[text]],CHAR(10)," "))))+1 - LEN(SUBSTITUTE(CLEAN(SUBSTITUTE(ProjTextTable[[#This Row],[text]],CHAR(10)," "))," ",""))</f>
        <v>282</v>
      </c>
      <c r="O51" t="s">
        <v>277</v>
      </c>
      <c r="P51" t="s">
        <v>831</v>
      </c>
    </row>
    <row r="52" spans="1:16" x14ac:dyDescent="0.4">
      <c r="A52">
        <f t="shared" si="1"/>
        <v>9</v>
      </c>
      <c r="B52" t="s">
        <v>374</v>
      </c>
      <c r="C52" t="s">
        <v>471</v>
      </c>
      <c r="D52" t="s">
        <v>206</v>
      </c>
      <c r="E52" t="s">
        <v>463</v>
      </c>
      <c r="F52" t="s">
        <v>766</v>
      </c>
      <c r="G52" t="s">
        <v>767</v>
      </c>
      <c r="H52" t="s">
        <v>768</v>
      </c>
      <c r="I52" t="s">
        <v>223</v>
      </c>
      <c r="J52" t="s">
        <v>185</v>
      </c>
      <c r="K52" s="33">
        <v>43032</v>
      </c>
      <c r="L52" s="8">
        <v>43028.861875000002</v>
      </c>
      <c r="M52" s="23">
        <f>LEN(ProjTextTable[[#This Row],[text]])</f>
        <v>1845</v>
      </c>
      <c r="N52" s="23">
        <f>LEN(TRIM(CLEAN(SUBSTITUTE(ProjTextTable[[#This Row],[text]],CHAR(10)," "))))+1 - LEN(SUBSTITUTE(CLEAN(SUBSTITUTE(ProjTextTable[[#This Row],[text]],CHAR(10)," "))," ",""))</f>
        <v>272</v>
      </c>
      <c r="O52" t="s">
        <v>213</v>
      </c>
      <c r="P52" t="s">
        <v>832</v>
      </c>
    </row>
    <row r="53" spans="1:16" x14ac:dyDescent="0.4">
      <c r="A53">
        <f t="shared" si="1"/>
        <v>9</v>
      </c>
      <c r="B53" t="s">
        <v>374</v>
      </c>
      <c r="C53" t="s">
        <v>471</v>
      </c>
      <c r="D53" t="s">
        <v>206</v>
      </c>
      <c r="E53" t="s">
        <v>418</v>
      </c>
      <c r="F53" t="s">
        <v>751</v>
      </c>
      <c r="G53" t="s">
        <v>752</v>
      </c>
      <c r="H53" t="s">
        <v>753</v>
      </c>
      <c r="I53" t="s">
        <v>223</v>
      </c>
      <c r="J53" t="s">
        <v>185</v>
      </c>
      <c r="K53" s="33">
        <v>43032</v>
      </c>
      <c r="L53" s="8">
        <v>43028.683356481481</v>
      </c>
      <c r="M53" s="23">
        <f>LEN(ProjTextTable[[#This Row],[text]])</f>
        <v>2593</v>
      </c>
      <c r="N53" s="23">
        <f>LEN(TRIM(CLEAN(SUBSTITUTE(ProjTextTable[[#This Row],[text]],CHAR(10)," "))))+1 - LEN(SUBSTITUTE(CLEAN(SUBSTITUTE(ProjTextTable[[#This Row],[text]],CHAR(10)," "))," ",""))</f>
        <v>407</v>
      </c>
      <c r="O53" t="s">
        <v>211</v>
      </c>
      <c r="P53" t="s">
        <v>833</v>
      </c>
    </row>
    <row r="54" spans="1:16" x14ac:dyDescent="0.4">
      <c r="A54">
        <f t="shared" si="1"/>
        <v>9</v>
      </c>
      <c r="B54" t="s">
        <v>374</v>
      </c>
      <c r="C54" t="s">
        <v>471</v>
      </c>
      <c r="D54" t="s">
        <v>206</v>
      </c>
      <c r="E54" t="s">
        <v>463</v>
      </c>
      <c r="F54" t="s">
        <v>770</v>
      </c>
      <c r="G54" t="s">
        <v>771</v>
      </c>
      <c r="H54" t="s">
        <v>772</v>
      </c>
      <c r="I54" t="s">
        <v>223</v>
      </c>
      <c r="J54" t="s">
        <v>185</v>
      </c>
      <c r="K54" s="33">
        <v>43032</v>
      </c>
      <c r="L54" s="8">
        <v>43030.972268518519</v>
      </c>
      <c r="M54" s="23">
        <f>LEN(ProjTextTable[[#This Row],[text]])</f>
        <v>2229</v>
      </c>
      <c r="N54" s="23">
        <f>LEN(TRIM(CLEAN(SUBSTITUTE(ProjTextTable[[#This Row],[text]],CHAR(10)," "))))+1 - LEN(SUBSTITUTE(CLEAN(SUBSTITUTE(ProjTextTable[[#This Row],[text]],CHAR(10)," "))," ",""))</f>
        <v>335</v>
      </c>
      <c r="O54" t="s">
        <v>214</v>
      </c>
      <c r="P54" t="s">
        <v>834</v>
      </c>
    </row>
    <row r="55" spans="1:16" x14ac:dyDescent="0.4">
      <c r="A55">
        <f t="shared" si="1"/>
        <v>9</v>
      </c>
      <c r="B55" t="s">
        <v>374</v>
      </c>
      <c r="C55" t="s">
        <v>471</v>
      </c>
      <c r="D55" t="s">
        <v>208</v>
      </c>
      <c r="E55" t="s">
        <v>418</v>
      </c>
      <c r="F55" t="s">
        <v>13</v>
      </c>
      <c r="G55" t="s">
        <v>13</v>
      </c>
      <c r="H55" t="s">
        <v>13</v>
      </c>
      <c r="K55" s="33"/>
      <c r="L55" s="8">
        <v>42935.043379629627</v>
      </c>
      <c r="M55" s="23">
        <f>LEN(ProjTextTable[[#This Row],[text]])</f>
        <v>3644</v>
      </c>
      <c r="N55" s="23">
        <f>LEN(TRIM(CLEAN(SUBSTITUTE(ProjTextTable[[#This Row],[text]],CHAR(10)," "))))+1 - LEN(SUBSTITUTE(CLEAN(SUBSTITUTE(ProjTextTable[[#This Row],[text]],CHAR(10)," "))," ",""))</f>
        <v>477</v>
      </c>
      <c r="O55" t="s">
        <v>13</v>
      </c>
      <c r="P55" t="s">
        <v>835</v>
      </c>
    </row>
    <row r="56" spans="1:16" x14ac:dyDescent="0.4">
      <c r="A56">
        <f t="shared" si="1"/>
        <v>10</v>
      </c>
      <c r="B56" t="s">
        <v>375</v>
      </c>
      <c r="C56" t="s">
        <v>476</v>
      </c>
      <c r="D56" t="s">
        <v>217</v>
      </c>
      <c r="E56" t="s">
        <v>463</v>
      </c>
      <c r="F56" t="s">
        <v>628</v>
      </c>
      <c r="G56" t="s">
        <v>736</v>
      </c>
      <c r="H56" t="s">
        <v>274</v>
      </c>
      <c r="I56" t="s">
        <v>205</v>
      </c>
      <c r="J56" t="s">
        <v>756</v>
      </c>
      <c r="K56" s="33">
        <v>43031</v>
      </c>
      <c r="L56" s="8"/>
      <c r="M56" s="23">
        <f>LEN(ProjTextTable[[#This Row],[text]])</f>
        <v>4104</v>
      </c>
      <c r="N56" s="23">
        <f>LEN(TRIM(CLEAN(SUBSTITUTE(ProjTextTable[[#This Row],[text]],CHAR(10)," "))))+1 - LEN(SUBSTITUTE(CLEAN(SUBSTITUTE(ProjTextTable[[#This Row],[text]],CHAR(10)," "))," ",""))</f>
        <v>658</v>
      </c>
      <c r="O56" t="s">
        <v>273</v>
      </c>
      <c r="P56" t="s">
        <v>836</v>
      </c>
    </row>
    <row r="57" spans="1:16" x14ac:dyDescent="0.4">
      <c r="A57">
        <f t="shared" si="1"/>
        <v>10</v>
      </c>
      <c r="B57" t="s">
        <v>375</v>
      </c>
      <c r="C57" t="s">
        <v>476</v>
      </c>
      <c r="D57" t="s">
        <v>206</v>
      </c>
      <c r="E57" t="s">
        <v>463</v>
      </c>
      <c r="F57" t="s">
        <v>802</v>
      </c>
      <c r="G57" t="s">
        <v>803</v>
      </c>
      <c r="H57" t="s">
        <v>804</v>
      </c>
      <c r="I57" t="s">
        <v>223</v>
      </c>
      <c r="J57" t="s">
        <v>185</v>
      </c>
      <c r="K57" s="33">
        <v>43032</v>
      </c>
      <c r="L57" s="8">
        <v>43030.876967592594</v>
      </c>
      <c r="M57" s="23">
        <f>LEN(ProjTextTable[[#This Row],[text]])</f>
        <v>2807</v>
      </c>
      <c r="N57" s="23">
        <f>LEN(TRIM(CLEAN(SUBSTITUTE(ProjTextTable[[#This Row],[text]],CHAR(10)," "))))+1 - LEN(SUBSTITUTE(CLEAN(SUBSTITUTE(ProjTextTable[[#This Row],[text]],CHAR(10)," "))," ",""))</f>
        <v>427</v>
      </c>
      <c r="O57" t="s">
        <v>207</v>
      </c>
      <c r="P57" t="s">
        <v>837</v>
      </c>
    </row>
    <row r="58" spans="1:16" x14ac:dyDescent="0.4">
      <c r="A58">
        <f t="shared" si="1"/>
        <v>10</v>
      </c>
      <c r="B58" t="s">
        <v>375</v>
      </c>
      <c r="C58" t="s">
        <v>476</v>
      </c>
      <c r="D58" t="s">
        <v>206</v>
      </c>
      <c r="E58" t="s">
        <v>463</v>
      </c>
      <c r="F58" t="s">
        <v>739</v>
      </c>
      <c r="G58" t="s">
        <v>740</v>
      </c>
      <c r="H58" t="s">
        <v>741</v>
      </c>
      <c r="I58" t="s">
        <v>223</v>
      </c>
      <c r="J58" t="s">
        <v>185</v>
      </c>
      <c r="K58" s="33">
        <v>43032</v>
      </c>
      <c r="L58" s="8">
        <v>43031.922314814816</v>
      </c>
      <c r="M58" s="23">
        <f>LEN(ProjTextTable[[#This Row],[text]])</f>
        <v>2190</v>
      </c>
      <c r="N58" s="23">
        <f>LEN(TRIM(CLEAN(SUBSTITUTE(ProjTextTable[[#This Row],[text]],CHAR(10)," "))))+1 - LEN(SUBSTITUTE(CLEAN(SUBSTITUTE(ProjTextTable[[#This Row],[text]],CHAR(10)," "))," ",""))</f>
        <v>339</v>
      </c>
      <c r="O58" t="s">
        <v>207</v>
      </c>
      <c r="P58" t="s">
        <v>838</v>
      </c>
    </row>
    <row r="59" spans="1:16" x14ac:dyDescent="0.4">
      <c r="A59">
        <f t="shared" si="1"/>
        <v>10</v>
      </c>
      <c r="B59" t="s">
        <v>375</v>
      </c>
      <c r="C59" t="s">
        <v>476</v>
      </c>
      <c r="D59" t="s">
        <v>206</v>
      </c>
      <c r="E59" t="s">
        <v>463</v>
      </c>
      <c r="F59" t="s">
        <v>820</v>
      </c>
      <c r="G59" t="s">
        <v>821</v>
      </c>
      <c r="H59" t="s">
        <v>822</v>
      </c>
      <c r="I59" t="s">
        <v>223</v>
      </c>
      <c r="J59" t="s">
        <v>185</v>
      </c>
      <c r="K59" s="33">
        <v>43032</v>
      </c>
      <c r="L59" s="8">
        <v>43031.043321759258</v>
      </c>
      <c r="M59" s="23">
        <f>LEN(ProjTextTable[[#This Row],[text]])</f>
        <v>1763</v>
      </c>
      <c r="N59" s="23">
        <f>LEN(TRIM(CLEAN(SUBSTITUTE(ProjTextTable[[#This Row],[text]],CHAR(10)," "))))+1 - LEN(SUBSTITUTE(CLEAN(SUBSTITUTE(ProjTextTable[[#This Row],[text]],CHAR(10)," "))," ",""))</f>
        <v>263</v>
      </c>
      <c r="O59" t="s">
        <v>213</v>
      </c>
      <c r="P59" t="s">
        <v>839</v>
      </c>
    </row>
    <row r="60" spans="1:16" x14ac:dyDescent="0.4">
      <c r="A60">
        <f t="shared" si="1"/>
        <v>10</v>
      </c>
      <c r="B60" t="s">
        <v>375</v>
      </c>
      <c r="C60" t="s">
        <v>476</v>
      </c>
      <c r="D60" t="s">
        <v>206</v>
      </c>
      <c r="E60" t="s">
        <v>463</v>
      </c>
      <c r="F60" t="s">
        <v>811</v>
      </c>
      <c r="G60" t="s">
        <v>812</v>
      </c>
      <c r="H60" t="s">
        <v>813</v>
      </c>
      <c r="I60" t="s">
        <v>223</v>
      </c>
      <c r="J60" t="s">
        <v>185</v>
      </c>
      <c r="K60" s="33">
        <v>43032</v>
      </c>
      <c r="L60" s="8">
        <v>43030.827002314814</v>
      </c>
      <c r="M60" s="23">
        <f>LEN(ProjTextTable[[#This Row],[text]])</f>
        <v>2352</v>
      </c>
      <c r="N60" s="23">
        <f>LEN(TRIM(CLEAN(SUBSTITUTE(ProjTextTable[[#This Row],[text]],CHAR(10)," "))))+1 - LEN(SUBSTITUTE(CLEAN(SUBSTITUTE(ProjTextTable[[#This Row],[text]],CHAR(10)," "))," ",""))</f>
        <v>363</v>
      </c>
      <c r="O60" t="s">
        <v>207</v>
      </c>
      <c r="P60" t="s">
        <v>840</v>
      </c>
    </row>
    <row r="61" spans="1:16" x14ac:dyDescent="0.4">
      <c r="A61">
        <f t="shared" si="1"/>
        <v>10</v>
      </c>
      <c r="B61" t="s">
        <v>375</v>
      </c>
      <c r="C61" t="s">
        <v>476</v>
      </c>
      <c r="D61" t="s">
        <v>208</v>
      </c>
      <c r="E61" t="s">
        <v>463</v>
      </c>
      <c r="F61" t="s">
        <v>13</v>
      </c>
      <c r="G61" t="s">
        <v>13</v>
      </c>
      <c r="H61" t="s">
        <v>13</v>
      </c>
      <c r="K61" s="33"/>
      <c r="L61" s="8">
        <v>42935.043506944443</v>
      </c>
      <c r="M61" s="23">
        <f>LEN(ProjTextTable[[#This Row],[text]])</f>
        <v>2691</v>
      </c>
      <c r="N61" s="23">
        <f>LEN(TRIM(CLEAN(SUBSTITUTE(ProjTextTable[[#This Row],[text]],CHAR(10)," "))))+1 - LEN(SUBSTITUTE(CLEAN(SUBSTITUTE(ProjTextTable[[#This Row],[text]],CHAR(10)," "))," ",""))</f>
        <v>364</v>
      </c>
      <c r="O61" t="s">
        <v>13</v>
      </c>
      <c r="P61" t="s">
        <v>841</v>
      </c>
    </row>
    <row r="62" spans="1:16" x14ac:dyDescent="0.4">
      <c r="A62">
        <f t="shared" si="1"/>
        <v>11</v>
      </c>
      <c r="B62" t="s">
        <v>376</v>
      </c>
      <c r="C62" t="s">
        <v>481</v>
      </c>
      <c r="D62" t="s">
        <v>217</v>
      </c>
      <c r="E62" t="s">
        <v>463</v>
      </c>
      <c r="F62" t="s">
        <v>628</v>
      </c>
      <c r="G62" t="s">
        <v>736</v>
      </c>
      <c r="H62" t="s">
        <v>629</v>
      </c>
      <c r="I62" t="s">
        <v>212</v>
      </c>
      <c r="J62" t="s">
        <v>737</v>
      </c>
      <c r="K62" s="33">
        <v>43031</v>
      </c>
      <c r="L62" s="8"/>
      <c r="M62" s="23">
        <f>LEN(ProjTextTable[[#This Row],[text]])</f>
        <v>2254</v>
      </c>
      <c r="N62" s="23">
        <f>LEN(TRIM(CLEAN(SUBSTITUTE(ProjTextTable[[#This Row],[text]],CHAR(10)," "))))+1 - LEN(SUBSTITUTE(CLEAN(SUBSTITUTE(ProjTextTable[[#This Row],[text]],CHAR(10)," "))," ",""))</f>
        <v>326</v>
      </c>
      <c r="O62" t="s">
        <v>503</v>
      </c>
      <c r="P62" t="s">
        <v>842</v>
      </c>
    </row>
    <row r="63" spans="1:16" x14ac:dyDescent="0.4">
      <c r="A63">
        <f t="shared" si="1"/>
        <v>11</v>
      </c>
      <c r="B63" t="s">
        <v>376</v>
      </c>
      <c r="C63" t="s">
        <v>481</v>
      </c>
      <c r="D63" t="s">
        <v>206</v>
      </c>
      <c r="E63" t="s">
        <v>463</v>
      </c>
      <c r="F63" t="s">
        <v>802</v>
      </c>
      <c r="G63" t="s">
        <v>803</v>
      </c>
      <c r="H63" t="s">
        <v>804</v>
      </c>
      <c r="I63" t="s">
        <v>223</v>
      </c>
      <c r="J63" t="s">
        <v>185</v>
      </c>
      <c r="K63" s="33">
        <v>43032</v>
      </c>
      <c r="L63" s="8">
        <v>43030.872187499997</v>
      </c>
      <c r="M63" s="23">
        <f>LEN(ProjTextTable[[#This Row],[text]])</f>
        <v>2046</v>
      </c>
      <c r="N63" s="23">
        <f>LEN(TRIM(CLEAN(SUBSTITUTE(ProjTextTable[[#This Row],[text]],CHAR(10)," "))))+1 - LEN(SUBSTITUTE(CLEAN(SUBSTITUTE(ProjTextTable[[#This Row],[text]],CHAR(10)," "))," ",""))</f>
        <v>322</v>
      </c>
      <c r="O63" t="s">
        <v>213</v>
      </c>
      <c r="P63" t="s">
        <v>843</v>
      </c>
    </row>
    <row r="64" spans="1:16" x14ac:dyDescent="0.4">
      <c r="A64">
        <f t="shared" si="1"/>
        <v>11</v>
      </c>
      <c r="B64" t="s">
        <v>376</v>
      </c>
      <c r="C64" t="s">
        <v>481</v>
      </c>
      <c r="D64" t="s">
        <v>206</v>
      </c>
      <c r="E64" t="s">
        <v>463</v>
      </c>
      <c r="F64" t="s">
        <v>739</v>
      </c>
      <c r="G64" t="s">
        <v>740</v>
      </c>
      <c r="H64" t="s">
        <v>741</v>
      </c>
      <c r="I64" t="s">
        <v>223</v>
      </c>
      <c r="J64" t="s">
        <v>185</v>
      </c>
      <c r="K64" s="33">
        <v>43032</v>
      </c>
      <c r="L64" s="8">
        <v>43031.584618055553</v>
      </c>
      <c r="M64" s="23">
        <f>LEN(ProjTextTable[[#This Row],[text]])</f>
        <v>4713</v>
      </c>
      <c r="N64" s="23">
        <f>LEN(TRIM(CLEAN(SUBSTITUTE(ProjTextTable[[#This Row],[text]],CHAR(10)," "))))+1 - LEN(SUBSTITUTE(CLEAN(SUBSTITUTE(ProjTextTable[[#This Row],[text]],CHAR(10)," "))," ",""))</f>
        <v>751</v>
      </c>
      <c r="O64" t="s">
        <v>211</v>
      </c>
      <c r="P64" t="s">
        <v>844</v>
      </c>
    </row>
    <row r="65" spans="1:16" x14ac:dyDescent="0.4">
      <c r="A65">
        <f t="shared" si="1"/>
        <v>11</v>
      </c>
      <c r="B65" t="s">
        <v>376</v>
      </c>
      <c r="C65" t="s">
        <v>481</v>
      </c>
      <c r="D65" t="s">
        <v>206</v>
      </c>
      <c r="E65" t="s">
        <v>463</v>
      </c>
      <c r="F65" t="s">
        <v>820</v>
      </c>
      <c r="G65" t="s">
        <v>821</v>
      </c>
      <c r="H65" t="s">
        <v>822</v>
      </c>
      <c r="I65" t="s">
        <v>223</v>
      </c>
      <c r="J65" t="s">
        <v>185</v>
      </c>
      <c r="K65" s="33">
        <v>43032</v>
      </c>
      <c r="L65" s="8">
        <v>43030.765972222223</v>
      </c>
      <c r="M65" s="23">
        <f>LEN(ProjTextTable[[#This Row],[text]])</f>
        <v>1991</v>
      </c>
      <c r="N65" s="23">
        <f>LEN(TRIM(CLEAN(SUBSTITUTE(ProjTextTable[[#This Row],[text]],CHAR(10)," "))))+1 - LEN(SUBSTITUTE(CLEAN(SUBSTITUTE(ProjTextTable[[#This Row],[text]],CHAR(10)," "))," ",""))</f>
        <v>301</v>
      </c>
      <c r="O65" t="s">
        <v>213</v>
      </c>
      <c r="P65" t="s">
        <v>845</v>
      </c>
    </row>
    <row r="66" spans="1:16" x14ac:dyDescent="0.4">
      <c r="A66">
        <f t="shared" ref="A66:A97" si="2">A65+(B66&lt;&gt;B65)</f>
        <v>11</v>
      </c>
      <c r="B66" t="s">
        <v>376</v>
      </c>
      <c r="C66" t="s">
        <v>481</v>
      </c>
      <c r="D66" t="s">
        <v>206</v>
      </c>
      <c r="E66" t="s">
        <v>463</v>
      </c>
      <c r="F66" t="s">
        <v>811</v>
      </c>
      <c r="G66" t="s">
        <v>812</v>
      </c>
      <c r="H66" t="s">
        <v>813</v>
      </c>
      <c r="I66" t="s">
        <v>223</v>
      </c>
      <c r="J66" t="s">
        <v>185</v>
      </c>
      <c r="K66" s="33">
        <v>43032</v>
      </c>
      <c r="L66" s="8">
        <v>43026.705312500002</v>
      </c>
      <c r="M66" s="23">
        <f>LEN(ProjTextTable[[#This Row],[text]])</f>
        <v>1527</v>
      </c>
      <c r="N66" s="23">
        <f>LEN(TRIM(CLEAN(SUBSTITUTE(ProjTextTable[[#This Row],[text]],CHAR(10)," "))))+1 - LEN(SUBSTITUTE(CLEAN(SUBSTITUTE(ProjTextTable[[#This Row],[text]],CHAR(10)," "))," ",""))</f>
        <v>224</v>
      </c>
      <c r="O66" t="s">
        <v>213</v>
      </c>
      <c r="P66" t="s">
        <v>846</v>
      </c>
    </row>
    <row r="67" spans="1:16" x14ac:dyDescent="0.4">
      <c r="A67">
        <f t="shared" si="2"/>
        <v>11</v>
      </c>
      <c r="B67" t="s">
        <v>376</v>
      </c>
      <c r="C67" t="s">
        <v>481</v>
      </c>
      <c r="D67" t="s">
        <v>208</v>
      </c>
      <c r="E67" t="s">
        <v>418</v>
      </c>
      <c r="F67" t="s">
        <v>13</v>
      </c>
      <c r="G67" t="s">
        <v>13</v>
      </c>
      <c r="H67" t="s">
        <v>13</v>
      </c>
      <c r="K67" s="33"/>
      <c r="L67" s="8">
        <v>42935.043599537035</v>
      </c>
      <c r="M67" s="23">
        <f>LEN(ProjTextTable[[#This Row],[text]])</f>
        <v>4036</v>
      </c>
      <c r="N67" s="23">
        <f>LEN(TRIM(CLEAN(SUBSTITUTE(ProjTextTable[[#This Row],[text]],CHAR(10)," "))))+1 - LEN(SUBSTITUTE(CLEAN(SUBSTITUTE(ProjTextTable[[#This Row],[text]],CHAR(10)," "))," ",""))</f>
        <v>595</v>
      </c>
      <c r="O67" t="s">
        <v>13</v>
      </c>
      <c r="P67" t="s">
        <v>847</v>
      </c>
    </row>
    <row r="68" spans="1:16" x14ac:dyDescent="0.4">
      <c r="A68">
        <f t="shared" si="2"/>
        <v>12</v>
      </c>
      <c r="B68" t="s">
        <v>377</v>
      </c>
      <c r="C68" t="s">
        <v>488</v>
      </c>
      <c r="D68" t="s">
        <v>217</v>
      </c>
      <c r="E68" t="s">
        <v>463</v>
      </c>
      <c r="F68" t="s">
        <v>628</v>
      </c>
      <c r="G68" t="s">
        <v>736</v>
      </c>
      <c r="H68" t="s">
        <v>274</v>
      </c>
      <c r="I68" t="s">
        <v>205</v>
      </c>
      <c r="J68" t="s">
        <v>756</v>
      </c>
      <c r="K68" s="33">
        <v>43031</v>
      </c>
      <c r="L68" s="8"/>
      <c r="M68" s="23">
        <f>LEN(ProjTextTable[[#This Row],[text]])</f>
        <v>3188</v>
      </c>
      <c r="N68" s="23">
        <f>LEN(TRIM(CLEAN(SUBSTITUTE(ProjTextTable[[#This Row],[text]],CHAR(10)," "))))+1 - LEN(SUBSTITUTE(CLEAN(SUBSTITUTE(ProjTextTable[[#This Row],[text]],CHAR(10)," "))," ",""))</f>
        <v>475</v>
      </c>
      <c r="O68" t="s">
        <v>273</v>
      </c>
      <c r="P68" t="s">
        <v>848</v>
      </c>
    </row>
    <row r="69" spans="1:16" x14ac:dyDescent="0.4">
      <c r="A69">
        <f t="shared" si="2"/>
        <v>12</v>
      </c>
      <c r="B69" t="s">
        <v>377</v>
      </c>
      <c r="C69" t="s">
        <v>488</v>
      </c>
      <c r="D69" t="s">
        <v>206</v>
      </c>
      <c r="E69" t="s">
        <v>463</v>
      </c>
      <c r="F69" t="s">
        <v>802</v>
      </c>
      <c r="G69" t="s">
        <v>803</v>
      </c>
      <c r="H69" t="s">
        <v>804</v>
      </c>
      <c r="I69" t="s">
        <v>223</v>
      </c>
      <c r="J69" t="s">
        <v>185</v>
      </c>
      <c r="K69" s="33">
        <v>43032</v>
      </c>
      <c r="L69" s="8">
        <v>43030.879699074074</v>
      </c>
      <c r="M69" s="23">
        <f>LEN(ProjTextTable[[#This Row],[text]])</f>
        <v>2801</v>
      </c>
      <c r="N69" s="23">
        <f>LEN(TRIM(CLEAN(SUBSTITUTE(ProjTextTable[[#This Row],[text]],CHAR(10)," "))))+1 - LEN(SUBSTITUTE(CLEAN(SUBSTITUTE(ProjTextTable[[#This Row],[text]],CHAR(10)," "))," ",""))</f>
        <v>432</v>
      </c>
      <c r="O69" t="s">
        <v>211</v>
      </c>
      <c r="P69" t="s">
        <v>849</v>
      </c>
    </row>
    <row r="70" spans="1:16" x14ac:dyDescent="0.4">
      <c r="A70">
        <f t="shared" si="2"/>
        <v>12</v>
      </c>
      <c r="B70" t="s">
        <v>377</v>
      </c>
      <c r="C70" t="s">
        <v>488</v>
      </c>
      <c r="D70" t="s">
        <v>206</v>
      </c>
      <c r="E70" t="s">
        <v>463</v>
      </c>
      <c r="F70" t="s">
        <v>739</v>
      </c>
      <c r="G70" t="s">
        <v>740</v>
      </c>
      <c r="H70" t="s">
        <v>741</v>
      </c>
      <c r="I70" t="s">
        <v>223</v>
      </c>
      <c r="J70" t="s">
        <v>185</v>
      </c>
      <c r="K70" s="33">
        <v>43032</v>
      </c>
      <c r="L70" s="8">
        <v>43031.585347222222</v>
      </c>
      <c r="M70" s="23">
        <f>LEN(ProjTextTable[[#This Row],[text]])</f>
        <v>3518</v>
      </c>
      <c r="N70" s="23">
        <f>LEN(TRIM(CLEAN(SUBSTITUTE(ProjTextTable[[#This Row],[text]],CHAR(10)," "))))+1 - LEN(SUBSTITUTE(CLEAN(SUBSTITUTE(ProjTextTable[[#This Row],[text]],CHAR(10)," "))," ",""))</f>
        <v>586</v>
      </c>
      <c r="O70" t="s">
        <v>215</v>
      </c>
      <c r="P70" t="s">
        <v>850</v>
      </c>
    </row>
    <row r="71" spans="1:16" x14ac:dyDescent="0.4">
      <c r="A71">
        <f t="shared" si="2"/>
        <v>12</v>
      </c>
      <c r="B71" t="s">
        <v>377</v>
      </c>
      <c r="C71" t="s">
        <v>488</v>
      </c>
      <c r="D71" t="s">
        <v>206</v>
      </c>
      <c r="E71" t="s">
        <v>463</v>
      </c>
      <c r="F71" t="s">
        <v>743</v>
      </c>
      <c r="G71" t="s">
        <v>744</v>
      </c>
      <c r="H71" t="s">
        <v>745</v>
      </c>
      <c r="I71" t="s">
        <v>223</v>
      </c>
      <c r="J71" t="s">
        <v>185</v>
      </c>
      <c r="K71" s="33">
        <v>43032</v>
      </c>
      <c r="L71" s="8">
        <v>43031.332002314812</v>
      </c>
      <c r="M71" s="23">
        <f>LEN(ProjTextTable[[#This Row],[text]])</f>
        <v>2047</v>
      </c>
      <c r="N71" s="23">
        <f>LEN(TRIM(CLEAN(SUBSTITUTE(ProjTextTable[[#This Row],[text]],CHAR(10)," "))))+1 - LEN(SUBSTITUTE(CLEAN(SUBSTITUTE(ProjTextTable[[#This Row],[text]],CHAR(10)," "))," ",""))</f>
        <v>299</v>
      </c>
      <c r="O71" t="s">
        <v>207</v>
      </c>
      <c r="P71" t="s">
        <v>851</v>
      </c>
    </row>
    <row r="72" spans="1:16" x14ac:dyDescent="0.4">
      <c r="A72">
        <f t="shared" si="2"/>
        <v>12</v>
      </c>
      <c r="B72" t="s">
        <v>377</v>
      </c>
      <c r="C72" t="s">
        <v>488</v>
      </c>
      <c r="D72" t="s">
        <v>206</v>
      </c>
      <c r="E72" t="s">
        <v>463</v>
      </c>
      <c r="F72" t="s">
        <v>778</v>
      </c>
      <c r="G72" t="s">
        <v>779</v>
      </c>
      <c r="H72" t="s">
        <v>780</v>
      </c>
      <c r="I72" t="s">
        <v>223</v>
      </c>
      <c r="J72" t="s">
        <v>185</v>
      </c>
      <c r="K72" s="33">
        <v>43032</v>
      </c>
      <c r="L72" s="8">
        <v>43013.77783564815</v>
      </c>
      <c r="M72" s="23">
        <f>LEN(ProjTextTable[[#This Row],[text]])</f>
        <v>5306</v>
      </c>
      <c r="N72" s="23">
        <f>LEN(TRIM(CLEAN(SUBSTITUTE(ProjTextTable[[#This Row],[text]],CHAR(10)," "))))+1 - LEN(SUBSTITUTE(CLEAN(SUBSTITUTE(ProjTextTable[[#This Row],[text]],CHAR(10)," "))," ",""))</f>
        <v>882</v>
      </c>
      <c r="O72" t="s">
        <v>207</v>
      </c>
      <c r="P72" t="s">
        <v>852</v>
      </c>
    </row>
    <row r="73" spans="1:16" x14ac:dyDescent="0.4">
      <c r="A73">
        <f t="shared" si="2"/>
        <v>12</v>
      </c>
      <c r="B73" t="s">
        <v>377</v>
      </c>
      <c r="C73" t="s">
        <v>488</v>
      </c>
      <c r="D73" t="s">
        <v>208</v>
      </c>
      <c r="E73" t="s">
        <v>434</v>
      </c>
      <c r="F73" t="s">
        <v>13</v>
      </c>
      <c r="G73" t="s">
        <v>13</v>
      </c>
      <c r="H73" t="s">
        <v>13</v>
      </c>
      <c r="K73" s="33"/>
      <c r="L73" s="8">
        <v>42936.042557870373</v>
      </c>
      <c r="M73" s="23">
        <f>LEN(ProjTextTable[[#This Row],[text]])</f>
        <v>3445</v>
      </c>
      <c r="N73" s="23">
        <f>LEN(TRIM(CLEAN(SUBSTITUTE(ProjTextTable[[#This Row],[text]],CHAR(10)," "))))+1 - LEN(SUBSTITUTE(CLEAN(SUBSTITUTE(ProjTextTable[[#This Row],[text]],CHAR(10)," "))," ",""))</f>
        <v>492</v>
      </c>
      <c r="O73" t="s">
        <v>13</v>
      </c>
      <c r="P73" t="s">
        <v>853</v>
      </c>
    </row>
    <row r="74" spans="1:16" x14ac:dyDescent="0.4">
      <c r="A74">
        <f t="shared" si="2"/>
        <v>13</v>
      </c>
      <c r="B74" t="s">
        <v>378</v>
      </c>
      <c r="C74" t="s">
        <v>493</v>
      </c>
      <c r="D74" t="s">
        <v>217</v>
      </c>
      <c r="E74" t="s">
        <v>463</v>
      </c>
      <c r="F74" t="s">
        <v>628</v>
      </c>
      <c r="G74" t="s">
        <v>736</v>
      </c>
      <c r="H74" t="s">
        <v>220</v>
      </c>
      <c r="I74" t="s">
        <v>209</v>
      </c>
      <c r="J74" t="s">
        <v>280</v>
      </c>
      <c r="K74" s="33">
        <v>43031</v>
      </c>
      <c r="L74" s="8"/>
      <c r="M74" s="23">
        <f>LEN(ProjTextTable[[#This Row],[text]])</f>
        <v>4296</v>
      </c>
      <c r="N74" s="23">
        <f>LEN(TRIM(CLEAN(SUBSTITUTE(ProjTextTable[[#This Row],[text]],CHAR(10)," "))))+1 - LEN(SUBSTITUTE(CLEAN(SUBSTITUTE(ProjTextTable[[#This Row],[text]],CHAR(10)," "))," ",""))</f>
        <v>633</v>
      </c>
      <c r="O74" t="s">
        <v>221</v>
      </c>
      <c r="P74" t="s">
        <v>854</v>
      </c>
    </row>
    <row r="75" spans="1:16" x14ac:dyDescent="0.4">
      <c r="A75">
        <f t="shared" si="2"/>
        <v>13</v>
      </c>
      <c r="B75" t="s">
        <v>378</v>
      </c>
      <c r="C75" t="s">
        <v>493</v>
      </c>
      <c r="D75" t="s">
        <v>206</v>
      </c>
      <c r="E75" t="s">
        <v>463</v>
      </c>
      <c r="F75" t="s">
        <v>778</v>
      </c>
      <c r="G75" t="s">
        <v>779</v>
      </c>
      <c r="H75" t="s">
        <v>780</v>
      </c>
      <c r="I75" t="s">
        <v>223</v>
      </c>
      <c r="J75" t="s">
        <v>185</v>
      </c>
      <c r="K75" s="33">
        <v>43032</v>
      </c>
      <c r="L75" s="8">
        <v>43032.519444444442</v>
      </c>
      <c r="M75" s="23">
        <f>LEN(ProjTextTable[[#This Row],[text]])</f>
        <v>7359</v>
      </c>
      <c r="N75" s="23">
        <f>LEN(TRIM(CLEAN(SUBSTITUTE(ProjTextTable[[#This Row],[text]],CHAR(10)," "))))+1 - LEN(SUBSTITUTE(CLEAN(SUBSTITUTE(ProjTextTable[[#This Row],[text]],CHAR(10)," "))," ",""))</f>
        <v>1246</v>
      </c>
      <c r="O75" t="s">
        <v>211</v>
      </c>
      <c r="P75" t="s">
        <v>855</v>
      </c>
    </row>
    <row r="76" spans="1:16" x14ac:dyDescent="0.4">
      <c r="A76">
        <f t="shared" si="2"/>
        <v>13</v>
      </c>
      <c r="B76" t="s">
        <v>378</v>
      </c>
      <c r="C76" t="s">
        <v>493</v>
      </c>
      <c r="D76" t="s">
        <v>206</v>
      </c>
      <c r="E76" t="s">
        <v>463</v>
      </c>
      <c r="F76" t="s">
        <v>770</v>
      </c>
      <c r="G76" t="s">
        <v>771</v>
      </c>
      <c r="H76" t="s">
        <v>772</v>
      </c>
      <c r="I76" t="s">
        <v>223</v>
      </c>
      <c r="J76" t="s">
        <v>185</v>
      </c>
      <c r="K76" s="33">
        <v>43032</v>
      </c>
      <c r="L76" s="8">
        <v>43030.097916666666</v>
      </c>
      <c r="M76" s="23">
        <f>LEN(ProjTextTable[[#This Row],[text]])</f>
        <v>2211</v>
      </c>
      <c r="N76" s="23">
        <f>LEN(TRIM(CLEAN(SUBSTITUTE(ProjTextTable[[#This Row],[text]],CHAR(10)," "))))+1 - LEN(SUBSTITUTE(CLEAN(SUBSTITUTE(ProjTextTable[[#This Row],[text]],CHAR(10)," "))," ",""))</f>
        <v>328</v>
      </c>
      <c r="O76" t="s">
        <v>207</v>
      </c>
      <c r="P76" t="s">
        <v>856</v>
      </c>
    </row>
    <row r="77" spans="1:16" x14ac:dyDescent="0.4">
      <c r="A77">
        <f t="shared" si="2"/>
        <v>13</v>
      </c>
      <c r="B77" t="s">
        <v>378</v>
      </c>
      <c r="C77" t="s">
        <v>493</v>
      </c>
      <c r="D77" t="s">
        <v>206</v>
      </c>
      <c r="E77" t="s">
        <v>463</v>
      </c>
      <c r="F77" t="s">
        <v>783</v>
      </c>
      <c r="G77" t="s">
        <v>784</v>
      </c>
      <c r="H77" t="s">
        <v>785</v>
      </c>
      <c r="I77" t="s">
        <v>223</v>
      </c>
      <c r="J77" t="s">
        <v>185</v>
      </c>
      <c r="K77" s="33">
        <v>43032</v>
      </c>
      <c r="L77" s="8">
        <v>43029.743773148148</v>
      </c>
      <c r="M77" s="23">
        <f>LEN(ProjTextTable[[#This Row],[text]])</f>
        <v>1790</v>
      </c>
      <c r="N77" s="23">
        <f>LEN(TRIM(CLEAN(SUBSTITUTE(ProjTextTable[[#This Row],[text]],CHAR(10)," "))))+1 - LEN(SUBSTITUTE(CLEAN(SUBSTITUTE(ProjTextTable[[#This Row],[text]],CHAR(10)," "))," ",""))</f>
        <v>255</v>
      </c>
      <c r="O77" t="s">
        <v>277</v>
      </c>
      <c r="P77" t="s">
        <v>857</v>
      </c>
    </row>
    <row r="78" spans="1:16" x14ac:dyDescent="0.4">
      <c r="A78">
        <f t="shared" si="2"/>
        <v>13</v>
      </c>
      <c r="B78" t="s">
        <v>378</v>
      </c>
      <c r="C78" t="s">
        <v>493</v>
      </c>
      <c r="D78" t="s">
        <v>206</v>
      </c>
      <c r="E78" t="s">
        <v>463</v>
      </c>
      <c r="F78" t="s">
        <v>811</v>
      </c>
      <c r="G78" t="s">
        <v>812</v>
      </c>
      <c r="H78" t="s">
        <v>813</v>
      </c>
      <c r="I78" t="s">
        <v>223</v>
      </c>
      <c r="J78" t="s">
        <v>185</v>
      </c>
      <c r="K78" s="33">
        <v>43032</v>
      </c>
      <c r="L78" s="8">
        <v>43026.70988425926</v>
      </c>
      <c r="M78" s="23">
        <f>LEN(ProjTextTable[[#This Row],[text]])</f>
        <v>2510</v>
      </c>
      <c r="N78" s="23">
        <f>LEN(TRIM(CLEAN(SUBSTITUTE(ProjTextTable[[#This Row],[text]],CHAR(10)," "))))+1 - LEN(SUBSTITUTE(CLEAN(SUBSTITUTE(ProjTextTable[[#This Row],[text]],CHAR(10)," "))," ",""))</f>
        <v>396</v>
      </c>
      <c r="O78" t="s">
        <v>211</v>
      </c>
      <c r="P78" t="s">
        <v>858</v>
      </c>
    </row>
    <row r="79" spans="1:16" x14ac:dyDescent="0.4">
      <c r="A79">
        <f t="shared" si="2"/>
        <v>13</v>
      </c>
      <c r="B79" t="s">
        <v>378</v>
      </c>
      <c r="C79" t="s">
        <v>493</v>
      </c>
      <c r="D79" t="s">
        <v>208</v>
      </c>
      <c r="E79" t="s">
        <v>434</v>
      </c>
      <c r="F79" t="s">
        <v>13</v>
      </c>
      <c r="G79" t="s">
        <v>13</v>
      </c>
      <c r="H79" t="s">
        <v>13</v>
      </c>
      <c r="K79" s="33"/>
      <c r="L79" s="8">
        <v>42936.042581018519</v>
      </c>
      <c r="M79" s="23">
        <f>LEN(ProjTextTable[[#This Row],[text]])</f>
        <v>2310</v>
      </c>
      <c r="N79" s="23">
        <f>LEN(TRIM(CLEAN(SUBSTITUTE(ProjTextTable[[#This Row],[text]],CHAR(10)," "))))+1 - LEN(SUBSTITUTE(CLEAN(SUBSTITUTE(ProjTextTable[[#This Row],[text]],CHAR(10)," "))," ",""))</f>
        <v>295</v>
      </c>
      <c r="O79" t="s">
        <v>13</v>
      </c>
      <c r="P79" t="s">
        <v>859</v>
      </c>
    </row>
    <row r="80" spans="1:16" x14ac:dyDescent="0.4">
      <c r="A80">
        <f t="shared" si="2"/>
        <v>14</v>
      </c>
      <c r="B80" t="s">
        <v>379</v>
      </c>
      <c r="C80" t="s">
        <v>500</v>
      </c>
      <c r="D80" t="s">
        <v>217</v>
      </c>
      <c r="E80" t="s">
        <v>463</v>
      </c>
      <c r="F80" t="s">
        <v>628</v>
      </c>
      <c r="G80" t="s">
        <v>736</v>
      </c>
      <c r="H80" t="s">
        <v>220</v>
      </c>
      <c r="I80" t="s">
        <v>209</v>
      </c>
      <c r="J80" t="s">
        <v>205</v>
      </c>
      <c r="K80" s="33">
        <v>43031</v>
      </c>
      <c r="L80" s="8"/>
      <c r="M80" s="23">
        <f>LEN(ProjTextTable[[#This Row],[text]])</f>
        <v>2693</v>
      </c>
      <c r="N80" s="23">
        <f>LEN(TRIM(CLEAN(SUBSTITUTE(ProjTextTable[[#This Row],[text]],CHAR(10)," "))))+1 - LEN(SUBSTITUTE(CLEAN(SUBSTITUTE(ProjTextTable[[#This Row],[text]],CHAR(10)," "))," ",""))</f>
        <v>386</v>
      </c>
      <c r="O80" t="s">
        <v>221</v>
      </c>
      <c r="P80" t="s">
        <v>860</v>
      </c>
    </row>
    <row r="81" spans="1:16" x14ac:dyDescent="0.4">
      <c r="A81">
        <f t="shared" si="2"/>
        <v>14</v>
      </c>
      <c r="B81" t="s">
        <v>379</v>
      </c>
      <c r="C81" t="s">
        <v>500</v>
      </c>
      <c r="D81" t="s">
        <v>206</v>
      </c>
      <c r="E81" t="s">
        <v>463</v>
      </c>
      <c r="F81" t="s">
        <v>806</v>
      </c>
      <c r="G81" t="s">
        <v>807</v>
      </c>
      <c r="H81" t="s">
        <v>808</v>
      </c>
      <c r="I81" t="s">
        <v>223</v>
      </c>
      <c r="J81" t="s">
        <v>185</v>
      </c>
      <c r="K81" s="33">
        <v>43032</v>
      </c>
      <c r="L81" s="8">
        <v>43027.652361111112</v>
      </c>
      <c r="M81" s="23">
        <f>LEN(ProjTextTable[[#This Row],[text]])</f>
        <v>2118</v>
      </c>
      <c r="N81" s="23">
        <f>LEN(TRIM(CLEAN(SUBSTITUTE(ProjTextTable[[#This Row],[text]],CHAR(10)," "))))+1 - LEN(SUBSTITUTE(CLEAN(SUBSTITUTE(ProjTextTable[[#This Row],[text]],CHAR(10)," "))," ",""))</f>
        <v>305</v>
      </c>
      <c r="O81" t="s">
        <v>211</v>
      </c>
      <c r="P81" t="s">
        <v>861</v>
      </c>
    </row>
    <row r="82" spans="1:16" x14ac:dyDescent="0.4">
      <c r="A82">
        <f t="shared" si="2"/>
        <v>14</v>
      </c>
      <c r="B82" t="s">
        <v>379</v>
      </c>
      <c r="C82" t="s">
        <v>500</v>
      </c>
      <c r="D82" t="s">
        <v>206</v>
      </c>
      <c r="E82" t="s">
        <v>434</v>
      </c>
      <c r="F82" t="s">
        <v>751</v>
      </c>
      <c r="G82" t="s">
        <v>752</v>
      </c>
      <c r="H82" t="s">
        <v>753</v>
      </c>
      <c r="I82" t="s">
        <v>223</v>
      </c>
      <c r="J82" t="s">
        <v>185</v>
      </c>
      <c r="K82" s="33">
        <v>43032</v>
      </c>
      <c r="L82" s="8">
        <v>43031.632939814815</v>
      </c>
      <c r="M82" s="23">
        <f>LEN(ProjTextTable[[#This Row],[text]])</f>
        <v>2363</v>
      </c>
      <c r="N82" s="23">
        <f>LEN(TRIM(CLEAN(SUBSTITUTE(ProjTextTable[[#This Row],[text]],CHAR(10)," "))))+1 - LEN(SUBSTITUTE(CLEAN(SUBSTITUTE(ProjTextTable[[#This Row],[text]],CHAR(10)," "))," ",""))</f>
        <v>352</v>
      </c>
      <c r="O82" t="s">
        <v>211</v>
      </c>
      <c r="P82" t="s">
        <v>862</v>
      </c>
    </row>
    <row r="83" spans="1:16" x14ac:dyDescent="0.4">
      <c r="A83">
        <f t="shared" si="2"/>
        <v>14</v>
      </c>
      <c r="B83" t="s">
        <v>379</v>
      </c>
      <c r="C83" t="s">
        <v>500</v>
      </c>
      <c r="D83" t="s">
        <v>206</v>
      </c>
      <c r="E83" t="s">
        <v>463</v>
      </c>
      <c r="F83" t="s">
        <v>778</v>
      </c>
      <c r="G83" t="s">
        <v>779</v>
      </c>
      <c r="H83" t="s">
        <v>780</v>
      </c>
      <c r="I83" t="s">
        <v>223</v>
      </c>
      <c r="J83" t="s">
        <v>185</v>
      </c>
      <c r="K83" s="33">
        <v>43032</v>
      </c>
      <c r="L83" s="8">
        <v>43032.520671296297</v>
      </c>
      <c r="M83" s="23">
        <f>LEN(ProjTextTable[[#This Row],[text]])</f>
        <v>5534</v>
      </c>
      <c r="N83" s="23">
        <f>LEN(TRIM(CLEAN(SUBSTITUTE(ProjTextTable[[#This Row],[text]],CHAR(10)," "))))+1 - LEN(SUBSTITUTE(CLEAN(SUBSTITUTE(ProjTextTable[[#This Row],[text]],CHAR(10)," "))," ",""))</f>
        <v>912</v>
      </c>
      <c r="O83" t="s">
        <v>277</v>
      </c>
      <c r="P83" t="s">
        <v>863</v>
      </c>
    </row>
    <row r="84" spans="1:16" x14ac:dyDescent="0.4">
      <c r="A84">
        <f t="shared" si="2"/>
        <v>14</v>
      </c>
      <c r="B84" t="s">
        <v>379</v>
      </c>
      <c r="C84" t="s">
        <v>500</v>
      </c>
      <c r="D84" t="s">
        <v>206</v>
      </c>
      <c r="E84" t="s">
        <v>463</v>
      </c>
      <c r="F84" t="s">
        <v>820</v>
      </c>
      <c r="G84" t="s">
        <v>821</v>
      </c>
      <c r="H84" t="s">
        <v>822</v>
      </c>
      <c r="I84" t="s">
        <v>223</v>
      </c>
      <c r="J84" t="s">
        <v>185</v>
      </c>
      <c r="K84" s="33">
        <v>43032</v>
      </c>
      <c r="L84" s="8">
        <v>43030.650266203702</v>
      </c>
      <c r="M84" s="23">
        <f>LEN(ProjTextTable[[#This Row],[text]])</f>
        <v>2740</v>
      </c>
      <c r="N84" s="23">
        <f>LEN(TRIM(CLEAN(SUBSTITUTE(ProjTextTable[[#This Row],[text]],CHAR(10)," "))))+1 - LEN(SUBSTITUTE(CLEAN(SUBSTITUTE(ProjTextTable[[#This Row],[text]],CHAR(10)," "))," ",""))</f>
        <v>440</v>
      </c>
      <c r="O84" t="s">
        <v>210</v>
      </c>
      <c r="P84" t="s">
        <v>864</v>
      </c>
    </row>
    <row r="85" spans="1:16" x14ac:dyDescent="0.4">
      <c r="A85">
        <f t="shared" si="2"/>
        <v>14</v>
      </c>
      <c r="B85" t="s">
        <v>379</v>
      </c>
      <c r="C85" t="s">
        <v>500</v>
      </c>
      <c r="D85" t="s">
        <v>208</v>
      </c>
      <c r="E85" t="s">
        <v>434</v>
      </c>
      <c r="F85" t="s">
        <v>13</v>
      </c>
      <c r="G85" t="s">
        <v>13</v>
      </c>
      <c r="H85" t="s">
        <v>13</v>
      </c>
      <c r="K85" s="33"/>
      <c r="L85" s="8">
        <v>42936.042615740742</v>
      </c>
      <c r="M85" s="23">
        <f>LEN(ProjTextTable[[#This Row],[text]])</f>
        <v>4420</v>
      </c>
      <c r="N85" s="23">
        <f>LEN(TRIM(CLEAN(SUBSTITUTE(ProjTextTable[[#This Row],[text]],CHAR(10)," "))))+1 - LEN(SUBSTITUTE(CLEAN(SUBSTITUTE(ProjTextTable[[#This Row],[text]],CHAR(10)," "))," ",""))</f>
        <v>643</v>
      </c>
      <c r="O85" t="s">
        <v>13</v>
      </c>
      <c r="P85" t="s">
        <v>865</v>
      </c>
    </row>
    <row r="86" spans="1:16" x14ac:dyDescent="0.4">
      <c r="A86">
        <f t="shared" si="2"/>
        <v>15</v>
      </c>
      <c r="B86" t="s">
        <v>380</v>
      </c>
      <c r="C86" t="s">
        <v>506</v>
      </c>
      <c r="D86" t="s">
        <v>217</v>
      </c>
      <c r="E86" t="s">
        <v>463</v>
      </c>
      <c r="F86" t="s">
        <v>628</v>
      </c>
      <c r="G86" t="s">
        <v>736</v>
      </c>
      <c r="H86" t="s">
        <v>274</v>
      </c>
      <c r="I86" t="s">
        <v>205</v>
      </c>
      <c r="J86" t="s">
        <v>756</v>
      </c>
      <c r="K86" s="33">
        <v>43031</v>
      </c>
      <c r="L86" s="8"/>
      <c r="M86" s="23">
        <f>LEN(ProjTextTable[[#This Row],[text]])</f>
        <v>2933</v>
      </c>
      <c r="N86" s="23">
        <f>LEN(TRIM(CLEAN(SUBSTITUTE(ProjTextTable[[#This Row],[text]],CHAR(10)," "))))+1 - LEN(SUBSTITUTE(CLEAN(SUBSTITUTE(ProjTextTable[[#This Row],[text]],CHAR(10)," "))," ",""))</f>
        <v>435</v>
      </c>
      <c r="O86" t="s">
        <v>273</v>
      </c>
      <c r="P86" t="s">
        <v>866</v>
      </c>
    </row>
    <row r="87" spans="1:16" x14ac:dyDescent="0.4">
      <c r="A87">
        <f t="shared" si="2"/>
        <v>15</v>
      </c>
      <c r="B87" t="s">
        <v>380</v>
      </c>
      <c r="C87" t="s">
        <v>506</v>
      </c>
      <c r="D87" t="s">
        <v>206</v>
      </c>
      <c r="E87" t="s">
        <v>463</v>
      </c>
      <c r="F87" t="s">
        <v>802</v>
      </c>
      <c r="G87" t="s">
        <v>803</v>
      </c>
      <c r="H87" t="s">
        <v>804</v>
      </c>
      <c r="I87" t="s">
        <v>223</v>
      </c>
      <c r="J87" t="s">
        <v>185</v>
      </c>
      <c r="K87" s="33">
        <v>43032</v>
      </c>
      <c r="L87" s="8">
        <v>43030.861539351848</v>
      </c>
      <c r="M87" s="23">
        <f>LEN(ProjTextTable[[#This Row],[text]])</f>
        <v>2279</v>
      </c>
      <c r="N87" s="23">
        <f>LEN(TRIM(CLEAN(SUBSTITUTE(ProjTextTable[[#This Row],[text]],CHAR(10)," "))))+1 - LEN(SUBSTITUTE(CLEAN(SUBSTITUTE(ProjTextTable[[#This Row],[text]],CHAR(10)," "))," ",""))</f>
        <v>335</v>
      </c>
      <c r="O87" t="s">
        <v>210</v>
      </c>
      <c r="P87" t="s">
        <v>867</v>
      </c>
    </row>
    <row r="88" spans="1:16" x14ac:dyDescent="0.4">
      <c r="A88">
        <f t="shared" si="2"/>
        <v>15</v>
      </c>
      <c r="B88" t="s">
        <v>380</v>
      </c>
      <c r="C88" t="s">
        <v>506</v>
      </c>
      <c r="D88" t="s">
        <v>206</v>
      </c>
      <c r="E88" t="s">
        <v>463</v>
      </c>
      <c r="F88" t="s">
        <v>747</v>
      </c>
      <c r="G88" t="s">
        <v>748</v>
      </c>
      <c r="H88" t="s">
        <v>749</v>
      </c>
      <c r="I88" t="s">
        <v>223</v>
      </c>
      <c r="J88" t="s">
        <v>185</v>
      </c>
      <c r="K88" s="33">
        <v>43032</v>
      </c>
      <c r="L88" s="8">
        <v>43030.96875</v>
      </c>
      <c r="M88" s="23">
        <f>LEN(ProjTextTable[[#This Row],[text]])</f>
        <v>2428</v>
      </c>
      <c r="N88" s="23">
        <f>LEN(TRIM(CLEAN(SUBSTITUTE(ProjTextTable[[#This Row],[text]],CHAR(10)," "))))+1 - LEN(SUBSTITUTE(CLEAN(SUBSTITUTE(ProjTextTable[[#This Row],[text]],CHAR(10)," "))," ",""))</f>
        <v>386</v>
      </c>
      <c r="O88" t="s">
        <v>214</v>
      </c>
      <c r="P88" t="s">
        <v>868</v>
      </c>
    </row>
    <row r="89" spans="1:16" x14ac:dyDescent="0.4">
      <c r="A89">
        <f t="shared" si="2"/>
        <v>15</v>
      </c>
      <c r="B89" t="s">
        <v>380</v>
      </c>
      <c r="C89" t="s">
        <v>506</v>
      </c>
      <c r="D89" t="s">
        <v>206</v>
      </c>
      <c r="E89" t="s">
        <v>463</v>
      </c>
      <c r="F89" t="s">
        <v>770</v>
      </c>
      <c r="G89" t="s">
        <v>771</v>
      </c>
      <c r="H89" t="s">
        <v>772</v>
      </c>
      <c r="I89" t="s">
        <v>223</v>
      </c>
      <c r="J89" t="s">
        <v>185</v>
      </c>
      <c r="K89" s="33">
        <v>43032</v>
      </c>
      <c r="L89" s="8">
        <v>43030.694988425923</v>
      </c>
      <c r="M89" s="23">
        <f>LEN(ProjTextTable[[#This Row],[text]])</f>
        <v>4076</v>
      </c>
      <c r="N89" s="23">
        <f>LEN(TRIM(CLEAN(SUBSTITUTE(ProjTextTable[[#This Row],[text]],CHAR(10)," "))))+1 - LEN(SUBSTITUTE(CLEAN(SUBSTITUTE(ProjTextTable[[#This Row],[text]],CHAR(10)," "))," ",""))</f>
        <v>620</v>
      </c>
      <c r="O89" t="s">
        <v>211</v>
      </c>
      <c r="P89" t="s">
        <v>869</v>
      </c>
    </row>
    <row r="90" spans="1:16" x14ac:dyDescent="0.4">
      <c r="A90">
        <f t="shared" si="2"/>
        <v>15</v>
      </c>
      <c r="B90" t="s">
        <v>380</v>
      </c>
      <c r="C90" t="s">
        <v>506</v>
      </c>
      <c r="D90" t="s">
        <v>206</v>
      </c>
      <c r="E90" t="s">
        <v>463</v>
      </c>
      <c r="F90" t="s">
        <v>811</v>
      </c>
      <c r="G90" t="s">
        <v>812</v>
      </c>
      <c r="H90" t="s">
        <v>813</v>
      </c>
      <c r="I90" t="s">
        <v>223</v>
      </c>
      <c r="J90" t="s">
        <v>185</v>
      </c>
      <c r="K90" s="33">
        <v>43032</v>
      </c>
      <c r="L90" s="8">
        <v>43030.806562500002</v>
      </c>
      <c r="M90" s="23">
        <f>LEN(ProjTextTable[[#This Row],[text]])</f>
        <v>3124</v>
      </c>
      <c r="N90" s="23">
        <f>LEN(TRIM(CLEAN(SUBSTITUTE(ProjTextTable[[#This Row],[text]],CHAR(10)," "))))+1 - LEN(SUBSTITUTE(CLEAN(SUBSTITUTE(ProjTextTable[[#This Row],[text]],CHAR(10)," "))," ",""))</f>
        <v>492</v>
      </c>
      <c r="O90" t="s">
        <v>214</v>
      </c>
      <c r="P90" t="s">
        <v>870</v>
      </c>
    </row>
    <row r="91" spans="1:16" x14ac:dyDescent="0.4">
      <c r="A91">
        <f t="shared" si="2"/>
        <v>15</v>
      </c>
      <c r="B91" t="s">
        <v>380</v>
      </c>
      <c r="C91" t="s">
        <v>506</v>
      </c>
      <c r="D91" t="s">
        <v>208</v>
      </c>
      <c r="E91" t="s">
        <v>434</v>
      </c>
      <c r="F91" t="s">
        <v>13</v>
      </c>
      <c r="G91" t="s">
        <v>13</v>
      </c>
      <c r="H91" t="s">
        <v>13</v>
      </c>
      <c r="K91" s="33"/>
      <c r="L91" s="8">
        <v>42936.043032407404</v>
      </c>
      <c r="M91" s="23">
        <f>LEN(ProjTextTable[[#This Row],[text]])</f>
        <v>4474</v>
      </c>
      <c r="N91" s="23">
        <f>LEN(TRIM(CLEAN(SUBSTITUTE(ProjTextTable[[#This Row],[text]],CHAR(10)," "))))+1 - LEN(SUBSTITUTE(CLEAN(SUBSTITUTE(ProjTextTable[[#This Row],[text]],CHAR(10)," "))," ",""))</f>
        <v>661</v>
      </c>
      <c r="O91" t="s">
        <v>13</v>
      </c>
      <c r="P91" t="s">
        <v>871</v>
      </c>
    </row>
    <row r="92" spans="1:16" x14ac:dyDescent="0.4">
      <c r="A92">
        <f t="shared" si="2"/>
        <v>16</v>
      </c>
      <c r="B92" t="s">
        <v>381</v>
      </c>
      <c r="C92" t="s">
        <v>511</v>
      </c>
      <c r="D92" t="s">
        <v>217</v>
      </c>
      <c r="E92" t="s">
        <v>463</v>
      </c>
      <c r="F92" t="s">
        <v>628</v>
      </c>
      <c r="G92" t="s">
        <v>736</v>
      </c>
      <c r="H92" t="s">
        <v>269</v>
      </c>
      <c r="I92" t="s">
        <v>95</v>
      </c>
      <c r="J92" t="s">
        <v>95</v>
      </c>
      <c r="K92" s="33">
        <v>43031</v>
      </c>
      <c r="L92" s="8"/>
      <c r="M92" s="23">
        <f>LEN(ProjTextTable[[#This Row],[text]])</f>
        <v>3395</v>
      </c>
      <c r="N92" s="23">
        <f>LEN(TRIM(CLEAN(SUBSTITUTE(ProjTextTable[[#This Row],[text]],CHAR(10)," "))))+1 - LEN(SUBSTITUTE(CLEAN(SUBSTITUTE(ProjTextTable[[#This Row],[text]],CHAR(10)," "))," ",""))</f>
        <v>510</v>
      </c>
      <c r="O92" t="s">
        <v>267</v>
      </c>
      <c r="P92" t="s">
        <v>872</v>
      </c>
    </row>
    <row r="93" spans="1:16" x14ac:dyDescent="0.4">
      <c r="A93">
        <f t="shared" si="2"/>
        <v>16</v>
      </c>
      <c r="B93" t="s">
        <v>381</v>
      </c>
      <c r="C93" t="s">
        <v>511</v>
      </c>
      <c r="D93" t="s">
        <v>206</v>
      </c>
      <c r="E93" t="s">
        <v>463</v>
      </c>
      <c r="F93" t="s">
        <v>747</v>
      </c>
      <c r="G93" t="s">
        <v>748</v>
      </c>
      <c r="H93" t="s">
        <v>749</v>
      </c>
      <c r="I93" t="s">
        <v>223</v>
      </c>
      <c r="J93" t="s">
        <v>185</v>
      </c>
      <c r="K93" s="33">
        <v>43032</v>
      </c>
      <c r="L93" s="8">
        <v>43031.606099537035</v>
      </c>
      <c r="M93" s="23">
        <f>LEN(ProjTextTable[[#This Row],[text]])</f>
        <v>3088</v>
      </c>
      <c r="N93" s="23">
        <f>LEN(TRIM(CLEAN(SUBSTITUTE(ProjTextTable[[#This Row],[text]],CHAR(10)," "))))+1 - LEN(SUBSTITUTE(CLEAN(SUBSTITUTE(ProjTextTable[[#This Row],[text]],CHAR(10)," "))," ",""))</f>
        <v>450</v>
      </c>
      <c r="O93" t="s">
        <v>210</v>
      </c>
      <c r="P93" t="s">
        <v>873</v>
      </c>
    </row>
    <row r="94" spans="1:16" x14ac:dyDescent="0.4">
      <c r="A94">
        <f t="shared" si="2"/>
        <v>16</v>
      </c>
      <c r="B94" t="s">
        <v>381</v>
      </c>
      <c r="C94" t="s">
        <v>511</v>
      </c>
      <c r="D94" t="s">
        <v>206</v>
      </c>
      <c r="E94" t="s">
        <v>463</v>
      </c>
      <c r="F94" t="s">
        <v>778</v>
      </c>
      <c r="G94" t="s">
        <v>779</v>
      </c>
      <c r="H94" t="s">
        <v>780</v>
      </c>
      <c r="I94" t="s">
        <v>223</v>
      </c>
      <c r="J94" t="s">
        <v>185</v>
      </c>
      <c r="K94" s="33">
        <v>43032</v>
      </c>
      <c r="L94" s="8">
        <v>43032.52853009259</v>
      </c>
      <c r="M94" s="23">
        <f>LEN(ProjTextTable[[#This Row],[text]])</f>
        <v>4240</v>
      </c>
      <c r="N94" s="23">
        <f>LEN(TRIM(CLEAN(SUBSTITUTE(ProjTextTable[[#This Row],[text]],CHAR(10)," "))))+1 - LEN(SUBSTITUTE(CLEAN(SUBSTITUTE(ProjTextTable[[#This Row],[text]],CHAR(10)," "))," ",""))</f>
        <v>665</v>
      </c>
      <c r="O94" t="s">
        <v>207</v>
      </c>
      <c r="P94" t="s">
        <v>874</v>
      </c>
    </row>
    <row r="95" spans="1:16" x14ac:dyDescent="0.4">
      <c r="A95">
        <f t="shared" si="2"/>
        <v>16</v>
      </c>
      <c r="B95" t="s">
        <v>381</v>
      </c>
      <c r="C95" t="s">
        <v>511</v>
      </c>
      <c r="D95" t="s">
        <v>206</v>
      </c>
      <c r="E95" t="s">
        <v>463</v>
      </c>
      <c r="F95" t="s">
        <v>820</v>
      </c>
      <c r="G95" t="s">
        <v>821</v>
      </c>
      <c r="H95" t="s">
        <v>822</v>
      </c>
      <c r="I95" t="s">
        <v>223</v>
      </c>
      <c r="J95" t="s">
        <v>185</v>
      </c>
      <c r="K95" s="33">
        <v>43032</v>
      </c>
      <c r="L95" s="8">
        <v>43030.964513888888</v>
      </c>
      <c r="M95" s="23">
        <f>LEN(ProjTextTable[[#This Row],[text]])</f>
        <v>1835</v>
      </c>
      <c r="N95" s="23">
        <f>LEN(TRIM(CLEAN(SUBSTITUTE(ProjTextTable[[#This Row],[text]],CHAR(10)," "))))+1 - LEN(SUBSTITUTE(CLEAN(SUBSTITUTE(ProjTextTable[[#This Row],[text]],CHAR(10)," "))," ",""))</f>
        <v>279</v>
      </c>
      <c r="O95" t="s">
        <v>210</v>
      </c>
      <c r="P95" t="s">
        <v>875</v>
      </c>
    </row>
    <row r="96" spans="1:16" x14ac:dyDescent="0.4">
      <c r="A96">
        <f t="shared" si="2"/>
        <v>16</v>
      </c>
      <c r="B96" t="s">
        <v>381</v>
      </c>
      <c r="C96" t="s">
        <v>511</v>
      </c>
      <c r="D96" t="s">
        <v>206</v>
      </c>
      <c r="E96" t="s">
        <v>463</v>
      </c>
      <c r="F96" t="s">
        <v>783</v>
      </c>
      <c r="G96" t="s">
        <v>784</v>
      </c>
      <c r="H96" t="s">
        <v>785</v>
      </c>
      <c r="I96" t="s">
        <v>223</v>
      </c>
      <c r="J96" t="s">
        <v>185</v>
      </c>
      <c r="K96" s="33">
        <v>43032</v>
      </c>
      <c r="L96" s="8">
        <v>43028.722314814811</v>
      </c>
      <c r="M96" s="23">
        <f>LEN(ProjTextTable[[#This Row],[text]])</f>
        <v>1743</v>
      </c>
      <c r="N96" s="23">
        <f>LEN(TRIM(CLEAN(SUBSTITUTE(ProjTextTable[[#This Row],[text]],CHAR(10)," "))))+1 - LEN(SUBSTITUTE(CLEAN(SUBSTITUTE(ProjTextTable[[#This Row],[text]],CHAR(10)," "))," ",""))</f>
        <v>246</v>
      </c>
      <c r="O96" t="s">
        <v>277</v>
      </c>
      <c r="P96" t="s">
        <v>876</v>
      </c>
    </row>
    <row r="97" spans="1:16" x14ac:dyDescent="0.4">
      <c r="A97">
        <f t="shared" si="2"/>
        <v>17</v>
      </c>
      <c r="B97" t="s">
        <v>382</v>
      </c>
      <c r="C97" t="s">
        <v>517</v>
      </c>
      <c r="D97" t="s">
        <v>217</v>
      </c>
      <c r="E97" t="s">
        <v>463</v>
      </c>
      <c r="F97" t="s">
        <v>628</v>
      </c>
      <c r="G97" t="s">
        <v>736</v>
      </c>
      <c r="H97" t="s">
        <v>274</v>
      </c>
      <c r="I97" t="s">
        <v>205</v>
      </c>
      <c r="J97" t="s">
        <v>756</v>
      </c>
      <c r="K97" s="33">
        <v>43031</v>
      </c>
      <c r="L97" s="8"/>
      <c r="M97" s="23">
        <f>LEN(ProjTextTable[[#This Row],[text]])</f>
        <v>3384</v>
      </c>
      <c r="N97" s="23">
        <f>LEN(TRIM(CLEAN(SUBSTITUTE(ProjTextTable[[#This Row],[text]],CHAR(10)," "))))+1 - LEN(SUBSTITUTE(CLEAN(SUBSTITUTE(ProjTextTable[[#This Row],[text]],CHAR(10)," "))," ",""))</f>
        <v>497</v>
      </c>
      <c r="O97" t="s">
        <v>273</v>
      </c>
      <c r="P97" t="s">
        <v>877</v>
      </c>
    </row>
    <row r="98" spans="1:16" x14ac:dyDescent="0.4">
      <c r="A98">
        <f t="shared" ref="A98:A129" si="3">A97+(B98&lt;&gt;B97)</f>
        <v>17</v>
      </c>
      <c r="B98" t="s">
        <v>382</v>
      </c>
      <c r="C98" t="s">
        <v>517</v>
      </c>
      <c r="D98" t="s">
        <v>206</v>
      </c>
      <c r="E98" t="s">
        <v>463</v>
      </c>
      <c r="F98" t="s">
        <v>802</v>
      </c>
      <c r="G98" t="s">
        <v>803</v>
      </c>
      <c r="H98" t="s">
        <v>804</v>
      </c>
      <c r="I98" t="s">
        <v>223</v>
      </c>
      <c r="J98" t="s">
        <v>185</v>
      </c>
      <c r="K98" s="33">
        <v>43032</v>
      </c>
      <c r="L98" s="8">
        <v>43030.881342592591</v>
      </c>
      <c r="M98" s="23">
        <f>LEN(ProjTextTable[[#This Row],[text]])</f>
        <v>2806</v>
      </c>
      <c r="N98" s="23">
        <f>LEN(TRIM(CLEAN(SUBSTITUTE(ProjTextTable[[#This Row],[text]],CHAR(10)," "))))+1 - LEN(SUBSTITUTE(CLEAN(SUBSTITUTE(ProjTextTable[[#This Row],[text]],CHAR(10)," "))," ",""))</f>
        <v>425</v>
      </c>
      <c r="O98" t="s">
        <v>211</v>
      </c>
      <c r="P98" t="s">
        <v>878</v>
      </c>
    </row>
    <row r="99" spans="1:16" x14ac:dyDescent="0.4">
      <c r="A99">
        <f t="shared" si="3"/>
        <v>17</v>
      </c>
      <c r="B99" t="s">
        <v>382</v>
      </c>
      <c r="C99" t="s">
        <v>517</v>
      </c>
      <c r="D99" t="s">
        <v>206</v>
      </c>
      <c r="E99" t="s">
        <v>463</v>
      </c>
      <c r="F99" t="s">
        <v>739</v>
      </c>
      <c r="G99" t="s">
        <v>740</v>
      </c>
      <c r="H99" t="s">
        <v>741</v>
      </c>
      <c r="I99" t="s">
        <v>223</v>
      </c>
      <c r="J99" t="s">
        <v>185</v>
      </c>
      <c r="K99" s="33">
        <v>43032</v>
      </c>
      <c r="L99" s="8">
        <v>43031.585636574076</v>
      </c>
      <c r="M99" s="23">
        <f>LEN(ProjTextTable[[#This Row],[text]])</f>
        <v>3764</v>
      </c>
      <c r="N99" s="23">
        <f>LEN(TRIM(CLEAN(SUBSTITUTE(ProjTextTable[[#This Row],[text]],CHAR(10)," "))))+1 - LEN(SUBSTITUTE(CLEAN(SUBSTITUTE(ProjTextTable[[#This Row],[text]],CHAR(10)," "))," ",""))</f>
        <v>592</v>
      </c>
      <c r="O99" t="s">
        <v>214</v>
      </c>
      <c r="P99" t="s">
        <v>879</v>
      </c>
    </row>
    <row r="100" spans="1:16" x14ac:dyDescent="0.4">
      <c r="A100">
        <f t="shared" si="3"/>
        <v>17</v>
      </c>
      <c r="B100" t="s">
        <v>382</v>
      </c>
      <c r="C100" t="s">
        <v>517</v>
      </c>
      <c r="D100" t="s">
        <v>206</v>
      </c>
      <c r="E100" t="s">
        <v>463</v>
      </c>
      <c r="F100" t="s">
        <v>747</v>
      </c>
      <c r="G100" t="s">
        <v>748</v>
      </c>
      <c r="H100" t="s">
        <v>749</v>
      </c>
      <c r="I100" t="s">
        <v>223</v>
      </c>
      <c r="J100" t="s">
        <v>185</v>
      </c>
      <c r="K100" s="33">
        <v>43032</v>
      </c>
      <c r="L100" s="8">
        <v>43030.737314814818</v>
      </c>
      <c r="M100" s="23">
        <f>LEN(ProjTextTable[[#This Row],[text]])</f>
        <v>2838</v>
      </c>
      <c r="N100" s="23">
        <f>LEN(TRIM(CLEAN(SUBSTITUTE(ProjTextTable[[#This Row],[text]],CHAR(10)," "))))+1 - LEN(SUBSTITUTE(CLEAN(SUBSTITUTE(ProjTextTable[[#This Row],[text]],CHAR(10)," "))," ",""))</f>
        <v>429</v>
      </c>
      <c r="O100" t="s">
        <v>210</v>
      </c>
      <c r="P100" t="s">
        <v>880</v>
      </c>
    </row>
    <row r="101" spans="1:16" x14ac:dyDescent="0.4">
      <c r="A101">
        <f t="shared" si="3"/>
        <v>17</v>
      </c>
      <c r="B101" t="s">
        <v>382</v>
      </c>
      <c r="C101" t="s">
        <v>517</v>
      </c>
      <c r="D101" t="s">
        <v>206</v>
      </c>
      <c r="E101" t="s">
        <v>463</v>
      </c>
      <c r="F101" t="s">
        <v>783</v>
      </c>
      <c r="G101" t="s">
        <v>784</v>
      </c>
      <c r="H101" t="s">
        <v>785</v>
      </c>
      <c r="I101" t="s">
        <v>223</v>
      </c>
      <c r="J101" t="s">
        <v>185</v>
      </c>
      <c r="K101" s="33">
        <v>43032</v>
      </c>
      <c r="L101" s="8">
        <v>43032.487256944441</v>
      </c>
      <c r="M101" s="23">
        <f>LEN(ProjTextTable[[#This Row],[text]])</f>
        <v>1564</v>
      </c>
      <c r="N101" s="23">
        <f>LEN(TRIM(CLEAN(SUBSTITUTE(ProjTextTable[[#This Row],[text]],CHAR(10)," "))))+1 - LEN(SUBSTITUTE(CLEAN(SUBSTITUTE(ProjTextTable[[#This Row],[text]],CHAR(10)," "))," ",""))</f>
        <v>236</v>
      </c>
      <c r="O101" t="s">
        <v>207</v>
      </c>
      <c r="P101" t="s">
        <v>881</v>
      </c>
    </row>
    <row r="102" spans="1:16" x14ac:dyDescent="0.4">
      <c r="A102">
        <f t="shared" si="3"/>
        <v>17</v>
      </c>
      <c r="B102" t="s">
        <v>382</v>
      </c>
      <c r="C102" t="s">
        <v>517</v>
      </c>
      <c r="D102" t="s">
        <v>208</v>
      </c>
      <c r="E102" t="s">
        <v>434</v>
      </c>
      <c r="F102" t="s">
        <v>13</v>
      </c>
      <c r="G102" t="s">
        <v>13</v>
      </c>
      <c r="H102" t="s">
        <v>13</v>
      </c>
      <c r="K102" s="33"/>
      <c r="L102" s="8">
        <v>42936.043437499997</v>
      </c>
      <c r="M102" s="23">
        <f>LEN(ProjTextTable[[#This Row],[text]])</f>
        <v>3137</v>
      </c>
      <c r="N102" s="23">
        <f>LEN(TRIM(CLEAN(SUBSTITUTE(ProjTextTable[[#This Row],[text]],CHAR(10)," "))))+1 - LEN(SUBSTITUTE(CLEAN(SUBSTITUTE(ProjTextTable[[#This Row],[text]],CHAR(10)," "))," ",""))</f>
        <v>455</v>
      </c>
      <c r="O102" t="s">
        <v>13</v>
      </c>
      <c r="P102" t="s">
        <v>882</v>
      </c>
    </row>
    <row r="103" spans="1:16" x14ac:dyDescent="0.4">
      <c r="A103">
        <f t="shared" si="3"/>
        <v>18</v>
      </c>
      <c r="B103" t="s">
        <v>383</v>
      </c>
      <c r="C103" t="s">
        <v>524</v>
      </c>
      <c r="D103" t="s">
        <v>217</v>
      </c>
      <c r="E103" t="s">
        <v>463</v>
      </c>
      <c r="F103" t="s">
        <v>628</v>
      </c>
      <c r="G103" t="s">
        <v>736</v>
      </c>
      <c r="H103" t="s">
        <v>220</v>
      </c>
      <c r="I103" t="s">
        <v>209</v>
      </c>
      <c r="J103" t="s">
        <v>278</v>
      </c>
      <c r="K103" s="33">
        <v>43031</v>
      </c>
      <c r="L103" s="8"/>
      <c r="M103" s="23">
        <f>LEN(ProjTextTable[[#This Row],[text]])</f>
        <v>2012</v>
      </c>
      <c r="N103" s="23">
        <f>LEN(TRIM(CLEAN(SUBSTITUTE(ProjTextTable[[#This Row],[text]],CHAR(10)," "))))+1 - LEN(SUBSTITUTE(CLEAN(SUBSTITUTE(ProjTextTable[[#This Row],[text]],CHAR(10)," "))," ",""))</f>
        <v>277</v>
      </c>
      <c r="O103" t="s">
        <v>221</v>
      </c>
      <c r="P103" t="s">
        <v>883</v>
      </c>
    </row>
    <row r="104" spans="1:16" x14ac:dyDescent="0.4">
      <c r="A104">
        <f t="shared" si="3"/>
        <v>18</v>
      </c>
      <c r="B104" t="s">
        <v>383</v>
      </c>
      <c r="C104" t="s">
        <v>524</v>
      </c>
      <c r="D104" t="s">
        <v>206</v>
      </c>
      <c r="E104" t="s">
        <v>463</v>
      </c>
      <c r="F104" t="s">
        <v>758</v>
      </c>
      <c r="G104" t="s">
        <v>759</v>
      </c>
      <c r="H104" t="s">
        <v>760</v>
      </c>
      <c r="I104" t="s">
        <v>223</v>
      </c>
      <c r="J104" t="s">
        <v>185</v>
      </c>
      <c r="K104" s="33">
        <v>43032</v>
      </c>
      <c r="L104" s="8">
        <v>43022.977719907409</v>
      </c>
      <c r="M104" s="23">
        <f>LEN(ProjTextTable[[#This Row],[text]])</f>
        <v>2991</v>
      </c>
      <c r="N104" s="23">
        <f>LEN(TRIM(CLEAN(SUBSTITUTE(ProjTextTable[[#This Row],[text]],CHAR(10)," "))))+1 - LEN(SUBSTITUTE(CLEAN(SUBSTITUTE(ProjTextTable[[#This Row],[text]],CHAR(10)," "))," ",""))</f>
        <v>467</v>
      </c>
      <c r="O104" t="s">
        <v>211</v>
      </c>
      <c r="P104" t="s">
        <v>884</v>
      </c>
    </row>
    <row r="105" spans="1:16" x14ac:dyDescent="0.4">
      <c r="A105">
        <f t="shared" si="3"/>
        <v>18</v>
      </c>
      <c r="B105" t="s">
        <v>383</v>
      </c>
      <c r="C105" t="s">
        <v>524</v>
      </c>
      <c r="D105" t="s">
        <v>206</v>
      </c>
      <c r="E105" t="s">
        <v>418</v>
      </c>
      <c r="F105" t="s">
        <v>762</v>
      </c>
      <c r="G105" t="s">
        <v>763</v>
      </c>
      <c r="H105" t="s">
        <v>764</v>
      </c>
      <c r="I105" t="s">
        <v>223</v>
      </c>
      <c r="J105" t="s">
        <v>185</v>
      </c>
      <c r="K105" s="33">
        <v>43032</v>
      </c>
      <c r="L105" s="8">
        <v>43030.18167824074</v>
      </c>
      <c r="M105" s="23">
        <f>LEN(ProjTextTable[[#This Row],[text]])</f>
        <v>2066</v>
      </c>
      <c r="N105" s="23">
        <f>LEN(TRIM(CLEAN(SUBSTITUTE(ProjTextTable[[#This Row],[text]],CHAR(10)," "))))+1 - LEN(SUBSTITUTE(CLEAN(SUBSTITUTE(ProjTextTable[[#This Row],[text]],CHAR(10)," "))," ",""))</f>
        <v>295</v>
      </c>
      <c r="O105" t="s">
        <v>211</v>
      </c>
      <c r="P105" t="s">
        <v>885</v>
      </c>
    </row>
    <row r="106" spans="1:16" x14ac:dyDescent="0.4">
      <c r="A106">
        <f t="shared" si="3"/>
        <v>18</v>
      </c>
      <c r="B106" t="s">
        <v>383</v>
      </c>
      <c r="C106" t="s">
        <v>524</v>
      </c>
      <c r="D106" t="s">
        <v>206</v>
      </c>
      <c r="E106" t="s">
        <v>463</v>
      </c>
      <c r="F106" t="s">
        <v>766</v>
      </c>
      <c r="G106" t="s">
        <v>767</v>
      </c>
      <c r="H106" t="s">
        <v>768</v>
      </c>
      <c r="I106" t="s">
        <v>223</v>
      </c>
      <c r="J106" t="s">
        <v>185</v>
      </c>
      <c r="K106" s="33">
        <v>43032</v>
      </c>
      <c r="L106" s="8">
        <v>43028.861875000002</v>
      </c>
      <c r="M106" s="23">
        <f>LEN(ProjTextTable[[#This Row],[text]])</f>
        <v>2452</v>
      </c>
      <c r="N106" s="23">
        <f>LEN(TRIM(CLEAN(SUBSTITUTE(ProjTextTable[[#This Row],[text]],CHAR(10)," "))))+1 - LEN(SUBSTITUTE(CLEAN(SUBSTITUTE(ProjTextTable[[#This Row],[text]],CHAR(10)," "))," ",""))</f>
        <v>365</v>
      </c>
      <c r="O106" t="s">
        <v>211</v>
      </c>
      <c r="P106" t="s">
        <v>886</v>
      </c>
    </row>
    <row r="107" spans="1:16" x14ac:dyDescent="0.4">
      <c r="A107">
        <f t="shared" si="3"/>
        <v>18</v>
      </c>
      <c r="B107" t="s">
        <v>383</v>
      </c>
      <c r="C107" t="s">
        <v>524</v>
      </c>
      <c r="D107" t="s">
        <v>206</v>
      </c>
      <c r="E107" t="s">
        <v>463</v>
      </c>
      <c r="F107" t="s">
        <v>806</v>
      </c>
      <c r="G107" t="s">
        <v>807</v>
      </c>
      <c r="H107" t="s">
        <v>808</v>
      </c>
      <c r="I107" t="s">
        <v>223</v>
      </c>
      <c r="J107" t="s">
        <v>185</v>
      </c>
      <c r="K107" s="33">
        <v>43032</v>
      </c>
      <c r="L107" s="8">
        <v>43027.663506944446</v>
      </c>
      <c r="M107" s="23">
        <f>LEN(ProjTextTable[[#This Row],[text]])</f>
        <v>2625</v>
      </c>
      <c r="N107" s="23">
        <f>LEN(TRIM(CLEAN(SUBSTITUTE(ProjTextTable[[#This Row],[text]],CHAR(10)," "))))+1 - LEN(SUBSTITUTE(CLEAN(SUBSTITUTE(ProjTextTable[[#This Row],[text]],CHAR(10)," "))," ",""))</f>
        <v>399</v>
      </c>
      <c r="O107" t="s">
        <v>277</v>
      </c>
      <c r="P107" t="s">
        <v>887</v>
      </c>
    </row>
    <row r="108" spans="1:16" x14ac:dyDescent="0.4">
      <c r="A108">
        <f t="shared" si="3"/>
        <v>18</v>
      </c>
      <c r="B108" t="s">
        <v>383</v>
      </c>
      <c r="C108" t="s">
        <v>524</v>
      </c>
      <c r="D108" t="s">
        <v>208</v>
      </c>
      <c r="E108" t="s">
        <v>418</v>
      </c>
      <c r="F108" t="s">
        <v>13</v>
      </c>
      <c r="G108" t="s">
        <v>13</v>
      </c>
      <c r="H108" t="s">
        <v>13</v>
      </c>
      <c r="K108" s="33"/>
      <c r="L108" s="8">
        <v>42936.044259259259</v>
      </c>
      <c r="M108" s="23">
        <f>LEN(ProjTextTable[[#This Row],[text]])</f>
        <v>4189</v>
      </c>
      <c r="N108" s="23">
        <f>LEN(TRIM(CLEAN(SUBSTITUTE(ProjTextTable[[#This Row],[text]],CHAR(10)," "))))+1 - LEN(SUBSTITUTE(CLEAN(SUBSTITUTE(ProjTextTable[[#This Row],[text]],CHAR(10)," "))," ",""))</f>
        <v>639</v>
      </c>
      <c r="O108" t="s">
        <v>13</v>
      </c>
      <c r="P108" t="s">
        <v>888</v>
      </c>
    </row>
    <row r="109" spans="1:16" x14ac:dyDescent="0.4">
      <c r="A109">
        <f t="shared" si="3"/>
        <v>19</v>
      </c>
      <c r="B109" t="s">
        <v>384</v>
      </c>
      <c r="C109" t="s">
        <v>529</v>
      </c>
      <c r="D109" t="s">
        <v>217</v>
      </c>
      <c r="E109" t="s">
        <v>463</v>
      </c>
      <c r="F109" t="s">
        <v>628</v>
      </c>
      <c r="G109" t="s">
        <v>736</v>
      </c>
      <c r="H109" t="s">
        <v>274</v>
      </c>
      <c r="I109" t="s">
        <v>205</v>
      </c>
      <c r="J109" t="s">
        <v>756</v>
      </c>
      <c r="K109" s="33">
        <v>43031</v>
      </c>
      <c r="L109" s="8"/>
      <c r="M109" s="23">
        <f>LEN(ProjTextTable[[#This Row],[text]])</f>
        <v>2447</v>
      </c>
      <c r="N109" s="23">
        <f>LEN(TRIM(CLEAN(SUBSTITUTE(ProjTextTable[[#This Row],[text]],CHAR(10)," "))))+1 - LEN(SUBSTITUTE(CLEAN(SUBSTITUTE(ProjTextTable[[#This Row],[text]],CHAR(10)," "))," ",""))</f>
        <v>338</v>
      </c>
      <c r="O109" t="s">
        <v>273</v>
      </c>
      <c r="P109" t="s">
        <v>889</v>
      </c>
    </row>
    <row r="110" spans="1:16" x14ac:dyDescent="0.4">
      <c r="A110">
        <f t="shared" si="3"/>
        <v>19</v>
      </c>
      <c r="B110" t="s">
        <v>384</v>
      </c>
      <c r="C110" t="s">
        <v>529</v>
      </c>
      <c r="D110" t="s">
        <v>206</v>
      </c>
      <c r="E110" t="s">
        <v>463</v>
      </c>
      <c r="F110" t="s">
        <v>758</v>
      </c>
      <c r="G110" t="s">
        <v>759</v>
      </c>
      <c r="H110" t="s">
        <v>760</v>
      </c>
      <c r="I110" t="s">
        <v>223</v>
      </c>
      <c r="J110" t="s">
        <v>185</v>
      </c>
      <c r="K110" s="33">
        <v>43032</v>
      </c>
      <c r="L110" s="8">
        <v>43025.748668981483</v>
      </c>
      <c r="M110" s="23">
        <f>LEN(ProjTextTable[[#This Row],[text]])</f>
        <v>2351</v>
      </c>
      <c r="N110" s="23">
        <f>LEN(TRIM(CLEAN(SUBSTITUTE(ProjTextTable[[#This Row],[text]],CHAR(10)," "))))+1 - LEN(SUBSTITUTE(CLEAN(SUBSTITUTE(ProjTextTable[[#This Row],[text]],CHAR(10)," "))," ",""))</f>
        <v>366</v>
      </c>
      <c r="O110" t="s">
        <v>215</v>
      </c>
      <c r="P110" t="s">
        <v>890</v>
      </c>
    </row>
    <row r="111" spans="1:16" x14ac:dyDescent="0.4">
      <c r="A111">
        <f t="shared" si="3"/>
        <v>19</v>
      </c>
      <c r="B111" t="s">
        <v>384</v>
      </c>
      <c r="C111" t="s">
        <v>529</v>
      </c>
      <c r="D111" t="s">
        <v>206</v>
      </c>
      <c r="E111" t="s">
        <v>418</v>
      </c>
      <c r="F111" t="s">
        <v>762</v>
      </c>
      <c r="G111" t="s">
        <v>763</v>
      </c>
      <c r="H111" t="s">
        <v>764</v>
      </c>
      <c r="I111" t="s">
        <v>223</v>
      </c>
      <c r="J111" t="s">
        <v>185</v>
      </c>
      <c r="K111" s="33">
        <v>43032</v>
      </c>
      <c r="L111" s="8">
        <v>43030.178067129629</v>
      </c>
      <c r="M111" s="23">
        <f>LEN(ProjTextTable[[#This Row],[text]])</f>
        <v>2003</v>
      </c>
      <c r="N111" s="23">
        <f>LEN(TRIM(CLEAN(SUBSTITUTE(ProjTextTable[[#This Row],[text]],CHAR(10)," "))))+1 - LEN(SUBSTITUTE(CLEAN(SUBSTITUTE(ProjTextTable[[#This Row],[text]],CHAR(10)," "))," ",""))</f>
        <v>303</v>
      </c>
      <c r="O111" t="s">
        <v>213</v>
      </c>
      <c r="P111" t="s">
        <v>891</v>
      </c>
    </row>
    <row r="112" spans="1:16" x14ac:dyDescent="0.4">
      <c r="A112">
        <f t="shared" si="3"/>
        <v>19</v>
      </c>
      <c r="B112" t="s">
        <v>384</v>
      </c>
      <c r="C112" t="s">
        <v>529</v>
      </c>
      <c r="D112" t="s">
        <v>206</v>
      </c>
      <c r="E112" t="s">
        <v>463</v>
      </c>
      <c r="F112" t="s">
        <v>766</v>
      </c>
      <c r="G112" t="s">
        <v>767</v>
      </c>
      <c r="H112" t="s">
        <v>768</v>
      </c>
      <c r="I112" t="s">
        <v>223</v>
      </c>
      <c r="J112" t="s">
        <v>185</v>
      </c>
      <c r="K112" s="33">
        <v>43032</v>
      </c>
      <c r="L112" s="8">
        <v>43028.861886574072</v>
      </c>
      <c r="M112" s="23">
        <f>LEN(ProjTextTable[[#This Row],[text]])</f>
        <v>2634</v>
      </c>
      <c r="N112" s="23">
        <f>LEN(TRIM(CLEAN(SUBSTITUTE(ProjTextTable[[#This Row],[text]],CHAR(10)," "))))+1 - LEN(SUBSTITUTE(CLEAN(SUBSTITUTE(ProjTextTable[[#This Row],[text]],CHAR(10)," "))," ",""))</f>
        <v>405</v>
      </c>
      <c r="O112" t="s">
        <v>207</v>
      </c>
      <c r="P112" t="s">
        <v>892</v>
      </c>
    </row>
    <row r="113" spans="1:16" x14ac:dyDescent="0.4">
      <c r="A113">
        <f t="shared" si="3"/>
        <v>19</v>
      </c>
      <c r="B113" t="s">
        <v>384</v>
      </c>
      <c r="C113" t="s">
        <v>529</v>
      </c>
      <c r="D113" t="s">
        <v>206</v>
      </c>
      <c r="E113" t="s">
        <v>463</v>
      </c>
      <c r="F113" t="s">
        <v>806</v>
      </c>
      <c r="G113" t="s">
        <v>807</v>
      </c>
      <c r="H113" t="s">
        <v>808</v>
      </c>
      <c r="I113" t="s">
        <v>223</v>
      </c>
      <c r="J113" t="s">
        <v>185</v>
      </c>
      <c r="K113" s="33">
        <v>43032</v>
      </c>
      <c r="L113" s="8">
        <v>43027.634618055556</v>
      </c>
      <c r="M113" s="23">
        <f>LEN(ProjTextTable[[#This Row],[text]])</f>
        <v>2484</v>
      </c>
      <c r="N113" s="23">
        <f>LEN(TRIM(CLEAN(SUBSTITUTE(ProjTextTable[[#This Row],[text]],CHAR(10)," "))))+1 - LEN(SUBSTITUTE(CLEAN(SUBSTITUTE(ProjTextTable[[#This Row],[text]],CHAR(10)," "))," ",""))</f>
        <v>378</v>
      </c>
      <c r="O113" t="s">
        <v>211</v>
      </c>
      <c r="P113" t="s">
        <v>893</v>
      </c>
    </row>
    <row r="114" spans="1:16" x14ac:dyDescent="0.4">
      <c r="A114">
        <f t="shared" si="3"/>
        <v>19</v>
      </c>
      <c r="B114" t="s">
        <v>384</v>
      </c>
      <c r="C114" t="s">
        <v>529</v>
      </c>
      <c r="D114" t="s">
        <v>208</v>
      </c>
      <c r="E114" t="s">
        <v>418</v>
      </c>
      <c r="F114" t="s">
        <v>13</v>
      </c>
      <c r="G114" t="s">
        <v>13</v>
      </c>
      <c r="H114" t="s">
        <v>13</v>
      </c>
      <c r="K114" s="33"/>
      <c r="L114" s="8">
        <v>42936.044953703706</v>
      </c>
      <c r="M114" s="23">
        <f>LEN(ProjTextTable[[#This Row],[text]])</f>
        <v>3898</v>
      </c>
      <c r="N114" s="23">
        <f>LEN(TRIM(CLEAN(SUBSTITUTE(ProjTextTable[[#This Row],[text]],CHAR(10)," "))))+1 - LEN(SUBSTITUTE(CLEAN(SUBSTITUTE(ProjTextTable[[#This Row],[text]],CHAR(10)," "))," ",""))</f>
        <v>569</v>
      </c>
      <c r="O114" t="s">
        <v>13</v>
      </c>
      <c r="P114" t="s">
        <v>894</v>
      </c>
    </row>
    <row r="115" spans="1:16" x14ac:dyDescent="0.4">
      <c r="A115">
        <f t="shared" si="3"/>
        <v>20</v>
      </c>
      <c r="B115" t="s">
        <v>385</v>
      </c>
      <c r="C115" t="s">
        <v>535</v>
      </c>
      <c r="D115" t="s">
        <v>217</v>
      </c>
      <c r="E115" t="s">
        <v>463</v>
      </c>
      <c r="F115" t="s">
        <v>628</v>
      </c>
      <c r="G115" t="s">
        <v>736</v>
      </c>
      <c r="H115" t="s">
        <v>220</v>
      </c>
      <c r="I115" t="s">
        <v>209</v>
      </c>
      <c r="J115" t="s">
        <v>895</v>
      </c>
      <c r="K115" s="33">
        <v>43031</v>
      </c>
      <c r="L115" s="8"/>
      <c r="M115" s="23">
        <f>LEN(ProjTextTable[[#This Row],[text]])</f>
        <v>2478</v>
      </c>
      <c r="N115" s="23">
        <f>LEN(TRIM(CLEAN(SUBSTITUTE(ProjTextTable[[#This Row],[text]],CHAR(10)," "))))+1 - LEN(SUBSTITUTE(CLEAN(SUBSTITUTE(ProjTextTable[[#This Row],[text]],CHAR(10)," "))," ",""))</f>
        <v>352</v>
      </c>
      <c r="O115" t="s">
        <v>221</v>
      </c>
      <c r="P115" t="s">
        <v>896</v>
      </c>
    </row>
    <row r="116" spans="1:16" x14ac:dyDescent="0.4">
      <c r="A116">
        <f t="shared" si="3"/>
        <v>20</v>
      </c>
      <c r="B116" t="s">
        <v>385</v>
      </c>
      <c r="C116" t="s">
        <v>535</v>
      </c>
      <c r="D116" t="s">
        <v>206</v>
      </c>
      <c r="E116" t="s">
        <v>463</v>
      </c>
      <c r="F116" t="s">
        <v>758</v>
      </c>
      <c r="G116" t="s">
        <v>759</v>
      </c>
      <c r="H116" t="s">
        <v>760</v>
      </c>
      <c r="I116" t="s">
        <v>223</v>
      </c>
      <c r="J116" t="s">
        <v>185</v>
      </c>
      <c r="K116" s="33">
        <v>43032</v>
      </c>
      <c r="L116" s="8">
        <v>43031.392627314817</v>
      </c>
      <c r="M116" s="23">
        <f>LEN(ProjTextTable[[#This Row],[text]])</f>
        <v>2470</v>
      </c>
      <c r="N116" s="23">
        <f>LEN(TRIM(CLEAN(SUBSTITUTE(ProjTextTable[[#This Row],[text]],CHAR(10)," "))))+1 - LEN(SUBSTITUTE(CLEAN(SUBSTITUTE(ProjTextTable[[#This Row],[text]],CHAR(10)," "))," ",""))</f>
        <v>379</v>
      </c>
      <c r="O116" t="s">
        <v>211</v>
      </c>
      <c r="P116" t="s">
        <v>897</v>
      </c>
    </row>
    <row r="117" spans="1:16" x14ac:dyDescent="0.4">
      <c r="A117">
        <f t="shared" si="3"/>
        <v>20</v>
      </c>
      <c r="B117" t="s">
        <v>385</v>
      </c>
      <c r="C117" t="s">
        <v>535</v>
      </c>
      <c r="D117" t="s">
        <v>206</v>
      </c>
      <c r="E117" t="s">
        <v>463</v>
      </c>
      <c r="F117" t="s">
        <v>766</v>
      </c>
      <c r="G117" t="s">
        <v>767</v>
      </c>
      <c r="H117" t="s">
        <v>768</v>
      </c>
      <c r="I117" t="s">
        <v>223</v>
      </c>
      <c r="J117" t="s">
        <v>185</v>
      </c>
      <c r="K117" s="33">
        <v>43032</v>
      </c>
      <c r="L117" s="8">
        <v>43028.861886574072</v>
      </c>
      <c r="M117" s="23">
        <f>LEN(ProjTextTable[[#This Row],[text]])</f>
        <v>1850</v>
      </c>
      <c r="N117" s="23">
        <f>LEN(TRIM(CLEAN(SUBSTITUTE(ProjTextTable[[#This Row],[text]],CHAR(10)," "))))+1 - LEN(SUBSTITUTE(CLEAN(SUBSTITUTE(ProjTextTable[[#This Row],[text]],CHAR(10)," "))," ",""))</f>
        <v>275</v>
      </c>
      <c r="O117" t="s">
        <v>207</v>
      </c>
      <c r="P117" t="s">
        <v>898</v>
      </c>
    </row>
    <row r="118" spans="1:16" x14ac:dyDescent="0.4">
      <c r="A118">
        <f t="shared" si="3"/>
        <v>20</v>
      </c>
      <c r="B118" t="s">
        <v>385</v>
      </c>
      <c r="C118" t="s">
        <v>535</v>
      </c>
      <c r="D118" t="s">
        <v>206</v>
      </c>
      <c r="E118" t="s">
        <v>463</v>
      </c>
      <c r="F118" t="s">
        <v>747</v>
      </c>
      <c r="G118" t="s">
        <v>748</v>
      </c>
      <c r="H118" t="s">
        <v>749</v>
      </c>
      <c r="I118" t="s">
        <v>223</v>
      </c>
      <c r="J118" t="s">
        <v>185</v>
      </c>
      <c r="K118" s="33">
        <v>43032</v>
      </c>
      <c r="L118" s="8">
        <v>43030.850983796299</v>
      </c>
      <c r="M118" s="23">
        <f>LEN(ProjTextTable[[#This Row],[text]])</f>
        <v>2602</v>
      </c>
      <c r="N118" s="23">
        <f>LEN(TRIM(CLEAN(SUBSTITUTE(ProjTextTable[[#This Row],[text]],CHAR(10)," "))))+1 - LEN(SUBSTITUTE(CLEAN(SUBSTITUTE(ProjTextTable[[#This Row],[text]],CHAR(10)," "))," ",""))</f>
        <v>415</v>
      </c>
      <c r="O118" t="s">
        <v>211</v>
      </c>
      <c r="P118" t="s">
        <v>899</v>
      </c>
    </row>
    <row r="119" spans="1:16" x14ac:dyDescent="0.4">
      <c r="A119">
        <f t="shared" si="3"/>
        <v>20</v>
      </c>
      <c r="B119" t="s">
        <v>385</v>
      </c>
      <c r="C119" t="s">
        <v>535</v>
      </c>
      <c r="D119" t="s">
        <v>206</v>
      </c>
      <c r="E119" t="s">
        <v>418</v>
      </c>
      <c r="F119" t="s">
        <v>751</v>
      </c>
      <c r="G119" t="s">
        <v>752</v>
      </c>
      <c r="H119" t="s">
        <v>753</v>
      </c>
      <c r="I119" t="s">
        <v>223</v>
      </c>
      <c r="J119" t="s">
        <v>185</v>
      </c>
      <c r="K119" s="33">
        <v>43032</v>
      </c>
      <c r="L119" s="8">
        <v>43025.587372685186</v>
      </c>
      <c r="M119" s="23">
        <f>LEN(ProjTextTable[[#This Row],[text]])</f>
        <v>2719</v>
      </c>
      <c r="N119" s="23">
        <f>LEN(TRIM(CLEAN(SUBSTITUTE(ProjTextTable[[#This Row],[text]],CHAR(10)," "))))+1 - LEN(SUBSTITUTE(CLEAN(SUBSTITUTE(ProjTextTable[[#This Row],[text]],CHAR(10)," "))," ",""))</f>
        <v>400</v>
      </c>
      <c r="O119" t="s">
        <v>211</v>
      </c>
      <c r="P119" t="s">
        <v>900</v>
      </c>
    </row>
    <row r="120" spans="1:16" x14ac:dyDescent="0.4">
      <c r="A120">
        <f t="shared" si="3"/>
        <v>20</v>
      </c>
      <c r="B120" t="s">
        <v>385</v>
      </c>
      <c r="C120" t="s">
        <v>535</v>
      </c>
      <c r="D120" t="s">
        <v>208</v>
      </c>
      <c r="E120" t="s">
        <v>418</v>
      </c>
      <c r="F120" t="s">
        <v>13</v>
      </c>
      <c r="G120" t="s">
        <v>13</v>
      </c>
      <c r="H120" t="s">
        <v>13</v>
      </c>
      <c r="K120" s="33"/>
      <c r="L120" s="8">
        <v>42936.045092592591</v>
      </c>
      <c r="M120" s="23">
        <f>LEN(ProjTextTable[[#This Row],[text]])</f>
        <v>3926</v>
      </c>
      <c r="N120" s="23">
        <f>LEN(TRIM(CLEAN(SUBSTITUTE(ProjTextTable[[#This Row],[text]],CHAR(10)," "))))+1 - LEN(SUBSTITUTE(CLEAN(SUBSTITUTE(ProjTextTable[[#This Row],[text]],CHAR(10)," "))," ",""))</f>
        <v>557</v>
      </c>
      <c r="O120" t="s">
        <v>13</v>
      </c>
      <c r="P120" t="s">
        <v>901</v>
      </c>
    </row>
    <row r="121" spans="1:16" x14ac:dyDescent="0.4">
      <c r="A121">
        <f t="shared" si="3"/>
        <v>21</v>
      </c>
      <c r="B121" t="s">
        <v>386</v>
      </c>
      <c r="C121" t="s">
        <v>540</v>
      </c>
      <c r="D121" t="s">
        <v>217</v>
      </c>
      <c r="E121" t="s">
        <v>463</v>
      </c>
      <c r="F121" t="s">
        <v>628</v>
      </c>
      <c r="G121" t="s">
        <v>736</v>
      </c>
      <c r="H121" t="s">
        <v>220</v>
      </c>
      <c r="I121" t="s">
        <v>209</v>
      </c>
      <c r="J121" t="s">
        <v>800</v>
      </c>
      <c r="K121" s="33">
        <v>43031</v>
      </c>
      <c r="L121" s="8"/>
      <c r="M121" s="23">
        <f>LEN(ProjTextTable[[#This Row],[text]])</f>
        <v>2977</v>
      </c>
      <c r="N121" s="23">
        <f>LEN(TRIM(CLEAN(SUBSTITUTE(ProjTextTable[[#This Row],[text]],CHAR(10)," "))))+1 - LEN(SUBSTITUTE(CLEAN(SUBSTITUTE(ProjTextTable[[#This Row],[text]],CHAR(10)," "))," ",""))</f>
        <v>443</v>
      </c>
      <c r="O121" t="s">
        <v>221</v>
      </c>
      <c r="P121" t="s">
        <v>902</v>
      </c>
    </row>
    <row r="122" spans="1:16" x14ac:dyDescent="0.4">
      <c r="A122">
        <f t="shared" si="3"/>
        <v>21</v>
      </c>
      <c r="B122" t="s">
        <v>386</v>
      </c>
      <c r="C122" t="s">
        <v>540</v>
      </c>
      <c r="D122" t="s">
        <v>206</v>
      </c>
      <c r="E122" t="s">
        <v>463</v>
      </c>
      <c r="F122" t="s">
        <v>758</v>
      </c>
      <c r="G122" t="s">
        <v>759</v>
      </c>
      <c r="H122" t="s">
        <v>760</v>
      </c>
      <c r="I122" t="s">
        <v>223</v>
      </c>
      <c r="J122" t="s">
        <v>185</v>
      </c>
      <c r="K122" s="33">
        <v>43032</v>
      </c>
      <c r="L122" s="8">
        <v>43025.598553240743</v>
      </c>
      <c r="M122" s="23">
        <f>LEN(ProjTextTable[[#This Row],[text]])</f>
        <v>2780</v>
      </c>
      <c r="N122" s="23">
        <f>LEN(TRIM(CLEAN(SUBSTITUTE(ProjTextTable[[#This Row],[text]],CHAR(10)," "))))+1 - LEN(SUBSTITUTE(CLEAN(SUBSTITUTE(ProjTextTable[[#This Row],[text]],CHAR(10)," "))," ",""))</f>
        <v>439</v>
      </c>
      <c r="O122" t="s">
        <v>211</v>
      </c>
      <c r="P122" t="s">
        <v>903</v>
      </c>
    </row>
    <row r="123" spans="1:16" x14ac:dyDescent="0.4">
      <c r="A123">
        <f t="shared" si="3"/>
        <v>21</v>
      </c>
      <c r="B123" t="s">
        <v>386</v>
      </c>
      <c r="C123" t="s">
        <v>540</v>
      </c>
      <c r="D123" t="s">
        <v>206</v>
      </c>
      <c r="E123" t="s">
        <v>418</v>
      </c>
      <c r="F123" t="s">
        <v>762</v>
      </c>
      <c r="G123" t="s">
        <v>763</v>
      </c>
      <c r="H123" t="s">
        <v>764</v>
      </c>
      <c r="I123" t="s">
        <v>223</v>
      </c>
      <c r="J123" t="s">
        <v>185</v>
      </c>
      <c r="K123" s="33">
        <v>43032</v>
      </c>
      <c r="L123" s="8">
        <v>43030.184629629628</v>
      </c>
      <c r="M123" s="23">
        <f>LEN(ProjTextTable[[#This Row],[text]])</f>
        <v>2052</v>
      </c>
      <c r="N123" s="23">
        <f>LEN(TRIM(CLEAN(SUBSTITUTE(ProjTextTable[[#This Row],[text]],CHAR(10)," "))))+1 - LEN(SUBSTITUTE(CLEAN(SUBSTITUTE(ProjTextTable[[#This Row],[text]],CHAR(10)," "))," ",""))</f>
        <v>300</v>
      </c>
      <c r="O123" t="s">
        <v>211</v>
      </c>
      <c r="P123" t="s">
        <v>904</v>
      </c>
    </row>
    <row r="124" spans="1:16" x14ac:dyDescent="0.4">
      <c r="A124">
        <f t="shared" si="3"/>
        <v>21</v>
      </c>
      <c r="B124" t="s">
        <v>386</v>
      </c>
      <c r="C124" t="s">
        <v>540</v>
      </c>
      <c r="D124" t="s">
        <v>206</v>
      </c>
      <c r="E124" t="s">
        <v>463</v>
      </c>
      <c r="F124" t="s">
        <v>806</v>
      </c>
      <c r="G124" t="s">
        <v>807</v>
      </c>
      <c r="H124" t="s">
        <v>808</v>
      </c>
      <c r="I124" t="s">
        <v>223</v>
      </c>
      <c r="J124" t="s">
        <v>185</v>
      </c>
      <c r="K124" s="33">
        <v>43032</v>
      </c>
      <c r="L124" s="8">
        <v>43028.388240740744</v>
      </c>
      <c r="M124" s="23">
        <f>LEN(ProjTextTable[[#This Row],[text]])</f>
        <v>2314</v>
      </c>
      <c r="N124" s="23">
        <f>LEN(TRIM(CLEAN(SUBSTITUTE(ProjTextTable[[#This Row],[text]],CHAR(10)," "))))+1 - LEN(SUBSTITUTE(CLEAN(SUBSTITUTE(ProjTextTable[[#This Row],[text]],CHAR(10)," "))," ",""))</f>
        <v>355</v>
      </c>
      <c r="O124" t="s">
        <v>214</v>
      </c>
      <c r="P124" t="s">
        <v>905</v>
      </c>
    </row>
    <row r="125" spans="1:16" x14ac:dyDescent="0.4">
      <c r="A125">
        <f t="shared" si="3"/>
        <v>21</v>
      </c>
      <c r="B125" t="s">
        <v>386</v>
      </c>
      <c r="C125" t="s">
        <v>540</v>
      </c>
      <c r="D125" t="s">
        <v>206</v>
      </c>
      <c r="E125" t="s">
        <v>463</v>
      </c>
      <c r="F125" t="s">
        <v>811</v>
      </c>
      <c r="G125" t="s">
        <v>812</v>
      </c>
      <c r="H125" t="s">
        <v>813</v>
      </c>
      <c r="I125" t="s">
        <v>223</v>
      </c>
      <c r="J125" t="s">
        <v>185</v>
      </c>
      <c r="K125" s="33">
        <v>43032</v>
      </c>
      <c r="L125" s="8">
        <v>43031.690868055557</v>
      </c>
      <c r="M125" s="23">
        <f>LEN(ProjTextTable[[#This Row],[text]])</f>
        <v>3778</v>
      </c>
      <c r="N125" s="23">
        <f>LEN(TRIM(CLEAN(SUBSTITUTE(ProjTextTable[[#This Row],[text]],CHAR(10)," "))))+1 - LEN(SUBSTITUTE(CLEAN(SUBSTITUTE(ProjTextTable[[#This Row],[text]],CHAR(10)," "))," ",""))</f>
        <v>593</v>
      </c>
      <c r="O125" t="s">
        <v>211</v>
      </c>
      <c r="P125" t="s">
        <v>906</v>
      </c>
    </row>
    <row r="126" spans="1:16" x14ac:dyDescent="0.4">
      <c r="A126">
        <f t="shared" si="3"/>
        <v>21</v>
      </c>
      <c r="B126" t="s">
        <v>386</v>
      </c>
      <c r="C126" t="s">
        <v>540</v>
      </c>
      <c r="D126" t="s">
        <v>208</v>
      </c>
      <c r="E126" t="s">
        <v>418</v>
      </c>
      <c r="F126" t="s">
        <v>13</v>
      </c>
      <c r="G126" t="s">
        <v>13</v>
      </c>
      <c r="H126" t="s">
        <v>13</v>
      </c>
      <c r="K126" s="33"/>
      <c r="L126" s="8">
        <v>42936.045185185183</v>
      </c>
      <c r="M126" s="23">
        <f>LEN(ProjTextTable[[#This Row],[text]])</f>
        <v>2855</v>
      </c>
      <c r="N126" s="23">
        <f>LEN(TRIM(CLEAN(SUBSTITUTE(ProjTextTable[[#This Row],[text]],CHAR(10)," "))))+1 - LEN(SUBSTITUTE(CLEAN(SUBSTITUTE(ProjTextTable[[#This Row],[text]],CHAR(10)," "))," ",""))</f>
        <v>407</v>
      </c>
      <c r="O126" t="s">
        <v>13</v>
      </c>
      <c r="P126" t="s">
        <v>907</v>
      </c>
    </row>
    <row r="127" spans="1:16" x14ac:dyDescent="0.4">
      <c r="A127">
        <f t="shared" si="3"/>
        <v>22</v>
      </c>
      <c r="B127" t="s">
        <v>387</v>
      </c>
      <c r="C127" t="s">
        <v>547</v>
      </c>
      <c r="D127" t="s">
        <v>217</v>
      </c>
      <c r="E127" t="s">
        <v>463</v>
      </c>
      <c r="F127" t="s">
        <v>628</v>
      </c>
      <c r="G127" t="s">
        <v>736</v>
      </c>
      <c r="H127" t="s">
        <v>220</v>
      </c>
      <c r="I127" t="s">
        <v>209</v>
      </c>
      <c r="J127" t="s">
        <v>294</v>
      </c>
      <c r="K127" s="33">
        <v>43031</v>
      </c>
      <c r="L127" s="8"/>
      <c r="M127" s="23">
        <f>LEN(ProjTextTable[[#This Row],[text]])</f>
        <v>2460</v>
      </c>
      <c r="N127" s="23">
        <f>LEN(TRIM(CLEAN(SUBSTITUTE(ProjTextTable[[#This Row],[text]],CHAR(10)," "))))+1 - LEN(SUBSTITUTE(CLEAN(SUBSTITUTE(ProjTextTable[[#This Row],[text]],CHAR(10)," "))," ",""))</f>
        <v>343</v>
      </c>
      <c r="O127" t="s">
        <v>221</v>
      </c>
      <c r="P127" t="s">
        <v>908</v>
      </c>
    </row>
    <row r="128" spans="1:16" x14ac:dyDescent="0.4">
      <c r="A128">
        <f t="shared" si="3"/>
        <v>22</v>
      </c>
      <c r="B128" t="s">
        <v>387</v>
      </c>
      <c r="C128" t="s">
        <v>547</v>
      </c>
      <c r="D128" t="s">
        <v>206</v>
      </c>
      <c r="E128" t="s">
        <v>463</v>
      </c>
      <c r="F128" t="s">
        <v>758</v>
      </c>
      <c r="G128" t="s">
        <v>759</v>
      </c>
      <c r="H128" t="s">
        <v>760</v>
      </c>
      <c r="I128" t="s">
        <v>223</v>
      </c>
      <c r="J128" t="s">
        <v>185</v>
      </c>
      <c r="K128" s="33">
        <v>43032</v>
      </c>
      <c r="L128" s="8">
        <v>43031.434907407405</v>
      </c>
      <c r="M128" s="23">
        <f>LEN(ProjTextTable[[#This Row],[text]])</f>
        <v>3265</v>
      </c>
      <c r="N128" s="23">
        <f>LEN(TRIM(CLEAN(SUBSTITUTE(ProjTextTable[[#This Row],[text]],CHAR(10)," "))))+1 - LEN(SUBSTITUTE(CLEAN(SUBSTITUTE(ProjTextTable[[#This Row],[text]],CHAR(10)," "))," ",""))</f>
        <v>506</v>
      </c>
      <c r="O128" t="s">
        <v>211</v>
      </c>
      <c r="P128" t="s">
        <v>909</v>
      </c>
    </row>
    <row r="129" spans="1:16" x14ac:dyDescent="0.4">
      <c r="A129">
        <f t="shared" si="3"/>
        <v>22</v>
      </c>
      <c r="B129" t="s">
        <v>387</v>
      </c>
      <c r="C129" t="s">
        <v>547</v>
      </c>
      <c r="D129" t="s">
        <v>206</v>
      </c>
      <c r="E129" t="s">
        <v>463</v>
      </c>
      <c r="F129" t="s">
        <v>802</v>
      </c>
      <c r="G129" t="s">
        <v>803</v>
      </c>
      <c r="H129" t="s">
        <v>804</v>
      </c>
      <c r="I129" t="s">
        <v>223</v>
      </c>
      <c r="J129" t="s">
        <v>185</v>
      </c>
      <c r="K129" s="33">
        <v>43032</v>
      </c>
      <c r="L129" s="8">
        <v>43030.882361111115</v>
      </c>
      <c r="M129" s="23">
        <f>LEN(ProjTextTable[[#This Row],[text]])</f>
        <v>2182</v>
      </c>
      <c r="N129" s="23">
        <f>LEN(TRIM(CLEAN(SUBSTITUTE(ProjTextTable[[#This Row],[text]],CHAR(10)," "))))+1 - LEN(SUBSTITUTE(CLEAN(SUBSTITUTE(ProjTextTable[[#This Row],[text]],CHAR(10)," "))," ",""))</f>
        <v>333</v>
      </c>
      <c r="O129" t="s">
        <v>211</v>
      </c>
      <c r="P129" t="s">
        <v>910</v>
      </c>
    </row>
    <row r="130" spans="1:16" x14ac:dyDescent="0.4">
      <c r="A130">
        <f t="shared" ref="A130:A161" si="4">A129+(B130&lt;&gt;B129)</f>
        <v>22</v>
      </c>
      <c r="B130" t="s">
        <v>387</v>
      </c>
      <c r="C130" t="s">
        <v>547</v>
      </c>
      <c r="D130" t="s">
        <v>206</v>
      </c>
      <c r="E130" t="s">
        <v>463</v>
      </c>
      <c r="F130" t="s">
        <v>762</v>
      </c>
      <c r="G130" t="s">
        <v>763</v>
      </c>
      <c r="H130" t="s">
        <v>764</v>
      </c>
      <c r="I130" t="s">
        <v>223</v>
      </c>
      <c r="J130" t="s">
        <v>185</v>
      </c>
      <c r="K130" s="33">
        <v>43032</v>
      </c>
      <c r="L130" s="8">
        <v>43030.173541666663</v>
      </c>
      <c r="M130" s="23">
        <f>LEN(ProjTextTable[[#This Row],[text]])</f>
        <v>1948</v>
      </c>
      <c r="N130" s="23">
        <f>LEN(TRIM(CLEAN(SUBSTITUTE(ProjTextTable[[#This Row],[text]],CHAR(10)," "))))+1 - LEN(SUBSTITUTE(CLEAN(SUBSTITUTE(ProjTextTable[[#This Row],[text]],CHAR(10)," "))," ",""))</f>
        <v>276</v>
      </c>
      <c r="O130" t="s">
        <v>207</v>
      </c>
      <c r="P130" t="s">
        <v>911</v>
      </c>
    </row>
    <row r="131" spans="1:16" x14ac:dyDescent="0.4">
      <c r="A131">
        <f t="shared" si="4"/>
        <v>22</v>
      </c>
      <c r="B131" t="s">
        <v>387</v>
      </c>
      <c r="C131" t="s">
        <v>547</v>
      </c>
      <c r="D131" t="s">
        <v>206</v>
      </c>
      <c r="E131" t="s">
        <v>463</v>
      </c>
      <c r="F131" t="s">
        <v>770</v>
      </c>
      <c r="G131" t="s">
        <v>771</v>
      </c>
      <c r="H131" t="s">
        <v>772</v>
      </c>
      <c r="I131" t="s">
        <v>223</v>
      </c>
      <c r="J131" t="s">
        <v>185</v>
      </c>
      <c r="K131" s="33">
        <v>43032</v>
      </c>
      <c r="L131" s="8">
        <v>43030.798495370371</v>
      </c>
      <c r="M131" s="23">
        <f>LEN(ProjTextTable[[#This Row],[text]])</f>
        <v>2495</v>
      </c>
      <c r="N131" s="23">
        <f>LEN(TRIM(CLEAN(SUBSTITUTE(ProjTextTable[[#This Row],[text]],CHAR(10)," "))))+1 - LEN(SUBSTITUTE(CLEAN(SUBSTITUTE(ProjTextTable[[#This Row],[text]],CHAR(10)," "))," ",""))</f>
        <v>381</v>
      </c>
      <c r="O131" t="s">
        <v>211</v>
      </c>
      <c r="P131" t="s">
        <v>912</v>
      </c>
    </row>
    <row r="132" spans="1:16" x14ac:dyDescent="0.4">
      <c r="A132">
        <f t="shared" si="4"/>
        <v>22</v>
      </c>
      <c r="B132" t="s">
        <v>387</v>
      </c>
      <c r="C132" t="s">
        <v>547</v>
      </c>
      <c r="D132" t="s">
        <v>208</v>
      </c>
      <c r="E132" t="s">
        <v>463</v>
      </c>
      <c r="F132" t="s">
        <v>13</v>
      </c>
      <c r="G132" t="s">
        <v>13</v>
      </c>
      <c r="H132" t="s">
        <v>13</v>
      </c>
      <c r="K132" s="33"/>
      <c r="L132" s="8">
        <v>42936.045486111114</v>
      </c>
      <c r="M132" s="23">
        <f>LEN(ProjTextTable[[#This Row],[text]])</f>
        <v>3779</v>
      </c>
      <c r="N132" s="23">
        <f>LEN(TRIM(CLEAN(SUBSTITUTE(ProjTextTable[[#This Row],[text]],CHAR(10)," "))))+1 - LEN(SUBSTITUTE(CLEAN(SUBSTITUTE(ProjTextTable[[#This Row],[text]],CHAR(10)," "))," ",""))</f>
        <v>548</v>
      </c>
      <c r="O132" t="s">
        <v>13</v>
      </c>
      <c r="P132" t="s">
        <v>913</v>
      </c>
    </row>
    <row r="133" spans="1:16" x14ac:dyDescent="0.4">
      <c r="A133">
        <f t="shared" si="4"/>
        <v>23</v>
      </c>
      <c r="B133" t="s">
        <v>388</v>
      </c>
      <c r="C133" t="s">
        <v>553</v>
      </c>
      <c r="D133" t="s">
        <v>217</v>
      </c>
      <c r="E133" t="s">
        <v>463</v>
      </c>
      <c r="F133" t="s">
        <v>628</v>
      </c>
      <c r="G133" t="s">
        <v>736</v>
      </c>
      <c r="H133" t="s">
        <v>274</v>
      </c>
      <c r="I133" t="s">
        <v>205</v>
      </c>
      <c r="J133" t="s">
        <v>756</v>
      </c>
      <c r="K133" s="33">
        <v>43031</v>
      </c>
      <c r="L133" s="8"/>
      <c r="M133" s="23">
        <f>LEN(ProjTextTable[[#This Row],[text]])</f>
        <v>2769</v>
      </c>
      <c r="N133" s="23">
        <f>LEN(TRIM(CLEAN(SUBSTITUTE(ProjTextTable[[#This Row],[text]],CHAR(10)," "))))+1 - LEN(SUBSTITUTE(CLEAN(SUBSTITUTE(ProjTextTable[[#This Row],[text]],CHAR(10)," "))," ",""))</f>
        <v>402</v>
      </c>
      <c r="O133" t="s">
        <v>273</v>
      </c>
      <c r="P133" t="s">
        <v>914</v>
      </c>
    </row>
    <row r="134" spans="1:16" x14ac:dyDescent="0.4">
      <c r="A134">
        <f t="shared" si="4"/>
        <v>23</v>
      </c>
      <c r="B134" t="s">
        <v>388</v>
      </c>
      <c r="C134" t="s">
        <v>553</v>
      </c>
      <c r="D134" t="s">
        <v>206</v>
      </c>
      <c r="E134" t="s">
        <v>463</v>
      </c>
      <c r="F134" t="s">
        <v>802</v>
      </c>
      <c r="G134" t="s">
        <v>803</v>
      </c>
      <c r="H134" t="s">
        <v>804</v>
      </c>
      <c r="I134" t="s">
        <v>223</v>
      </c>
      <c r="J134" t="s">
        <v>185</v>
      </c>
      <c r="K134" s="33">
        <v>43032</v>
      </c>
      <c r="L134" s="8">
        <v>43030.883020833331</v>
      </c>
      <c r="M134" s="23">
        <f>LEN(ProjTextTable[[#This Row],[text]])</f>
        <v>4197</v>
      </c>
      <c r="N134" s="23">
        <f>LEN(TRIM(CLEAN(SUBSTITUTE(ProjTextTable[[#This Row],[text]],CHAR(10)," "))))+1 - LEN(SUBSTITUTE(CLEAN(SUBSTITUTE(ProjTextTable[[#This Row],[text]],CHAR(10)," "))," ",""))</f>
        <v>668</v>
      </c>
      <c r="O134" t="s">
        <v>211</v>
      </c>
      <c r="P134" t="s">
        <v>915</v>
      </c>
    </row>
    <row r="135" spans="1:16" x14ac:dyDescent="0.4">
      <c r="A135">
        <f t="shared" si="4"/>
        <v>23</v>
      </c>
      <c r="B135" t="s">
        <v>388</v>
      </c>
      <c r="C135" t="s">
        <v>553</v>
      </c>
      <c r="D135" t="s">
        <v>206</v>
      </c>
      <c r="E135" t="s">
        <v>463</v>
      </c>
      <c r="F135" t="s">
        <v>762</v>
      </c>
      <c r="G135" t="s">
        <v>763</v>
      </c>
      <c r="H135" t="s">
        <v>764</v>
      </c>
      <c r="I135" t="s">
        <v>223</v>
      </c>
      <c r="J135" t="s">
        <v>185</v>
      </c>
      <c r="K135" s="33">
        <v>43032</v>
      </c>
      <c r="L135" s="8">
        <v>43030.171967592592</v>
      </c>
      <c r="M135" s="23">
        <f>LEN(ProjTextTable[[#This Row],[text]])</f>
        <v>1906</v>
      </c>
      <c r="N135" s="23">
        <f>LEN(TRIM(CLEAN(SUBSTITUTE(ProjTextTable[[#This Row],[text]],CHAR(10)," "))))+1 - LEN(SUBSTITUTE(CLEAN(SUBSTITUTE(ProjTextTable[[#This Row],[text]],CHAR(10)," "))," ",""))</f>
        <v>276</v>
      </c>
      <c r="O135" t="s">
        <v>207</v>
      </c>
      <c r="P135" t="s">
        <v>916</v>
      </c>
    </row>
    <row r="136" spans="1:16" x14ac:dyDescent="0.4">
      <c r="A136">
        <f t="shared" si="4"/>
        <v>23</v>
      </c>
      <c r="B136" t="s">
        <v>388</v>
      </c>
      <c r="C136" t="s">
        <v>553</v>
      </c>
      <c r="D136" t="s">
        <v>206</v>
      </c>
      <c r="E136" t="s">
        <v>463</v>
      </c>
      <c r="F136" t="s">
        <v>743</v>
      </c>
      <c r="G136" t="s">
        <v>744</v>
      </c>
      <c r="H136" t="s">
        <v>745</v>
      </c>
      <c r="I136" t="s">
        <v>223</v>
      </c>
      <c r="J136" t="s">
        <v>185</v>
      </c>
      <c r="K136" s="33">
        <v>43032</v>
      </c>
      <c r="L136" s="8">
        <v>43031.362187500003</v>
      </c>
      <c r="M136" s="23">
        <f>LEN(ProjTextTable[[#This Row],[text]])</f>
        <v>2284</v>
      </c>
      <c r="N136" s="23">
        <f>LEN(TRIM(CLEAN(SUBSTITUTE(ProjTextTable[[#This Row],[text]],CHAR(10)," "))))+1 - LEN(SUBSTITUTE(CLEAN(SUBSTITUTE(ProjTextTable[[#This Row],[text]],CHAR(10)," "))," ",""))</f>
        <v>353</v>
      </c>
      <c r="O136" t="s">
        <v>214</v>
      </c>
      <c r="P136" t="s">
        <v>917</v>
      </c>
    </row>
    <row r="137" spans="1:16" x14ac:dyDescent="0.4">
      <c r="A137">
        <f t="shared" si="4"/>
        <v>23</v>
      </c>
      <c r="B137" t="s">
        <v>388</v>
      </c>
      <c r="C137" t="s">
        <v>553</v>
      </c>
      <c r="D137" t="s">
        <v>206</v>
      </c>
      <c r="E137" t="s">
        <v>463</v>
      </c>
      <c r="F137" t="s">
        <v>806</v>
      </c>
      <c r="G137" t="s">
        <v>807</v>
      </c>
      <c r="H137" t="s">
        <v>808</v>
      </c>
      <c r="I137" t="s">
        <v>223</v>
      </c>
      <c r="J137" t="s">
        <v>185</v>
      </c>
      <c r="K137" s="33">
        <v>43032</v>
      </c>
      <c r="L137" s="8">
        <v>43031.703900462962</v>
      </c>
      <c r="M137" s="23">
        <f>LEN(ProjTextTable[[#This Row],[text]])</f>
        <v>2598</v>
      </c>
      <c r="N137" s="23">
        <f>LEN(TRIM(CLEAN(SUBSTITUTE(ProjTextTable[[#This Row],[text]],CHAR(10)," "))))+1 - LEN(SUBSTITUTE(CLEAN(SUBSTITUTE(ProjTextTable[[#This Row],[text]],CHAR(10)," "))," ",""))</f>
        <v>394</v>
      </c>
      <c r="O137" t="s">
        <v>215</v>
      </c>
      <c r="P137" t="s">
        <v>918</v>
      </c>
    </row>
    <row r="138" spans="1:16" x14ac:dyDescent="0.4">
      <c r="A138">
        <f t="shared" si="4"/>
        <v>23</v>
      </c>
      <c r="B138" t="s">
        <v>388</v>
      </c>
      <c r="C138" t="s">
        <v>553</v>
      </c>
      <c r="D138" t="s">
        <v>208</v>
      </c>
      <c r="E138" t="s">
        <v>434</v>
      </c>
      <c r="F138" t="s">
        <v>13</v>
      </c>
      <c r="G138" t="s">
        <v>13</v>
      </c>
      <c r="H138" t="s">
        <v>13</v>
      </c>
      <c r="K138" s="33"/>
      <c r="L138" s="8">
        <v>42936.045902777776</v>
      </c>
      <c r="M138" s="23">
        <f>LEN(ProjTextTable[[#This Row],[text]])</f>
        <v>3366</v>
      </c>
      <c r="N138" s="23">
        <f>LEN(TRIM(CLEAN(SUBSTITUTE(ProjTextTable[[#This Row],[text]],CHAR(10)," "))))+1 - LEN(SUBSTITUTE(CLEAN(SUBSTITUTE(ProjTextTable[[#This Row],[text]],CHAR(10)," "))," ",""))</f>
        <v>485</v>
      </c>
      <c r="O138" t="s">
        <v>13</v>
      </c>
      <c r="P138" t="s">
        <v>919</v>
      </c>
    </row>
    <row r="139" spans="1:16" x14ac:dyDescent="0.4">
      <c r="A139">
        <f t="shared" si="4"/>
        <v>24</v>
      </c>
      <c r="B139" t="s">
        <v>389</v>
      </c>
      <c r="C139" t="s">
        <v>426</v>
      </c>
      <c r="D139" t="s">
        <v>217</v>
      </c>
      <c r="E139" t="s">
        <v>463</v>
      </c>
      <c r="F139" t="s">
        <v>628</v>
      </c>
      <c r="G139" t="s">
        <v>736</v>
      </c>
      <c r="H139" t="s">
        <v>629</v>
      </c>
      <c r="I139" t="s">
        <v>212</v>
      </c>
      <c r="J139" t="s">
        <v>280</v>
      </c>
      <c r="K139" s="33">
        <v>43031</v>
      </c>
      <c r="L139" s="8"/>
      <c r="M139" s="23">
        <f>LEN(ProjTextTable[[#This Row],[text]])</f>
        <v>2162</v>
      </c>
      <c r="N139" s="23">
        <f>LEN(TRIM(CLEAN(SUBSTITUTE(ProjTextTable[[#This Row],[text]],CHAR(10)," "))))+1 - LEN(SUBSTITUTE(CLEAN(SUBSTITUTE(ProjTextTable[[#This Row],[text]],CHAR(10)," "))," ",""))</f>
        <v>303</v>
      </c>
      <c r="O139" t="s">
        <v>503</v>
      </c>
      <c r="P139" t="s">
        <v>920</v>
      </c>
    </row>
    <row r="140" spans="1:16" x14ac:dyDescent="0.4">
      <c r="A140">
        <f t="shared" si="4"/>
        <v>24</v>
      </c>
      <c r="B140" t="s">
        <v>389</v>
      </c>
      <c r="C140" t="s">
        <v>426</v>
      </c>
      <c r="D140" t="s">
        <v>206</v>
      </c>
      <c r="E140" t="s">
        <v>463</v>
      </c>
      <c r="F140" t="s">
        <v>758</v>
      </c>
      <c r="G140" t="s">
        <v>759</v>
      </c>
      <c r="H140" t="s">
        <v>760</v>
      </c>
      <c r="I140" t="s">
        <v>223</v>
      </c>
      <c r="J140" t="s">
        <v>185</v>
      </c>
      <c r="K140" s="33">
        <v>43032</v>
      </c>
      <c r="L140" s="8">
        <v>43026.986875000002</v>
      </c>
      <c r="M140" s="23">
        <f>LEN(ProjTextTable[[#This Row],[text]])</f>
        <v>1796</v>
      </c>
      <c r="N140" s="23">
        <f>LEN(TRIM(CLEAN(SUBSTITUTE(ProjTextTable[[#This Row],[text]],CHAR(10)," "))))+1 - LEN(SUBSTITUTE(CLEAN(SUBSTITUTE(ProjTextTable[[#This Row],[text]],CHAR(10)," "))," ",""))</f>
        <v>279</v>
      </c>
      <c r="O140" t="s">
        <v>213</v>
      </c>
      <c r="P140" t="s">
        <v>921</v>
      </c>
    </row>
    <row r="141" spans="1:16" x14ac:dyDescent="0.4">
      <c r="A141">
        <f t="shared" si="4"/>
        <v>24</v>
      </c>
      <c r="B141" t="s">
        <v>389</v>
      </c>
      <c r="C141" t="s">
        <v>426</v>
      </c>
      <c r="D141" t="s">
        <v>206</v>
      </c>
      <c r="E141" t="s">
        <v>463</v>
      </c>
      <c r="F141" t="s">
        <v>806</v>
      </c>
      <c r="G141" t="s">
        <v>807</v>
      </c>
      <c r="H141" t="s">
        <v>808</v>
      </c>
      <c r="I141" t="s">
        <v>223</v>
      </c>
      <c r="J141" t="s">
        <v>185</v>
      </c>
      <c r="K141" s="33">
        <v>43032</v>
      </c>
      <c r="L141" s="8">
        <v>43027.924050925925</v>
      </c>
      <c r="M141" s="23">
        <f>LEN(ProjTextTable[[#This Row],[text]])</f>
        <v>2309</v>
      </c>
      <c r="N141" s="23">
        <f>LEN(TRIM(CLEAN(SUBSTITUTE(ProjTextTable[[#This Row],[text]],CHAR(10)," "))))+1 - LEN(SUBSTITUTE(CLEAN(SUBSTITUTE(ProjTextTable[[#This Row],[text]],CHAR(10)," "))," ",""))</f>
        <v>353</v>
      </c>
      <c r="O141" t="s">
        <v>215</v>
      </c>
      <c r="P141" t="s">
        <v>922</v>
      </c>
    </row>
    <row r="142" spans="1:16" x14ac:dyDescent="0.4">
      <c r="A142">
        <f t="shared" si="4"/>
        <v>24</v>
      </c>
      <c r="B142" t="s">
        <v>389</v>
      </c>
      <c r="C142" t="s">
        <v>426</v>
      </c>
      <c r="D142" t="s">
        <v>206</v>
      </c>
      <c r="E142" t="s">
        <v>463</v>
      </c>
      <c r="F142" t="s">
        <v>747</v>
      </c>
      <c r="G142" t="s">
        <v>748</v>
      </c>
      <c r="H142" t="s">
        <v>749</v>
      </c>
      <c r="I142" t="s">
        <v>223</v>
      </c>
      <c r="J142" t="s">
        <v>185</v>
      </c>
      <c r="K142" s="33">
        <v>43032</v>
      </c>
      <c r="L142" s="8">
        <v>43030.984317129631</v>
      </c>
      <c r="M142" s="23">
        <f>LEN(ProjTextTable[[#This Row],[text]])</f>
        <v>1903</v>
      </c>
      <c r="N142" s="23">
        <f>LEN(TRIM(CLEAN(SUBSTITUTE(ProjTextTable[[#This Row],[text]],CHAR(10)," "))))+1 - LEN(SUBSTITUTE(CLEAN(SUBSTITUTE(ProjTextTable[[#This Row],[text]],CHAR(10)," "))," ",""))</f>
        <v>283</v>
      </c>
      <c r="O142" t="s">
        <v>213</v>
      </c>
      <c r="P142" t="s">
        <v>923</v>
      </c>
    </row>
    <row r="143" spans="1:16" x14ac:dyDescent="0.4">
      <c r="A143">
        <f t="shared" si="4"/>
        <v>24</v>
      </c>
      <c r="B143" t="s">
        <v>389</v>
      </c>
      <c r="C143" t="s">
        <v>426</v>
      </c>
      <c r="D143" t="s">
        <v>206</v>
      </c>
      <c r="E143" t="s">
        <v>463</v>
      </c>
      <c r="F143" t="s">
        <v>783</v>
      </c>
      <c r="G143" t="s">
        <v>784</v>
      </c>
      <c r="H143" t="s">
        <v>785</v>
      </c>
      <c r="I143" t="s">
        <v>223</v>
      </c>
      <c r="J143" t="s">
        <v>185</v>
      </c>
      <c r="K143" s="33">
        <v>43032</v>
      </c>
      <c r="L143" s="8">
        <v>43031.775856481479</v>
      </c>
      <c r="M143" s="23">
        <f>LEN(ProjTextTable[[#This Row],[text]])</f>
        <v>1055</v>
      </c>
      <c r="N143" s="23">
        <f>LEN(TRIM(CLEAN(SUBSTITUTE(ProjTextTable[[#This Row],[text]],CHAR(10)," "))))+1 - LEN(SUBSTITUTE(CLEAN(SUBSTITUTE(ProjTextTable[[#This Row],[text]],CHAR(10)," "))," ",""))</f>
        <v>153</v>
      </c>
      <c r="O143" t="s">
        <v>213</v>
      </c>
      <c r="P143" t="s">
        <v>924</v>
      </c>
    </row>
    <row r="144" spans="1:16" x14ac:dyDescent="0.4">
      <c r="A144">
        <f t="shared" si="4"/>
        <v>25</v>
      </c>
      <c r="B144" t="s">
        <v>390</v>
      </c>
      <c r="C144" t="s">
        <v>569</v>
      </c>
      <c r="D144" t="s">
        <v>217</v>
      </c>
      <c r="E144" t="s">
        <v>463</v>
      </c>
      <c r="F144" t="s">
        <v>628</v>
      </c>
      <c r="G144" t="s">
        <v>736</v>
      </c>
      <c r="H144" t="s">
        <v>274</v>
      </c>
      <c r="I144" t="s">
        <v>205</v>
      </c>
      <c r="J144" t="s">
        <v>212</v>
      </c>
      <c r="K144" s="33">
        <v>43031</v>
      </c>
      <c r="L144" s="8"/>
      <c r="M144" s="23">
        <f>LEN(ProjTextTable[[#This Row],[text]])</f>
        <v>2426</v>
      </c>
      <c r="N144" s="23">
        <f>LEN(TRIM(CLEAN(SUBSTITUTE(ProjTextTable[[#This Row],[text]],CHAR(10)," "))))+1 - LEN(SUBSTITUTE(CLEAN(SUBSTITUTE(ProjTextTable[[#This Row],[text]],CHAR(10)," "))," ",""))</f>
        <v>361</v>
      </c>
      <c r="O144" t="s">
        <v>273</v>
      </c>
      <c r="P144" t="s">
        <v>925</v>
      </c>
    </row>
    <row r="145" spans="1:16" x14ac:dyDescent="0.4">
      <c r="A145">
        <f t="shared" si="4"/>
        <v>25</v>
      </c>
      <c r="B145" t="s">
        <v>390</v>
      </c>
      <c r="C145" t="s">
        <v>569</v>
      </c>
      <c r="D145" t="s">
        <v>206</v>
      </c>
      <c r="E145" t="s">
        <v>463</v>
      </c>
      <c r="F145" t="s">
        <v>747</v>
      </c>
      <c r="G145" t="s">
        <v>748</v>
      </c>
      <c r="H145" t="s">
        <v>749</v>
      </c>
      <c r="I145" t="s">
        <v>223</v>
      </c>
      <c r="J145" t="s">
        <v>185</v>
      </c>
      <c r="K145" s="33">
        <v>43032</v>
      </c>
      <c r="L145" s="8">
        <v>43029.952604166669</v>
      </c>
      <c r="M145" s="23">
        <f>LEN(ProjTextTable[[#This Row],[text]])</f>
        <v>2564</v>
      </c>
      <c r="N145" s="23">
        <f>LEN(TRIM(CLEAN(SUBSTITUTE(ProjTextTable[[#This Row],[text]],CHAR(10)," "))))+1 - LEN(SUBSTITUTE(CLEAN(SUBSTITUTE(ProjTextTable[[#This Row],[text]],CHAR(10)," "))," ",""))</f>
        <v>374</v>
      </c>
      <c r="O145" t="s">
        <v>207</v>
      </c>
      <c r="P145" t="s">
        <v>926</v>
      </c>
    </row>
    <row r="146" spans="1:16" x14ac:dyDescent="0.4">
      <c r="A146">
        <f t="shared" si="4"/>
        <v>25</v>
      </c>
      <c r="B146" t="s">
        <v>390</v>
      </c>
      <c r="C146" t="s">
        <v>569</v>
      </c>
      <c r="D146" t="s">
        <v>206</v>
      </c>
      <c r="E146" t="s">
        <v>463</v>
      </c>
      <c r="F146" t="s">
        <v>820</v>
      </c>
      <c r="G146" t="s">
        <v>821</v>
      </c>
      <c r="H146" t="s">
        <v>822</v>
      </c>
      <c r="I146" t="s">
        <v>223</v>
      </c>
      <c r="J146" t="s">
        <v>185</v>
      </c>
      <c r="K146" s="33">
        <v>43032</v>
      </c>
      <c r="L146" s="8">
        <v>43031.107453703706</v>
      </c>
      <c r="M146" s="23">
        <f>LEN(ProjTextTable[[#This Row],[text]])</f>
        <v>2410</v>
      </c>
      <c r="N146" s="23">
        <f>LEN(TRIM(CLEAN(SUBSTITUTE(ProjTextTable[[#This Row],[text]],CHAR(10)," "))))+1 - LEN(SUBSTITUTE(CLEAN(SUBSTITUTE(ProjTextTable[[#This Row],[text]],CHAR(10)," "))," ",""))</f>
        <v>358</v>
      </c>
      <c r="O146" t="s">
        <v>207</v>
      </c>
      <c r="P146" t="s">
        <v>927</v>
      </c>
    </row>
    <row r="147" spans="1:16" x14ac:dyDescent="0.4">
      <c r="A147">
        <f t="shared" si="4"/>
        <v>25</v>
      </c>
      <c r="B147" t="s">
        <v>390</v>
      </c>
      <c r="C147" t="s">
        <v>569</v>
      </c>
      <c r="D147" t="s">
        <v>206</v>
      </c>
      <c r="E147" t="s">
        <v>463</v>
      </c>
      <c r="F147" t="s">
        <v>783</v>
      </c>
      <c r="G147" t="s">
        <v>784</v>
      </c>
      <c r="H147" t="s">
        <v>785</v>
      </c>
      <c r="I147" t="s">
        <v>223</v>
      </c>
      <c r="J147" t="s">
        <v>185</v>
      </c>
      <c r="K147" s="33">
        <v>43032</v>
      </c>
      <c r="L147" s="8">
        <v>43031.771365740744</v>
      </c>
      <c r="M147" s="23">
        <f>LEN(ProjTextTable[[#This Row],[text]])</f>
        <v>2018</v>
      </c>
      <c r="N147" s="23">
        <f>LEN(TRIM(CLEAN(SUBSTITUTE(ProjTextTable[[#This Row],[text]],CHAR(10)," "))))+1 - LEN(SUBSTITUTE(CLEAN(SUBSTITUTE(ProjTextTable[[#This Row],[text]],CHAR(10)," "))," ",""))</f>
        <v>300</v>
      </c>
      <c r="O147" t="s">
        <v>207</v>
      </c>
      <c r="P147" t="s">
        <v>928</v>
      </c>
    </row>
    <row r="148" spans="1:16" x14ac:dyDescent="0.4">
      <c r="A148">
        <f t="shared" si="4"/>
        <v>25</v>
      </c>
      <c r="B148" t="s">
        <v>390</v>
      </c>
      <c r="C148" t="s">
        <v>569</v>
      </c>
      <c r="D148" t="s">
        <v>208</v>
      </c>
      <c r="E148" t="s">
        <v>418</v>
      </c>
      <c r="F148" t="s">
        <v>13</v>
      </c>
      <c r="G148" t="s">
        <v>13</v>
      </c>
      <c r="H148" t="s">
        <v>13</v>
      </c>
      <c r="K148" s="33"/>
      <c r="L148" s="8">
        <v>42957.042546296296</v>
      </c>
      <c r="M148" s="23">
        <f>LEN(ProjTextTable[[#This Row],[text]])</f>
        <v>4631</v>
      </c>
      <c r="N148" s="23">
        <f>LEN(TRIM(CLEAN(SUBSTITUTE(ProjTextTable[[#This Row],[text]],CHAR(10)," "))))+1 - LEN(SUBSTITUTE(CLEAN(SUBSTITUTE(ProjTextTable[[#This Row],[text]],CHAR(10)," "))," ",""))</f>
        <v>656</v>
      </c>
      <c r="O148" t="s">
        <v>13</v>
      </c>
      <c r="P148" t="s">
        <v>929</v>
      </c>
    </row>
    <row r="149" spans="1:16" x14ac:dyDescent="0.4">
      <c r="A149">
        <f t="shared" si="4"/>
        <v>26</v>
      </c>
      <c r="B149" t="s">
        <v>391</v>
      </c>
      <c r="C149" t="s">
        <v>576</v>
      </c>
      <c r="D149" t="s">
        <v>217</v>
      </c>
      <c r="E149" t="s">
        <v>463</v>
      </c>
      <c r="F149" t="s">
        <v>628</v>
      </c>
      <c r="G149" t="s">
        <v>736</v>
      </c>
      <c r="H149" t="s">
        <v>269</v>
      </c>
      <c r="I149" t="s">
        <v>95</v>
      </c>
      <c r="J149" t="s">
        <v>95</v>
      </c>
      <c r="K149" s="33">
        <v>43031</v>
      </c>
      <c r="L149" s="8"/>
      <c r="M149" s="23">
        <f>LEN(ProjTextTable[[#This Row],[text]])</f>
        <v>3383</v>
      </c>
      <c r="N149" s="23">
        <f>LEN(TRIM(CLEAN(SUBSTITUTE(ProjTextTable[[#This Row],[text]],CHAR(10)," "))))+1 - LEN(SUBSTITUTE(CLEAN(SUBSTITUTE(ProjTextTable[[#This Row],[text]],CHAR(10)," "))," ",""))</f>
        <v>505</v>
      </c>
      <c r="O149" t="s">
        <v>267</v>
      </c>
      <c r="P149" t="s">
        <v>930</v>
      </c>
    </row>
    <row r="150" spans="1:16" x14ac:dyDescent="0.4">
      <c r="A150">
        <f t="shared" si="4"/>
        <v>26</v>
      </c>
      <c r="B150" t="s">
        <v>391</v>
      </c>
      <c r="C150" t="s">
        <v>576</v>
      </c>
      <c r="D150" t="s">
        <v>931</v>
      </c>
      <c r="E150" t="s">
        <v>434</v>
      </c>
      <c r="F150" t="s">
        <v>13</v>
      </c>
      <c r="G150" t="s">
        <v>932</v>
      </c>
      <c r="H150" t="s">
        <v>13</v>
      </c>
      <c r="I150" t="s">
        <v>13</v>
      </c>
      <c r="K150" s="33"/>
      <c r="L150" s="8">
        <v>43069.566967592589</v>
      </c>
      <c r="M150" s="23">
        <f>LEN(ProjTextTable[[#This Row],[text]])</f>
        <v>3750</v>
      </c>
      <c r="N150" s="23">
        <f>LEN(TRIM(CLEAN(SUBSTITUTE(ProjTextTable[[#This Row],[text]],CHAR(10)," "))))+1 - LEN(SUBSTITUTE(CLEAN(SUBSTITUTE(ProjTextTable[[#This Row],[text]],CHAR(10)," "))," ",""))</f>
        <v>588</v>
      </c>
      <c r="O150" t="s">
        <v>13</v>
      </c>
      <c r="P150" t="s">
        <v>933</v>
      </c>
    </row>
    <row r="151" spans="1:16" x14ac:dyDescent="0.4">
      <c r="A151">
        <f t="shared" si="4"/>
        <v>26</v>
      </c>
      <c r="B151" t="s">
        <v>391</v>
      </c>
      <c r="C151" t="s">
        <v>576</v>
      </c>
      <c r="D151" t="s">
        <v>206</v>
      </c>
      <c r="E151" t="s">
        <v>463</v>
      </c>
      <c r="F151" t="s">
        <v>762</v>
      </c>
      <c r="G151" t="s">
        <v>763</v>
      </c>
      <c r="H151" t="s">
        <v>764</v>
      </c>
      <c r="I151" t="s">
        <v>223</v>
      </c>
      <c r="J151" t="s">
        <v>185</v>
      </c>
      <c r="K151" s="33">
        <v>43032</v>
      </c>
      <c r="L151" s="8">
        <v>43030.168969907405</v>
      </c>
      <c r="M151" s="23">
        <f>LEN(ProjTextTable[[#This Row],[text]])</f>
        <v>1663</v>
      </c>
      <c r="N151" s="23">
        <f>LEN(TRIM(CLEAN(SUBSTITUTE(ProjTextTable[[#This Row],[text]],CHAR(10)," "))))+1 - LEN(SUBSTITUTE(CLEAN(SUBSTITUTE(ProjTextTable[[#This Row],[text]],CHAR(10)," "))," ",""))</f>
        <v>245</v>
      </c>
      <c r="O151" t="s">
        <v>211</v>
      </c>
      <c r="P151" t="s">
        <v>934</v>
      </c>
    </row>
    <row r="152" spans="1:16" x14ac:dyDescent="0.4">
      <c r="A152">
        <f t="shared" si="4"/>
        <v>26</v>
      </c>
      <c r="B152" t="s">
        <v>391</v>
      </c>
      <c r="C152" t="s">
        <v>576</v>
      </c>
      <c r="D152" t="s">
        <v>206</v>
      </c>
      <c r="E152" t="s">
        <v>463</v>
      </c>
      <c r="F152" t="s">
        <v>743</v>
      </c>
      <c r="G152" t="s">
        <v>744</v>
      </c>
      <c r="H152" t="s">
        <v>745</v>
      </c>
      <c r="I152" t="s">
        <v>223</v>
      </c>
      <c r="J152" t="s">
        <v>185</v>
      </c>
      <c r="K152" s="33">
        <v>43032</v>
      </c>
      <c r="L152" s="8">
        <v>43031.369733796295</v>
      </c>
      <c r="M152" s="23">
        <f>LEN(ProjTextTable[[#This Row],[text]])</f>
        <v>1591</v>
      </c>
      <c r="N152" s="23">
        <f>LEN(TRIM(CLEAN(SUBSTITUTE(ProjTextTable[[#This Row],[text]],CHAR(10)," "))))+1 - LEN(SUBSTITUTE(CLEAN(SUBSTITUTE(ProjTextTable[[#This Row],[text]],CHAR(10)," "))," ",""))</f>
        <v>257</v>
      </c>
      <c r="O152" t="s">
        <v>211</v>
      </c>
      <c r="P152" t="s">
        <v>935</v>
      </c>
    </row>
    <row r="153" spans="1:16" x14ac:dyDescent="0.4">
      <c r="A153">
        <f t="shared" si="4"/>
        <v>26</v>
      </c>
      <c r="B153" t="s">
        <v>391</v>
      </c>
      <c r="C153" t="s">
        <v>576</v>
      </c>
      <c r="D153" t="s">
        <v>206</v>
      </c>
      <c r="E153" t="s">
        <v>463</v>
      </c>
      <c r="F153" t="s">
        <v>811</v>
      </c>
      <c r="G153" t="s">
        <v>812</v>
      </c>
      <c r="H153" t="s">
        <v>813</v>
      </c>
      <c r="I153" t="s">
        <v>223</v>
      </c>
      <c r="J153" t="s">
        <v>185</v>
      </c>
      <c r="K153" s="33">
        <v>43032</v>
      </c>
      <c r="L153" s="8">
        <v>43030.807129629633</v>
      </c>
      <c r="M153" s="23">
        <f>LEN(ProjTextTable[[#This Row],[text]])</f>
        <v>1135</v>
      </c>
      <c r="N153" s="23">
        <f>LEN(TRIM(CLEAN(SUBSTITUTE(ProjTextTable[[#This Row],[text]],CHAR(10)," "))))+1 - LEN(SUBSTITUTE(CLEAN(SUBSTITUTE(ProjTextTable[[#This Row],[text]],CHAR(10)," "))," ",""))</f>
        <v>169</v>
      </c>
      <c r="O153" t="s">
        <v>211</v>
      </c>
      <c r="P153" t="s">
        <v>936</v>
      </c>
    </row>
    <row r="154" spans="1:16" x14ac:dyDescent="0.4">
      <c r="A154">
        <f t="shared" si="4"/>
        <v>27</v>
      </c>
      <c r="B154" t="s">
        <v>392</v>
      </c>
      <c r="C154" t="s">
        <v>582</v>
      </c>
      <c r="D154" t="s">
        <v>217</v>
      </c>
      <c r="E154" t="s">
        <v>463</v>
      </c>
      <c r="F154" t="s">
        <v>628</v>
      </c>
      <c r="G154" t="s">
        <v>736</v>
      </c>
      <c r="H154" t="s">
        <v>220</v>
      </c>
      <c r="I154" t="s">
        <v>209</v>
      </c>
      <c r="J154" t="s">
        <v>209</v>
      </c>
      <c r="K154" s="33">
        <v>43031</v>
      </c>
      <c r="L154" s="8"/>
      <c r="M154" s="23">
        <f>LEN(ProjTextTable[[#This Row],[text]])</f>
        <v>2371</v>
      </c>
      <c r="N154" s="23">
        <f>LEN(TRIM(CLEAN(SUBSTITUTE(ProjTextTable[[#This Row],[text]],CHAR(10)," "))))+1 - LEN(SUBSTITUTE(CLEAN(SUBSTITUTE(ProjTextTable[[#This Row],[text]],CHAR(10)," "))," ",""))</f>
        <v>361</v>
      </c>
      <c r="O154" t="s">
        <v>221</v>
      </c>
      <c r="P154" t="s">
        <v>937</v>
      </c>
    </row>
    <row r="155" spans="1:16" x14ac:dyDescent="0.4">
      <c r="A155">
        <f t="shared" si="4"/>
        <v>27</v>
      </c>
      <c r="B155" t="s">
        <v>392</v>
      </c>
      <c r="C155" t="s">
        <v>582</v>
      </c>
      <c r="D155" t="s">
        <v>206</v>
      </c>
      <c r="E155" t="s">
        <v>463</v>
      </c>
      <c r="F155" t="s">
        <v>739</v>
      </c>
      <c r="G155" t="s">
        <v>740</v>
      </c>
      <c r="H155" t="s">
        <v>741</v>
      </c>
      <c r="I155" t="s">
        <v>223</v>
      </c>
      <c r="J155" t="s">
        <v>185</v>
      </c>
      <c r="K155" s="33">
        <v>43032</v>
      </c>
      <c r="L155" s="8">
        <v>43031.767731481479</v>
      </c>
      <c r="M155" s="23">
        <f>LEN(ProjTextTable[[#This Row],[text]])</f>
        <v>3988</v>
      </c>
      <c r="N155" s="23">
        <f>LEN(TRIM(CLEAN(SUBSTITUTE(ProjTextTable[[#This Row],[text]],CHAR(10)," "))))+1 - LEN(SUBSTITUTE(CLEAN(SUBSTITUTE(ProjTextTable[[#This Row],[text]],CHAR(10)," "))," ",""))</f>
        <v>620</v>
      </c>
      <c r="O155" t="s">
        <v>214</v>
      </c>
      <c r="P155" t="s">
        <v>938</v>
      </c>
    </row>
    <row r="156" spans="1:16" x14ac:dyDescent="0.4">
      <c r="A156">
        <f t="shared" si="4"/>
        <v>27</v>
      </c>
      <c r="B156" t="s">
        <v>392</v>
      </c>
      <c r="C156" t="s">
        <v>582</v>
      </c>
      <c r="D156" t="s">
        <v>206</v>
      </c>
      <c r="E156" t="s">
        <v>463</v>
      </c>
      <c r="F156" t="s">
        <v>820</v>
      </c>
      <c r="G156" t="s">
        <v>821</v>
      </c>
      <c r="H156" t="s">
        <v>822</v>
      </c>
      <c r="I156" t="s">
        <v>223</v>
      </c>
      <c r="J156" t="s">
        <v>185</v>
      </c>
      <c r="K156" s="33">
        <v>43032</v>
      </c>
      <c r="L156" s="8">
        <v>43031.147233796299</v>
      </c>
      <c r="M156" s="23">
        <f>LEN(ProjTextTable[[#This Row],[text]])</f>
        <v>1088</v>
      </c>
      <c r="N156" s="23">
        <f>LEN(TRIM(CLEAN(SUBSTITUTE(ProjTextTable[[#This Row],[text]],CHAR(10)," "))))+1 - LEN(SUBSTITUTE(CLEAN(SUBSTITUTE(ProjTextTable[[#This Row],[text]],CHAR(10)," "))," ",""))</f>
        <v>154</v>
      </c>
      <c r="O156" t="s">
        <v>211</v>
      </c>
      <c r="P156" t="s">
        <v>939</v>
      </c>
    </row>
    <row r="157" spans="1:16" x14ac:dyDescent="0.4">
      <c r="A157">
        <f t="shared" si="4"/>
        <v>27</v>
      </c>
      <c r="B157" t="s">
        <v>392</v>
      </c>
      <c r="C157" t="s">
        <v>582</v>
      </c>
      <c r="D157" t="s">
        <v>206</v>
      </c>
      <c r="E157" t="s">
        <v>463</v>
      </c>
      <c r="F157" t="s">
        <v>770</v>
      </c>
      <c r="G157" t="s">
        <v>771</v>
      </c>
      <c r="H157" t="s">
        <v>772</v>
      </c>
      <c r="I157" t="s">
        <v>223</v>
      </c>
      <c r="J157" t="s">
        <v>185</v>
      </c>
      <c r="K157" s="33">
        <v>43032</v>
      </c>
      <c r="L157" s="8">
        <v>43031.020694444444</v>
      </c>
      <c r="M157" s="23">
        <f>LEN(ProjTextTable[[#This Row],[text]])</f>
        <v>2238</v>
      </c>
      <c r="N157" s="23">
        <f>LEN(TRIM(CLEAN(SUBSTITUTE(ProjTextTable[[#This Row],[text]],CHAR(10)," "))))+1 - LEN(SUBSTITUTE(CLEAN(SUBSTITUTE(ProjTextTable[[#This Row],[text]],CHAR(10)," "))," ",""))</f>
        <v>333</v>
      </c>
      <c r="O157" t="s">
        <v>214</v>
      </c>
      <c r="P157" t="s">
        <v>940</v>
      </c>
    </row>
    <row r="158" spans="1:16" x14ac:dyDescent="0.4">
      <c r="A158">
        <f t="shared" si="4"/>
        <v>27</v>
      </c>
      <c r="B158" t="s">
        <v>392</v>
      </c>
      <c r="C158" t="s">
        <v>582</v>
      </c>
      <c r="D158" t="s">
        <v>208</v>
      </c>
      <c r="E158" t="s">
        <v>463</v>
      </c>
      <c r="F158" t="s">
        <v>13</v>
      </c>
      <c r="G158" t="s">
        <v>13</v>
      </c>
      <c r="H158" t="s">
        <v>13</v>
      </c>
      <c r="K158" s="33"/>
      <c r="L158" s="8">
        <v>42957.042812500003</v>
      </c>
      <c r="M158" s="23">
        <f>LEN(ProjTextTable[[#This Row],[text]])</f>
        <v>2797</v>
      </c>
      <c r="N158" s="23">
        <f>LEN(TRIM(CLEAN(SUBSTITUTE(ProjTextTable[[#This Row],[text]],CHAR(10)," "))))+1 - LEN(SUBSTITUTE(CLEAN(SUBSTITUTE(ProjTextTable[[#This Row],[text]],CHAR(10)," "))," ",""))</f>
        <v>393</v>
      </c>
      <c r="O158" t="s">
        <v>13</v>
      </c>
      <c r="P158" t="s">
        <v>941</v>
      </c>
    </row>
    <row r="159" spans="1:16" x14ac:dyDescent="0.4">
      <c r="A159">
        <f t="shared" si="4"/>
        <v>28</v>
      </c>
      <c r="B159" t="s">
        <v>393</v>
      </c>
      <c r="C159" t="s">
        <v>588</v>
      </c>
      <c r="D159" t="s">
        <v>217</v>
      </c>
      <c r="E159" t="s">
        <v>463</v>
      </c>
      <c r="F159" t="s">
        <v>628</v>
      </c>
      <c r="G159" t="s">
        <v>736</v>
      </c>
      <c r="H159" t="s">
        <v>629</v>
      </c>
      <c r="I159" t="s">
        <v>212</v>
      </c>
      <c r="J159" t="s">
        <v>280</v>
      </c>
      <c r="K159" s="33">
        <v>43031</v>
      </c>
      <c r="L159" s="8"/>
      <c r="M159" s="23">
        <f>LEN(ProjTextTable[[#This Row],[text]])</f>
        <v>3554</v>
      </c>
      <c r="N159" s="23">
        <f>LEN(TRIM(CLEAN(SUBSTITUTE(ProjTextTable[[#This Row],[text]],CHAR(10)," "))))+1 - LEN(SUBSTITUTE(CLEAN(SUBSTITUTE(ProjTextTable[[#This Row],[text]],CHAR(10)," "))," ",""))</f>
        <v>563</v>
      </c>
      <c r="O159" t="s">
        <v>503</v>
      </c>
      <c r="P159" t="s">
        <v>942</v>
      </c>
    </row>
    <row r="160" spans="1:16" x14ac:dyDescent="0.4">
      <c r="A160">
        <f t="shared" si="4"/>
        <v>28</v>
      </c>
      <c r="B160" t="s">
        <v>393</v>
      </c>
      <c r="C160" t="s">
        <v>588</v>
      </c>
      <c r="D160" t="s">
        <v>206</v>
      </c>
      <c r="E160" t="s">
        <v>463</v>
      </c>
      <c r="F160" t="s">
        <v>802</v>
      </c>
      <c r="G160" t="s">
        <v>803</v>
      </c>
      <c r="H160" t="s">
        <v>804</v>
      </c>
      <c r="I160" t="s">
        <v>223</v>
      </c>
      <c r="J160" t="s">
        <v>185</v>
      </c>
      <c r="K160" s="33">
        <v>43032</v>
      </c>
      <c r="L160" s="8">
        <v>43030.886724537035</v>
      </c>
      <c r="M160" s="23">
        <f>LEN(ProjTextTable[[#This Row],[text]])</f>
        <v>2250</v>
      </c>
      <c r="N160" s="23">
        <f>LEN(TRIM(CLEAN(SUBSTITUTE(ProjTextTable[[#This Row],[text]],CHAR(10)," "))))+1 - LEN(SUBSTITUTE(CLEAN(SUBSTITUTE(ProjTextTable[[#This Row],[text]],CHAR(10)," "))," ",""))</f>
        <v>331</v>
      </c>
      <c r="O160" t="s">
        <v>207</v>
      </c>
      <c r="P160" t="s">
        <v>943</v>
      </c>
    </row>
    <row r="161" spans="1:16" x14ac:dyDescent="0.4">
      <c r="A161">
        <f t="shared" si="4"/>
        <v>28</v>
      </c>
      <c r="B161" t="s">
        <v>393</v>
      </c>
      <c r="C161" t="s">
        <v>588</v>
      </c>
      <c r="D161" t="s">
        <v>206</v>
      </c>
      <c r="E161" t="s">
        <v>463</v>
      </c>
      <c r="F161" t="s">
        <v>739</v>
      </c>
      <c r="G161" t="s">
        <v>740</v>
      </c>
      <c r="H161" t="s">
        <v>741</v>
      </c>
      <c r="I161" t="s">
        <v>223</v>
      </c>
      <c r="J161" t="s">
        <v>185</v>
      </c>
      <c r="K161" s="33">
        <v>43032</v>
      </c>
      <c r="L161" s="8">
        <v>43025.633287037039</v>
      </c>
      <c r="M161" s="23">
        <f>LEN(ProjTextTable[[#This Row],[text]])</f>
        <v>2071</v>
      </c>
      <c r="N161" s="23">
        <f>LEN(TRIM(CLEAN(SUBSTITUTE(ProjTextTable[[#This Row],[text]],CHAR(10)," "))))+1 - LEN(SUBSTITUTE(CLEAN(SUBSTITUTE(ProjTextTable[[#This Row],[text]],CHAR(10)," "))," ",""))</f>
        <v>314</v>
      </c>
      <c r="O161" t="s">
        <v>210</v>
      </c>
      <c r="P161" t="s">
        <v>944</v>
      </c>
    </row>
    <row r="162" spans="1:16" x14ac:dyDescent="0.4">
      <c r="A162">
        <f t="shared" ref="A162:A177" si="5">A161+(B162&lt;&gt;B161)</f>
        <v>28</v>
      </c>
      <c r="B162" t="s">
        <v>393</v>
      </c>
      <c r="C162" t="s">
        <v>588</v>
      </c>
      <c r="D162" t="s">
        <v>206</v>
      </c>
      <c r="E162" t="s">
        <v>463</v>
      </c>
      <c r="F162" t="s">
        <v>766</v>
      </c>
      <c r="G162" t="s">
        <v>767</v>
      </c>
      <c r="H162" t="s">
        <v>768</v>
      </c>
      <c r="I162" t="s">
        <v>223</v>
      </c>
      <c r="J162" t="s">
        <v>185</v>
      </c>
      <c r="K162" s="33">
        <v>43032</v>
      </c>
      <c r="L162" s="8">
        <v>43031.742314814815</v>
      </c>
      <c r="M162" s="23">
        <f>LEN(ProjTextTable[[#This Row],[text]])</f>
        <v>1610</v>
      </c>
      <c r="N162" s="23">
        <f>LEN(TRIM(CLEAN(SUBSTITUTE(ProjTextTable[[#This Row],[text]],CHAR(10)," "))))+1 - LEN(SUBSTITUTE(CLEAN(SUBSTITUTE(ProjTextTable[[#This Row],[text]],CHAR(10)," "))," ",""))</f>
        <v>237</v>
      </c>
      <c r="O162" t="s">
        <v>213</v>
      </c>
      <c r="P162" t="s">
        <v>945</v>
      </c>
    </row>
    <row r="163" spans="1:16" x14ac:dyDescent="0.4">
      <c r="A163">
        <f t="shared" si="5"/>
        <v>28</v>
      </c>
      <c r="B163" t="s">
        <v>393</v>
      </c>
      <c r="C163" t="s">
        <v>588</v>
      </c>
      <c r="D163" t="s">
        <v>208</v>
      </c>
      <c r="E163" t="s">
        <v>418</v>
      </c>
      <c r="F163" t="s">
        <v>13</v>
      </c>
      <c r="G163" t="s">
        <v>13</v>
      </c>
      <c r="H163" t="s">
        <v>13</v>
      </c>
      <c r="K163" s="33"/>
      <c r="L163" s="8">
        <v>42957.042870370373</v>
      </c>
      <c r="M163" s="23">
        <f>LEN(ProjTextTable[[#This Row],[text]])</f>
        <v>4426</v>
      </c>
      <c r="N163" s="23">
        <f>LEN(TRIM(CLEAN(SUBSTITUTE(ProjTextTable[[#This Row],[text]],CHAR(10)," "))))+1 - LEN(SUBSTITUTE(CLEAN(SUBSTITUTE(ProjTextTable[[#This Row],[text]],CHAR(10)," "))," ",""))</f>
        <v>577</v>
      </c>
      <c r="O163" t="s">
        <v>13</v>
      </c>
      <c r="P163" t="s">
        <v>946</v>
      </c>
    </row>
    <row r="164" spans="1:16" x14ac:dyDescent="0.4">
      <c r="A164">
        <f t="shared" si="5"/>
        <v>29</v>
      </c>
      <c r="B164" t="s">
        <v>394</v>
      </c>
      <c r="C164" t="s">
        <v>595</v>
      </c>
      <c r="D164" t="s">
        <v>217</v>
      </c>
      <c r="E164" t="s">
        <v>463</v>
      </c>
      <c r="F164" t="s">
        <v>947</v>
      </c>
      <c r="G164" t="s">
        <v>736</v>
      </c>
      <c r="H164" t="s">
        <v>629</v>
      </c>
      <c r="I164" t="s">
        <v>212</v>
      </c>
      <c r="J164" t="s">
        <v>280</v>
      </c>
      <c r="K164" s="33">
        <v>43031</v>
      </c>
      <c r="L164" s="8"/>
      <c r="M164" s="23">
        <f>LEN(ProjTextTable[[#This Row],[text]])</f>
        <v>1785</v>
      </c>
      <c r="N164" s="23">
        <f>LEN(TRIM(CLEAN(SUBSTITUTE(ProjTextTable[[#This Row],[text]],CHAR(10)," "))))+1 - LEN(SUBSTITUTE(CLEAN(SUBSTITUTE(ProjTextTable[[#This Row],[text]],CHAR(10)," "))," ",""))</f>
        <v>268</v>
      </c>
      <c r="O164" t="s">
        <v>503</v>
      </c>
      <c r="P164" t="s">
        <v>948</v>
      </c>
    </row>
    <row r="165" spans="1:16" x14ac:dyDescent="0.4">
      <c r="A165">
        <f t="shared" si="5"/>
        <v>29</v>
      </c>
      <c r="B165" t="s">
        <v>394</v>
      </c>
      <c r="C165" t="s">
        <v>595</v>
      </c>
      <c r="D165" t="s">
        <v>206</v>
      </c>
      <c r="E165" t="s">
        <v>463</v>
      </c>
      <c r="F165" t="s">
        <v>743</v>
      </c>
      <c r="G165" t="s">
        <v>744</v>
      </c>
      <c r="H165" t="s">
        <v>745</v>
      </c>
      <c r="I165" t="s">
        <v>223</v>
      </c>
      <c r="J165" t="s">
        <v>185</v>
      </c>
      <c r="K165" s="33">
        <v>43032</v>
      </c>
      <c r="L165" s="8">
        <v>43030.825844907406</v>
      </c>
      <c r="M165" s="23">
        <f>LEN(ProjTextTable[[#This Row],[text]])</f>
        <v>1433</v>
      </c>
      <c r="N165" s="23">
        <f>LEN(TRIM(CLEAN(SUBSTITUTE(ProjTextTable[[#This Row],[text]],CHAR(10)," "))))+1 - LEN(SUBSTITUTE(CLEAN(SUBSTITUTE(ProjTextTable[[#This Row],[text]],CHAR(10)," "))," ",""))</f>
        <v>209</v>
      </c>
      <c r="O165" t="s">
        <v>207</v>
      </c>
      <c r="P165" t="s">
        <v>949</v>
      </c>
    </row>
    <row r="166" spans="1:16" x14ac:dyDescent="0.4">
      <c r="A166">
        <f t="shared" si="5"/>
        <v>29</v>
      </c>
      <c r="B166" t="s">
        <v>394</v>
      </c>
      <c r="C166" t="s">
        <v>595</v>
      </c>
      <c r="D166" t="s">
        <v>206</v>
      </c>
      <c r="E166" t="s">
        <v>418</v>
      </c>
      <c r="F166" t="s">
        <v>751</v>
      </c>
      <c r="G166" t="s">
        <v>752</v>
      </c>
      <c r="H166" t="s">
        <v>753</v>
      </c>
      <c r="I166" t="s">
        <v>223</v>
      </c>
      <c r="J166" t="s">
        <v>185</v>
      </c>
      <c r="K166" s="33">
        <v>43032</v>
      </c>
      <c r="L166" s="8">
        <v>43032.675833333335</v>
      </c>
      <c r="M166" s="23">
        <f>LEN(ProjTextTable[[#This Row],[text]])</f>
        <v>2823</v>
      </c>
      <c r="N166" s="23">
        <f>LEN(TRIM(CLEAN(SUBSTITUTE(ProjTextTable[[#This Row],[text]],CHAR(10)," "))))+1 - LEN(SUBSTITUTE(CLEAN(SUBSTITUTE(ProjTextTable[[#This Row],[text]],CHAR(10)," "))," ",""))</f>
        <v>475</v>
      </c>
      <c r="O166" t="s">
        <v>215</v>
      </c>
      <c r="P166" t="s">
        <v>950</v>
      </c>
    </row>
    <row r="167" spans="1:16" x14ac:dyDescent="0.4">
      <c r="A167">
        <f t="shared" si="5"/>
        <v>29</v>
      </c>
      <c r="B167" t="s">
        <v>394</v>
      </c>
      <c r="C167" t="s">
        <v>595</v>
      </c>
      <c r="D167" t="s">
        <v>206</v>
      </c>
      <c r="E167" t="s">
        <v>463</v>
      </c>
      <c r="F167" t="s">
        <v>778</v>
      </c>
      <c r="G167" t="s">
        <v>779</v>
      </c>
      <c r="H167" t="s">
        <v>780</v>
      </c>
      <c r="I167" t="s">
        <v>223</v>
      </c>
      <c r="J167" t="s">
        <v>185</v>
      </c>
      <c r="K167" s="33">
        <v>43032</v>
      </c>
      <c r="L167" s="8">
        <v>43032.53087962963</v>
      </c>
      <c r="M167" s="23">
        <f>LEN(ProjTextTable[[#This Row],[text]])</f>
        <v>5656</v>
      </c>
      <c r="N167" s="23">
        <f>LEN(TRIM(CLEAN(SUBSTITUTE(ProjTextTable[[#This Row],[text]],CHAR(10)," "))))+1 - LEN(SUBSTITUTE(CLEAN(SUBSTITUTE(ProjTextTable[[#This Row],[text]],CHAR(10)," "))," ",""))</f>
        <v>946</v>
      </c>
      <c r="O167" t="s">
        <v>211</v>
      </c>
      <c r="P167" t="s">
        <v>951</v>
      </c>
    </row>
    <row r="168" spans="1:16" x14ac:dyDescent="0.4">
      <c r="A168">
        <f t="shared" si="5"/>
        <v>29</v>
      </c>
      <c r="B168" t="s">
        <v>394</v>
      </c>
      <c r="C168" t="s">
        <v>595</v>
      </c>
      <c r="D168" t="s">
        <v>208</v>
      </c>
      <c r="E168" t="s">
        <v>418</v>
      </c>
      <c r="F168" t="s">
        <v>13</v>
      </c>
      <c r="G168" t="s">
        <v>13</v>
      </c>
      <c r="H168" t="s">
        <v>13</v>
      </c>
      <c r="K168" s="33"/>
      <c r="L168" s="8">
        <v>42957.043009259258</v>
      </c>
      <c r="M168" s="23">
        <f>LEN(ProjTextTable[[#This Row],[text]])</f>
        <v>4368</v>
      </c>
      <c r="N168" s="23">
        <f>LEN(TRIM(CLEAN(SUBSTITUTE(ProjTextTable[[#This Row],[text]],CHAR(10)," "))))+1 - LEN(SUBSTITUTE(CLEAN(SUBSTITUTE(ProjTextTable[[#This Row],[text]],CHAR(10)," "))," ",""))</f>
        <v>604</v>
      </c>
      <c r="O168" t="s">
        <v>13</v>
      </c>
      <c r="P168" t="s">
        <v>952</v>
      </c>
    </row>
    <row r="169" spans="1:16" x14ac:dyDescent="0.4">
      <c r="A169">
        <f t="shared" si="5"/>
        <v>30</v>
      </c>
      <c r="B169" t="s">
        <v>395</v>
      </c>
      <c r="C169" t="s">
        <v>601</v>
      </c>
      <c r="D169" t="s">
        <v>217</v>
      </c>
      <c r="E169" t="s">
        <v>463</v>
      </c>
      <c r="F169" t="s">
        <v>628</v>
      </c>
      <c r="G169" t="s">
        <v>736</v>
      </c>
      <c r="H169" t="s">
        <v>629</v>
      </c>
      <c r="I169" t="s">
        <v>212</v>
      </c>
      <c r="J169" t="s">
        <v>280</v>
      </c>
      <c r="K169" s="33">
        <v>43031</v>
      </c>
      <c r="L169" s="8"/>
      <c r="M169" s="23">
        <f>LEN(ProjTextTable[[#This Row],[text]])</f>
        <v>2340</v>
      </c>
      <c r="N169" s="23">
        <f>LEN(TRIM(CLEAN(SUBSTITUTE(ProjTextTable[[#This Row],[text]],CHAR(10)," "))))+1 - LEN(SUBSTITUTE(CLEAN(SUBSTITUTE(ProjTextTable[[#This Row],[text]],CHAR(10)," "))," ",""))</f>
        <v>356</v>
      </c>
      <c r="O169" t="s">
        <v>503</v>
      </c>
      <c r="P169" t="s">
        <v>953</v>
      </c>
    </row>
    <row r="170" spans="1:16" x14ac:dyDescent="0.4">
      <c r="A170">
        <f t="shared" si="5"/>
        <v>30</v>
      </c>
      <c r="B170" t="s">
        <v>395</v>
      </c>
      <c r="C170" t="s">
        <v>601</v>
      </c>
      <c r="D170" t="s">
        <v>206</v>
      </c>
      <c r="E170" t="s">
        <v>463</v>
      </c>
      <c r="F170" t="s">
        <v>739</v>
      </c>
      <c r="G170" t="s">
        <v>740</v>
      </c>
      <c r="H170" t="s">
        <v>741</v>
      </c>
      <c r="I170" t="s">
        <v>223</v>
      </c>
      <c r="J170" t="s">
        <v>185</v>
      </c>
      <c r="K170" s="33">
        <v>43032</v>
      </c>
      <c r="L170" s="8">
        <v>43031.750081018516</v>
      </c>
      <c r="M170" s="23">
        <f>LEN(ProjTextTable[[#This Row],[text]])</f>
        <v>3285</v>
      </c>
      <c r="N170" s="23">
        <f>LEN(TRIM(CLEAN(SUBSTITUTE(ProjTextTable[[#This Row],[text]],CHAR(10)," "))))+1 - LEN(SUBSTITUTE(CLEAN(SUBSTITUTE(ProjTextTable[[#This Row],[text]],CHAR(10)," "))," ",""))</f>
        <v>514</v>
      </c>
      <c r="O170" t="s">
        <v>214</v>
      </c>
      <c r="P170" t="s">
        <v>954</v>
      </c>
    </row>
    <row r="171" spans="1:16" x14ac:dyDescent="0.4">
      <c r="A171">
        <f t="shared" si="5"/>
        <v>30</v>
      </c>
      <c r="B171" t="s">
        <v>395</v>
      </c>
      <c r="C171" t="s">
        <v>601</v>
      </c>
      <c r="D171" t="s">
        <v>206</v>
      </c>
      <c r="E171" t="s">
        <v>463</v>
      </c>
      <c r="F171" t="s">
        <v>806</v>
      </c>
      <c r="G171" t="s">
        <v>807</v>
      </c>
      <c r="H171" t="s">
        <v>808</v>
      </c>
      <c r="I171" t="s">
        <v>223</v>
      </c>
      <c r="J171" t="s">
        <v>185</v>
      </c>
      <c r="K171" s="33">
        <v>43032</v>
      </c>
      <c r="L171" s="8">
        <v>43027.933842592596</v>
      </c>
      <c r="M171" s="23">
        <f>LEN(ProjTextTable[[#This Row],[text]])</f>
        <v>2177</v>
      </c>
      <c r="N171" s="23">
        <f>LEN(TRIM(CLEAN(SUBSTITUTE(ProjTextTable[[#This Row],[text]],CHAR(10)," "))))+1 - LEN(SUBSTITUTE(CLEAN(SUBSTITUTE(ProjTextTable[[#This Row],[text]],CHAR(10)," "))," ",""))</f>
        <v>316</v>
      </c>
      <c r="O171" t="s">
        <v>207</v>
      </c>
      <c r="P171" t="s">
        <v>955</v>
      </c>
    </row>
    <row r="172" spans="1:16" x14ac:dyDescent="0.4">
      <c r="A172">
        <f t="shared" si="5"/>
        <v>30</v>
      </c>
      <c r="B172" t="s">
        <v>395</v>
      </c>
      <c r="C172" t="s">
        <v>601</v>
      </c>
      <c r="D172" t="s">
        <v>206</v>
      </c>
      <c r="E172" t="s">
        <v>418</v>
      </c>
      <c r="F172" t="s">
        <v>751</v>
      </c>
      <c r="G172" t="s">
        <v>752</v>
      </c>
      <c r="H172" t="s">
        <v>753</v>
      </c>
      <c r="I172" t="s">
        <v>223</v>
      </c>
      <c r="J172" t="s">
        <v>185</v>
      </c>
      <c r="K172" s="33">
        <v>43032</v>
      </c>
      <c r="L172" s="8">
        <v>43030.934814814813</v>
      </c>
      <c r="M172" s="23">
        <f>LEN(ProjTextTable[[#This Row],[text]])</f>
        <v>1966</v>
      </c>
      <c r="N172" s="23">
        <f>LEN(TRIM(CLEAN(SUBSTITUTE(ProjTextTable[[#This Row],[text]],CHAR(10)," "))))+1 - LEN(SUBSTITUTE(CLEAN(SUBSTITUTE(ProjTextTable[[#This Row],[text]],CHAR(10)," "))," ",""))</f>
        <v>299</v>
      </c>
      <c r="O172" t="s">
        <v>213</v>
      </c>
      <c r="P172" t="s">
        <v>956</v>
      </c>
    </row>
    <row r="173" spans="1:16" x14ac:dyDescent="0.4">
      <c r="A173">
        <f t="shared" si="5"/>
        <v>30</v>
      </c>
      <c r="B173" t="s">
        <v>395</v>
      </c>
      <c r="C173" t="s">
        <v>601</v>
      </c>
      <c r="D173" t="s">
        <v>208</v>
      </c>
      <c r="E173" t="s">
        <v>418</v>
      </c>
      <c r="F173" t="s">
        <v>13</v>
      </c>
      <c r="G173" t="s">
        <v>13</v>
      </c>
      <c r="H173" t="s">
        <v>13</v>
      </c>
      <c r="K173" s="33"/>
      <c r="L173" s="8">
        <v>42957.043055555558</v>
      </c>
      <c r="M173" s="23">
        <f>LEN(ProjTextTable[[#This Row],[text]])</f>
        <v>3067</v>
      </c>
      <c r="N173" s="23">
        <f>LEN(TRIM(CLEAN(SUBSTITUTE(ProjTextTable[[#This Row],[text]],CHAR(10)," "))))+1 - LEN(SUBSTITUTE(CLEAN(SUBSTITUTE(ProjTextTable[[#This Row],[text]],CHAR(10)," "))," ",""))</f>
        <v>414</v>
      </c>
      <c r="O173" t="s">
        <v>13</v>
      </c>
      <c r="P173" t="s">
        <v>957</v>
      </c>
    </row>
    <row r="174" spans="1:16" x14ac:dyDescent="0.4">
      <c r="A174">
        <f t="shared" si="5"/>
        <v>31</v>
      </c>
      <c r="B174" t="s">
        <v>396</v>
      </c>
      <c r="C174" t="s">
        <v>276</v>
      </c>
      <c r="D174" t="s">
        <v>217</v>
      </c>
      <c r="E174" t="s">
        <v>463</v>
      </c>
      <c r="F174" t="s">
        <v>628</v>
      </c>
      <c r="G174" t="s">
        <v>736</v>
      </c>
      <c r="H174" t="s">
        <v>220</v>
      </c>
      <c r="I174" t="s">
        <v>209</v>
      </c>
      <c r="J174" t="s">
        <v>205</v>
      </c>
      <c r="K174" s="33">
        <v>43031</v>
      </c>
      <c r="L174" s="8"/>
      <c r="M174" s="23">
        <f>LEN(ProjTextTable[[#This Row],[text]])</f>
        <v>3360</v>
      </c>
      <c r="N174" s="23">
        <f>LEN(TRIM(CLEAN(SUBSTITUTE(ProjTextTable[[#This Row],[text]],CHAR(10)," "))))+1 - LEN(SUBSTITUTE(CLEAN(SUBSTITUTE(ProjTextTable[[#This Row],[text]],CHAR(10)," "))," ",""))</f>
        <v>522</v>
      </c>
      <c r="O174" t="s">
        <v>221</v>
      </c>
      <c r="P174" t="s">
        <v>958</v>
      </c>
    </row>
    <row r="175" spans="1:16" x14ac:dyDescent="0.4">
      <c r="A175">
        <f t="shared" si="5"/>
        <v>31</v>
      </c>
      <c r="B175" t="s">
        <v>396</v>
      </c>
      <c r="C175" t="s">
        <v>276</v>
      </c>
      <c r="D175" t="s">
        <v>206</v>
      </c>
      <c r="E175" t="s">
        <v>463</v>
      </c>
      <c r="F175" t="s">
        <v>762</v>
      </c>
      <c r="G175" t="s">
        <v>763</v>
      </c>
      <c r="H175" t="s">
        <v>764</v>
      </c>
      <c r="I175" t="s">
        <v>223</v>
      </c>
      <c r="J175" t="s">
        <v>185</v>
      </c>
      <c r="K175" s="33">
        <v>43032</v>
      </c>
      <c r="L175" s="8">
        <v>43030.166759259257</v>
      </c>
      <c r="M175" s="23">
        <f>LEN(ProjTextTable[[#This Row],[text]])</f>
        <v>1615</v>
      </c>
      <c r="N175" s="23">
        <f>LEN(TRIM(CLEAN(SUBSTITUTE(ProjTextTable[[#This Row],[text]],CHAR(10)," "))))+1 - LEN(SUBSTITUTE(CLEAN(SUBSTITUTE(ProjTextTable[[#This Row],[text]],CHAR(10)," "))," ",""))</f>
        <v>241</v>
      </c>
      <c r="O175" t="s">
        <v>207</v>
      </c>
      <c r="P175" t="s">
        <v>959</v>
      </c>
    </row>
    <row r="176" spans="1:16" x14ac:dyDescent="0.4">
      <c r="A176">
        <f t="shared" si="5"/>
        <v>31</v>
      </c>
      <c r="B176" t="s">
        <v>396</v>
      </c>
      <c r="C176" t="s">
        <v>276</v>
      </c>
      <c r="D176" t="s">
        <v>206</v>
      </c>
      <c r="E176" t="s">
        <v>463</v>
      </c>
      <c r="F176" t="s">
        <v>766</v>
      </c>
      <c r="G176" t="s">
        <v>767</v>
      </c>
      <c r="H176" t="s">
        <v>768</v>
      </c>
      <c r="I176" t="s">
        <v>223</v>
      </c>
      <c r="J176" t="s">
        <v>185</v>
      </c>
      <c r="K176" s="33">
        <v>43032</v>
      </c>
      <c r="L176" s="8">
        <v>43031.734490740739</v>
      </c>
      <c r="M176" s="23">
        <f>LEN(ProjTextTable[[#This Row],[text]])</f>
        <v>2978</v>
      </c>
      <c r="N176" s="23">
        <f>LEN(TRIM(CLEAN(SUBSTITUTE(ProjTextTable[[#This Row],[text]],CHAR(10)," "))))+1 - LEN(SUBSTITUTE(CLEAN(SUBSTITUTE(ProjTextTable[[#This Row],[text]],CHAR(10)," "))," ",""))</f>
        <v>447</v>
      </c>
      <c r="O176" t="s">
        <v>214</v>
      </c>
      <c r="P176" t="s">
        <v>960</v>
      </c>
    </row>
    <row r="177" spans="1:16" x14ac:dyDescent="0.4">
      <c r="A177">
        <f t="shared" si="5"/>
        <v>31</v>
      </c>
      <c r="B177" t="s">
        <v>396</v>
      </c>
      <c r="C177" t="s">
        <v>276</v>
      </c>
      <c r="D177" t="s">
        <v>206</v>
      </c>
      <c r="E177" t="s">
        <v>463</v>
      </c>
      <c r="F177" t="s">
        <v>783</v>
      </c>
      <c r="G177" t="s">
        <v>784</v>
      </c>
      <c r="H177" t="s">
        <v>785</v>
      </c>
      <c r="I177" t="s">
        <v>223</v>
      </c>
      <c r="J177" t="s">
        <v>185</v>
      </c>
      <c r="K177" s="33">
        <v>43032</v>
      </c>
      <c r="L177" s="8">
        <v>43028.558368055557</v>
      </c>
      <c r="M177" s="23">
        <f>LEN(ProjTextTable[[#This Row],[text]])</f>
        <v>1434</v>
      </c>
      <c r="N177" s="23">
        <f>LEN(TRIM(CLEAN(SUBSTITUTE(ProjTextTable[[#This Row],[text]],CHAR(10)," "))))+1 - LEN(SUBSTITUTE(CLEAN(SUBSTITUTE(ProjTextTable[[#This Row],[text]],CHAR(10)," "))," ",""))</f>
        <v>212</v>
      </c>
      <c r="O177" t="s">
        <v>211</v>
      </c>
      <c r="P177" t="s">
        <v>961</v>
      </c>
    </row>
    <row r="178" spans="1:16" x14ac:dyDescent="0.4">
      <c r="B178" t="s">
        <v>216</v>
      </c>
      <c r="K178" s="33"/>
      <c r="M178"/>
      <c r="N178"/>
      <c r="P178">
        <f>SUBTOTAL(103,ProjTextTable[text])</f>
        <v>176</v>
      </c>
    </row>
  </sheetData>
  <conditionalFormatting sqref="A2:P177">
    <cfRule type="expression" dxfId="2"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heetViews>
  <sheetFormatPr defaultRowHeight="14.6" x14ac:dyDescent="0.4"/>
  <cols>
    <col min="1" max="1" width="9.3046875" customWidth="1"/>
    <col min="2" max="2" width="38.3828125" customWidth="1"/>
    <col min="3" max="3" width="11.3828125" customWidth="1"/>
    <col min="4" max="4" width="5.3828125" customWidth="1"/>
    <col min="6" max="8" width="5.84375" style="33" customWidth="1"/>
    <col min="9" max="9" width="3.3046875" style="33" customWidth="1"/>
    <col min="10" max="10" width="3.53515625" style="33" customWidth="1"/>
    <col min="11" max="11" width="13.53515625" customWidth="1"/>
    <col min="12" max="12" width="3.84375" customWidth="1"/>
    <col min="13" max="14" width="7.3828125" hidden="1" customWidth="1"/>
    <col min="15" max="15" width="5.3828125" customWidth="1"/>
    <col min="16" max="16" width="11" customWidth="1"/>
    <col min="17" max="17" width="14.3046875" style="24" customWidth="1"/>
    <col min="18" max="18" width="5.3046875" style="42" customWidth="1"/>
    <col min="19" max="19" width="4.53515625" style="42" customWidth="1"/>
    <col min="20" max="20" width="11.84375" customWidth="1"/>
    <col min="21" max="21" width="4.3828125" customWidth="1"/>
    <col min="22" max="22" width="3.69140625" customWidth="1"/>
    <col min="23" max="23" width="8.69140625" style="33" customWidth="1"/>
    <col min="24" max="24" width="3.69140625" customWidth="1"/>
    <col min="25" max="25" width="9.3046875" style="33"/>
    <col min="26" max="26" width="9.53515625" style="33"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67" t="s">
        <v>348</v>
      </c>
      <c r="T1" s="43" t="s">
        <v>262</v>
      </c>
      <c r="AF1" s="43" t="s">
        <v>255</v>
      </c>
      <c r="AG1" s="43"/>
      <c r="AH1" s="43"/>
      <c r="AI1" s="43"/>
      <c r="AJ1" s="43"/>
      <c r="AK1" s="43"/>
      <c r="AL1" s="44" t="s">
        <v>256</v>
      </c>
      <c r="AM1" s="43"/>
      <c r="AN1" s="43"/>
      <c r="AO1" s="43"/>
      <c r="AP1" s="45" t="s">
        <v>254</v>
      </c>
      <c r="AQ1" s="43"/>
      <c r="AR1" s="43"/>
      <c r="AS1" s="43"/>
      <c r="AT1" s="43"/>
      <c r="AU1" s="43"/>
      <c r="AV1" s="43" t="s">
        <v>257</v>
      </c>
    </row>
    <row r="2" spans="1:48" x14ac:dyDescent="0.4">
      <c r="A2" t="s">
        <v>351</v>
      </c>
      <c r="B2" t="s">
        <v>352</v>
      </c>
      <c r="F2"/>
      <c r="G2"/>
      <c r="H2"/>
      <c r="I2"/>
      <c r="J2"/>
      <c r="Q2"/>
      <c r="R2"/>
      <c r="S2"/>
      <c r="W2"/>
      <c r="Y2"/>
      <c r="Z2"/>
      <c r="AL2"/>
      <c r="AP2"/>
    </row>
    <row r="3" spans="1:48" x14ac:dyDescent="0.4">
      <c r="A3" t="s">
        <v>275</v>
      </c>
      <c r="B3" t="s">
        <v>353</v>
      </c>
      <c r="F3"/>
      <c r="G3"/>
      <c r="H3"/>
      <c r="I3"/>
      <c r="J3"/>
      <c r="Q3"/>
      <c r="R3"/>
      <c r="S3"/>
      <c r="W3"/>
      <c r="Y3"/>
      <c r="Z3"/>
      <c r="AL3"/>
      <c r="AP3"/>
    </row>
    <row r="4" spans="1:48" x14ac:dyDescent="0.4">
      <c r="A4" t="s">
        <v>354</v>
      </c>
      <c r="B4" t="s">
        <v>355</v>
      </c>
      <c r="F4"/>
      <c r="G4"/>
      <c r="H4"/>
      <c r="I4"/>
      <c r="J4"/>
      <c r="Q4"/>
      <c r="R4"/>
      <c r="S4"/>
      <c r="W4"/>
      <c r="Y4"/>
      <c r="Z4"/>
      <c r="AL4"/>
      <c r="AP4"/>
    </row>
    <row r="5" spans="1:48" x14ac:dyDescent="0.4">
      <c r="A5" t="s">
        <v>356</v>
      </c>
      <c r="B5" t="s">
        <v>357</v>
      </c>
      <c r="F5"/>
      <c r="G5"/>
      <c r="H5"/>
      <c r="I5"/>
      <c r="J5"/>
      <c r="Q5"/>
      <c r="R5"/>
      <c r="S5"/>
      <c r="W5"/>
      <c r="Y5"/>
      <c r="Z5"/>
      <c r="AL5"/>
      <c r="AP5"/>
    </row>
    <row r="6" spans="1:48" x14ac:dyDescent="0.4">
      <c r="A6" t="s">
        <v>358</v>
      </c>
      <c r="B6" t="s">
        <v>359</v>
      </c>
      <c r="F6"/>
      <c r="G6"/>
      <c r="H6"/>
      <c r="I6"/>
      <c r="J6"/>
      <c r="Q6"/>
      <c r="R6"/>
      <c r="S6"/>
      <c r="W6"/>
      <c r="Y6"/>
      <c r="Z6"/>
      <c r="AL6"/>
      <c r="AP6"/>
    </row>
    <row r="7" spans="1:48" x14ac:dyDescent="0.4">
      <c r="A7" t="s">
        <v>360</v>
      </c>
      <c r="B7" t="s">
        <v>361</v>
      </c>
      <c r="F7"/>
      <c r="G7"/>
      <c r="H7"/>
      <c r="I7"/>
      <c r="J7"/>
      <c r="Q7"/>
      <c r="R7"/>
      <c r="S7"/>
      <c r="W7"/>
      <c r="Y7"/>
      <c r="Z7"/>
      <c r="AL7"/>
      <c r="AP7"/>
    </row>
    <row r="8" spans="1:48" x14ac:dyDescent="0.4">
      <c r="A8" t="s">
        <v>362</v>
      </c>
      <c r="B8" t="s">
        <v>363</v>
      </c>
      <c r="F8"/>
      <c r="G8"/>
      <c r="H8"/>
      <c r="I8"/>
      <c r="J8"/>
      <c r="Q8"/>
      <c r="R8"/>
      <c r="S8"/>
      <c r="W8"/>
      <c r="Y8"/>
      <c r="Z8"/>
      <c r="AL8"/>
      <c r="AP8"/>
    </row>
    <row r="9" spans="1:48" x14ac:dyDescent="0.4">
      <c r="A9" t="s">
        <v>364</v>
      </c>
      <c r="B9" t="s">
        <v>365</v>
      </c>
      <c r="F9"/>
      <c r="G9"/>
      <c r="H9"/>
      <c r="I9"/>
      <c r="J9"/>
      <c r="Q9"/>
      <c r="R9"/>
      <c r="S9"/>
      <c r="W9"/>
      <c r="Y9"/>
      <c r="Z9"/>
      <c r="AL9"/>
      <c r="AP9"/>
    </row>
    <row r="10" spans="1:48" x14ac:dyDescent="0.4">
      <c r="I10"/>
      <c r="J10"/>
      <c r="Q10"/>
      <c r="R10"/>
      <c r="S10"/>
      <c r="W10"/>
      <c r="Y10"/>
      <c r="Z10"/>
      <c r="AL10"/>
      <c r="AP10"/>
    </row>
    <row r="11" spans="1:48" x14ac:dyDescent="0.4">
      <c r="I11"/>
      <c r="J11"/>
      <c r="Q11"/>
      <c r="R11"/>
      <c r="S11"/>
      <c r="W11"/>
      <c r="Y11"/>
      <c r="Z11"/>
      <c r="AL11"/>
      <c r="AP11"/>
    </row>
    <row r="12" spans="1:48" x14ac:dyDescent="0.4">
      <c r="I12"/>
      <c r="J12"/>
      <c r="Q12"/>
      <c r="R12"/>
      <c r="S12"/>
      <c r="W12"/>
      <c r="Y12"/>
      <c r="Z12"/>
      <c r="AL12"/>
      <c r="AP12"/>
    </row>
    <row r="13" spans="1:48" x14ac:dyDescent="0.4">
      <c r="I13"/>
      <c r="J13"/>
      <c r="Q13"/>
      <c r="R13"/>
      <c r="S13"/>
      <c r="W13"/>
      <c r="Y13"/>
      <c r="Z13"/>
      <c r="AL13"/>
      <c r="AP13"/>
    </row>
    <row r="14" spans="1:48" x14ac:dyDescent="0.4">
      <c r="I14"/>
      <c r="J14"/>
      <c r="Q14"/>
      <c r="R14"/>
      <c r="S14"/>
      <c r="W14"/>
      <c r="Y14"/>
      <c r="Z14"/>
      <c r="AL14"/>
      <c r="AP14"/>
    </row>
    <row r="15" spans="1:48" x14ac:dyDescent="0.4">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topLeftCell="A13" workbookViewId="0">
      <selection activeCell="I43" sqref="I43"/>
    </sheetView>
  </sheetViews>
  <sheetFormatPr defaultRowHeight="14.6" x14ac:dyDescent="0.4"/>
  <cols>
    <col min="1" max="1" width="10.3828125" style="6" customWidth="1"/>
    <col min="2" max="2" width="16.3046875" customWidth="1"/>
    <col min="3" max="3" width="3.3046875" style="5" customWidth="1"/>
    <col min="4" max="4" width="15.69140625" style="25"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4" t="s">
        <v>322</v>
      </c>
      <c r="H1" s="3" t="s">
        <v>259</v>
      </c>
      <c r="M1" s="20" t="s">
        <v>103</v>
      </c>
    </row>
    <row r="2" spans="1:13" ht="16" customHeight="1" x14ac:dyDescent="0.4">
      <c r="A2" s="9"/>
      <c r="H2" t="s">
        <v>260</v>
      </c>
      <c r="J2" s="32"/>
      <c r="M2" s="19" t="s">
        <v>104</v>
      </c>
    </row>
    <row r="3" spans="1:13" ht="16" customHeight="1" x14ac:dyDescent="0.4">
      <c r="J3" s="32"/>
      <c r="M3" s="19" t="s">
        <v>99</v>
      </c>
    </row>
    <row r="4" spans="1:13" ht="16" customHeight="1" x14ac:dyDescent="0.4">
      <c r="B4" s="4"/>
      <c r="C4" s="16"/>
      <c r="E4" s="4"/>
      <c r="F4" s="32"/>
      <c r="J4" s="32"/>
      <c r="M4" s="19" t="s">
        <v>105</v>
      </c>
    </row>
    <row r="5" spans="1:13" ht="16" customHeight="1" x14ac:dyDescent="0.4">
      <c r="E5" s="4"/>
      <c r="F5" s="32"/>
      <c r="J5" s="32"/>
      <c r="M5" s="19" t="s">
        <v>100</v>
      </c>
    </row>
    <row r="6" spans="1:13" ht="16" customHeight="1" x14ac:dyDescent="0.4">
      <c r="E6" s="4"/>
      <c r="F6" s="32"/>
      <c r="H6" t="s">
        <v>263</v>
      </c>
      <c r="J6" s="33"/>
      <c r="M6" s="19" t="s">
        <v>106</v>
      </c>
    </row>
    <row r="7" spans="1:13" ht="16" customHeight="1" x14ac:dyDescent="0.4">
      <c r="E7" s="4"/>
      <c r="F7" s="32"/>
      <c r="I7" s="26" t="s">
        <v>264</v>
      </c>
      <c r="J7" s="26"/>
      <c r="K7" s="7" t="s">
        <v>218</v>
      </c>
      <c r="M7" s="19" t="s">
        <v>107</v>
      </c>
    </row>
    <row r="8" spans="1:13" ht="16" customHeight="1" x14ac:dyDescent="0.4">
      <c r="E8" s="4"/>
      <c r="F8" s="46"/>
      <c r="I8" s="26" t="s">
        <v>265</v>
      </c>
      <c r="J8" s="26"/>
      <c r="K8" s="7" t="s">
        <v>219</v>
      </c>
      <c r="M8" s="19" t="s">
        <v>101</v>
      </c>
    </row>
    <row r="9" spans="1:13" ht="16" customHeight="1" x14ac:dyDescent="0.4">
      <c r="E9" s="4"/>
      <c r="F9" s="33"/>
      <c r="H9" s="3" t="s">
        <v>147</v>
      </c>
      <c r="M9" s="19" t="s">
        <v>108</v>
      </c>
    </row>
    <row r="10" spans="1:13" ht="18.45" x14ac:dyDescent="0.4">
      <c r="A10" s="50"/>
      <c r="B10" s="87" t="s">
        <v>321</v>
      </c>
      <c r="C10" s="87"/>
      <c r="D10" s="87"/>
      <c r="E10" s="51"/>
      <c r="H10" s="3" t="s">
        <v>148</v>
      </c>
      <c r="K10" s="6"/>
      <c r="M10" s="19" t="s">
        <v>109</v>
      </c>
    </row>
    <row r="11" spans="1:13" ht="15.9" x14ac:dyDescent="0.4">
      <c r="A11" s="52"/>
      <c r="B11" s="53" t="s">
        <v>295</v>
      </c>
      <c r="C11" s="53"/>
      <c r="D11" s="53" t="s">
        <v>296</v>
      </c>
      <c r="E11" s="53"/>
      <c r="H11" s="3" t="s">
        <v>258</v>
      </c>
      <c r="K11" s="6"/>
      <c r="M11" s="19" t="s">
        <v>97</v>
      </c>
    </row>
    <row r="12" spans="1:13" ht="20.149999999999999" customHeight="1" x14ac:dyDescent="0.4">
      <c r="B12" s="54" t="s">
        <v>297</v>
      </c>
      <c r="C12" s="54"/>
      <c r="D12" s="63" t="s">
        <v>313</v>
      </c>
      <c r="E12" s="55" t="s">
        <v>314</v>
      </c>
      <c r="K12" s="6"/>
      <c r="M12" s="19" t="s">
        <v>110</v>
      </c>
    </row>
    <row r="13" spans="1:13" ht="20.149999999999999" customHeight="1" x14ac:dyDescent="0.4">
      <c r="B13" s="54" t="s">
        <v>308</v>
      </c>
      <c r="C13" s="54"/>
      <c r="D13" s="56" t="s">
        <v>350</v>
      </c>
      <c r="E13" s="57"/>
      <c r="K13" s="6"/>
      <c r="M13" s="19" t="s">
        <v>111</v>
      </c>
    </row>
    <row r="14" spans="1:13" ht="20.149999999999999" customHeight="1" x14ac:dyDescent="0.4">
      <c r="B14" s="54" t="s">
        <v>302</v>
      </c>
      <c r="C14" s="54"/>
      <c r="D14" s="56" t="s">
        <v>303</v>
      </c>
      <c r="E14" s="57"/>
      <c r="I14" s="27" t="s">
        <v>146</v>
      </c>
      <c r="K14" s="6"/>
      <c r="M14" s="19" t="s">
        <v>112</v>
      </c>
    </row>
    <row r="15" spans="1:13" ht="20.149999999999999" customHeight="1" x14ac:dyDescent="0.4">
      <c r="B15" s="54" t="s">
        <v>298</v>
      </c>
      <c r="C15" s="54"/>
      <c r="D15" s="56" t="s">
        <v>317</v>
      </c>
      <c r="E15" s="57"/>
      <c r="G15" s="23"/>
      <c r="I15" s="27" t="s">
        <v>183</v>
      </c>
      <c r="K15" s="6"/>
      <c r="M15" s="19" t="s">
        <v>113</v>
      </c>
    </row>
    <row r="16" spans="1:13" ht="20.149999999999999" customHeight="1" x14ac:dyDescent="0.4">
      <c r="B16" s="54" t="s">
        <v>299</v>
      </c>
      <c r="C16" s="54"/>
      <c r="D16" s="58" t="s">
        <v>316</v>
      </c>
      <c r="E16" s="59"/>
      <c r="G16" s="23"/>
      <c r="I16" s="27" t="s">
        <v>224</v>
      </c>
      <c r="K16" s="6"/>
      <c r="M16" s="19" t="s">
        <v>114</v>
      </c>
    </row>
    <row r="17" spans="2:13" ht="20.149999999999999" customHeight="1" x14ac:dyDescent="0.4">
      <c r="B17" s="54" t="s">
        <v>300</v>
      </c>
      <c r="C17" s="54"/>
      <c r="D17" s="56" t="s">
        <v>315</v>
      </c>
      <c r="E17" s="57"/>
      <c r="G17" s="23"/>
      <c r="I17" s="27" t="s">
        <v>225</v>
      </c>
      <c r="K17" s="6"/>
      <c r="M17" s="19" t="s">
        <v>115</v>
      </c>
    </row>
    <row r="18" spans="2:13" ht="20.149999999999999" customHeight="1" x14ac:dyDescent="0.4">
      <c r="B18" s="54" t="s">
        <v>301</v>
      </c>
      <c r="C18" s="54"/>
      <c r="D18" s="56" t="s">
        <v>319</v>
      </c>
      <c r="E18" s="57"/>
      <c r="I18" s="27" t="s">
        <v>184</v>
      </c>
      <c r="K18" s="6"/>
      <c r="M18" s="19" t="s">
        <v>116</v>
      </c>
    </row>
    <row r="19" spans="2:13" ht="20.149999999999999" customHeight="1" x14ac:dyDescent="0.4">
      <c r="B19" s="54" t="s">
        <v>304</v>
      </c>
      <c r="C19" s="54"/>
      <c r="D19" s="56" t="s">
        <v>181</v>
      </c>
      <c r="E19" s="57"/>
      <c r="I19" s="27" t="s">
        <v>187</v>
      </c>
      <c r="K19" s="6"/>
      <c r="M19" s="19" t="s">
        <v>117</v>
      </c>
    </row>
    <row r="20" spans="2:13" ht="20.149999999999999" customHeight="1" x14ac:dyDescent="0.4">
      <c r="B20" s="54" t="s">
        <v>305</v>
      </c>
      <c r="C20" s="54"/>
      <c r="D20" s="56" t="s">
        <v>320</v>
      </c>
      <c r="E20" s="57"/>
      <c r="I20" s="27" t="s">
        <v>186</v>
      </c>
      <c r="K20" s="6"/>
      <c r="M20" s="19" t="s">
        <v>118</v>
      </c>
    </row>
    <row r="21" spans="2:13" ht="20.149999999999999" customHeight="1" x14ac:dyDescent="0.4">
      <c r="B21" s="54" t="s">
        <v>306</v>
      </c>
      <c r="C21" s="54"/>
      <c r="D21" s="56" t="s">
        <v>307</v>
      </c>
      <c r="E21" s="57"/>
      <c r="I21" s="27" t="s">
        <v>190</v>
      </c>
      <c r="K21" s="6"/>
      <c r="M21" s="19" t="s">
        <v>119</v>
      </c>
    </row>
    <row r="22" spans="2:13" ht="20.149999999999999" customHeight="1" x14ac:dyDescent="0.4">
      <c r="B22" s="54" t="s">
        <v>309</v>
      </c>
      <c r="C22" s="54"/>
      <c r="D22" s="56" t="s">
        <v>310</v>
      </c>
      <c r="E22" s="57"/>
      <c r="K22" s="6"/>
      <c r="M22" s="19" t="s">
        <v>120</v>
      </c>
    </row>
    <row r="23" spans="2:13" ht="20.149999999999999" customHeight="1" x14ac:dyDescent="0.4">
      <c r="B23" s="54" t="s">
        <v>311</v>
      </c>
      <c r="C23" s="54"/>
      <c r="D23" s="56" t="s">
        <v>312</v>
      </c>
      <c r="E23" s="57"/>
      <c r="M23" s="19" t="s">
        <v>121</v>
      </c>
    </row>
    <row r="24" spans="2:13" ht="20.149999999999999" customHeight="1" x14ac:dyDescent="0.4">
      <c r="B24" s="60"/>
      <c r="C24" s="60"/>
      <c r="D24" s="61"/>
      <c r="E24" s="62"/>
      <c r="M24" s="19" t="s">
        <v>98</v>
      </c>
    </row>
    <row r="25" spans="2:13" ht="20.149999999999999" customHeight="1" x14ac:dyDescent="0.4">
      <c r="B25" s="3"/>
      <c r="C25" s="3"/>
      <c r="D25" s="3"/>
      <c r="E25" s="3"/>
      <c r="M25" s="19" t="s">
        <v>122</v>
      </c>
    </row>
    <row r="26" spans="2:13" ht="20.149999999999999" customHeight="1" x14ac:dyDescent="0.4">
      <c r="C26"/>
      <c r="D26"/>
      <c r="M26" s="19" t="s">
        <v>123</v>
      </c>
    </row>
    <row r="27" spans="2:13" x14ac:dyDescent="0.4">
      <c r="C27"/>
      <c r="D27"/>
      <c r="H27" s="5"/>
      <c r="I27" s="25"/>
      <c r="M27" s="19" t="s">
        <v>124</v>
      </c>
    </row>
    <row r="28" spans="2:13" x14ac:dyDescent="0.4">
      <c r="B28" s="27"/>
      <c r="C28"/>
      <c r="D28" s="27"/>
      <c r="E28" s="27"/>
      <c r="H28" s="5"/>
      <c r="I28" s="25"/>
      <c r="M28" s="19" t="s">
        <v>125</v>
      </c>
    </row>
    <row r="29" spans="2:13" x14ac:dyDescent="0.4">
      <c r="B29" s="27"/>
      <c r="C29"/>
      <c r="D29" s="27"/>
      <c r="E29" s="27"/>
      <c r="G29" s="12"/>
      <c r="H29" s="5"/>
      <c r="I29" s="25"/>
      <c r="M29" s="19" t="s">
        <v>126</v>
      </c>
    </row>
    <row r="30" spans="2:13" x14ac:dyDescent="0.4">
      <c r="B30" s="27"/>
      <c r="C30"/>
      <c r="D30" s="27"/>
      <c r="G30" s="12"/>
      <c r="H30" s="5"/>
      <c r="I30" s="25"/>
      <c r="M30" s="19" t="s">
        <v>127</v>
      </c>
    </row>
    <row r="31" spans="2:13" x14ac:dyDescent="0.4">
      <c r="B31" s="27"/>
      <c r="C31"/>
      <c r="D31" s="27"/>
    </row>
    <row r="32" spans="2:13" ht="16" customHeight="1" x14ac:dyDescent="0.4">
      <c r="B32" s="27"/>
      <c r="C32"/>
      <c r="D32" s="27"/>
    </row>
    <row r="33" spans="2:4" x14ac:dyDescent="0.4">
      <c r="B33" s="27"/>
      <c r="C33"/>
      <c r="D33" s="27"/>
    </row>
    <row r="34" spans="2:4" x14ac:dyDescent="0.4">
      <c r="B34" s="27"/>
      <c r="C34"/>
      <c r="D34" s="27"/>
    </row>
    <row r="35" spans="2:4" x14ac:dyDescent="0.4">
      <c r="B35" s="27"/>
      <c r="C35"/>
      <c r="D35" s="27"/>
    </row>
    <row r="36" spans="2:4" x14ac:dyDescent="0.4">
      <c r="B36" s="27"/>
      <c r="C36" s="46"/>
      <c r="D36" s="27"/>
    </row>
    <row r="37" spans="2:4" x14ac:dyDescent="0.4">
      <c r="B37" s="27"/>
      <c r="C37"/>
      <c r="D37" s="27"/>
    </row>
    <row r="38" spans="2:4" x14ac:dyDescent="0.4">
      <c r="B38" s="27"/>
      <c r="C38"/>
      <c r="D38" s="27"/>
    </row>
    <row r="39" spans="2:4" x14ac:dyDescent="0.4">
      <c r="B39" s="27"/>
      <c r="C39"/>
      <c r="D39" s="27"/>
    </row>
    <row r="40" spans="2:4" x14ac:dyDescent="0.4">
      <c r="B40" s="27"/>
      <c r="C40"/>
      <c r="D40" s="27"/>
    </row>
    <row r="41" spans="2:4" x14ac:dyDescent="0.4">
      <c r="B41" s="27"/>
      <c r="C41"/>
      <c r="D41" s="27"/>
    </row>
    <row r="42" spans="2:4" x14ac:dyDescent="0.4">
      <c r="B42" s="27"/>
      <c r="C42"/>
      <c r="D42" s="27"/>
    </row>
    <row r="43" spans="2:4" x14ac:dyDescent="0.4">
      <c r="B43" s="27"/>
      <c r="C43"/>
      <c r="D43" s="27"/>
    </row>
    <row r="44" spans="2:4" x14ac:dyDescent="0.4">
      <c r="B44" s="27"/>
      <c r="C44"/>
      <c r="D44" s="27"/>
    </row>
    <row r="45" spans="2:4" x14ac:dyDescent="0.4">
      <c r="B45" s="27"/>
      <c r="C45"/>
      <c r="D45" s="27"/>
    </row>
    <row r="46" spans="2:4" x14ac:dyDescent="0.4">
      <c r="B46" s="27"/>
      <c r="C46"/>
      <c r="D46" s="27"/>
    </row>
    <row r="47" spans="2:4" x14ac:dyDescent="0.4">
      <c r="D47" s="27"/>
    </row>
  </sheetData>
  <mergeCells count="1">
    <mergeCell ref="B10:D10"/>
  </mergeCells>
  <conditionalFormatting sqref="D12:E23">
    <cfRule type="expression" dxfId="1"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A33"/>
  <sheetViews>
    <sheetView workbookViewId="0">
      <selection activeCell="R3" sqref="R3"/>
    </sheetView>
  </sheetViews>
  <sheetFormatPr defaultRowHeight="14.6" x14ac:dyDescent="0.4"/>
  <cols>
    <col min="1" max="1" width="9.3046875" customWidth="1"/>
    <col min="2" max="2" width="15.3828125" style="24" customWidth="1"/>
    <col min="3" max="3" width="15" style="24"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29"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3" customWidth="1"/>
    <col min="32" max="32" width="4.69140625" style="33" customWidth="1"/>
    <col min="33" max="33" width="4.15234375" style="33" customWidth="1"/>
    <col min="34" max="34" width="5.3828125" customWidth="1"/>
    <col min="35" max="35" width="9.3046875" customWidth="1"/>
    <col min="36" max="36" width="11.84375" style="29" customWidth="1"/>
    <col min="37" max="37" width="13.69140625" customWidth="1"/>
    <col min="38" max="38" width="19.84375" customWidth="1"/>
    <col min="39" max="40" width="13.15234375" style="35" customWidth="1"/>
    <col min="41" max="41" width="3.3046875" style="23" customWidth="1"/>
    <col min="42" max="42" width="8.69140625" style="23" customWidth="1"/>
    <col min="43" max="43" width="9.3046875" customWidth="1"/>
    <col min="44" max="44" width="9.15234375" style="23" customWidth="1"/>
    <col min="45" max="45" width="15.53515625" style="23" customWidth="1"/>
    <col min="46" max="46" width="20.15234375" style="23" customWidth="1"/>
    <col min="47" max="47" width="9.3828125" style="23" customWidth="1"/>
    <col min="48" max="48" width="3.69140625" style="23" customWidth="1"/>
    <col min="49" max="49" width="10.15234375" customWidth="1"/>
    <col min="50" max="50" width="41.84375" customWidth="1"/>
    <col min="51" max="51" width="3" style="23" customWidth="1"/>
    <col min="52" max="52" width="3" customWidth="1"/>
    <col min="53" max="54" width="3" style="23" customWidth="1"/>
    <col min="55" max="58" width="3" customWidth="1"/>
    <col min="59" max="60" width="3" style="30" customWidth="1"/>
    <col min="61" max="61" width="3" customWidth="1"/>
    <col min="62" max="62" width="3" style="23" customWidth="1"/>
    <col min="63" max="64" width="3" customWidth="1"/>
    <col min="65" max="65" width="25.53515625" customWidth="1"/>
    <col min="66" max="67" width="13.15234375" style="35" customWidth="1"/>
    <col min="68" max="68" width="3.53515625" customWidth="1"/>
    <col min="69" max="69" width="9.3828125" style="23" customWidth="1"/>
    <col min="70" max="70" width="3.53515625" customWidth="1"/>
    <col min="71" max="75" width="10" customWidth="1"/>
    <col min="76" max="76" width="10" style="29" customWidth="1"/>
    <col min="77" max="77" width="5" customWidth="1"/>
    <col min="78" max="78" width="10" customWidth="1"/>
    <col min="79" max="79" width="12.53515625" style="13" customWidth="1"/>
    <col min="80" max="80" width="9" customWidth="1"/>
    <col min="81" max="81" width="2.15234375" style="13"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29" customWidth="1"/>
    <col min="98" max="101" width="2.15234375" customWidth="1"/>
    <col min="102" max="102" width="2.15234375" style="5" customWidth="1"/>
    <col min="103" max="147" width="2.15234375" customWidth="1"/>
    <col min="148" max="149" width="5.53515625" customWidth="1"/>
  </cols>
  <sheetData>
    <row r="1" spans="1:131" ht="61.4" customHeight="1" x14ac:dyDescent="0.4">
      <c r="A1" s="5" t="s">
        <v>154</v>
      </c>
      <c r="B1" s="24" t="s">
        <v>7</v>
      </c>
      <c r="C1" s="24" t="s">
        <v>16</v>
      </c>
      <c r="D1" s="33" t="s">
        <v>87</v>
      </c>
      <c r="E1" t="s">
        <v>175</v>
      </c>
      <c r="F1" t="s">
        <v>173</v>
      </c>
      <c r="G1" s="2" t="s">
        <v>92</v>
      </c>
      <c r="H1" t="s">
        <v>8</v>
      </c>
      <c r="I1" t="s">
        <v>5</v>
      </c>
      <c r="J1" t="s">
        <v>4</v>
      </c>
      <c r="K1" t="s">
        <v>91</v>
      </c>
      <c r="L1" t="s">
        <v>17</v>
      </c>
      <c r="M1" s="49" t="s">
        <v>189</v>
      </c>
      <c r="N1" t="s">
        <v>23</v>
      </c>
      <c r="O1" s="28" t="s">
        <v>149</v>
      </c>
      <c r="P1" s="28" t="s">
        <v>191</v>
      </c>
      <c r="Q1" s="28" t="s">
        <v>150</v>
      </c>
      <c r="R1" s="28" t="s">
        <v>152</v>
      </c>
      <c r="S1" s="28" t="s">
        <v>151</v>
      </c>
      <c r="T1" t="s">
        <v>145</v>
      </c>
      <c r="U1" s="14" t="s">
        <v>156</v>
      </c>
      <c r="V1" s="33" t="s">
        <v>157</v>
      </c>
      <c r="W1" s="14" t="s">
        <v>161</v>
      </c>
      <c r="X1" s="14" t="s">
        <v>1</v>
      </c>
      <c r="Y1" s="14" t="s">
        <v>227</v>
      </c>
      <c r="Z1" s="14" t="s">
        <v>228</v>
      </c>
      <c r="AA1" s="14" t="s">
        <v>153</v>
      </c>
      <c r="AB1" s="14" t="s">
        <v>37</v>
      </c>
      <c r="AC1" s="29" t="s">
        <v>38</v>
      </c>
      <c r="AD1" t="s">
        <v>39</v>
      </c>
      <c r="AE1" t="s">
        <v>40</v>
      </c>
      <c r="AF1" s="35" t="s">
        <v>41</v>
      </c>
      <c r="AG1" s="35" t="s">
        <v>42</v>
      </c>
      <c r="AH1" s="23" t="s">
        <v>158</v>
      </c>
      <c r="AI1" s="23" t="s">
        <v>159</v>
      </c>
      <c r="AJ1" s="33" t="s">
        <v>160</v>
      </c>
      <c r="AK1" s="23" t="s">
        <v>24</v>
      </c>
      <c r="AL1" s="23" t="s">
        <v>27</v>
      </c>
      <c r="AM1" s="33" t="s">
        <v>26</v>
      </c>
      <c r="AN1" s="5" t="s">
        <v>163</v>
      </c>
      <c r="AO1" s="23" t="s">
        <v>25</v>
      </c>
      <c r="AP1" t="s">
        <v>164</v>
      </c>
      <c r="AQ1" s="23" t="s">
        <v>28</v>
      </c>
      <c r="AR1" s="13" t="s">
        <v>31</v>
      </c>
      <c r="AS1" s="23" t="s">
        <v>30</v>
      </c>
      <c r="AT1" s="33" t="s">
        <v>165</v>
      </c>
      <c r="AU1" s="23" t="s">
        <v>29</v>
      </c>
      <c r="AV1" s="33" t="s">
        <v>166</v>
      </c>
      <c r="AW1" t="s">
        <v>32</v>
      </c>
      <c r="AX1" s="30" t="s">
        <v>35</v>
      </c>
      <c r="AY1" t="s">
        <v>33</v>
      </c>
      <c r="AZ1" t="s">
        <v>34</v>
      </c>
      <c r="BA1" s="33" t="s">
        <v>167</v>
      </c>
      <c r="BB1" t="s">
        <v>168</v>
      </c>
      <c r="BC1" t="s">
        <v>36</v>
      </c>
      <c r="BD1" s="35" t="s">
        <v>21</v>
      </c>
      <c r="BE1" s="35" t="s">
        <v>22</v>
      </c>
      <c r="BF1" t="s">
        <v>169</v>
      </c>
      <c r="BG1" s="33" t="s">
        <v>19</v>
      </c>
      <c r="BH1" t="s">
        <v>20</v>
      </c>
      <c r="BI1" t="s">
        <v>3</v>
      </c>
      <c r="BJ1" t="s">
        <v>172</v>
      </c>
      <c r="BK1" t="s">
        <v>188</v>
      </c>
      <c r="BL1" t="s">
        <v>176</v>
      </c>
      <c r="BM1" t="s">
        <v>174</v>
      </c>
      <c r="BN1" t="s">
        <v>170</v>
      </c>
      <c r="BO1" t="s">
        <v>171</v>
      </c>
      <c r="BP1" s="13" t="s">
        <v>43</v>
      </c>
      <c r="BQ1" t="s">
        <v>44</v>
      </c>
      <c r="BR1" t="s">
        <v>45</v>
      </c>
      <c r="BS1" t="s">
        <v>46</v>
      </c>
      <c r="BT1" t="s">
        <v>47</v>
      </c>
      <c r="BU1" s="13" t="s">
        <v>48</v>
      </c>
      <c r="BV1" s="13" t="s">
        <v>49</v>
      </c>
      <c r="BW1" t="s">
        <v>50</v>
      </c>
      <c r="BX1" t="s">
        <v>51</v>
      </c>
      <c r="BY1" t="s">
        <v>52</v>
      </c>
      <c r="BZ1" t="s">
        <v>53</v>
      </c>
      <c r="CA1" s="13" t="s">
        <v>54</v>
      </c>
      <c r="CB1" s="13" t="s">
        <v>55</v>
      </c>
      <c r="CC1" t="s">
        <v>56</v>
      </c>
      <c r="CD1" t="s">
        <v>57</v>
      </c>
      <c r="CE1" t="s">
        <v>58</v>
      </c>
      <c r="CF1" t="s">
        <v>59</v>
      </c>
      <c r="CG1" s="13" t="s">
        <v>60</v>
      </c>
      <c r="CH1" s="13" t="s">
        <v>61</v>
      </c>
      <c r="CI1" t="s">
        <v>62</v>
      </c>
      <c r="CJ1" t="s">
        <v>63</v>
      </c>
      <c r="CK1" t="s">
        <v>64</v>
      </c>
      <c r="CL1" t="s">
        <v>65</v>
      </c>
      <c r="CM1" s="13" t="s">
        <v>66</v>
      </c>
      <c r="CN1" s="13" t="s">
        <v>67</v>
      </c>
      <c r="CO1" t="s">
        <v>68</v>
      </c>
      <c r="CP1" t="s">
        <v>69</v>
      </c>
      <c r="CQ1" t="s">
        <v>70</v>
      </c>
      <c r="CR1" t="s">
        <v>71</v>
      </c>
      <c r="CS1" s="13" t="s">
        <v>72</v>
      </c>
      <c r="CT1" s="13" t="s">
        <v>73</v>
      </c>
      <c r="CU1" t="s">
        <v>74</v>
      </c>
      <c r="CV1" t="s">
        <v>75</v>
      </c>
      <c r="CW1" t="s">
        <v>76</v>
      </c>
      <c r="CX1" t="s">
        <v>77</v>
      </c>
      <c r="CY1" t="s">
        <v>78</v>
      </c>
      <c r="CZ1" s="13" t="s">
        <v>79</v>
      </c>
      <c r="DA1" t="s">
        <v>80</v>
      </c>
      <c r="DB1" t="s">
        <v>81</v>
      </c>
      <c r="DC1" t="s">
        <v>82</v>
      </c>
      <c r="DD1" s="30" t="s">
        <v>83</v>
      </c>
      <c r="DE1" t="s">
        <v>84</v>
      </c>
      <c r="DF1" t="s">
        <v>85</v>
      </c>
      <c r="DG1" t="s">
        <v>155</v>
      </c>
      <c r="DH1" t="s">
        <v>86</v>
      </c>
      <c r="DI1" t="s">
        <v>612</v>
      </c>
      <c r="DJ1" t="s">
        <v>613</v>
      </c>
      <c r="DK1" t="s">
        <v>614</v>
      </c>
      <c r="DL1" t="s">
        <v>9</v>
      </c>
      <c r="DM1" t="s">
        <v>615</v>
      </c>
      <c r="DN1" t="s">
        <v>616</v>
      </c>
      <c r="DO1" t="s">
        <v>401</v>
      </c>
      <c r="DP1" t="s">
        <v>402</v>
      </c>
      <c r="DQ1" t="s">
        <v>617</v>
      </c>
      <c r="DR1" t="s">
        <v>618</v>
      </c>
      <c r="DS1" t="s">
        <v>619</v>
      </c>
      <c r="DT1" t="s">
        <v>620</v>
      </c>
      <c r="DU1" t="s">
        <v>621</v>
      </c>
      <c r="DV1" t="s">
        <v>622</v>
      </c>
      <c r="DW1" t="s">
        <v>623</v>
      </c>
      <c r="DX1" t="s">
        <v>624</v>
      </c>
      <c r="DY1" t="s">
        <v>625</v>
      </c>
      <c r="DZ1" t="s">
        <v>626</v>
      </c>
      <c r="EA1" t="s">
        <v>627</v>
      </c>
    </row>
    <row r="2" spans="1:131" hidden="1" x14ac:dyDescent="0.4">
      <c r="A2" s="33">
        <v>36526</v>
      </c>
      <c r="B2" s="24">
        <v>36526</v>
      </c>
      <c r="C2" s="24">
        <v>36526</v>
      </c>
      <c r="D2" s="33">
        <v>36526</v>
      </c>
      <c r="E2" t="s">
        <v>699</v>
      </c>
      <c r="F2" t="s">
        <v>700</v>
      </c>
      <c r="G2" t="s">
        <v>699</v>
      </c>
      <c r="H2" t="s">
        <v>697</v>
      </c>
      <c r="I2" t="s">
        <v>698</v>
      </c>
      <c r="J2" t="s">
        <v>699</v>
      </c>
      <c r="K2" t="s">
        <v>698</v>
      </c>
      <c r="L2" t="s">
        <v>696</v>
      </c>
      <c r="M2" s="29">
        <v>-0.99999998999999995</v>
      </c>
      <c r="N2">
        <v>4.5</v>
      </c>
      <c r="P2" t="str">
        <f>IFERROR(MID(RADataTable[[#This Row],[RATemplate]],1,LEN(RADataTable[[#This Row],[RATemplate]])-8),"RA") &amp; " " &amp; RADataTable[[#This Row],[prop_id0]] &amp; " " &amp; RADataTable[[#This Row],[last0]]</f>
        <v>RA 1234567 PI last name for format.</v>
      </c>
      <c r="T2">
        <v>0</v>
      </c>
      <c r="U2">
        <v>0</v>
      </c>
      <c r="V2" s="33">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699</v>
      </c>
      <c r="AB2" t="s">
        <v>702</v>
      </c>
      <c r="AC2" s="29" t="s">
        <v>709</v>
      </c>
      <c r="AD2" t="s">
        <v>710</v>
      </c>
      <c r="AE2" t="s">
        <v>711</v>
      </c>
      <c r="AF2" s="35">
        <v>99999999</v>
      </c>
      <c r="AG2" s="35">
        <v>99999999</v>
      </c>
      <c r="AH2" s="23">
        <v>0</v>
      </c>
      <c r="AI2" t="s">
        <v>226</v>
      </c>
      <c r="AJ2" s="33">
        <v>36526</v>
      </c>
      <c r="AK2" t="s">
        <v>705</v>
      </c>
      <c r="AL2" t="s">
        <v>706</v>
      </c>
      <c r="AM2" t="s">
        <v>707</v>
      </c>
      <c r="AN2" s="33">
        <v>36526</v>
      </c>
      <c r="AO2" s="23">
        <v>99</v>
      </c>
      <c r="AP2" t="s">
        <v>703</v>
      </c>
      <c r="AQ2" t="s">
        <v>705</v>
      </c>
      <c r="AR2" s="34" t="s">
        <v>706</v>
      </c>
      <c r="AS2" t="s">
        <v>707</v>
      </c>
      <c r="AT2" s="33">
        <v>36526</v>
      </c>
      <c r="AU2" s="23">
        <v>99</v>
      </c>
      <c r="AV2" s="33" t="s">
        <v>703</v>
      </c>
      <c r="AW2" t="s">
        <v>705</v>
      </c>
      <c r="AX2" s="33" t="s">
        <v>706</v>
      </c>
      <c r="AY2">
        <v>99</v>
      </c>
      <c r="AZ2" t="s">
        <v>707</v>
      </c>
      <c r="BA2" s="33">
        <v>36526</v>
      </c>
      <c r="BB2" t="s">
        <v>703</v>
      </c>
      <c r="BC2" t="s">
        <v>704</v>
      </c>
      <c r="BD2" s="35">
        <v>99999999</v>
      </c>
      <c r="BE2" s="35">
        <v>99999999</v>
      </c>
      <c r="BF2">
        <v>0</v>
      </c>
      <c r="BG2" s="33">
        <v>36526</v>
      </c>
      <c r="BH2">
        <v>36</v>
      </c>
      <c r="BI2" t="s">
        <v>713</v>
      </c>
      <c r="BJ2" t="s">
        <v>715</v>
      </c>
      <c r="BK2" t="s">
        <v>716</v>
      </c>
      <c r="BL2" t="s">
        <v>717</v>
      </c>
      <c r="BM2" s="8" t="s">
        <v>719</v>
      </c>
      <c r="BN2" t="s">
        <v>720</v>
      </c>
      <c r="BO2" t="s">
        <v>721</v>
      </c>
      <c r="BP2" s="34" t="s">
        <v>712</v>
      </c>
      <c r="BQ2" t="s">
        <v>702</v>
      </c>
      <c r="BR2" t="s">
        <v>709</v>
      </c>
      <c r="BS2" t="s">
        <v>710</v>
      </c>
      <c r="BT2" t="s">
        <v>711</v>
      </c>
      <c r="BU2" s="34">
        <v>99999999</v>
      </c>
      <c r="BV2" s="34">
        <v>99999999</v>
      </c>
      <c r="BW2" t="s">
        <v>712</v>
      </c>
      <c r="BX2" t="s">
        <v>702</v>
      </c>
      <c r="BY2" t="s">
        <v>709</v>
      </c>
      <c r="BZ2" t="s">
        <v>710</v>
      </c>
      <c r="CA2" s="34" t="s">
        <v>711</v>
      </c>
      <c r="CB2" s="34">
        <v>99999999</v>
      </c>
      <c r="CC2">
        <v>99999999</v>
      </c>
      <c r="CD2" t="s">
        <v>712</v>
      </c>
      <c r="CE2" t="s">
        <v>702</v>
      </c>
      <c r="CF2" t="s">
        <v>709</v>
      </c>
      <c r="CG2" s="34" t="s">
        <v>710</v>
      </c>
      <c r="CH2" s="34" t="s">
        <v>711</v>
      </c>
      <c r="CI2">
        <v>99999999</v>
      </c>
      <c r="CJ2">
        <v>99999999</v>
      </c>
      <c r="CK2" t="s">
        <v>712</v>
      </c>
      <c r="CL2" t="s">
        <v>702</v>
      </c>
      <c r="CM2" s="34" t="s">
        <v>709</v>
      </c>
      <c r="CN2" s="34" t="s">
        <v>710</v>
      </c>
      <c r="CO2" t="s">
        <v>711</v>
      </c>
      <c r="CP2">
        <v>99999999</v>
      </c>
      <c r="CQ2">
        <v>99999999</v>
      </c>
      <c r="CR2" t="s">
        <v>712</v>
      </c>
      <c r="CS2" s="34" t="s">
        <v>702</v>
      </c>
      <c r="CT2" s="34" t="s">
        <v>709</v>
      </c>
      <c r="CU2" t="s">
        <v>710</v>
      </c>
      <c r="CV2" t="s">
        <v>711</v>
      </c>
      <c r="CW2">
        <v>99999999</v>
      </c>
      <c r="CX2">
        <v>99999999</v>
      </c>
      <c r="CY2" t="s">
        <v>712</v>
      </c>
      <c r="CZ2" s="34" t="s">
        <v>702</v>
      </c>
      <c r="DA2" t="s">
        <v>709</v>
      </c>
      <c r="DB2" t="s">
        <v>710</v>
      </c>
      <c r="DC2" t="s">
        <v>711</v>
      </c>
      <c r="DD2" s="33">
        <v>99999999</v>
      </c>
      <c r="DE2">
        <v>99999999</v>
      </c>
      <c r="DF2" t="s">
        <v>712</v>
      </c>
      <c r="DG2" t="s">
        <v>722</v>
      </c>
      <c r="DH2" t="s">
        <v>723</v>
      </c>
      <c r="DI2" t="s">
        <v>701</v>
      </c>
      <c r="DJ2" t="s">
        <v>701</v>
      </c>
      <c r="DK2" t="s">
        <v>701</v>
      </c>
      <c r="DL2" t="s">
        <v>702</v>
      </c>
      <c r="DM2">
        <v>1</v>
      </c>
      <c r="DN2">
        <v>9</v>
      </c>
      <c r="DO2" t="s">
        <v>703</v>
      </c>
      <c r="DP2">
        <v>0</v>
      </c>
      <c r="DQ2" t="s">
        <v>708</v>
      </c>
      <c r="DR2">
        <v>0</v>
      </c>
      <c r="DS2">
        <v>0</v>
      </c>
      <c r="DT2" t="s">
        <v>708</v>
      </c>
      <c r="DU2">
        <v>0</v>
      </c>
      <c r="DV2">
        <v>0</v>
      </c>
      <c r="DW2" t="s">
        <v>708</v>
      </c>
      <c r="DX2">
        <v>0</v>
      </c>
      <c r="DY2">
        <v>0</v>
      </c>
      <c r="DZ2" t="s">
        <v>714</v>
      </c>
      <c r="EA2" t="s">
        <v>718</v>
      </c>
    </row>
    <row r="3" spans="1:131" x14ac:dyDescent="0.4">
      <c r="A3" s="33">
        <v>43072.901643518519</v>
      </c>
      <c r="B3" s="24">
        <v>42933.820138888892</v>
      </c>
      <c r="D3" s="33"/>
      <c r="E3" s="33" t="s">
        <v>181</v>
      </c>
      <c r="F3" s="33" t="s">
        <v>179</v>
      </c>
      <c r="G3" s="33" t="s">
        <v>94</v>
      </c>
      <c r="H3" t="s">
        <v>266</v>
      </c>
      <c r="I3" t="s">
        <v>231</v>
      </c>
      <c r="J3" t="s">
        <v>417</v>
      </c>
      <c r="K3" t="s">
        <v>418</v>
      </c>
      <c r="L3" t="s">
        <v>416</v>
      </c>
      <c r="M3" s="29">
        <v>1.01</v>
      </c>
      <c r="N3">
        <v>8</v>
      </c>
      <c r="P3" s="23" t="str">
        <f>IFERROR(MID(RADataTable[[#This Row],[RATemplate]],1,LEN(RADataTable[[#This Row],[RATemplate]])-8),"RA") &amp; " " &amp; RADataTable[[#This Row],[prop_id0]] &amp; " " &amp; RADataTable[[#This Row],[last0]]</f>
        <v>RA 1749609 Lee</v>
      </c>
      <c r="T3">
        <v>4</v>
      </c>
      <c r="U3">
        <v>4</v>
      </c>
      <c r="V3" s="33">
        <v>43031.375694444447</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yintat@uw.edu</v>
      </c>
      <c r="Z3" s="15" t="str">
        <f>HYPERLINK("mailto:"&amp;RADataTable[[#This Row],[allPIemail]]&amp;"&amp;subject=NSF Proposal:  "&amp;RADataTable[[#This Row],[Div]]&amp;" "&amp;RADataTable[[#This Row],[prop_id0]], "PIs@")</f>
        <v>PIs@</v>
      </c>
      <c r="AA3" t="s">
        <v>233</v>
      </c>
      <c r="AB3" t="s">
        <v>370</v>
      </c>
      <c r="AC3" s="29" t="s">
        <v>446</v>
      </c>
      <c r="AD3" t="s">
        <v>447</v>
      </c>
      <c r="AE3" t="s">
        <v>268</v>
      </c>
      <c r="AF3" s="35">
        <v>549841</v>
      </c>
      <c r="AG3" s="35">
        <v>549841</v>
      </c>
      <c r="AH3" s="23"/>
      <c r="AJ3" s="33"/>
      <c r="AK3" t="s">
        <v>628</v>
      </c>
      <c r="AL3" t="s">
        <v>269</v>
      </c>
      <c r="AM3" s="33" t="s">
        <v>630</v>
      </c>
      <c r="AN3" s="33">
        <v>43032</v>
      </c>
      <c r="AO3" s="23">
        <v>1</v>
      </c>
      <c r="AP3" t="s">
        <v>643</v>
      </c>
      <c r="AR3" s="34"/>
      <c r="AS3"/>
      <c r="AT3" s="33"/>
      <c r="AV3" s="33"/>
      <c r="AX3" s="33"/>
      <c r="AY3"/>
      <c r="BA3" s="33"/>
      <c r="BB3"/>
      <c r="BC3" t="s">
        <v>450</v>
      </c>
      <c r="BD3" s="35">
        <v>549841</v>
      </c>
      <c r="BE3" s="35">
        <v>549841</v>
      </c>
      <c r="BF3">
        <v>0</v>
      </c>
      <c r="BG3" s="33">
        <v>43175</v>
      </c>
      <c r="BH3">
        <v>60</v>
      </c>
      <c r="BI3" t="s">
        <v>270</v>
      </c>
      <c r="BJ3" t="s">
        <v>633</v>
      </c>
      <c r="BK3" t="s">
        <v>222</v>
      </c>
      <c r="BL3" t="s">
        <v>182</v>
      </c>
      <c r="BM3" s="8" t="s">
        <v>180</v>
      </c>
      <c r="BN3" t="s">
        <v>177</v>
      </c>
      <c r="BO3" t="s">
        <v>178</v>
      </c>
      <c r="BP3" s="34" t="s">
        <v>423</v>
      </c>
      <c r="BQ3"/>
      <c r="BU3" s="34"/>
      <c r="BV3" s="34"/>
      <c r="BX3"/>
      <c r="CA3" s="34"/>
      <c r="CB3" s="34"/>
      <c r="CC3"/>
      <c r="CG3" s="34"/>
      <c r="CH3" s="34"/>
      <c r="CK3"/>
      <c r="CM3" s="34"/>
      <c r="CN3" s="34"/>
      <c r="CQ3"/>
      <c r="CS3" s="34"/>
      <c r="CT3" s="34"/>
      <c r="CX3"/>
      <c r="CZ3" s="34"/>
      <c r="DD3" s="33"/>
      <c r="DG3" t="s">
        <v>448</v>
      </c>
      <c r="DH3" t="s">
        <v>644</v>
      </c>
      <c r="DI3" t="s">
        <v>267</v>
      </c>
      <c r="DL3" t="s">
        <v>370</v>
      </c>
      <c r="DM3">
        <v>6</v>
      </c>
      <c r="DN3">
        <v>9</v>
      </c>
      <c r="DO3" t="s">
        <v>449</v>
      </c>
      <c r="DQ3" t="s">
        <v>632</v>
      </c>
      <c r="DR3">
        <v>14</v>
      </c>
      <c r="DS3">
        <v>3</v>
      </c>
      <c r="DU3">
        <v>14</v>
      </c>
      <c r="DV3">
        <v>3</v>
      </c>
      <c r="DX3">
        <v>14</v>
      </c>
      <c r="DY3">
        <v>3</v>
      </c>
      <c r="DZ3" t="s">
        <v>234</v>
      </c>
      <c r="EA3" t="s">
        <v>634</v>
      </c>
    </row>
    <row r="4" spans="1:131" x14ac:dyDescent="0.4">
      <c r="A4" s="33">
        <v>43072.901643518519</v>
      </c>
      <c r="B4" s="24">
        <v>42935.488888888889</v>
      </c>
      <c r="D4" s="33"/>
      <c r="E4" s="33" t="s">
        <v>181</v>
      </c>
      <c r="F4" s="33" t="s">
        <v>179</v>
      </c>
      <c r="G4" s="33" t="s">
        <v>94</v>
      </c>
      <c r="H4" t="s">
        <v>266</v>
      </c>
      <c r="I4" t="s">
        <v>231</v>
      </c>
      <c r="J4" t="s">
        <v>417</v>
      </c>
      <c r="K4" t="s">
        <v>434</v>
      </c>
      <c r="L4" t="s">
        <v>416</v>
      </c>
      <c r="M4" s="29">
        <v>1.01</v>
      </c>
      <c r="N4">
        <v>7.5</v>
      </c>
      <c r="P4" s="23" t="str">
        <f>IFERROR(MID(RADataTable[[#This Row],[RATemplate]],1,LEN(RADataTable[[#This Row],[RATemplate]])-8),"RA") &amp; " " &amp; RADataTable[[#This Row],[prop_id0]] &amp; " " &amp; RADataTable[[#This Row],[last0]]</f>
        <v>RA 1750333 Ene</v>
      </c>
      <c r="T4">
        <v>4</v>
      </c>
      <c r="U4">
        <v>4</v>
      </c>
      <c r="V4" s="33">
        <v>43032.52847222222</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aene@bu.edu</v>
      </c>
      <c r="Z4" s="15" t="str">
        <f>HYPERLINK("mailto:"&amp;RADataTable[[#This Row],[allPIemail]]&amp;"&amp;subject=NSF Proposal:  "&amp;RADataTable[[#This Row],[Div]]&amp;" "&amp;RADataTable[[#This Row],[prop_id0]], "PIs@")</f>
        <v>PIs@</v>
      </c>
      <c r="AA4" t="s">
        <v>233</v>
      </c>
      <c r="AB4" t="s">
        <v>381</v>
      </c>
      <c r="AC4" s="29" t="s">
        <v>511</v>
      </c>
      <c r="AD4" t="s">
        <v>512</v>
      </c>
      <c r="AE4" t="s">
        <v>513</v>
      </c>
      <c r="AF4" s="35">
        <v>507423</v>
      </c>
      <c r="AG4" s="35">
        <v>507423</v>
      </c>
      <c r="AH4" s="23"/>
      <c r="AJ4" s="33"/>
      <c r="AK4" t="s">
        <v>628</v>
      </c>
      <c r="AL4" t="s">
        <v>269</v>
      </c>
      <c r="AM4" s="33" t="s">
        <v>630</v>
      </c>
      <c r="AN4" s="33">
        <v>43032</v>
      </c>
      <c r="AO4" s="23">
        <v>1</v>
      </c>
      <c r="AP4" t="s">
        <v>665</v>
      </c>
      <c r="AR4" s="34"/>
      <c r="AS4"/>
      <c r="AT4" s="33"/>
      <c r="AV4" s="33"/>
      <c r="AX4" s="33"/>
      <c r="AY4"/>
      <c r="BA4" s="33"/>
      <c r="BB4"/>
      <c r="BC4" t="s">
        <v>516</v>
      </c>
      <c r="BD4" s="35">
        <v>507423</v>
      </c>
      <c r="BE4" s="35">
        <v>507423</v>
      </c>
      <c r="BF4">
        <v>0</v>
      </c>
      <c r="BG4" s="33">
        <v>43101</v>
      </c>
      <c r="BH4">
        <v>60</v>
      </c>
      <c r="BI4" t="s">
        <v>270</v>
      </c>
      <c r="BJ4" t="s">
        <v>633</v>
      </c>
      <c r="BK4" t="s">
        <v>639</v>
      </c>
      <c r="BL4" t="s">
        <v>182</v>
      </c>
      <c r="BM4" s="8" t="s">
        <v>180</v>
      </c>
      <c r="BN4" t="s">
        <v>177</v>
      </c>
      <c r="BO4" t="s">
        <v>178</v>
      </c>
      <c r="BP4" s="34" t="s">
        <v>423</v>
      </c>
      <c r="BQ4"/>
      <c r="BU4" s="34"/>
      <c r="BV4" s="34"/>
      <c r="BX4"/>
      <c r="CA4" s="34"/>
      <c r="CB4" s="34"/>
      <c r="CC4"/>
      <c r="CG4" s="34"/>
      <c r="CH4" s="34"/>
      <c r="CK4"/>
      <c r="CM4" s="34"/>
      <c r="CN4" s="34"/>
      <c r="CQ4"/>
      <c r="CS4" s="34"/>
      <c r="CT4" s="34"/>
      <c r="CX4"/>
      <c r="CZ4" s="34"/>
      <c r="DD4" s="33"/>
      <c r="DG4" t="s">
        <v>514</v>
      </c>
      <c r="DH4" t="s">
        <v>666</v>
      </c>
      <c r="DI4" t="s">
        <v>267</v>
      </c>
      <c r="DL4" t="s">
        <v>381</v>
      </c>
      <c r="DM4">
        <v>5</v>
      </c>
      <c r="DN4">
        <v>9</v>
      </c>
      <c r="DO4" t="s">
        <v>515</v>
      </c>
      <c r="DQ4" t="s">
        <v>632</v>
      </c>
      <c r="DR4">
        <v>14</v>
      </c>
      <c r="DS4">
        <v>1</v>
      </c>
      <c r="DU4">
        <v>14</v>
      </c>
      <c r="DV4">
        <v>1</v>
      </c>
      <c r="DX4">
        <v>14</v>
      </c>
      <c r="DY4">
        <v>1</v>
      </c>
      <c r="DZ4" t="s">
        <v>234</v>
      </c>
      <c r="EA4" t="s">
        <v>634</v>
      </c>
    </row>
    <row r="5" spans="1:131" x14ac:dyDescent="0.4">
      <c r="A5" s="33">
        <v>43072.901643518519</v>
      </c>
      <c r="B5" s="24">
        <v>42956.581944444442</v>
      </c>
      <c r="D5" s="33"/>
      <c r="E5" s="33" t="s">
        <v>181</v>
      </c>
      <c r="F5" s="33" t="s">
        <v>179</v>
      </c>
      <c r="G5" s="33" t="s">
        <v>94</v>
      </c>
      <c r="H5" t="s">
        <v>561</v>
      </c>
      <c r="I5" t="s">
        <v>231</v>
      </c>
      <c r="J5" t="s">
        <v>562</v>
      </c>
      <c r="K5" t="s">
        <v>434</v>
      </c>
      <c r="L5" t="s">
        <v>560</v>
      </c>
      <c r="M5" s="29">
        <v>1.01</v>
      </c>
      <c r="N5">
        <v>7</v>
      </c>
      <c r="P5" s="23" t="str">
        <f>IFERROR(MID(RADataTable[[#This Row],[RATemplate]],1,LEN(RADataTable[[#This Row],[RATemplate]])-8),"RA") &amp; " " &amp; RADataTable[[#This Row],[prop_id0]] &amp; " " &amp; RADataTable[[#This Row],[last0]]</f>
        <v>RA 1755791 Goswami</v>
      </c>
      <c r="T5">
        <v>3</v>
      </c>
      <c r="U5">
        <v>3</v>
      </c>
      <c r="V5" s="33">
        <v>43031.369444444441</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Mayank.Goswami@qc.cuny.edu</v>
      </c>
      <c r="Z5" s="15" t="str">
        <f>HYPERLINK("mailto:"&amp;RADataTable[[#This Row],[allPIemail]]&amp;"&amp;subject=NSF Proposal:  "&amp;RADataTable[[#This Row],[Div]]&amp;" "&amp;RADataTable[[#This Row],[prop_id0]], "PIs@")</f>
        <v>PIs@</v>
      </c>
      <c r="AA5" t="s">
        <v>233</v>
      </c>
      <c r="AB5" t="s">
        <v>391</v>
      </c>
      <c r="AC5" s="29" t="s">
        <v>576</v>
      </c>
      <c r="AD5" t="s">
        <v>577</v>
      </c>
      <c r="AE5" t="s">
        <v>578</v>
      </c>
      <c r="AF5" s="35">
        <v>175000</v>
      </c>
      <c r="AG5" s="35">
        <v>175000</v>
      </c>
      <c r="AH5" s="23"/>
      <c r="AJ5" s="33"/>
      <c r="AK5" t="s">
        <v>628</v>
      </c>
      <c r="AL5" t="s">
        <v>269</v>
      </c>
      <c r="AM5" s="33" t="s">
        <v>630</v>
      </c>
      <c r="AN5" s="33">
        <v>43032</v>
      </c>
      <c r="AO5" s="23">
        <v>1</v>
      </c>
      <c r="AP5" t="s">
        <v>684</v>
      </c>
      <c r="AR5" s="34"/>
      <c r="AS5"/>
      <c r="AT5" s="33"/>
      <c r="AV5" s="33"/>
      <c r="AX5" s="33"/>
      <c r="AY5"/>
      <c r="BA5" s="33"/>
      <c r="BB5"/>
      <c r="BC5" t="s">
        <v>581</v>
      </c>
      <c r="BD5" s="35">
        <v>175000</v>
      </c>
      <c r="BE5" s="35">
        <v>175000</v>
      </c>
      <c r="BF5">
        <v>0</v>
      </c>
      <c r="BG5" s="33">
        <v>43344</v>
      </c>
      <c r="BH5">
        <v>24</v>
      </c>
      <c r="BI5" t="s">
        <v>679</v>
      </c>
      <c r="BJ5" t="s">
        <v>680</v>
      </c>
      <c r="BK5" t="s">
        <v>639</v>
      </c>
      <c r="BL5" t="s">
        <v>182</v>
      </c>
      <c r="BM5" s="8" t="s">
        <v>180</v>
      </c>
      <c r="BN5" t="s">
        <v>177</v>
      </c>
      <c r="BO5" t="s">
        <v>178</v>
      </c>
      <c r="BP5" s="34" t="s">
        <v>566</v>
      </c>
      <c r="BQ5"/>
      <c r="BU5" s="34"/>
      <c r="BV5" s="34"/>
      <c r="BX5"/>
      <c r="CA5" s="34"/>
      <c r="CB5" s="34"/>
      <c r="CC5"/>
      <c r="CG5" s="34"/>
      <c r="CH5" s="34"/>
      <c r="CK5"/>
      <c r="CM5" s="34"/>
      <c r="CN5" s="34"/>
      <c r="CQ5"/>
      <c r="CS5" s="34"/>
      <c r="CT5" s="34"/>
      <c r="CX5"/>
      <c r="CZ5" s="34"/>
      <c r="DD5" s="33"/>
      <c r="DG5" t="s">
        <v>579</v>
      </c>
      <c r="DH5" t="s">
        <v>685</v>
      </c>
      <c r="DI5" t="s">
        <v>267</v>
      </c>
      <c r="DL5" t="s">
        <v>391</v>
      </c>
      <c r="DM5">
        <v>7</v>
      </c>
      <c r="DN5">
        <v>7</v>
      </c>
      <c r="DO5" t="s">
        <v>580</v>
      </c>
      <c r="DQ5" t="s">
        <v>632</v>
      </c>
      <c r="DR5">
        <v>14</v>
      </c>
      <c r="DS5">
        <v>1</v>
      </c>
      <c r="DU5">
        <v>14</v>
      </c>
      <c r="DV5">
        <v>1</v>
      </c>
      <c r="DX5">
        <v>14</v>
      </c>
      <c r="DY5">
        <v>1</v>
      </c>
      <c r="DZ5" t="s">
        <v>234</v>
      </c>
      <c r="EA5" t="s">
        <v>634</v>
      </c>
    </row>
    <row r="6" spans="1:131" x14ac:dyDescent="0.4">
      <c r="A6" s="33">
        <v>43072.901643518519</v>
      </c>
      <c r="B6" s="24">
        <v>42956.621527777781</v>
      </c>
      <c r="D6" s="33"/>
      <c r="E6" s="33" t="s">
        <v>181</v>
      </c>
      <c r="F6" s="33" t="s">
        <v>179</v>
      </c>
      <c r="G6" s="33" t="s">
        <v>94</v>
      </c>
      <c r="H6" t="s">
        <v>561</v>
      </c>
      <c r="I6" t="s">
        <v>231</v>
      </c>
      <c r="J6" t="s">
        <v>562</v>
      </c>
      <c r="K6" t="s">
        <v>463</v>
      </c>
      <c r="L6" t="s">
        <v>560</v>
      </c>
      <c r="M6" s="29">
        <v>2.02</v>
      </c>
      <c r="N6">
        <v>6.333333333333333</v>
      </c>
      <c r="P6" s="23" t="str">
        <f>IFERROR(MID(RADataTable[[#This Row],[RATemplate]],1,LEN(RADataTable[[#This Row],[RATemplate]])-8),"RA") &amp; " " &amp; RADataTable[[#This Row],[prop_id0]] &amp; " " &amp; RADataTable[[#This Row],[last0]]</f>
        <v>RA 1755847 Sun</v>
      </c>
      <c r="T6">
        <v>3</v>
      </c>
      <c r="U6">
        <v>3</v>
      </c>
      <c r="V6" s="33">
        <v>43031.767361111109</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ruoyus@illinois.edu</v>
      </c>
      <c r="Z6" s="15" t="str">
        <f>HYPERLINK("mailto:"&amp;RADataTable[[#This Row],[allPIemail]]&amp;"&amp;subject=NSF Proposal:  "&amp;RADataTable[[#This Row],[Div]]&amp;" "&amp;RADataTable[[#This Row],[prop_id0]], "PIs@")</f>
        <v>PIs@</v>
      </c>
      <c r="AA6" t="s">
        <v>233</v>
      </c>
      <c r="AB6" t="s">
        <v>392</v>
      </c>
      <c r="AC6" s="29" t="s">
        <v>582</v>
      </c>
      <c r="AD6" t="s">
        <v>583</v>
      </c>
      <c r="AE6" t="s">
        <v>466</v>
      </c>
      <c r="AF6" s="35">
        <v>175000</v>
      </c>
      <c r="AG6" s="35">
        <v>175000</v>
      </c>
      <c r="AH6" s="23"/>
      <c r="AJ6" s="33"/>
      <c r="AK6" t="s">
        <v>628</v>
      </c>
      <c r="AL6" t="s">
        <v>220</v>
      </c>
      <c r="AM6" s="33" t="s">
        <v>630</v>
      </c>
      <c r="AN6" s="33">
        <v>43032</v>
      </c>
      <c r="AO6" s="23">
        <v>2</v>
      </c>
      <c r="AP6" t="s">
        <v>686</v>
      </c>
      <c r="AR6" s="34"/>
      <c r="AS6"/>
      <c r="AT6" s="33"/>
      <c r="AV6" s="33"/>
      <c r="AX6" s="33"/>
      <c r="AY6"/>
      <c r="BA6" s="33"/>
      <c r="BB6"/>
      <c r="BC6" t="s">
        <v>587</v>
      </c>
      <c r="BD6" s="35">
        <v>175000</v>
      </c>
      <c r="BE6" s="35">
        <v>175000</v>
      </c>
      <c r="BF6">
        <v>0</v>
      </c>
      <c r="BG6" s="33">
        <v>43282</v>
      </c>
      <c r="BH6">
        <v>24</v>
      </c>
      <c r="BI6" t="s">
        <v>679</v>
      </c>
      <c r="BJ6" t="s">
        <v>680</v>
      </c>
      <c r="BK6" t="s">
        <v>650</v>
      </c>
      <c r="BL6" t="s">
        <v>182</v>
      </c>
      <c r="BM6" s="8" t="s">
        <v>180</v>
      </c>
      <c r="BN6" t="s">
        <v>177</v>
      </c>
      <c r="BO6" t="s">
        <v>178</v>
      </c>
      <c r="BP6" s="34" t="s">
        <v>585</v>
      </c>
      <c r="BQ6"/>
      <c r="BU6" s="34"/>
      <c r="BV6" s="34"/>
      <c r="BX6"/>
      <c r="CA6" s="34"/>
      <c r="CB6" s="34"/>
      <c r="CC6"/>
      <c r="CG6" s="34"/>
      <c r="CH6" s="34"/>
      <c r="CK6"/>
      <c r="CM6" s="34"/>
      <c r="CN6" s="34"/>
      <c r="CQ6"/>
      <c r="CS6" s="34"/>
      <c r="CT6" s="34"/>
      <c r="CX6"/>
      <c r="CZ6" s="34"/>
      <c r="DD6" s="33"/>
      <c r="DG6" t="s">
        <v>584</v>
      </c>
      <c r="DH6" t="s">
        <v>687</v>
      </c>
      <c r="DI6" t="s">
        <v>221</v>
      </c>
      <c r="DL6" t="s">
        <v>392</v>
      </c>
      <c r="DM6">
        <v>6</v>
      </c>
      <c r="DN6">
        <v>7</v>
      </c>
      <c r="DO6" t="s">
        <v>586</v>
      </c>
      <c r="DQ6" t="s">
        <v>632</v>
      </c>
      <c r="DR6">
        <v>14</v>
      </c>
      <c r="DS6">
        <v>2</v>
      </c>
      <c r="DU6">
        <v>14</v>
      </c>
      <c r="DV6">
        <v>2</v>
      </c>
      <c r="DX6">
        <v>14</v>
      </c>
      <c r="DY6">
        <v>2</v>
      </c>
      <c r="DZ6" t="s">
        <v>234</v>
      </c>
      <c r="EA6" t="s">
        <v>634</v>
      </c>
    </row>
    <row r="7" spans="1:131" x14ac:dyDescent="0.4">
      <c r="A7" s="33">
        <v>43072.901643518519</v>
      </c>
      <c r="B7" s="24">
        <v>42933.713888888888</v>
      </c>
      <c r="D7" s="33"/>
      <c r="E7" s="33" t="s">
        <v>181</v>
      </c>
      <c r="F7" s="33" t="s">
        <v>179</v>
      </c>
      <c r="G7" s="33" t="s">
        <v>94</v>
      </c>
      <c r="H7" t="s">
        <v>266</v>
      </c>
      <c r="I7" t="s">
        <v>231</v>
      </c>
      <c r="J7" t="s">
        <v>417</v>
      </c>
      <c r="K7" t="s">
        <v>418</v>
      </c>
      <c r="L7" t="s">
        <v>416</v>
      </c>
      <c r="M7" s="29">
        <v>2.0299999999999998</v>
      </c>
      <c r="N7">
        <v>7</v>
      </c>
      <c r="P7" s="23" t="str">
        <f>IFERROR(MID(RADataTable[[#This Row],[RATemplate]],1,LEN(RADataTable[[#This Row],[RATemplate]])-8),"RA") &amp; " " &amp; RADataTable[[#This Row],[prop_id0]] &amp; " " &amp; RADataTable[[#This Row],[last0]]</f>
        <v>RA 1749563 Del Pia</v>
      </c>
      <c r="T7">
        <v>4</v>
      </c>
      <c r="U7">
        <v>4</v>
      </c>
      <c r="V7" s="33">
        <v>43031.584027777775</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delpia@wisc.edu</v>
      </c>
      <c r="Z7" s="15" t="str">
        <f>HYPERLINK("mailto:"&amp;RADataTable[[#This Row],[allPIemail]]&amp;"&amp;subject=NSF Proposal:  "&amp;RADataTable[[#This Row],[Div]]&amp;" "&amp;RADataTable[[#This Row],[prop_id0]], "PIs@")</f>
        <v>PIs@</v>
      </c>
      <c r="AA7" t="s">
        <v>233</v>
      </c>
      <c r="AB7" t="s">
        <v>369</v>
      </c>
      <c r="AC7" s="29" t="s">
        <v>441</v>
      </c>
      <c r="AD7" t="s">
        <v>442</v>
      </c>
      <c r="AE7" t="s">
        <v>271</v>
      </c>
      <c r="AF7" s="35">
        <v>500000</v>
      </c>
      <c r="AG7" s="35">
        <v>500000</v>
      </c>
      <c r="AH7" s="23"/>
      <c r="AJ7" s="33"/>
      <c r="AK7" t="s">
        <v>628</v>
      </c>
      <c r="AL7" t="s">
        <v>220</v>
      </c>
      <c r="AM7" s="33" t="s">
        <v>630</v>
      </c>
      <c r="AN7" s="33">
        <v>43032</v>
      </c>
      <c r="AO7" s="23">
        <v>3</v>
      </c>
      <c r="AP7" t="s">
        <v>641</v>
      </c>
      <c r="AR7" s="34"/>
      <c r="AS7"/>
      <c r="AT7" s="33"/>
      <c r="AV7" s="33"/>
      <c r="AX7" s="33"/>
      <c r="AY7"/>
      <c r="BA7" s="33"/>
      <c r="BB7"/>
      <c r="BC7" t="s">
        <v>445</v>
      </c>
      <c r="BD7" s="35">
        <v>500000</v>
      </c>
      <c r="BE7" s="35">
        <v>500000</v>
      </c>
      <c r="BF7">
        <v>0</v>
      </c>
      <c r="BG7" s="33">
        <v>43344</v>
      </c>
      <c r="BH7">
        <v>60</v>
      </c>
      <c r="BI7" t="s">
        <v>270</v>
      </c>
      <c r="BJ7" t="s">
        <v>633</v>
      </c>
      <c r="BK7" t="s">
        <v>222</v>
      </c>
      <c r="BL7" t="s">
        <v>182</v>
      </c>
      <c r="BM7" s="8" t="s">
        <v>180</v>
      </c>
      <c r="BN7" t="s">
        <v>177</v>
      </c>
      <c r="BO7" t="s">
        <v>178</v>
      </c>
      <c r="BP7" s="34" t="s">
        <v>423</v>
      </c>
      <c r="BQ7"/>
      <c r="BU7" s="34"/>
      <c r="BV7" s="34"/>
      <c r="BX7"/>
      <c r="CA7" s="34"/>
      <c r="CB7" s="34"/>
      <c r="CC7"/>
      <c r="CG7" s="34"/>
      <c r="CH7" s="34"/>
      <c r="CK7"/>
      <c r="CM7" s="34"/>
      <c r="CN7" s="34"/>
      <c r="CQ7"/>
      <c r="CS7" s="34"/>
      <c r="CT7" s="34"/>
      <c r="CX7"/>
      <c r="CZ7" s="34"/>
      <c r="DD7" s="33"/>
      <c r="DG7" t="s">
        <v>443</v>
      </c>
      <c r="DH7" t="s">
        <v>642</v>
      </c>
      <c r="DI7" t="s">
        <v>221</v>
      </c>
      <c r="DL7" t="s">
        <v>369</v>
      </c>
      <c r="DM7">
        <v>6</v>
      </c>
      <c r="DN7">
        <v>8</v>
      </c>
      <c r="DO7" t="s">
        <v>444</v>
      </c>
      <c r="DQ7" t="s">
        <v>632</v>
      </c>
      <c r="DR7">
        <v>14</v>
      </c>
      <c r="DS7">
        <v>0</v>
      </c>
      <c r="DU7">
        <v>14</v>
      </c>
      <c r="DV7">
        <v>0</v>
      </c>
      <c r="DX7">
        <v>14</v>
      </c>
      <c r="DY7">
        <v>0</v>
      </c>
      <c r="DZ7" t="s">
        <v>234</v>
      </c>
      <c r="EA7" t="s">
        <v>634</v>
      </c>
    </row>
    <row r="8" spans="1:131" x14ac:dyDescent="0.4">
      <c r="A8" s="33">
        <v>43072.901643518519</v>
      </c>
      <c r="B8" s="24">
        <v>42935.387499999997</v>
      </c>
      <c r="D8" s="33"/>
      <c r="E8" s="33" t="s">
        <v>181</v>
      </c>
      <c r="F8" s="33" t="s">
        <v>179</v>
      </c>
      <c r="G8" s="33" t="s">
        <v>94</v>
      </c>
      <c r="H8" t="s">
        <v>266</v>
      </c>
      <c r="I8" t="s">
        <v>231</v>
      </c>
      <c r="J8" t="s">
        <v>417</v>
      </c>
      <c r="K8" t="s">
        <v>434</v>
      </c>
      <c r="L8" t="s">
        <v>416</v>
      </c>
      <c r="M8" s="29">
        <v>2.0299999999999998</v>
      </c>
      <c r="N8">
        <v>7.75</v>
      </c>
      <c r="P8" s="23" t="str">
        <f>IFERROR(MID(RADataTable[[#This Row],[RATemplate]],1,LEN(RADataTable[[#This Row],[RATemplate]])-8),"RA") &amp; " " &amp; RADataTable[[#This Row],[prop_id0]] &amp; " " &amp; RADataTable[[#This Row],[last0]]</f>
        <v>RA 1750140 Panigrahi</v>
      </c>
      <c r="T8">
        <v>4</v>
      </c>
      <c r="U8">
        <v>4</v>
      </c>
      <c r="V8" s="33">
        <v>43032.520138888889</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debmalya.panigrahi@gmail.com</v>
      </c>
      <c r="Z8" s="15" t="str">
        <f>HYPERLINK("mailto:"&amp;RADataTable[[#This Row],[allPIemail]]&amp;"&amp;subject=NSF Proposal:  "&amp;RADataTable[[#This Row],[Div]]&amp;" "&amp;RADataTable[[#This Row],[prop_id0]], "PIs@")</f>
        <v>PIs@</v>
      </c>
      <c r="AA8" t="s">
        <v>233</v>
      </c>
      <c r="AB8" t="s">
        <v>379</v>
      </c>
      <c r="AC8" s="29" t="s">
        <v>500</v>
      </c>
      <c r="AD8" t="s">
        <v>501</v>
      </c>
      <c r="AE8" t="s">
        <v>502</v>
      </c>
      <c r="AF8" s="35">
        <v>602288</v>
      </c>
      <c r="AG8" s="35">
        <v>602288</v>
      </c>
      <c r="AH8" s="23"/>
      <c r="AJ8" s="33"/>
      <c r="AK8" t="s">
        <v>628</v>
      </c>
      <c r="AL8" t="s">
        <v>220</v>
      </c>
      <c r="AM8" s="33" t="s">
        <v>630</v>
      </c>
      <c r="AN8" s="33">
        <v>43032</v>
      </c>
      <c r="AO8" s="23">
        <v>3</v>
      </c>
      <c r="AP8" t="s">
        <v>282</v>
      </c>
      <c r="AR8" s="34"/>
      <c r="AS8"/>
      <c r="AT8" s="33"/>
      <c r="AV8" s="33"/>
      <c r="AX8" s="33"/>
      <c r="AY8"/>
      <c r="BA8" s="33"/>
      <c r="BB8"/>
      <c r="BC8" t="s">
        <v>505</v>
      </c>
      <c r="BD8" s="35">
        <v>602288</v>
      </c>
      <c r="BE8" s="35">
        <v>602288</v>
      </c>
      <c r="BF8">
        <v>0</v>
      </c>
      <c r="BG8" s="33">
        <v>43160</v>
      </c>
      <c r="BH8">
        <v>60</v>
      </c>
      <c r="BI8" t="s">
        <v>270</v>
      </c>
      <c r="BJ8" t="s">
        <v>633</v>
      </c>
      <c r="BK8" t="s">
        <v>639</v>
      </c>
      <c r="BL8" t="s">
        <v>182</v>
      </c>
      <c r="BM8" s="8" t="s">
        <v>180</v>
      </c>
      <c r="BN8" t="s">
        <v>177</v>
      </c>
      <c r="BO8" t="s">
        <v>178</v>
      </c>
      <c r="BP8" s="34" t="s">
        <v>423</v>
      </c>
      <c r="BQ8"/>
      <c r="BU8" s="34"/>
      <c r="BV8" s="34"/>
      <c r="BX8"/>
      <c r="CA8" s="34"/>
      <c r="CB8" s="34"/>
      <c r="CC8"/>
      <c r="CG8" s="34"/>
      <c r="CH8" s="34"/>
      <c r="CK8"/>
      <c r="CM8" s="34"/>
      <c r="CN8" s="34"/>
      <c r="CQ8"/>
      <c r="CS8" s="34"/>
      <c r="CT8" s="34"/>
      <c r="CX8"/>
      <c r="CZ8" s="34"/>
      <c r="DD8" s="33"/>
      <c r="DG8" t="s">
        <v>504</v>
      </c>
      <c r="DH8" t="s">
        <v>662</v>
      </c>
      <c r="DI8" t="s">
        <v>221</v>
      </c>
      <c r="DL8" t="s">
        <v>379</v>
      </c>
      <c r="DM8">
        <v>7</v>
      </c>
      <c r="DN8">
        <v>9</v>
      </c>
      <c r="DO8" t="s">
        <v>281</v>
      </c>
      <c r="DQ8" t="s">
        <v>632</v>
      </c>
      <c r="DR8">
        <v>14</v>
      </c>
      <c r="DS8">
        <v>2</v>
      </c>
      <c r="DU8">
        <v>14</v>
      </c>
      <c r="DV8">
        <v>2</v>
      </c>
      <c r="DX8">
        <v>14</v>
      </c>
      <c r="DY8">
        <v>2</v>
      </c>
      <c r="DZ8" t="s">
        <v>234</v>
      </c>
      <c r="EA8" t="s">
        <v>634</v>
      </c>
    </row>
    <row r="9" spans="1:131" x14ac:dyDescent="0.4">
      <c r="A9" s="33">
        <v>43072.901643518519</v>
      </c>
      <c r="B9" s="24">
        <v>42956.746527777781</v>
      </c>
      <c r="D9" s="33"/>
      <c r="E9" s="33" t="s">
        <v>181</v>
      </c>
      <c r="F9" s="33" t="s">
        <v>179</v>
      </c>
      <c r="G9" s="33" t="s">
        <v>94</v>
      </c>
      <c r="H9" t="s">
        <v>561</v>
      </c>
      <c r="I9" t="s">
        <v>231</v>
      </c>
      <c r="J9" t="s">
        <v>562</v>
      </c>
      <c r="K9" t="s">
        <v>434</v>
      </c>
      <c r="L9" t="s">
        <v>560</v>
      </c>
      <c r="M9" s="29">
        <v>2.0299999999999998</v>
      </c>
      <c r="N9">
        <v>6</v>
      </c>
      <c r="P9" s="23" t="str">
        <f>IFERROR(MID(RADataTable[[#This Row],[RATemplate]],1,LEN(RADataTable[[#This Row],[RATemplate]])-8),"RA") &amp; " " &amp; RADataTable[[#This Row],[prop_id0]] &amp; " " &amp; RADataTable[[#This Row],[last0]]</f>
        <v>RA 1756014 Chen</v>
      </c>
      <c r="T9">
        <v>3</v>
      </c>
      <c r="U9">
        <v>3</v>
      </c>
      <c r="V9" s="33">
        <v>43031.734027777777</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lchen49@central.uh.edu</v>
      </c>
      <c r="Z9" s="15" t="str">
        <f>HYPERLINK("mailto:"&amp;RADataTable[[#This Row],[allPIemail]]&amp;"&amp;subject=NSF Proposal:  "&amp;RADataTable[[#This Row],[Div]]&amp;" "&amp;RADataTable[[#This Row],[prop_id0]], "PIs@")</f>
        <v>PIs@</v>
      </c>
      <c r="AA9" t="s">
        <v>233</v>
      </c>
      <c r="AB9" t="s">
        <v>396</v>
      </c>
      <c r="AC9" s="29" t="s">
        <v>276</v>
      </c>
      <c r="AD9" t="s">
        <v>607</v>
      </c>
      <c r="AE9" t="s">
        <v>608</v>
      </c>
      <c r="AF9" s="35">
        <v>148477</v>
      </c>
      <c r="AG9" s="35">
        <v>148477</v>
      </c>
      <c r="AH9" s="23"/>
      <c r="AJ9" s="33"/>
      <c r="AK9" t="s">
        <v>628</v>
      </c>
      <c r="AL9" t="s">
        <v>220</v>
      </c>
      <c r="AM9" s="33" t="s">
        <v>630</v>
      </c>
      <c r="AN9" s="33">
        <v>43032</v>
      </c>
      <c r="AO9" s="23">
        <v>3</v>
      </c>
      <c r="AP9" t="s">
        <v>694</v>
      </c>
      <c r="AR9" s="34"/>
      <c r="AS9"/>
      <c r="AT9" s="33"/>
      <c r="AV9" s="33"/>
      <c r="AX9" s="33"/>
      <c r="AY9"/>
      <c r="BA9" s="33"/>
      <c r="BB9"/>
      <c r="BC9" t="s">
        <v>611</v>
      </c>
      <c r="BD9" s="35">
        <v>148477</v>
      </c>
      <c r="BE9" s="35">
        <v>148477</v>
      </c>
      <c r="BF9">
        <v>0</v>
      </c>
      <c r="BG9" s="33">
        <v>43252</v>
      </c>
      <c r="BH9">
        <v>24</v>
      </c>
      <c r="BI9" t="s">
        <v>679</v>
      </c>
      <c r="BJ9" t="s">
        <v>680</v>
      </c>
      <c r="BK9" t="s">
        <v>639</v>
      </c>
      <c r="BL9" t="s">
        <v>182</v>
      </c>
      <c r="BM9" s="8" t="s">
        <v>180</v>
      </c>
      <c r="BN9" t="s">
        <v>177</v>
      </c>
      <c r="BO9" t="s">
        <v>178</v>
      </c>
      <c r="BP9" s="34" t="s">
        <v>566</v>
      </c>
      <c r="BQ9"/>
      <c r="BU9" s="34"/>
      <c r="BV9" s="34"/>
      <c r="BX9"/>
      <c r="CA9" s="34"/>
      <c r="CB9" s="34"/>
      <c r="CC9"/>
      <c r="CG9" s="34"/>
      <c r="CH9" s="34"/>
      <c r="CK9"/>
      <c r="CM9" s="34"/>
      <c r="CN9" s="34"/>
      <c r="CQ9"/>
      <c r="CS9" s="34"/>
      <c r="CT9" s="34"/>
      <c r="CX9"/>
      <c r="CZ9" s="34"/>
      <c r="DD9" s="33"/>
      <c r="DG9" t="s">
        <v>609</v>
      </c>
      <c r="DH9" t="s">
        <v>695</v>
      </c>
      <c r="DI9" t="s">
        <v>221</v>
      </c>
      <c r="DL9" t="s">
        <v>396</v>
      </c>
      <c r="DM9">
        <v>5</v>
      </c>
      <c r="DN9">
        <v>7</v>
      </c>
      <c r="DO9" t="s">
        <v>610</v>
      </c>
      <c r="DQ9" t="s">
        <v>632</v>
      </c>
      <c r="DR9">
        <v>14</v>
      </c>
      <c r="DS9">
        <v>0</v>
      </c>
      <c r="DU9">
        <v>14</v>
      </c>
      <c r="DV9">
        <v>0</v>
      </c>
      <c r="DX9">
        <v>14</v>
      </c>
      <c r="DY9">
        <v>0</v>
      </c>
      <c r="DZ9" t="s">
        <v>234</v>
      </c>
      <c r="EA9" t="s">
        <v>634</v>
      </c>
    </row>
    <row r="10" spans="1:131" x14ac:dyDescent="0.4">
      <c r="A10" s="33">
        <v>43072.901643518519</v>
      </c>
      <c r="B10" s="24">
        <v>42935.374305555553</v>
      </c>
      <c r="D10" s="33"/>
      <c r="E10" s="33" t="s">
        <v>181</v>
      </c>
      <c r="F10" s="33" t="s">
        <v>179</v>
      </c>
      <c r="G10" s="33" t="s">
        <v>94</v>
      </c>
      <c r="H10" t="s">
        <v>266</v>
      </c>
      <c r="I10" t="s">
        <v>231</v>
      </c>
      <c r="J10" t="s">
        <v>417</v>
      </c>
      <c r="K10" t="s">
        <v>434</v>
      </c>
      <c r="L10" t="s">
        <v>416</v>
      </c>
      <c r="M10" s="29">
        <v>2.0499999999999998</v>
      </c>
      <c r="N10">
        <v>7</v>
      </c>
      <c r="P10" s="23" t="str">
        <f>IFERROR(MID(RADataTable[[#This Row],[RATemplate]],1,LEN(RADataTable[[#This Row],[RATemplate]])-8),"RA") &amp; " " &amp; RADataTable[[#This Row],[prop_id0]] &amp; " " &amp; RADataTable[[#This Row],[last0]]</f>
        <v>RA 1750127 Nagarajan</v>
      </c>
      <c r="T10">
        <v>4</v>
      </c>
      <c r="U10">
        <v>4</v>
      </c>
      <c r="V10" s="33">
        <v>43032.519444444442</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viswa@umich.edu</v>
      </c>
      <c r="Z10" s="15" t="str">
        <f>HYPERLINK("mailto:"&amp;RADataTable[[#This Row],[allPIemail]]&amp;"&amp;subject=NSF Proposal:  "&amp;RADataTable[[#This Row],[Div]]&amp;" "&amp;RADataTable[[#This Row],[prop_id0]], "PIs@")</f>
        <v>PIs@</v>
      </c>
      <c r="AA10" t="s">
        <v>233</v>
      </c>
      <c r="AB10" t="s">
        <v>378</v>
      </c>
      <c r="AC10" s="29" t="s">
        <v>493</v>
      </c>
      <c r="AD10" t="s">
        <v>494</v>
      </c>
      <c r="AE10" t="s">
        <v>495</v>
      </c>
      <c r="AF10" s="35">
        <v>524840</v>
      </c>
      <c r="AG10" s="35">
        <v>524840</v>
      </c>
      <c r="AH10" s="23"/>
      <c r="AJ10" s="33"/>
      <c r="AK10" t="s">
        <v>628</v>
      </c>
      <c r="AL10" t="s">
        <v>220</v>
      </c>
      <c r="AM10" s="33" t="s">
        <v>630</v>
      </c>
      <c r="AN10" s="33">
        <v>43032</v>
      </c>
      <c r="AO10" s="23">
        <v>5</v>
      </c>
      <c r="AP10" t="s">
        <v>660</v>
      </c>
      <c r="AR10" s="34"/>
      <c r="AS10"/>
      <c r="AT10" s="33"/>
      <c r="AV10" s="33"/>
      <c r="AX10" s="33"/>
      <c r="AY10"/>
      <c r="BA10" s="33"/>
      <c r="BB10"/>
      <c r="BC10" t="s">
        <v>499</v>
      </c>
      <c r="BD10" s="35">
        <v>524840</v>
      </c>
      <c r="BE10" s="35">
        <v>524840</v>
      </c>
      <c r="BF10">
        <v>0</v>
      </c>
      <c r="BG10" s="33">
        <v>43221</v>
      </c>
      <c r="BH10">
        <v>60</v>
      </c>
      <c r="BI10" t="s">
        <v>270</v>
      </c>
      <c r="BJ10" t="s">
        <v>633</v>
      </c>
      <c r="BK10" t="s">
        <v>639</v>
      </c>
      <c r="BL10" t="s">
        <v>182</v>
      </c>
      <c r="BM10" s="8" t="s">
        <v>180</v>
      </c>
      <c r="BN10" t="s">
        <v>177</v>
      </c>
      <c r="BO10" t="s">
        <v>178</v>
      </c>
      <c r="BP10" s="34" t="s">
        <v>275</v>
      </c>
      <c r="BQ10"/>
      <c r="BU10" s="34"/>
      <c r="BV10" s="34"/>
      <c r="BX10"/>
      <c r="CA10" s="34"/>
      <c r="CB10" s="34"/>
      <c r="CC10"/>
      <c r="CG10" s="34"/>
      <c r="CH10" s="34"/>
      <c r="CK10"/>
      <c r="CM10" s="34"/>
      <c r="CN10" s="34"/>
      <c r="CQ10"/>
      <c r="CS10" s="34"/>
      <c r="CT10" s="34"/>
      <c r="CX10"/>
      <c r="CZ10" s="34"/>
      <c r="DD10" s="33"/>
      <c r="DG10" t="s">
        <v>497</v>
      </c>
      <c r="DH10" t="s">
        <v>661</v>
      </c>
      <c r="DI10" t="s">
        <v>221</v>
      </c>
      <c r="DL10" t="s">
        <v>378</v>
      </c>
      <c r="DM10">
        <v>5</v>
      </c>
      <c r="DN10">
        <v>9</v>
      </c>
      <c r="DO10" t="s">
        <v>498</v>
      </c>
      <c r="DQ10" t="s">
        <v>632</v>
      </c>
      <c r="DR10">
        <v>14</v>
      </c>
      <c r="DS10">
        <v>0</v>
      </c>
      <c r="DU10">
        <v>14</v>
      </c>
      <c r="DV10">
        <v>0</v>
      </c>
      <c r="DX10">
        <v>14</v>
      </c>
      <c r="DY10">
        <v>0</v>
      </c>
      <c r="DZ10" t="s">
        <v>234</v>
      </c>
      <c r="EA10" t="s">
        <v>634</v>
      </c>
    </row>
    <row r="11" spans="1:131" x14ac:dyDescent="0.4">
      <c r="A11" s="33">
        <v>43072.901643518519</v>
      </c>
      <c r="B11" s="24">
        <v>42934.524305555555</v>
      </c>
      <c r="D11" s="33"/>
      <c r="E11" s="33" t="s">
        <v>181</v>
      </c>
      <c r="F11" s="33" t="s">
        <v>179</v>
      </c>
      <c r="G11" s="33" t="s">
        <v>94</v>
      </c>
      <c r="H11" t="s">
        <v>266</v>
      </c>
      <c r="I11" t="s">
        <v>231</v>
      </c>
      <c r="J11" t="s">
        <v>417</v>
      </c>
      <c r="K11" t="s">
        <v>463</v>
      </c>
      <c r="L11" t="s">
        <v>416</v>
      </c>
      <c r="M11" s="29">
        <v>2.06</v>
      </c>
      <c r="N11">
        <v>6.75</v>
      </c>
      <c r="P11" s="23" t="str">
        <f>IFERROR(MID(RADataTable[[#This Row],[RATemplate]],1,LEN(RADataTable[[#This Row],[RATemplate]])-8),"RA") &amp; " " &amp; RADataTable[[#This Row],[prop_id0]] &amp; " " &amp; RADataTable[[#This Row],[last0]]</f>
        <v>RA 1749748 Chandrasekaran</v>
      </c>
      <c r="T11">
        <v>4</v>
      </c>
      <c r="U11">
        <v>4</v>
      </c>
      <c r="V11" s="33">
        <v>43030.722916666666</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karthe@illinois.edu</v>
      </c>
      <c r="Z11" s="15" t="str">
        <f>HYPERLINK("mailto:"&amp;RADataTable[[#This Row],[allPIemail]]&amp;"&amp;subject=NSF Proposal:  "&amp;RADataTable[[#This Row],[Div]]&amp;" "&amp;RADataTable[[#This Row],[prop_id0]], "PIs@")</f>
        <v>PIs@</v>
      </c>
      <c r="AA11" t="s">
        <v>233</v>
      </c>
      <c r="AB11" t="s">
        <v>373</v>
      </c>
      <c r="AC11" s="29" t="s">
        <v>464</v>
      </c>
      <c r="AD11" t="s">
        <v>465</v>
      </c>
      <c r="AE11" t="s">
        <v>466</v>
      </c>
      <c r="AF11" s="35">
        <v>446040</v>
      </c>
      <c r="AG11" s="35">
        <v>446040</v>
      </c>
      <c r="AH11" s="23"/>
      <c r="AJ11" s="33"/>
      <c r="AK11" t="s">
        <v>628</v>
      </c>
      <c r="AL11" t="s">
        <v>220</v>
      </c>
      <c r="AM11" s="33" t="s">
        <v>630</v>
      </c>
      <c r="AN11" s="33">
        <v>43032</v>
      </c>
      <c r="AO11" s="23">
        <v>6</v>
      </c>
      <c r="AP11" t="s">
        <v>649</v>
      </c>
      <c r="AR11" s="34"/>
      <c r="AS11"/>
      <c r="AT11" s="33"/>
      <c r="AV11" s="33"/>
      <c r="AX11" s="33"/>
      <c r="AY11"/>
      <c r="BA11" s="33"/>
      <c r="BB11"/>
      <c r="BC11" t="s">
        <v>470</v>
      </c>
      <c r="BD11" s="35">
        <v>446040</v>
      </c>
      <c r="BE11" s="35">
        <v>446040</v>
      </c>
      <c r="BF11">
        <v>0</v>
      </c>
      <c r="BG11" s="33">
        <v>43115</v>
      </c>
      <c r="BH11">
        <v>60</v>
      </c>
      <c r="BI11" t="s">
        <v>270</v>
      </c>
      <c r="BJ11" t="s">
        <v>633</v>
      </c>
      <c r="BK11" t="s">
        <v>650</v>
      </c>
      <c r="BL11" t="s">
        <v>182</v>
      </c>
      <c r="BM11" s="8" t="s">
        <v>180</v>
      </c>
      <c r="BN11" t="s">
        <v>177</v>
      </c>
      <c r="BO11" t="s">
        <v>178</v>
      </c>
      <c r="BP11" s="34" t="s">
        <v>423</v>
      </c>
      <c r="BQ11"/>
      <c r="BU11" s="34"/>
      <c r="BV11" s="34"/>
      <c r="BX11"/>
      <c r="CA11" s="34"/>
      <c r="CB11" s="34"/>
      <c r="CC11"/>
      <c r="CG11" s="34"/>
      <c r="CH11" s="34"/>
      <c r="CK11"/>
      <c r="CM11" s="34"/>
      <c r="CN11" s="34"/>
      <c r="CQ11"/>
      <c r="CS11" s="34"/>
      <c r="CT11" s="34"/>
      <c r="CX11"/>
      <c r="CZ11" s="34"/>
      <c r="DD11" s="33"/>
      <c r="DG11" t="s">
        <v>468</v>
      </c>
      <c r="DH11" t="s">
        <v>651</v>
      </c>
      <c r="DI11" t="s">
        <v>221</v>
      </c>
      <c r="DL11" t="s">
        <v>373</v>
      </c>
      <c r="DM11">
        <v>5</v>
      </c>
      <c r="DN11">
        <v>8</v>
      </c>
      <c r="DO11" t="s">
        <v>469</v>
      </c>
      <c r="DQ11" t="s">
        <v>632</v>
      </c>
      <c r="DR11">
        <v>14</v>
      </c>
      <c r="DS11">
        <v>2</v>
      </c>
      <c r="DU11">
        <v>14</v>
      </c>
      <c r="DV11">
        <v>2</v>
      </c>
      <c r="DX11">
        <v>14</v>
      </c>
      <c r="DY11">
        <v>2</v>
      </c>
      <c r="DZ11" t="s">
        <v>234</v>
      </c>
      <c r="EA11" t="s">
        <v>634</v>
      </c>
    </row>
    <row r="12" spans="1:131" x14ac:dyDescent="0.4">
      <c r="A12" s="33">
        <v>43072.901643518519</v>
      </c>
      <c r="B12" s="24">
        <v>42934.507638888892</v>
      </c>
      <c r="D12" s="33"/>
      <c r="E12" s="33" t="s">
        <v>181</v>
      </c>
      <c r="F12" s="33" t="s">
        <v>179</v>
      </c>
      <c r="G12" s="33" t="s">
        <v>94</v>
      </c>
      <c r="H12" t="s">
        <v>266</v>
      </c>
      <c r="I12" t="s">
        <v>231</v>
      </c>
      <c r="J12" t="s">
        <v>417</v>
      </c>
      <c r="K12" t="s">
        <v>434</v>
      </c>
      <c r="L12" t="s">
        <v>416</v>
      </c>
      <c r="M12" s="29">
        <v>2.0699999999999998</v>
      </c>
      <c r="N12">
        <v>7.5</v>
      </c>
      <c r="P12" s="23" t="str">
        <f>IFERROR(MID(RADataTable[[#This Row],[RATemplate]],1,LEN(RADataTable[[#This Row],[RATemplate]])-8),"RA") &amp; " " &amp; RADataTable[[#This Row],[prop_id0]] &amp; " " &amp; RADataTable[[#This Row],[last0]]</f>
        <v>RA 1749734 Sidford</v>
      </c>
      <c r="T12">
        <v>4</v>
      </c>
      <c r="U12">
        <v>4</v>
      </c>
      <c r="V12" s="33">
        <v>43032.515277777777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sidford@stanford.edu</v>
      </c>
      <c r="Z12" s="15" t="str">
        <f>HYPERLINK("mailto:"&amp;RADataTable[[#This Row],[allPIemail]]&amp;"&amp;subject=NSF Proposal:  "&amp;RADataTable[[#This Row],[Div]]&amp;" "&amp;RADataTable[[#This Row],[prop_id0]], "PIs@")</f>
        <v>PIs@</v>
      </c>
      <c r="AA12" t="s">
        <v>233</v>
      </c>
      <c r="AB12" t="s">
        <v>372</v>
      </c>
      <c r="AC12" s="29" t="s">
        <v>457</v>
      </c>
      <c r="AD12" t="s">
        <v>458</v>
      </c>
      <c r="AE12" t="s">
        <v>459</v>
      </c>
      <c r="AF12" s="35">
        <v>500000</v>
      </c>
      <c r="AG12" s="35">
        <v>500000</v>
      </c>
      <c r="AH12" s="23"/>
      <c r="AJ12" s="33"/>
      <c r="AK12" t="s">
        <v>628</v>
      </c>
      <c r="AL12" t="s">
        <v>220</v>
      </c>
      <c r="AM12" s="33" t="s">
        <v>630</v>
      </c>
      <c r="AN12" s="33">
        <v>43032</v>
      </c>
      <c r="AO12" s="23">
        <v>7</v>
      </c>
      <c r="AP12" t="s">
        <v>647</v>
      </c>
      <c r="AR12" s="34"/>
      <c r="AS12"/>
      <c r="AT12" s="33"/>
      <c r="AV12" s="33"/>
      <c r="AX12" s="33"/>
      <c r="AY12"/>
      <c r="BA12" s="33"/>
      <c r="BB12"/>
      <c r="BC12" t="s">
        <v>462</v>
      </c>
      <c r="BD12" s="35">
        <v>500000</v>
      </c>
      <c r="BE12" s="35">
        <v>500000</v>
      </c>
      <c r="BF12">
        <v>0</v>
      </c>
      <c r="BG12" s="33">
        <v>43009</v>
      </c>
      <c r="BH12">
        <v>60</v>
      </c>
      <c r="BI12" t="s">
        <v>270</v>
      </c>
      <c r="BJ12" t="s">
        <v>633</v>
      </c>
      <c r="BK12" t="s">
        <v>639</v>
      </c>
      <c r="BL12" t="s">
        <v>182</v>
      </c>
      <c r="BM12" s="8" t="s">
        <v>180</v>
      </c>
      <c r="BN12" t="s">
        <v>177</v>
      </c>
      <c r="BO12" t="s">
        <v>178</v>
      </c>
      <c r="BP12" s="34" t="s">
        <v>275</v>
      </c>
      <c r="BQ12"/>
      <c r="BU12" s="34"/>
      <c r="BV12" s="34"/>
      <c r="BX12"/>
      <c r="CA12" s="34"/>
      <c r="CB12" s="34"/>
      <c r="CC12"/>
      <c r="CG12" s="34"/>
      <c r="CH12" s="34"/>
      <c r="CK12"/>
      <c r="CM12" s="34"/>
      <c r="CN12" s="34"/>
      <c r="CQ12"/>
      <c r="CS12" s="34"/>
      <c r="CT12" s="34"/>
      <c r="CX12"/>
      <c r="CZ12" s="34"/>
      <c r="DD12" s="33"/>
      <c r="DG12" t="s">
        <v>460</v>
      </c>
      <c r="DH12" t="s">
        <v>648</v>
      </c>
      <c r="DI12" t="s">
        <v>221</v>
      </c>
      <c r="DL12" t="s">
        <v>372</v>
      </c>
      <c r="DM12">
        <v>7</v>
      </c>
      <c r="DN12">
        <v>9</v>
      </c>
      <c r="DO12" t="s">
        <v>461</v>
      </c>
      <c r="DQ12" t="s">
        <v>632</v>
      </c>
      <c r="DR12">
        <v>14</v>
      </c>
      <c r="DS12">
        <v>1</v>
      </c>
      <c r="DU12">
        <v>14</v>
      </c>
      <c r="DV12">
        <v>1</v>
      </c>
      <c r="DX12">
        <v>14</v>
      </c>
      <c r="DY12">
        <v>1</v>
      </c>
      <c r="DZ12" t="s">
        <v>234</v>
      </c>
      <c r="EA12" t="s">
        <v>634</v>
      </c>
    </row>
    <row r="13" spans="1:131" x14ac:dyDescent="0.4">
      <c r="A13" s="33">
        <v>43072.901643518519</v>
      </c>
      <c r="B13" s="24">
        <v>42935.633333333331</v>
      </c>
      <c r="D13" s="33"/>
      <c r="E13" s="33" t="s">
        <v>181</v>
      </c>
      <c r="F13" s="33" t="s">
        <v>179</v>
      </c>
      <c r="G13" s="33" t="s">
        <v>94</v>
      </c>
      <c r="H13" t="s">
        <v>266</v>
      </c>
      <c r="I13" t="s">
        <v>231</v>
      </c>
      <c r="J13" t="s">
        <v>417</v>
      </c>
      <c r="K13" t="s">
        <v>418</v>
      </c>
      <c r="L13" t="s">
        <v>416</v>
      </c>
      <c r="M13" s="29">
        <v>2.0699999999999998</v>
      </c>
      <c r="N13">
        <v>7.5</v>
      </c>
      <c r="P13" s="23" t="str">
        <f>IFERROR(MID(RADataTable[[#This Row],[RATemplate]],1,LEN(RADataTable[[#This Row],[RATemplate]])-8),"RA") &amp; " " &amp; RADataTable[[#This Row],[prop_id0]] &amp; " " &amp; RADataTable[[#This Row],[last0]]</f>
        <v>RA 1750780 Raichel</v>
      </c>
      <c r="T13">
        <v>4</v>
      </c>
      <c r="U13">
        <v>4</v>
      </c>
      <c r="V13" s="33">
        <v>43030.181250000001</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Benjamin.Raichel@utdallas.edu</v>
      </c>
      <c r="Z13" s="15" t="str">
        <f>HYPERLINK("mailto:"&amp;RADataTable[[#This Row],[allPIemail]]&amp;"&amp;subject=NSF Proposal:  "&amp;RADataTable[[#This Row],[Div]]&amp;" "&amp;RADataTable[[#This Row],[prop_id0]], "PIs@")</f>
        <v>PIs@</v>
      </c>
      <c r="AA13" t="s">
        <v>233</v>
      </c>
      <c r="AB13" t="s">
        <v>383</v>
      </c>
      <c r="AC13" s="29" t="s">
        <v>524</v>
      </c>
      <c r="AD13" t="s">
        <v>272</v>
      </c>
      <c r="AE13" t="s">
        <v>525</v>
      </c>
      <c r="AF13" s="35">
        <v>582785</v>
      </c>
      <c r="AG13" s="35">
        <v>582785</v>
      </c>
      <c r="AH13" s="23"/>
      <c r="AJ13" s="33"/>
      <c r="AK13" t="s">
        <v>628</v>
      </c>
      <c r="AL13" t="s">
        <v>220</v>
      </c>
      <c r="AM13" t="s">
        <v>630</v>
      </c>
      <c r="AN13" s="33">
        <v>43032</v>
      </c>
      <c r="AO13" s="23">
        <v>7</v>
      </c>
      <c r="AP13" t="s">
        <v>647</v>
      </c>
      <c r="AR13" s="34"/>
      <c r="AS13"/>
      <c r="AT13" s="33"/>
      <c r="AV13" s="33"/>
      <c r="AX13" s="33"/>
      <c r="AY13"/>
      <c r="BA13" s="33"/>
      <c r="BB13"/>
      <c r="BC13" t="s">
        <v>528</v>
      </c>
      <c r="BD13" s="35">
        <v>582785</v>
      </c>
      <c r="BE13" s="35">
        <v>582785</v>
      </c>
      <c r="BF13">
        <v>0</v>
      </c>
      <c r="BG13" s="33">
        <v>43344</v>
      </c>
      <c r="BH13">
        <v>60</v>
      </c>
      <c r="BI13" t="s">
        <v>270</v>
      </c>
      <c r="BJ13" t="s">
        <v>633</v>
      </c>
      <c r="BK13" t="s">
        <v>222</v>
      </c>
      <c r="BL13" t="s">
        <v>182</v>
      </c>
      <c r="BM13" s="8" t="s">
        <v>180</v>
      </c>
      <c r="BN13" t="s">
        <v>177</v>
      </c>
      <c r="BO13" t="s">
        <v>178</v>
      </c>
      <c r="BP13" s="34" t="s">
        <v>431</v>
      </c>
      <c r="BQ13"/>
      <c r="BU13" s="34"/>
      <c r="BV13" s="34"/>
      <c r="BX13"/>
      <c r="CA13" s="34"/>
      <c r="CB13" s="34"/>
      <c r="CC13"/>
      <c r="CG13" s="34"/>
      <c r="CH13" s="34"/>
      <c r="CK13"/>
      <c r="CM13" s="34"/>
      <c r="CN13" s="34"/>
      <c r="CQ13"/>
      <c r="CS13" s="34"/>
      <c r="CT13" s="34"/>
      <c r="CX13"/>
      <c r="CZ13" s="34"/>
      <c r="DD13" s="33"/>
      <c r="DG13" t="s">
        <v>527</v>
      </c>
      <c r="DH13" t="s">
        <v>669</v>
      </c>
      <c r="DI13" t="s">
        <v>221</v>
      </c>
      <c r="DL13" t="s">
        <v>383</v>
      </c>
      <c r="DM13">
        <v>7</v>
      </c>
      <c r="DN13">
        <v>9</v>
      </c>
      <c r="DO13" t="s">
        <v>461</v>
      </c>
      <c r="DQ13" t="s">
        <v>632</v>
      </c>
      <c r="DR13">
        <v>14</v>
      </c>
      <c r="DS13">
        <v>1</v>
      </c>
      <c r="DU13">
        <v>14</v>
      </c>
      <c r="DV13">
        <v>1</v>
      </c>
      <c r="DX13">
        <v>14</v>
      </c>
      <c r="DY13">
        <v>1</v>
      </c>
      <c r="DZ13" t="s">
        <v>234</v>
      </c>
      <c r="EA13" t="s">
        <v>634</v>
      </c>
    </row>
    <row r="14" spans="1:131" x14ac:dyDescent="0.4">
      <c r="A14" s="33">
        <v>43072.901643518519</v>
      </c>
      <c r="B14" s="24">
        <v>42935.723611111112</v>
      </c>
      <c r="D14" s="33"/>
      <c r="E14" s="33" t="s">
        <v>181</v>
      </c>
      <c r="F14" s="33" t="s">
        <v>179</v>
      </c>
      <c r="G14" s="33" t="s">
        <v>94</v>
      </c>
      <c r="H14" t="s">
        <v>266</v>
      </c>
      <c r="I14" t="s">
        <v>231</v>
      </c>
      <c r="J14" t="s">
        <v>417</v>
      </c>
      <c r="K14" t="s">
        <v>463</v>
      </c>
      <c r="L14" t="s">
        <v>416</v>
      </c>
      <c r="M14" s="29">
        <v>2.09</v>
      </c>
      <c r="N14">
        <v>6.5</v>
      </c>
      <c r="P14" s="23" t="str">
        <f>IFERROR(MID(RADataTable[[#This Row],[RATemplate]],1,LEN(RADataTable[[#This Row],[RATemplate]])-8),"RA") &amp; " " &amp; RADataTable[[#This Row],[prop_id0]] &amp; " " &amp; RADataTable[[#This Row],[last0]]</f>
        <v>RA 1751254 Fasy</v>
      </c>
      <c r="T14">
        <v>4</v>
      </c>
      <c r="U14">
        <v>4</v>
      </c>
      <c r="V14" s="33">
        <v>43031.43472222222</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brittany@cs.montana.edu</v>
      </c>
      <c r="Z14" s="15" t="str">
        <f>HYPERLINK("mailto:"&amp;RADataTable[[#This Row],[allPIemail]]&amp;"&amp;subject=NSF Proposal:  "&amp;RADataTable[[#This Row],[Div]]&amp;" "&amp;RADataTable[[#This Row],[prop_id0]], "PIs@")</f>
        <v>PIs@</v>
      </c>
      <c r="AA14" t="s">
        <v>233</v>
      </c>
      <c r="AB14" t="s">
        <v>387</v>
      </c>
      <c r="AC14" s="29" t="s">
        <v>547</v>
      </c>
      <c r="AD14" t="s">
        <v>548</v>
      </c>
      <c r="AE14" t="s">
        <v>549</v>
      </c>
      <c r="AF14" s="35">
        <v>552355</v>
      </c>
      <c r="AG14" s="35">
        <v>552355</v>
      </c>
      <c r="AH14" s="23"/>
      <c r="AJ14" s="33"/>
      <c r="AK14" t="s">
        <v>628</v>
      </c>
      <c r="AL14" t="s">
        <v>220</v>
      </c>
      <c r="AM14" s="33" t="s">
        <v>630</v>
      </c>
      <c r="AN14" s="33">
        <v>43032</v>
      </c>
      <c r="AO14" s="23">
        <v>9</v>
      </c>
      <c r="AP14" t="s">
        <v>645</v>
      </c>
      <c r="AR14" s="34"/>
      <c r="AS14"/>
      <c r="AT14" s="33"/>
      <c r="AV14" s="33"/>
      <c r="AX14" s="33"/>
      <c r="AY14"/>
      <c r="BA14" s="33"/>
      <c r="BB14"/>
      <c r="BC14" t="s">
        <v>552</v>
      </c>
      <c r="BD14" s="35">
        <v>552355</v>
      </c>
      <c r="BE14" s="35">
        <v>552355</v>
      </c>
      <c r="BF14">
        <v>0</v>
      </c>
      <c r="BG14" s="33">
        <v>43344</v>
      </c>
      <c r="BH14">
        <v>60</v>
      </c>
      <c r="BI14" t="s">
        <v>270</v>
      </c>
      <c r="BJ14" t="s">
        <v>633</v>
      </c>
      <c r="BK14" t="s">
        <v>650</v>
      </c>
      <c r="BL14" t="s">
        <v>182</v>
      </c>
      <c r="BM14" s="8" t="s">
        <v>180</v>
      </c>
      <c r="BN14" t="s">
        <v>177</v>
      </c>
      <c r="BO14" t="s">
        <v>178</v>
      </c>
      <c r="BP14" s="34" t="s">
        <v>551</v>
      </c>
      <c r="BQ14"/>
      <c r="BU14" s="34"/>
      <c r="BV14" s="34"/>
      <c r="BX14"/>
      <c r="CA14" s="34"/>
      <c r="CB14" s="34"/>
      <c r="CC14"/>
      <c r="CG14" s="34"/>
      <c r="CH14" s="34"/>
      <c r="CK14"/>
      <c r="CM14" s="34"/>
      <c r="CN14" s="34"/>
      <c r="CQ14"/>
      <c r="CS14" s="34"/>
      <c r="CT14" s="34"/>
      <c r="CX14"/>
      <c r="CZ14" s="34"/>
      <c r="DD14" s="33"/>
      <c r="DG14" t="s">
        <v>550</v>
      </c>
      <c r="DH14" t="s">
        <v>675</v>
      </c>
      <c r="DI14" t="s">
        <v>221</v>
      </c>
      <c r="DL14" t="s">
        <v>387</v>
      </c>
      <c r="DM14">
        <v>5</v>
      </c>
      <c r="DN14">
        <v>7</v>
      </c>
      <c r="DO14" t="s">
        <v>455</v>
      </c>
      <c r="DQ14" t="s">
        <v>632</v>
      </c>
      <c r="DR14">
        <v>14</v>
      </c>
      <c r="DS14">
        <v>0</v>
      </c>
      <c r="DU14">
        <v>14</v>
      </c>
      <c r="DV14">
        <v>0</v>
      </c>
      <c r="DX14">
        <v>14</v>
      </c>
      <c r="DY14">
        <v>0</v>
      </c>
      <c r="DZ14" t="s">
        <v>234</v>
      </c>
      <c r="EA14" t="s">
        <v>634</v>
      </c>
    </row>
    <row r="15" spans="1:131" x14ac:dyDescent="0.4">
      <c r="A15" s="33">
        <v>43072.901643518519</v>
      </c>
      <c r="B15" s="24">
        <v>42934.453472222223</v>
      </c>
      <c r="D15" s="33"/>
      <c r="E15" s="33" t="s">
        <v>181</v>
      </c>
      <c r="F15" s="33" t="s">
        <v>179</v>
      </c>
      <c r="G15" s="33" t="s">
        <v>94</v>
      </c>
      <c r="H15" t="s">
        <v>266</v>
      </c>
      <c r="I15" t="s">
        <v>231</v>
      </c>
      <c r="J15" t="s">
        <v>417</v>
      </c>
      <c r="K15" t="s">
        <v>434</v>
      </c>
      <c r="L15" t="s">
        <v>416</v>
      </c>
      <c r="M15" s="29">
        <v>2.1</v>
      </c>
      <c r="N15">
        <v>6.5</v>
      </c>
      <c r="P15" s="23" t="str">
        <f>IFERROR(MID(RADataTable[[#This Row],[RATemplate]],1,LEN(RADataTable[[#This Row],[RATemplate]])-8),"RA") &amp; " " &amp; RADataTable[[#This Row],[prop_id0]] &amp; " " &amp; RADataTable[[#This Row],[last0]]</f>
        <v>RA 1749678 Im</v>
      </c>
      <c r="T15">
        <v>4</v>
      </c>
      <c r="U15">
        <v>4</v>
      </c>
      <c r="V15" s="33">
        <v>43032.518055555556</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sim3@ucmerced.edu</v>
      </c>
      <c r="Z15" s="15" t="str">
        <f>HYPERLINK("mailto:"&amp;RADataTable[[#This Row],[allPIemail]]&amp;"&amp;subject=NSF Proposal:  "&amp;RADataTable[[#This Row],[Div]]&amp;" "&amp;RADataTable[[#This Row],[prop_id0]], "PIs@")</f>
        <v>PIs@</v>
      </c>
      <c r="AA15" t="s">
        <v>233</v>
      </c>
      <c r="AB15" t="s">
        <v>371</v>
      </c>
      <c r="AC15" s="29" t="s">
        <v>451</v>
      </c>
      <c r="AD15" t="s">
        <v>452</v>
      </c>
      <c r="AE15" t="s">
        <v>453</v>
      </c>
      <c r="AF15" s="35">
        <v>514477</v>
      </c>
      <c r="AG15" s="35">
        <v>514477</v>
      </c>
      <c r="AH15" s="23"/>
      <c r="AJ15" s="33"/>
      <c r="AK15" t="s">
        <v>628</v>
      </c>
      <c r="AL15" t="s">
        <v>220</v>
      </c>
      <c r="AM15" s="33" t="s">
        <v>630</v>
      </c>
      <c r="AN15" s="33">
        <v>43032</v>
      </c>
      <c r="AO15" s="23">
        <v>10</v>
      </c>
      <c r="AP15" t="s">
        <v>645</v>
      </c>
      <c r="AR15" s="34"/>
      <c r="AS15"/>
      <c r="AT15" s="33"/>
      <c r="AV15" s="33"/>
      <c r="AX15" s="33"/>
      <c r="AY15"/>
      <c r="BA15" s="33"/>
      <c r="BB15"/>
      <c r="BC15" t="s">
        <v>456</v>
      </c>
      <c r="BD15" s="35">
        <v>514477</v>
      </c>
      <c r="BE15" s="35">
        <v>514477</v>
      </c>
      <c r="BF15">
        <v>0</v>
      </c>
      <c r="BG15" s="33">
        <v>43282</v>
      </c>
      <c r="BH15">
        <v>60</v>
      </c>
      <c r="BI15" t="s">
        <v>270</v>
      </c>
      <c r="BJ15" t="s">
        <v>633</v>
      </c>
      <c r="BK15" t="s">
        <v>639</v>
      </c>
      <c r="BL15" t="s">
        <v>182</v>
      </c>
      <c r="BM15" s="8" t="s">
        <v>180</v>
      </c>
      <c r="BN15" t="s">
        <v>177</v>
      </c>
      <c r="BO15" t="s">
        <v>178</v>
      </c>
      <c r="BP15" s="34" t="s">
        <v>423</v>
      </c>
      <c r="BQ15"/>
      <c r="BU15" s="34"/>
      <c r="BV15" s="34"/>
      <c r="BX15"/>
      <c r="CA15" s="34"/>
      <c r="CB15" s="34"/>
      <c r="CC15"/>
      <c r="CG15" s="34"/>
      <c r="CH15" s="34"/>
      <c r="CK15"/>
      <c r="CM15" s="34"/>
      <c r="CN15" s="34"/>
      <c r="CQ15"/>
      <c r="CS15" s="34"/>
      <c r="CT15" s="34"/>
      <c r="CX15"/>
      <c r="CZ15" s="34"/>
      <c r="DD15" s="33"/>
      <c r="DG15" t="s">
        <v>454</v>
      </c>
      <c r="DH15" t="s">
        <v>646</v>
      </c>
      <c r="DI15" t="s">
        <v>221</v>
      </c>
      <c r="DL15" t="s">
        <v>371</v>
      </c>
      <c r="DM15">
        <v>5</v>
      </c>
      <c r="DN15">
        <v>7</v>
      </c>
      <c r="DO15" t="s">
        <v>455</v>
      </c>
      <c r="DQ15" t="s">
        <v>632</v>
      </c>
      <c r="DR15">
        <v>14</v>
      </c>
      <c r="DS15">
        <v>0</v>
      </c>
      <c r="DU15">
        <v>14</v>
      </c>
      <c r="DV15">
        <v>0</v>
      </c>
      <c r="DX15">
        <v>14</v>
      </c>
      <c r="DY15">
        <v>0</v>
      </c>
      <c r="DZ15" t="s">
        <v>234</v>
      </c>
      <c r="EA15" t="s">
        <v>634</v>
      </c>
    </row>
    <row r="16" spans="1:131" x14ac:dyDescent="0.4">
      <c r="A16" s="33">
        <v>43072.901643518519</v>
      </c>
      <c r="B16" s="24">
        <v>42935.696527777778</v>
      </c>
      <c r="D16" s="33"/>
      <c r="E16" s="33" t="s">
        <v>181</v>
      </c>
      <c r="F16" s="33" t="s">
        <v>179</v>
      </c>
      <c r="G16" s="33" t="s">
        <v>94</v>
      </c>
      <c r="H16" t="s">
        <v>266</v>
      </c>
      <c r="I16" t="s">
        <v>231</v>
      </c>
      <c r="J16" t="s">
        <v>417</v>
      </c>
      <c r="K16" t="s">
        <v>418</v>
      </c>
      <c r="L16" t="s">
        <v>416</v>
      </c>
      <c r="M16" s="29">
        <v>2.1</v>
      </c>
      <c r="N16">
        <v>6.75</v>
      </c>
      <c r="P16" s="23" t="str">
        <f>IFERROR(MID(RADataTable[[#This Row],[RATemplate]],1,LEN(RADataTable[[#This Row],[RATemplate]])-8),"RA") &amp; " " &amp; RADataTable[[#This Row],[prop_id0]] &amp; " " &amp; RADataTable[[#This Row],[last0]]</f>
        <v>RA 1751135 Nayyeri</v>
      </c>
      <c r="T16">
        <v>4</v>
      </c>
      <c r="U16">
        <v>4</v>
      </c>
      <c r="V16" s="33">
        <v>43031.69027777778</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nayyeria@eecs.oregonstate.edu</v>
      </c>
      <c r="Z16" s="15" t="str">
        <f>HYPERLINK("mailto:"&amp;RADataTable[[#This Row],[allPIemail]]&amp;"&amp;subject=NSF Proposal:  "&amp;RADataTable[[#This Row],[Div]]&amp;" "&amp;RADataTable[[#This Row],[prop_id0]], "PIs@")</f>
        <v>PIs@</v>
      </c>
      <c r="AA16" t="s">
        <v>233</v>
      </c>
      <c r="AB16" t="s">
        <v>386</v>
      </c>
      <c r="AC16" s="29" t="s">
        <v>540</v>
      </c>
      <c r="AD16" t="s">
        <v>541</v>
      </c>
      <c r="AE16" t="s">
        <v>542</v>
      </c>
      <c r="AF16" s="35">
        <v>607459</v>
      </c>
      <c r="AG16" s="35">
        <v>607459</v>
      </c>
      <c r="AH16" s="23"/>
      <c r="AJ16" s="33"/>
      <c r="AK16" t="s">
        <v>628</v>
      </c>
      <c r="AL16" t="s">
        <v>220</v>
      </c>
      <c r="AM16" s="33" t="s">
        <v>630</v>
      </c>
      <c r="AN16" s="33">
        <v>43032</v>
      </c>
      <c r="AO16" s="23">
        <v>10</v>
      </c>
      <c r="AP16" t="s">
        <v>673</v>
      </c>
      <c r="AR16" s="34"/>
      <c r="AS16"/>
      <c r="AT16" s="33"/>
      <c r="AV16" s="33"/>
      <c r="AX16" s="33"/>
      <c r="AY16"/>
      <c r="BA16" s="33"/>
      <c r="BB16"/>
      <c r="BC16" t="s">
        <v>546</v>
      </c>
      <c r="BD16" s="35">
        <v>607459</v>
      </c>
      <c r="BE16" s="35">
        <v>607459</v>
      </c>
      <c r="BF16">
        <v>0</v>
      </c>
      <c r="BG16" s="33">
        <v>43344</v>
      </c>
      <c r="BH16">
        <v>60</v>
      </c>
      <c r="BI16" t="s">
        <v>270</v>
      </c>
      <c r="BJ16" t="s">
        <v>633</v>
      </c>
      <c r="BK16" t="s">
        <v>222</v>
      </c>
      <c r="BL16" t="s">
        <v>182</v>
      </c>
      <c r="BM16" s="8" t="s">
        <v>180</v>
      </c>
      <c r="BN16" t="s">
        <v>177</v>
      </c>
      <c r="BO16" t="s">
        <v>178</v>
      </c>
      <c r="BP16" s="34" t="s">
        <v>431</v>
      </c>
      <c r="BQ16"/>
      <c r="BU16" s="34"/>
      <c r="BV16" s="34"/>
      <c r="BX16"/>
      <c r="CA16" s="34"/>
      <c r="CB16" s="34"/>
      <c r="CC16"/>
      <c r="CG16" s="34"/>
      <c r="CH16" s="34"/>
      <c r="CK16"/>
      <c r="CM16" s="34"/>
      <c r="CN16" s="34"/>
      <c r="CQ16"/>
      <c r="CS16" s="34"/>
      <c r="CT16" s="34"/>
      <c r="CX16"/>
      <c r="CZ16" s="34"/>
      <c r="DD16" s="33"/>
      <c r="DG16" t="s">
        <v>544</v>
      </c>
      <c r="DH16" t="s">
        <v>674</v>
      </c>
      <c r="DI16" t="s">
        <v>221</v>
      </c>
      <c r="DL16" t="s">
        <v>386</v>
      </c>
      <c r="DM16">
        <v>6</v>
      </c>
      <c r="DN16">
        <v>7</v>
      </c>
      <c r="DO16" t="s">
        <v>545</v>
      </c>
      <c r="DQ16" t="s">
        <v>632</v>
      </c>
      <c r="DR16">
        <v>14</v>
      </c>
      <c r="DS16">
        <v>2</v>
      </c>
      <c r="DU16">
        <v>14</v>
      </c>
      <c r="DV16">
        <v>2</v>
      </c>
      <c r="DX16">
        <v>14</v>
      </c>
      <c r="DY16">
        <v>2</v>
      </c>
      <c r="DZ16" t="s">
        <v>234</v>
      </c>
      <c r="EA16" t="s">
        <v>634</v>
      </c>
    </row>
    <row r="17" spans="1:131" x14ac:dyDescent="0.4">
      <c r="A17" s="33">
        <v>43072.901643518519</v>
      </c>
      <c r="B17" s="24">
        <v>42935.69027777778</v>
      </c>
      <c r="D17" s="33"/>
      <c r="E17" s="33" t="s">
        <v>181</v>
      </c>
      <c r="F17" s="33" t="s">
        <v>179</v>
      </c>
      <c r="G17" s="33" t="s">
        <v>94</v>
      </c>
      <c r="H17" t="s">
        <v>266</v>
      </c>
      <c r="I17" t="s">
        <v>231</v>
      </c>
      <c r="J17" t="s">
        <v>417</v>
      </c>
      <c r="K17" t="s">
        <v>418</v>
      </c>
      <c r="L17" t="s">
        <v>416</v>
      </c>
      <c r="M17" s="29">
        <v>2.12</v>
      </c>
      <c r="N17">
        <v>6.5</v>
      </c>
      <c r="P17" s="23" t="str">
        <f>IFERROR(MID(RADataTable[[#This Row],[RATemplate]],1,LEN(RADataTable[[#This Row],[RATemplate]])-8),"RA") &amp; " " &amp; RADataTable[[#This Row],[prop_id0]] &amp; " " &amp; RADataTable[[#This Row],[last0]]</f>
        <v>RA 1751102 Vouga</v>
      </c>
      <c r="T17">
        <v>4</v>
      </c>
      <c r="U17">
        <v>4</v>
      </c>
      <c r="V17" s="33">
        <v>43031.392361111109</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evouga@cs.utexas.edu</v>
      </c>
      <c r="Z17" s="15" t="str">
        <f>HYPERLINK("mailto:"&amp;RADataTable[[#This Row],[allPIemail]]&amp;"&amp;subject=NSF Proposal:  "&amp;RADataTable[[#This Row],[Div]]&amp;" "&amp;RADataTable[[#This Row],[prop_id0]], "PIs@")</f>
        <v>PIs@</v>
      </c>
      <c r="AA17" t="s">
        <v>233</v>
      </c>
      <c r="AB17" t="s">
        <v>385</v>
      </c>
      <c r="AC17" s="29" t="s">
        <v>535</v>
      </c>
      <c r="AD17" t="s">
        <v>536</v>
      </c>
      <c r="AE17" t="s">
        <v>537</v>
      </c>
      <c r="AF17" s="35">
        <v>523537</v>
      </c>
      <c r="AG17" s="35">
        <v>523537</v>
      </c>
      <c r="AH17" s="23"/>
      <c r="AJ17" s="33"/>
      <c r="AK17" t="s">
        <v>628</v>
      </c>
      <c r="AL17" t="s">
        <v>220</v>
      </c>
      <c r="AM17" s="33" t="s">
        <v>630</v>
      </c>
      <c r="AN17" s="33">
        <v>43032</v>
      </c>
      <c r="AO17" s="23">
        <v>12</v>
      </c>
      <c r="AP17" t="s">
        <v>645</v>
      </c>
      <c r="AR17" s="34"/>
      <c r="AS17"/>
      <c r="AT17" s="33"/>
      <c r="AV17" s="33"/>
      <c r="AX17" s="33"/>
      <c r="AY17"/>
      <c r="BA17" s="33"/>
      <c r="BB17"/>
      <c r="BC17" t="s">
        <v>539</v>
      </c>
      <c r="BD17" s="35">
        <v>523537</v>
      </c>
      <c r="BE17" s="35">
        <v>523537</v>
      </c>
      <c r="BF17">
        <v>0</v>
      </c>
      <c r="BG17" s="33">
        <v>43344</v>
      </c>
      <c r="BH17">
        <v>60</v>
      </c>
      <c r="BI17" t="s">
        <v>270</v>
      </c>
      <c r="BJ17" t="s">
        <v>633</v>
      </c>
      <c r="BK17" t="s">
        <v>222</v>
      </c>
      <c r="BL17" t="s">
        <v>182</v>
      </c>
      <c r="BM17" s="8" t="s">
        <v>180</v>
      </c>
      <c r="BN17" t="s">
        <v>177</v>
      </c>
      <c r="BO17" t="s">
        <v>178</v>
      </c>
      <c r="BP17" s="34" t="s">
        <v>431</v>
      </c>
      <c r="BQ17"/>
      <c r="BU17" s="34"/>
      <c r="BV17" s="34"/>
      <c r="BX17"/>
      <c r="CA17" s="34"/>
      <c r="CB17" s="34"/>
      <c r="CC17"/>
      <c r="CG17" s="34"/>
      <c r="CH17" s="34"/>
      <c r="CK17"/>
      <c r="CM17" s="34"/>
      <c r="CN17" s="34"/>
      <c r="CQ17"/>
      <c r="CS17" s="34"/>
      <c r="CT17" s="34"/>
      <c r="CX17"/>
      <c r="CZ17" s="34"/>
      <c r="DD17" s="33"/>
      <c r="DG17" t="s">
        <v>538</v>
      </c>
      <c r="DH17" t="s">
        <v>672</v>
      </c>
      <c r="DI17" t="s">
        <v>221</v>
      </c>
      <c r="DL17" t="s">
        <v>385</v>
      </c>
      <c r="DM17">
        <v>5</v>
      </c>
      <c r="DN17">
        <v>7</v>
      </c>
      <c r="DO17" t="s">
        <v>455</v>
      </c>
      <c r="DQ17" t="s">
        <v>632</v>
      </c>
      <c r="DR17">
        <v>14</v>
      </c>
      <c r="DS17">
        <v>0</v>
      </c>
      <c r="DU17">
        <v>14</v>
      </c>
      <c r="DV17">
        <v>0</v>
      </c>
      <c r="DX17">
        <v>14</v>
      </c>
      <c r="DY17">
        <v>0</v>
      </c>
      <c r="DZ17" t="s">
        <v>234</v>
      </c>
      <c r="EA17" t="s">
        <v>634</v>
      </c>
    </row>
    <row r="18" spans="1:131" x14ac:dyDescent="0.4">
      <c r="A18" s="33">
        <v>43072.901643518519</v>
      </c>
      <c r="B18" s="24">
        <v>42956.472222222219</v>
      </c>
      <c r="D18" s="33"/>
      <c r="E18" s="33" t="s">
        <v>181</v>
      </c>
      <c r="F18" s="33" t="s">
        <v>179</v>
      </c>
      <c r="G18" s="33" t="s">
        <v>94</v>
      </c>
      <c r="H18" t="s">
        <v>561</v>
      </c>
      <c r="I18" t="s">
        <v>231</v>
      </c>
      <c r="J18" t="s">
        <v>562</v>
      </c>
      <c r="K18" t="s">
        <v>418</v>
      </c>
      <c r="L18" t="s">
        <v>560</v>
      </c>
      <c r="M18" s="29">
        <v>3.04</v>
      </c>
      <c r="N18">
        <v>5</v>
      </c>
      <c r="P18" s="23" t="str">
        <f>IFERROR(MID(RADataTable[[#This Row],[RATemplate]],1,LEN(RADataTable[[#This Row],[RATemplate]])-8),"RA") &amp; " " &amp; RADataTable[[#This Row],[prop_id0]] &amp; " " &amp; RADataTable[[#This Row],[last0]]</f>
        <v>RA 1755702 Charkhgard</v>
      </c>
      <c r="T18">
        <v>3</v>
      </c>
      <c r="U18">
        <v>3</v>
      </c>
      <c r="V18" s="33">
        <v>43031.770833333336</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hcharkhgard@usf.edu</v>
      </c>
      <c r="Z18" s="15" t="str">
        <f>HYPERLINK("mailto:"&amp;RADataTable[[#This Row],[allPIemail]]&amp;"&amp;subject=NSF Proposal:  "&amp;RADataTable[[#This Row],[Div]]&amp;" "&amp;RADataTable[[#This Row],[prop_id0]], "PIs@")</f>
        <v>PIs@</v>
      </c>
      <c r="AA18" t="s">
        <v>233</v>
      </c>
      <c r="AB18" t="s">
        <v>390</v>
      </c>
      <c r="AC18" s="29" t="s">
        <v>569</v>
      </c>
      <c r="AD18" t="s">
        <v>570</v>
      </c>
      <c r="AE18" t="s">
        <v>571</v>
      </c>
      <c r="AF18" s="35">
        <v>172682</v>
      </c>
      <c r="AG18" s="35">
        <v>172682</v>
      </c>
      <c r="AH18" s="23"/>
      <c r="AJ18" s="33"/>
      <c r="AK18" t="s">
        <v>628</v>
      </c>
      <c r="AL18" t="s">
        <v>274</v>
      </c>
      <c r="AM18" s="33" t="s">
        <v>630</v>
      </c>
      <c r="AN18" s="33">
        <v>43032</v>
      </c>
      <c r="AO18" s="23">
        <v>4</v>
      </c>
      <c r="AP18" t="s">
        <v>682</v>
      </c>
      <c r="AR18" s="34"/>
      <c r="AS18"/>
      <c r="AT18" s="33"/>
      <c r="AV18" s="33"/>
      <c r="AX18" s="33"/>
      <c r="AY18"/>
      <c r="BA18" s="33"/>
      <c r="BB18"/>
      <c r="BC18" t="s">
        <v>575</v>
      </c>
      <c r="BD18" s="35">
        <v>172682</v>
      </c>
      <c r="BE18" s="35">
        <v>172682</v>
      </c>
      <c r="BF18">
        <v>0</v>
      </c>
      <c r="BG18" s="33">
        <v>43221</v>
      </c>
      <c r="BH18">
        <v>24</v>
      </c>
      <c r="BI18" t="s">
        <v>679</v>
      </c>
      <c r="BJ18" t="s">
        <v>680</v>
      </c>
      <c r="BK18" t="s">
        <v>222</v>
      </c>
      <c r="BL18" t="s">
        <v>182</v>
      </c>
      <c r="BM18" s="8" t="s">
        <v>180</v>
      </c>
      <c r="BN18" t="s">
        <v>177</v>
      </c>
      <c r="BO18" t="s">
        <v>178</v>
      </c>
      <c r="BP18" s="34" t="s">
        <v>566</v>
      </c>
      <c r="BQ18"/>
      <c r="BU18" s="34"/>
      <c r="BV18" s="34"/>
      <c r="BX18"/>
      <c r="CA18" s="34"/>
      <c r="CB18" s="34"/>
      <c r="CC18"/>
      <c r="CG18" s="34"/>
      <c r="CH18" s="34"/>
      <c r="CK18"/>
      <c r="CM18" s="34"/>
      <c r="CN18" s="34"/>
      <c r="CQ18"/>
      <c r="CS18" s="34"/>
      <c r="CT18" s="34"/>
      <c r="CX18"/>
      <c r="CZ18" s="34"/>
      <c r="DD18" s="33"/>
      <c r="DG18" t="s">
        <v>573</v>
      </c>
      <c r="DH18" t="s">
        <v>683</v>
      </c>
      <c r="DI18" t="s">
        <v>273</v>
      </c>
      <c r="DL18" t="s">
        <v>390</v>
      </c>
      <c r="DM18">
        <v>5</v>
      </c>
      <c r="DN18">
        <v>5</v>
      </c>
      <c r="DO18" t="s">
        <v>574</v>
      </c>
      <c r="DQ18" t="s">
        <v>632</v>
      </c>
      <c r="DR18">
        <v>14</v>
      </c>
      <c r="DS18">
        <v>0</v>
      </c>
      <c r="DU18">
        <v>14</v>
      </c>
      <c r="DV18">
        <v>0</v>
      </c>
      <c r="DX18">
        <v>14</v>
      </c>
      <c r="DY18">
        <v>0</v>
      </c>
      <c r="DZ18" t="s">
        <v>234</v>
      </c>
      <c r="EA18" t="s">
        <v>634</v>
      </c>
    </row>
    <row r="19" spans="1:131" x14ac:dyDescent="0.4">
      <c r="A19" s="33">
        <v>43072.901643518519</v>
      </c>
      <c r="B19" s="24">
        <v>42933.547222222223</v>
      </c>
      <c r="D19" s="33"/>
      <c r="E19" s="33" t="s">
        <v>181</v>
      </c>
      <c r="F19" s="33" t="s">
        <v>179</v>
      </c>
      <c r="G19" s="33" t="s">
        <v>94</v>
      </c>
      <c r="H19" t="s">
        <v>266</v>
      </c>
      <c r="I19" t="s">
        <v>231</v>
      </c>
      <c r="J19" t="s">
        <v>417</v>
      </c>
      <c r="K19" t="s">
        <v>418</v>
      </c>
      <c r="L19" t="s">
        <v>416</v>
      </c>
      <c r="M19" s="29">
        <v>3.13</v>
      </c>
      <c r="N19">
        <v>6.25</v>
      </c>
      <c r="P19" s="23" t="str">
        <f>IFERROR(MID(RADataTable[[#This Row],[RATemplate]],1,LEN(RADataTable[[#This Row],[RATemplate]])-8),"RA") &amp; " " &amp; RADataTable[[#This Row],[prop_id0]] &amp; " " &amp; RADataTable[[#This Row],[last0]]</f>
        <v>RA 1749385 Wang</v>
      </c>
      <c r="T19">
        <v>4</v>
      </c>
      <c r="U19">
        <v>4</v>
      </c>
      <c r="V19" s="33">
        <v>43030.179166666669</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haitao.wang@usu.edu</v>
      </c>
      <c r="Z19" s="15" t="str">
        <f>HYPERLINK("mailto:"&amp;RADataTable[[#This Row],[allPIemail]]&amp;"&amp;subject=NSF Proposal:  "&amp;RADataTable[[#This Row],[Div]]&amp;" "&amp;RADataTable[[#This Row],[prop_id0]], "PIs@")</f>
        <v>PIs@</v>
      </c>
      <c r="AA19" t="s">
        <v>233</v>
      </c>
      <c r="AB19" t="s">
        <v>367</v>
      </c>
      <c r="AC19" s="29" t="s">
        <v>426</v>
      </c>
      <c r="AD19" t="s">
        <v>427</v>
      </c>
      <c r="AE19" t="s">
        <v>428</v>
      </c>
      <c r="AF19" s="35">
        <v>524898</v>
      </c>
      <c r="AG19" s="35">
        <v>524898</v>
      </c>
      <c r="AH19" s="23"/>
      <c r="AJ19" s="33"/>
      <c r="AK19" t="s">
        <v>628</v>
      </c>
      <c r="AL19" t="s">
        <v>274</v>
      </c>
      <c r="AM19" s="33" t="s">
        <v>630</v>
      </c>
      <c r="AN19" s="33">
        <v>43032</v>
      </c>
      <c r="AO19" s="23">
        <v>13</v>
      </c>
      <c r="AP19" t="s">
        <v>636</v>
      </c>
      <c r="AR19" s="34"/>
      <c r="AS19"/>
      <c r="AT19" s="33"/>
      <c r="AV19" s="33"/>
      <c r="AX19" s="33"/>
      <c r="AY19"/>
      <c r="BA19" s="33"/>
      <c r="BB19"/>
      <c r="BC19" t="s">
        <v>433</v>
      </c>
      <c r="BD19" s="35">
        <v>524898</v>
      </c>
      <c r="BE19" s="35">
        <v>524898</v>
      </c>
      <c r="BF19">
        <v>0</v>
      </c>
      <c r="BG19" s="33">
        <v>43221</v>
      </c>
      <c r="BH19">
        <v>60</v>
      </c>
      <c r="BI19" t="s">
        <v>270</v>
      </c>
      <c r="BJ19" t="s">
        <v>633</v>
      </c>
      <c r="BK19" t="s">
        <v>222</v>
      </c>
      <c r="BL19" t="s">
        <v>182</v>
      </c>
      <c r="BM19" s="8" t="s">
        <v>180</v>
      </c>
      <c r="BN19" t="s">
        <v>177</v>
      </c>
      <c r="BO19" t="s">
        <v>178</v>
      </c>
      <c r="BP19" s="34" t="s">
        <v>431</v>
      </c>
      <c r="BQ19"/>
      <c r="BU19" s="34"/>
      <c r="BV19" s="34"/>
      <c r="BX19"/>
      <c r="CA19" s="34"/>
      <c r="CB19" s="34"/>
      <c r="CC19"/>
      <c r="CG19" s="34"/>
      <c r="CH19" s="34"/>
      <c r="CK19"/>
      <c r="CM19" s="34"/>
      <c r="CN19" s="34"/>
      <c r="CQ19"/>
      <c r="CS19" s="34"/>
      <c r="CT19" s="34"/>
      <c r="CX19"/>
      <c r="CZ19" s="34"/>
      <c r="DD19" s="33"/>
      <c r="DG19" t="s">
        <v>430</v>
      </c>
      <c r="DH19" t="s">
        <v>637</v>
      </c>
      <c r="DI19" t="s">
        <v>273</v>
      </c>
      <c r="DL19" t="s">
        <v>367</v>
      </c>
      <c r="DM19">
        <v>4</v>
      </c>
      <c r="DN19">
        <v>9</v>
      </c>
      <c r="DO19" t="s">
        <v>432</v>
      </c>
      <c r="DQ19" t="s">
        <v>632</v>
      </c>
      <c r="DR19">
        <v>14</v>
      </c>
      <c r="DS19">
        <v>0</v>
      </c>
      <c r="DU19">
        <v>14</v>
      </c>
      <c r="DV19">
        <v>0</v>
      </c>
      <c r="DX19">
        <v>14</v>
      </c>
      <c r="DY19">
        <v>0</v>
      </c>
      <c r="DZ19" t="s">
        <v>234</v>
      </c>
      <c r="EA19" t="s">
        <v>634</v>
      </c>
    </row>
    <row r="20" spans="1:131" x14ac:dyDescent="0.4">
      <c r="A20" s="33">
        <v>43072.901643518519</v>
      </c>
      <c r="B20" s="24">
        <v>42933.579861111109</v>
      </c>
      <c r="D20" s="33"/>
      <c r="E20" s="33" t="s">
        <v>181</v>
      </c>
      <c r="F20" s="33" t="s">
        <v>179</v>
      </c>
      <c r="G20" s="33" t="s">
        <v>94</v>
      </c>
      <c r="H20" t="s">
        <v>266</v>
      </c>
      <c r="I20" t="s">
        <v>231</v>
      </c>
      <c r="J20" t="s">
        <v>417</v>
      </c>
      <c r="K20" t="s">
        <v>434</v>
      </c>
      <c r="L20" t="s">
        <v>416</v>
      </c>
      <c r="M20" s="29">
        <v>3.13</v>
      </c>
      <c r="N20">
        <v>6.8</v>
      </c>
      <c r="P20" s="23" t="str">
        <f>IFERROR(MID(RADataTable[[#This Row],[RATemplate]],1,LEN(RADataTable[[#This Row],[RATemplate]])-8),"RA") &amp; " " &amp; RADataTable[[#This Row],[prop_id0]] &amp; " " &amp; RADataTable[[#This Row],[last0]]</f>
        <v>RA 1749414 Moseley</v>
      </c>
      <c r="T20">
        <v>5</v>
      </c>
      <c r="U20">
        <v>5</v>
      </c>
      <c r="V20" s="33">
        <v>43032.510416666664</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bmoseley@seas.wustl.edu</v>
      </c>
      <c r="Z20" s="15" t="str">
        <f>HYPERLINK("mailto:"&amp;RADataTable[[#This Row],[allPIemail]]&amp;"&amp;subject=NSF Proposal:  "&amp;RADataTable[[#This Row],[Div]]&amp;" "&amp;RADataTable[[#This Row],[prop_id0]], "PIs@")</f>
        <v>PIs@</v>
      </c>
      <c r="AA20" t="s">
        <v>233</v>
      </c>
      <c r="AB20" t="s">
        <v>368</v>
      </c>
      <c r="AC20" s="29" t="s">
        <v>435</v>
      </c>
      <c r="AD20" t="s">
        <v>272</v>
      </c>
      <c r="AE20" t="s">
        <v>436</v>
      </c>
      <c r="AF20" s="35">
        <v>545000</v>
      </c>
      <c r="AG20" s="35">
        <v>545000</v>
      </c>
      <c r="AH20" s="23"/>
      <c r="AJ20" s="33"/>
      <c r="AK20" t="s">
        <v>628</v>
      </c>
      <c r="AL20" t="s">
        <v>274</v>
      </c>
      <c r="AM20" s="33" t="s">
        <v>630</v>
      </c>
      <c r="AN20" s="33">
        <v>43032</v>
      </c>
      <c r="AO20" s="23">
        <v>13</v>
      </c>
      <c r="AP20" t="s">
        <v>638</v>
      </c>
      <c r="AR20" s="34"/>
      <c r="AS20"/>
      <c r="AT20" s="33"/>
      <c r="AV20" s="33"/>
      <c r="AX20" s="33"/>
      <c r="AY20"/>
      <c r="BA20" s="33"/>
      <c r="BB20"/>
      <c r="BC20" t="s">
        <v>440</v>
      </c>
      <c r="BD20" s="35">
        <v>545000</v>
      </c>
      <c r="BE20" s="35">
        <v>545000</v>
      </c>
      <c r="BF20">
        <v>0</v>
      </c>
      <c r="BG20" s="33">
        <v>43282</v>
      </c>
      <c r="BH20">
        <v>60</v>
      </c>
      <c r="BI20" t="s">
        <v>270</v>
      </c>
      <c r="BJ20" t="s">
        <v>633</v>
      </c>
      <c r="BK20" t="s">
        <v>639</v>
      </c>
      <c r="BL20" t="s">
        <v>182</v>
      </c>
      <c r="BM20" s="8" t="s">
        <v>180</v>
      </c>
      <c r="BN20" t="s">
        <v>177</v>
      </c>
      <c r="BO20" t="s">
        <v>178</v>
      </c>
      <c r="BP20" s="34" t="s">
        <v>438</v>
      </c>
      <c r="BQ20"/>
      <c r="BU20" s="34"/>
      <c r="BV20" s="34"/>
      <c r="BX20"/>
      <c r="CA20" s="34"/>
      <c r="CB20" s="34"/>
      <c r="CC20"/>
      <c r="CG20" s="34"/>
      <c r="CH20" s="34"/>
      <c r="CK20"/>
      <c r="CM20" s="34"/>
      <c r="CN20" s="34"/>
      <c r="CQ20"/>
      <c r="CS20" s="34"/>
      <c r="CT20" s="34"/>
      <c r="CX20"/>
      <c r="CZ20" s="34"/>
      <c r="DD20" s="33"/>
      <c r="DG20" t="s">
        <v>437</v>
      </c>
      <c r="DH20" t="s">
        <v>640</v>
      </c>
      <c r="DI20" t="s">
        <v>273</v>
      </c>
      <c r="DL20" t="s">
        <v>368</v>
      </c>
      <c r="DM20">
        <v>5</v>
      </c>
      <c r="DN20">
        <v>9</v>
      </c>
      <c r="DO20" t="s">
        <v>439</v>
      </c>
      <c r="DQ20" t="s">
        <v>632</v>
      </c>
      <c r="DR20">
        <v>14</v>
      </c>
      <c r="DS20">
        <v>1</v>
      </c>
      <c r="DU20">
        <v>14</v>
      </c>
      <c r="DV20">
        <v>1</v>
      </c>
      <c r="DX20">
        <v>14</v>
      </c>
      <c r="DY20">
        <v>1</v>
      </c>
      <c r="DZ20" t="s">
        <v>234</v>
      </c>
      <c r="EA20" t="s">
        <v>634</v>
      </c>
    </row>
    <row r="21" spans="1:131" x14ac:dyDescent="0.4">
      <c r="A21" s="33">
        <v>43072.901643518519</v>
      </c>
      <c r="B21" s="24">
        <v>42934.695138888892</v>
      </c>
      <c r="D21" s="33"/>
      <c r="E21" s="33" t="s">
        <v>181</v>
      </c>
      <c r="F21" s="33" t="s">
        <v>179</v>
      </c>
      <c r="G21" s="33" t="s">
        <v>94</v>
      </c>
      <c r="H21" t="s">
        <v>266</v>
      </c>
      <c r="I21" t="s">
        <v>231</v>
      </c>
      <c r="J21" t="s">
        <v>417</v>
      </c>
      <c r="K21" t="s">
        <v>418</v>
      </c>
      <c r="L21" t="s">
        <v>416</v>
      </c>
      <c r="M21" s="29">
        <v>3.13</v>
      </c>
      <c r="N21">
        <v>6.25</v>
      </c>
      <c r="P21" s="23" t="str">
        <f>IFERROR(MID(RADataTable[[#This Row],[RATemplate]],1,LEN(RADataTable[[#This Row],[RATemplate]])-8),"RA") &amp; " " &amp; RADataTable[[#This Row],[prop_id0]] &amp; " " &amp; RADataTable[[#This Row],[last0]]</f>
        <v>RA 1749977 Solomon</v>
      </c>
      <c r="T21">
        <v>4</v>
      </c>
      <c r="U21">
        <v>4</v>
      </c>
      <c r="V21" s="33">
        <v>43030.972222222219</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jsolomon@mit.edu</v>
      </c>
      <c r="Z21" s="15" t="str">
        <f>HYPERLINK("mailto:"&amp;RADataTable[[#This Row],[allPIemail]]&amp;"&amp;subject=NSF Proposal:  "&amp;RADataTable[[#This Row],[Div]]&amp;" "&amp;RADataTable[[#This Row],[prop_id0]], "PIs@")</f>
        <v>PIs@</v>
      </c>
      <c r="AA21" t="s">
        <v>233</v>
      </c>
      <c r="AB21" t="s">
        <v>374</v>
      </c>
      <c r="AC21" s="29" t="s">
        <v>471</v>
      </c>
      <c r="AD21" t="s">
        <v>472</v>
      </c>
      <c r="AE21" t="s">
        <v>232</v>
      </c>
      <c r="AF21" s="35">
        <v>550000</v>
      </c>
      <c r="AG21" s="35">
        <v>550000</v>
      </c>
      <c r="AH21" s="23"/>
      <c r="AJ21" s="33"/>
      <c r="AK21" t="s">
        <v>628</v>
      </c>
      <c r="AL21" t="s">
        <v>274</v>
      </c>
      <c r="AM21" s="33" t="s">
        <v>630</v>
      </c>
      <c r="AN21" s="33">
        <v>43032</v>
      </c>
      <c r="AO21" s="23">
        <v>13</v>
      </c>
      <c r="AP21" t="s">
        <v>652</v>
      </c>
      <c r="AR21" s="34"/>
      <c r="AS21"/>
      <c r="AT21" s="33"/>
      <c r="AV21" s="33"/>
      <c r="AX21" s="33"/>
      <c r="AY21"/>
      <c r="BA21" s="33"/>
      <c r="BB21"/>
      <c r="BC21" t="s">
        <v>475</v>
      </c>
      <c r="BD21" s="35">
        <v>550000</v>
      </c>
      <c r="BE21" s="35">
        <v>550000</v>
      </c>
      <c r="BF21">
        <v>0</v>
      </c>
      <c r="BG21" s="33">
        <v>43101</v>
      </c>
      <c r="BH21">
        <v>60</v>
      </c>
      <c r="BI21" t="s">
        <v>270</v>
      </c>
      <c r="BJ21" t="s">
        <v>633</v>
      </c>
      <c r="BK21" t="s">
        <v>222</v>
      </c>
      <c r="BL21" t="s">
        <v>182</v>
      </c>
      <c r="BM21" s="8" t="s">
        <v>180</v>
      </c>
      <c r="BN21" t="s">
        <v>177</v>
      </c>
      <c r="BO21" t="s">
        <v>178</v>
      </c>
      <c r="BP21" s="34" t="s">
        <v>431</v>
      </c>
      <c r="BQ21"/>
      <c r="BU21" s="34"/>
      <c r="BV21" s="34"/>
      <c r="BX21"/>
      <c r="CA21" s="34"/>
      <c r="CB21" s="34"/>
      <c r="CC21"/>
      <c r="CG21" s="34"/>
      <c r="CH21" s="34"/>
      <c r="CK21"/>
      <c r="CM21" s="34"/>
      <c r="CN21" s="34"/>
      <c r="CQ21"/>
      <c r="CS21" s="34"/>
      <c r="CT21" s="34"/>
      <c r="CX21"/>
      <c r="CZ21" s="34"/>
      <c r="DD21" s="33"/>
      <c r="DG21" t="s">
        <v>473</v>
      </c>
      <c r="DH21" t="s">
        <v>653</v>
      </c>
      <c r="DI21" t="s">
        <v>273</v>
      </c>
      <c r="DL21" t="s">
        <v>374</v>
      </c>
      <c r="DM21">
        <v>3</v>
      </c>
      <c r="DN21">
        <v>9</v>
      </c>
      <c r="DO21" t="s">
        <v>474</v>
      </c>
      <c r="DQ21" t="s">
        <v>632</v>
      </c>
      <c r="DR21">
        <v>14</v>
      </c>
      <c r="DS21">
        <v>2</v>
      </c>
      <c r="DU21">
        <v>14</v>
      </c>
      <c r="DV21">
        <v>2</v>
      </c>
      <c r="DX21">
        <v>14</v>
      </c>
      <c r="DY21">
        <v>2</v>
      </c>
      <c r="DZ21" t="s">
        <v>234</v>
      </c>
      <c r="EA21" t="s">
        <v>634</v>
      </c>
    </row>
    <row r="22" spans="1:131" x14ac:dyDescent="0.4">
      <c r="A22" s="33">
        <v>43072.901643518519</v>
      </c>
      <c r="B22" s="24">
        <v>42934.737500000003</v>
      </c>
      <c r="D22" s="33"/>
      <c r="E22" s="33" t="s">
        <v>181</v>
      </c>
      <c r="F22" s="33" t="s">
        <v>179</v>
      </c>
      <c r="G22" s="33" t="s">
        <v>94</v>
      </c>
      <c r="H22" t="s">
        <v>266</v>
      </c>
      <c r="I22" t="s">
        <v>231</v>
      </c>
      <c r="J22" t="s">
        <v>417</v>
      </c>
      <c r="K22" t="s">
        <v>463</v>
      </c>
      <c r="L22" t="s">
        <v>416</v>
      </c>
      <c r="M22" s="29">
        <v>3.13</v>
      </c>
      <c r="N22">
        <v>4.5</v>
      </c>
      <c r="P22" s="23" t="str">
        <f>IFERROR(MID(RADataTable[[#This Row],[RATemplate]],1,LEN(RADataTable[[#This Row],[RATemplate]])-8),"RA") &amp; " " &amp; RADataTable[[#This Row],[prop_id0]] &amp; " " &amp; RADataTable[[#This Row],[last0]]</f>
        <v>RA 1750039 Solomonik</v>
      </c>
      <c r="T22">
        <v>4</v>
      </c>
      <c r="U22">
        <v>4</v>
      </c>
      <c r="V22" s="33">
        <v>43031.922222222223</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solomon2@illinois.edu</v>
      </c>
      <c r="Z22" s="15" t="str">
        <f>HYPERLINK("mailto:"&amp;RADataTable[[#This Row],[allPIemail]]&amp;"&amp;subject=NSF Proposal:  "&amp;RADataTable[[#This Row],[Div]]&amp;" "&amp;RADataTable[[#This Row],[prop_id0]], "PIs@")</f>
        <v>PIs@</v>
      </c>
      <c r="AA22" t="s">
        <v>233</v>
      </c>
      <c r="AB22" t="s">
        <v>375</v>
      </c>
      <c r="AC22" s="29" t="s">
        <v>476</v>
      </c>
      <c r="AD22" t="s">
        <v>477</v>
      </c>
      <c r="AE22" t="s">
        <v>466</v>
      </c>
      <c r="AF22" s="35">
        <v>524117</v>
      </c>
      <c r="AG22" s="35">
        <v>524117</v>
      </c>
      <c r="AH22" s="23"/>
      <c r="AJ22" s="33"/>
      <c r="AK22" t="s">
        <v>628</v>
      </c>
      <c r="AL22" t="s">
        <v>274</v>
      </c>
      <c r="AM22" s="33" t="s">
        <v>630</v>
      </c>
      <c r="AN22" s="33">
        <v>43032</v>
      </c>
      <c r="AO22" s="23">
        <v>13</v>
      </c>
      <c r="AP22" t="s">
        <v>654</v>
      </c>
      <c r="AR22" s="34"/>
      <c r="AS22"/>
      <c r="AT22" s="33"/>
      <c r="AV22" s="33"/>
      <c r="AX22" s="33"/>
      <c r="AY22"/>
      <c r="BA22" s="33"/>
      <c r="BB22"/>
      <c r="BC22" t="s">
        <v>480</v>
      </c>
      <c r="BD22" s="35">
        <v>524117</v>
      </c>
      <c r="BE22" s="35">
        <v>524117</v>
      </c>
      <c r="BF22">
        <v>0</v>
      </c>
      <c r="BG22" s="33">
        <v>43132</v>
      </c>
      <c r="BH22">
        <v>60</v>
      </c>
      <c r="BI22" t="s">
        <v>270</v>
      </c>
      <c r="BJ22" t="s">
        <v>633</v>
      </c>
      <c r="BK22" t="s">
        <v>650</v>
      </c>
      <c r="BL22" t="s">
        <v>182</v>
      </c>
      <c r="BM22" s="8" t="s">
        <v>180</v>
      </c>
      <c r="BN22" t="s">
        <v>177</v>
      </c>
      <c r="BO22" t="s">
        <v>178</v>
      </c>
      <c r="BP22" s="34" t="s">
        <v>438</v>
      </c>
      <c r="BQ22"/>
      <c r="BU22" s="34"/>
      <c r="BV22" s="34"/>
      <c r="BX22"/>
      <c r="CA22" s="34"/>
      <c r="CB22" s="34"/>
      <c r="CC22"/>
      <c r="CG22" s="34"/>
      <c r="CH22" s="34"/>
      <c r="CK22"/>
      <c r="CM22" s="34"/>
      <c r="CN22" s="34"/>
      <c r="CQ22"/>
      <c r="CS22" s="34"/>
      <c r="CT22" s="34"/>
      <c r="CX22"/>
      <c r="CZ22" s="34"/>
      <c r="DD22" s="33"/>
      <c r="DG22" t="s">
        <v>478</v>
      </c>
      <c r="DH22" t="s">
        <v>655</v>
      </c>
      <c r="DI22" t="s">
        <v>273</v>
      </c>
      <c r="DL22" t="s">
        <v>375</v>
      </c>
      <c r="DM22">
        <v>3</v>
      </c>
      <c r="DN22">
        <v>5</v>
      </c>
      <c r="DO22" t="s">
        <v>479</v>
      </c>
      <c r="DQ22" t="s">
        <v>632</v>
      </c>
      <c r="DR22">
        <v>14</v>
      </c>
      <c r="DS22">
        <v>2</v>
      </c>
      <c r="DU22">
        <v>14</v>
      </c>
      <c r="DV22">
        <v>2</v>
      </c>
      <c r="DX22">
        <v>14</v>
      </c>
      <c r="DY22">
        <v>2</v>
      </c>
      <c r="DZ22" t="s">
        <v>234</v>
      </c>
      <c r="EA22" t="s">
        <v>634</v>
      </c>
    </row>
    <row r="23" spans="1:131" x14ac:dyDescent="0.4">
      <c r="A23" s="33">
        <v>43072.901643518519</v>
      </c>
      <c r="B23" s="24">
        <v>42935.359027777777</v>
      </c>
      <c r="D23" s="33"/>
      <c r="E23" s="33" t="s">
        <v>181</v>
      </c>
      <c r="F23" s="33" t="s">
        <v>179</v>
      </c>
      <c r="G23" s="33" t="s">
        <v>94</v>
      </c>
      <c r="H23" t="s">
        <v>266</v>
      </c>
      <c r="I23" t="s">
        <v>231</v>
      </c>
      <c r="J23" t="s">
        <v>417</v>
      </c>
      <c r="K23" t="s">
        <v>434</v>
      </c>
      <c r="L23" t="s">
        <v>416</v>
      </c>
      <c r="M23" s="29">
        <v>3.13</v>
      </c>
      <c r="N23">
        <v>5.25</v>
      </c>
      <c r="P23" s="23" t="str">
        <f>IFERROR(MID(RADataTable[[#This Row],[RATemplate]],1,LEN(RADataTable[[#This Row],[RATemplate]])-8),"RA") &amp; " " &amp; RADataTable[[#This Row],[prop_id0]] &amp; " " &amp; RADataTable[[#This Row],[last0]]</f>
        <v>RA 1750118 Li</v>
      </c>
      <c r="T23">
        <v>4</v>
      </c>
      <c r="U23">
        <v>4</v>
      </c>
      <c r="V23" s="33">
        <v>43031.584722222222</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shil@buffalo.edu</v>
      </c>
      <c r="Z23" s="15" t="str">
        <f>HYPERLINK("mailto:"&amp;RADataTable[[#This Row],[allPIemail]]&amp;"&amp;subject=NSF Proposal:  "&amp;RADataTable[[#This Row],[Div]]&amp;" "&amp;RADataTable[[#This Row],[prop_id0]], "PIs@")</f>
        <v>PIs@</v>
      </c>
      <c r="AA23" t="s">
        <v>233</v>
      </c>
      <c r="AB23" t="s">
        <v>377</v>
      </c>
      <c r="AC23" s="29" t="s">
        <v>488</v>
      </c>
      <c r="AD23" t="s">
        <v>489</v>
      </c>
      <c r="AE23" t="s">
        <v>229</v>
      </c>
      <c r="AF23" s="35">
        <v>530842</v>
      </c>
      <c r="AG23" s="35">
        <v>530842</v>
      </c>
      <c r="AH23" s="23"/>
      <c r="AJ23" s="33"/>
      <c r="AK23" t="s">
        <v>628</v>
      </c>
      <c r="AL23" t="s">
        <v>274</v>
      </c>
      <c r="AM23" s="33" t="s">
        <v>630</v>
      </c>
      <c r="AN23" s="33">
        <v>43032</v>
      </c>
      <c r="AO23" s="23">
        <v>13</v>
      </c>
      <c r="AP23" t="s">
        <v>658</v>
      </c>
      <c r="AR23" s="34"/>
      <c r="AS23"/>
      <c r="AT23" s="33"/>
      <c r="AV23" s="33"/>
      <c r="AX23" s="33"/>
      <c r="AY23"/>
      <c r="BA23" s="33"/>
      <c r="BB23"/>
      <c r="BC23" t="s">
        <v>492</v>
      </c>
      <c r="BD23" s="35">
        <v>530842</v>
      </c>
      <c r="BE23" s="35">
        <v>530842</v>
      </c>
      <c r="BF23">
        <v>0</v>
      </c>
      <c r="BG23" s="33">
        <v>43344</v>
      </c>
      <c r="BH23">
        <v>60</v>
      </c>
      <c r="BI23" t="s">
        <v>270</v>
      </c>
      <c r="BJ23" t="s">
        <v>633</v>
      </c>
      <c r="BK23" t="s">
        <v>639</v>
      </c>
      <c r="BL23" t="s">
        <v>182</v>
      </c>
      <c r="BM23" s="8" t="s">
        <v>180</v>
      </c>
      <c r="BN23" t="s">
        <v>177</v>
      </c>
      <c r="BO23" t="s">
        <v>178</v>
      </c>
      <c r="BP23" s="34" t="s">
        <v>423</v>
      </c>
      <c r="BQ23"/>
      <c r="BU23" s="34"/>
      <c r="BV23" s="34"/>
      <c r="BX23"/>
      <c r="CA23" s="34"/>
      <c r="CB23" s="34"/>
      <c r="CC23"/>
      <c r="CG23" s="34"/>
      <c r="CH23" s="34"/>
      <c r="CK23"/>
      <c r="CM23" s="34"/>
      <c r="CN23" s="34"/>
      <c r="CQ23"/>
      <c r="CS23" s="34"/>
      <c r="CT23" s="34"/>
      <c r="CX23"/>
      <c r="CZ23" s="34"/>
      <c r="DD23" s="33"/>
      <c r="DG23" t="s">
        <v>490</v>
      </c>
      <c r="DH23" t="s">
        <v>659</v>
      </c>
      <c r="DI23" t="s">
        <v>273</v>
      </c>
      <c r="DL23" t="s">
        <v>377</v>
      </c>
      <c r="DM23">
        <v>4</v>
      </c>
      <c r="DN23">
        <v>7</v>
      </c>
      <c r="DO23" t="s">
        <v>491</v>
      </c>
      <c r="DQ23" t="s">
        <v>632</v>
      </c>
      <c r="DR23">
        <v>14</v>
      </c>
      <c r="DS23">
        <v>2</v>
      </c>
      <c r="DU23">
        <v>14</v>
      </c>
      <c r="DV23">
        <v>2</v>
      </c>
      <c r="DX23">
        <v>14</v>
      </c>
      <c r="DY23">
        <v>2</v>
      </c>
      <c r="DZ23" t="s">
        <v>234</v>
      </c>
      <c r="EA23" t="s">
        <v>634</v>
      </c>
    </row>
    <row r="24" spans="1:131" x14ac:dyDescent="0.4">
      <c r="A24" s="33">
        <v>43072.901643518519</v>
      </c>
      <c r="B24" s="24">
        <v>42935.475694444445</v>
      </c>
      <c r="D24" s="33"/>
      <c r="E24" s="33" t="s">
        <v>181</v>
      </c>
      <c r="F24" s="33" t="s">
        <v>179</v>
      </c>
      <c r="G24" s="33" t="s">
        <v>94</v>
      </c>
      <c r="H24" t="s">
        <v>266</v>
      </c>
      <c r="I24" t="s">
        <v>231</v>
      </c>
      <c r="J24" t="s">
        <v>417</v>
      </c>
      <c r="K24" t="s">
        <v>434</v>
      </c>
      <c r="L24" t="s">
        <v>416</v>
      </c>
      <c r="M24" s="29">
        <v>3.13</v>
      </c>
      <c r="N24">
        <v>6.75</v>
      </c>
      <c r="P24" s="23" t="str">
        <f>IFERROR(MID(RADataTable[[#This Row],[RATemplate]],1,LEN(RADataTable[[#This Row],[RATemplate]])-8),"RA") &amp; " " &amp; RADataTable[[#This Row],[prop_id0]] &amp; " " &amp; RADataTable[[#This Row],[last0]]</f>
        <v>RA 1750302 Dinitz</v>
      </c>
      <c r="T24">
        <v>4</v>
      </c>
      <c r="U24">
        <v>4</v>
      </c>
      <c r="V24" s="33">
        <v>43030.96875</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mdinitz@cs.jhu.edu</v>
      </c>
      <c r="Z24" s="15" t="str">
        <f>HYPERLINK("mailto:"&amp;RADataTable[[#This Row],[allPIemail]]&amp;"&amp;subject=NSF Proposal:  "&amp;RADataTable[[#This Row],[Div]]&amp;" "&amp;RADataTable[[#This Row],[prop_id0]], "PIs@")</f>
        <v>PIs@</v>
      </c>
      <c r="AA24" t="s">
        <v>233</v>
      </c>
      <c r="AB24" t="s">
        <v>380</v>
      </c>
      <c r="AC24" s="29" t="s">
        <v>506</v>
      </c>
      <c r="AD24" t="s">
        <v>283</v>
      </c>
      <c r="AE24" t="s">
        <v>507</v>
      </c>
      <c r="AF24" s="35">
        <v>507459</v>
      </c>
      <c r="AG24" s="35">
        <v>507459</v>
      </c>
      <c r="AH24" s="23"/>
      <c r="AJ24" s="33"/>
      <c r="AK24" t="s">
        <v>628</v>
      </c>
      <c r="AL24" t="s">
        <v>274</v>
      </c>
      <c r="AM24" s="33" t="s">
        <v>630</v>
      </c>
      <c r="AN24" s="33">
        <v>43032</v>
      </c>
      <c r="AO24" s="23">
        <v>13</v>
      </c>
      <c r="AP24" t="s">
        <v>663</v>
      </c>
      <c r="AR24" s="34"/>
      <c r="AS24"/>
      <c r="AT24" s="33"/>
      <c r="AV24" s="33"/>
      <c r="AX24" s="33"/>
      <c r="AY24"/>
      <c r="BA24" s="33"/>
      <c r="BB24"/>
      <c r="BC24" t="s">
        <v>510</v>
      </c>
      <c r="BD24" s="35">
        <v>507459</v>
      </c>
      <c r="BE24" s="35">
        <v>507459</v>
      </c>
      <c r="BF24">
        <v>0</v>
      </c>
      <c r="BG24" s="33">
        <v>43282</v>
      </c>
      <c r="BH24">
        <v>60</v>
      </c>
      <c r="BI24" t="s">
        <v>270</v>
      </c>
      <c r="BJ24" t="s">
        <v>633</v>
      </c>
      <c r="BK24" t="s">
        <v>639</v>
      </c>
      <c r="BL24" t="s">
        <v>182</v>
      </c>
      <c r="BM24" s="8" t="s">
        <v>180</v>
      </c>
      <c r="BN24" t="s">
        <v>177</v>
      </c>
      <c r="BO24" t="s">
        <v>178</v>
      </c>
      <c r="BP24" s="34" t="s">
        <v>423</v>
      </c>
      <c r="BQ24"/>
      <c r="BU24" s="34"/>
      <c r="BV24" s="34"/>
      <c r="BX24"/>
      <c r="CA24" s="34"/>
      <c r="CB24" s="34"/>
      <c r="CC24"/>
      <c r="CG24" s="34"/>
      <c r="CH24" s="34"/>
      <c r="CK24"/>
      <c r="CM24" s="34"/>
      <c r="CN24" s="34"/>
      <c r="CQ24"/>
      <c r="CS24" s="34"/>
      <c r="CT24" s="34"/>
      <c r="CX24"/>
      <c r="CZ24" s="34"/>
      <c r="DD24" s="33"/>
      <c r="DG24" t="s">
        <v>508</v>
      </c>
      <c r="DH24" t="s">
        <v>664</v>
      </c>
      <c r="DI24" t="s">
        <v>273</v>
      </c>
      <c r="DL24" t="s">
        <v>380</v>
      </c>
      <c r="DM24">
        <v>6</v>
      </c>
      <c r="DN24">
        <v>8</v>
      </c>
      <c r="DO24" t="s">
        <v>509</v>
      </c>
      <c r="DQ24" t="s">
        <v>632</v>
      </c>
      <c r="DR24">
        <v>14</v>
      </c>
      <c r="DS24">
        <v>1</v>
      </c>
      <c r="DU24">
        <v>14</v>
      </c>
      <c r="DV24">
        <v>1</v>
      </c>
      <c r="DX24">
        <v>14</v>
      </c>
      <c r="DY24">
        <v>1</v>
      </c>
      <c r="DZ24" t="s">
        <v>234</v>
      </c>
      <c r="EA24" t="s">
        <v>634</v>
      </c>
    </row>
    <row r="25" spans="1:131" x14ac:dyDescent="0.4">
      <c r="A25" s="33">
        <v>43072.901643518519</v>
      </c>
      <c r="B25" s="24">
        <v>42935.54583333333</v>
      </c>
      <c r="D25" s="33"/>
      <c r="E25" s="33" t="s">
        <v>181</v>
      </c>
      <c r="F25" s="33" t="s">
        <v>179</v>
      </c>
      <c r="G25" s="33" t="s">
        <v>94</v>
      </c>
      <c r="H25" t="s">
        <v>266</v>
      </c>
      <c r="I25" t="s">
        <v>231</v>
      </c>
      <c r="J25" t="s">
        <v>417</v>
      </c>
      <c r="K25" t="s">
        <v>434</v>
      </c>
      <c r="L25" t="s">
        <v>416</v>
      </c>
      <c r="M25" s="29">
        <v>3.13</v>
      </c>
      <c r="N25">
        <v>6.5</v>
      </c>
      <c r="P25" s="23" t="str">
        <f>IFERROR(MID(RADataTable[[#This Row],[RATemplate]],1,LEN(RADataTable[[#This Row],[RATemplate]])-8),"RA") &amp; " " &amp; RADataTable[[#This Row],[prop_id0]] &amp; " " &amp; RADataTable[[#This Row],[last0]]</f>
        <v>RA 1750463 Raghvendra</v>
      </c>
      <c r="T25">
        <v>4</v>
      </c>
      <c r="U25">
        <v>4</v>
      </c>
      <c r="V25" s="33">
        <v>43032.486805555556</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sharathr@vt.edu</v>
      </c>
      <c r="Z25" s="15" t="str">
        <f>HYPERLINK("mailto:"&amp;RADataTable[[#This Row],[allPIemail]]&amp;"&amp;subject=NSF Proposal:  "&amp;RADataTable[[#This Row],[Div]]&amp;" "&amp;RADataTable[[#This Row],[prop_id0]], "PIs@")</f>
        <v>PIs@</v>
      </c>
      <c r="AA25" t="s">
        <v>233</v>
      </c>
      <c r="AB25" t="s">
        <v>382</v>
      </c>
      <c r="AC25" s="29" t="s">
        <v>517</v>
      </c>
      <c r="AD25" t="s">
        <v>518</v>
      </c>
      <c r="AE25" t="s">
        <v>519</v>
      </c>
      <c r="AF25" s="35">
        <v>533991</v>
      </c>
      <c r="AG25" s="35">
        <v>533991</v>
      </c>
      <c r="AH25" s="23"/>
      <c r="AJ25" s="33"/>
      <c r="AK25" t="s">
        <v>628</v>
      </c>
      <c r="AL25" t="s">
        <v>274</v>
      </c>
      <c r="AM25" s="33" t="s">
        <v>630</v>
      </c>
      <c r="AN25" s="33">
        <v>43032</v>
      </c>
      <c r="AO25" s="23">
        <v>13</v>
      </c>
      <c r="AP25" t="s">
        <v>667</v>
      </c>
      <c r="AR25" s="34"/>
      <c r="AS25"/>
      <c r="AT25" s="33"/>
      <c r="AV25" s="33"/>
      <c r="AX25" s="33"/>
      <c r="AY25"/>
      <c r="BA25" s="33"/>
      <c r="BB25"/>
      <c r="BC25" t="s">
        <v>523</v>
      </c>
      <c r="BD25" s="35">
        <v>533991</v>
      </c>
      <c r="BE25" s="35">
        <v>533991</v>
      </c>
      <c r="BF25">
        <v>0</v>
      </c>
      <c r="BG25" s="33">
        <v>43110</v>
      </c>
      <c r="BH25">
        <v>60</v>
      </c>
      <c r="BI25" t="s">
        <v>270</v>
      </c>
      <c r="BJ25" t="s">
        <v>633</v>
      </c>
      <c r="BK25" t="s">
        <v>639</v>
      </c>
      <c r="BL25" t="s">
        <v>182</v>
      </c>
      <c r="BM25" s="8" t="s">
        <v>180</v>
      </c>
      <c r="BN25" t="s">
        <v>177</v>
      </c>
      <c r="BO25" t="s">
        <v>178</v>
      </c>
      <c r="BP25" s="34" t="s">
        <v>423</v>
      </c>
      <c r="BQ25"/>
      <c r="BU25" s="34"/>
      <c r="BV25" s="34"/>
      <c r="BX25"/>
      <c r="CA25" s="34"/>
      <c r="CB25" s="34"/>
      <c r="CC25"/>
      <c r="CG25" s="34"/>
      <c r="CH25" s="34"/>
      <c r="CK25"/>
      <c r="CM25" s="34"/>
      <c r="CN25" s="34"/>
      <c r="CQ25"/>
      <c r="CS25" s="34"/>
      <c r="CT25" s="34"/>
      <c r="CX25"/>
      <c r="CZ25" s="34"/>
      <c r="DD25" s="33"/>
      <c r="DG25" t="s">
        <v>521</v>
      </c>
      <c r="DH25" t="s">
        <v>668</v>
      </c>
      <c r="DI25" t="s">
        <v>273</v>
      </c>
      <c r="DL25" t="s">
        <v>382</v>
      </c>
      <c r="DM25">
        <v>5</v>
      </c>
      <c r="DN25">
        <v>8</v>
      </c>
      <c r="DO25" t="s">
        <v>522</v>
      </c>
      <c r="DQ25" t="s">
        <v>632</v>
      </c>
      <c r="DR25">
        <v>14</v>
      </c>
      <c r="DS25">
        <v>2</v>
      </c>
      <c r="DU25">
        <v>14</v>
      </c>
      <c r="DV25">
        <v>2</v>
      </c>
      <c r="DX25">
        <v>14</v>
      </c>
      <c r="DY25">
        <v>2</v>
      </c>
      <c r="DZ25" t="s">
        <v>234</v>
      </c>
      <c r="EA25" t="s">
        <v>634</v>
      </c>
    </row>
    <row r="26" spans="1:131" x14ac:dyDescent="0.4">
      <c r="A26" s="33">
        <v>43072.901643518519</v>
      </c>
      <c r="B26" s="24">
        <v>42935.680555555555</v>
      </c>
      <c r="D26" s="33"/>
      <c r="E26" s="33" t="s">
        <v>181</v>
      </c>
      <c r="F26" s="33" t="s">
        <v>179</v>
      </c>
      <c r="G26" s="33" t="s">
        <v>94</v>
      </c>
      <c r="H26" t="s">
        <v>266</v>
      </c>
      <c r="I26" t="s">
        <v>231</v>
      </c>
      <c r="J26" t="s">
        <v>417</v>
      </c>
      <c r="K26" t="s">
        <v>418</v>
      </c>
      <c r="L26" t="s">
        <v>416</v>
      </c>
      <c r="M26" s="29">
        <v>3.13</v>
      </c>
      <c r="N26">
        <v>4.75</v>
      </c>
      <c r="P26" s="23" t="str">
        <f>IFERROR(MID(RADataTable[[#This Row],[RATemplate]],1,LEN(RADataTable[[#This Row],[RATemplate]])-8),"RA") &amp; " " &amp; RADataTable[[#This Row],[prop_id0]] &amp; " " &amp; RADataTable[[#This Row],[last0]]</f>
        <v>RA 1751047 Gibson</v>
      </c>
      <c r="T26">
        <v>4</v>
      </c>
      <c r="U26">
        <v>4</v>
      </c>
      <c r="V26" s="33">
        <v>43030.177777777775</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MATTHEW.GIBSON@UTSA.EDU</v>
      </c>
      <c r="Z26" s="15" t="str">
        <f>HYPERLINK("mailto:"&amp;RADataTable[[#This Row],[allPIemail]]&amp;"&amp;subject=NSF Proposal:  "&amp;RADataTable[[#This Row],[Div]]&amp;" "&amp;RADataTable[[#This Row],[prop_id0]], "PIs@")</f>
        <v>PIs@</v>
      </c>
      <c r="AA26" t="s">
        <v>233</v>
      </c>
      <c r="AB26" t="s">
        <v>384</v>
      </c>
      <c r="AC26" s="29" t="s">
        <v>529</v>
      </c>
      <c r="AD26" t="s">
        <v>530</v>
      </c>
      <c r="AE26" t="s">
        <v>531</v>
      </c>
      <c r="AF26" s="35">
        <v>415497</v>
      </c>
      <c r="AG26" s="35">
        <v>415497</v>
      </c>
      <c r="AH26" s="23"/>
      <c r="AJ26" s="33"/>
      <c r="AK26" t="s">
        <v>628</v>
      </c>
      <c r="AL26" t="s">
        <v>274</v>
      </c>
      <c r="AM26" s="33" t="s">
        <v>630</v>
      </c>
      <c r="AN26" s="33">
        <v>43032</v>
      </c>
      <c r="AO26" s="23">
        <v>13</v>
      </c>
      <c r="AP26" t="s">
        <v>670</v>
      </c>
      <c r="AR26" s="34"/>
      <c r="AS26"/>
      <c r="AT26" s="33"/>
      <c r="AV26" s="33"/>
      <c r="AX26" s="33"/>
      <c r="AY26"/>
      <c r="BA26" s="33"/>
      <c r="BB26"/>
      <c r="BC26" t="s">
        <v>534</v>
      </c>
      <c r="BD26" s="35">
        <v>415497</v>
      </c>
      <c r="BE26" s="35">
        <v>415497</v>
      </c>
      <c r="BF26">
        <v>0</v>
      </c>
      <c r="BG26" s="33">
        <v>43132</v>
      </c>
      <c r="BH26">
        <v>60</v>
      </c>
      <c r="BI26" t="s">
        <v>270</v>
      </c>
      <c r="BJ26" t="s">
        <v>633</v>
      </c>
      <c r="BK26" t="s">
        <v>222</v>
      </c>
      <c r="BL26" t="s">
        <v>182</v>
      </c>
      <c r="BM26" s="8" t="s">
        <v>180</v>
      </c>
      <c r="BN26" t="s">
        <v>177</v>
      </c>
      <c r="BO26" t="s">
        <v>178</v>
      </c>
      <c r="BP26" s="34" t="s">
        <v>431</v>
      </c>
      <c r="BQ26"/>
      <c r="BU26" s="34"/>
      <c r="BV26" s="34"/>
      <c r="BX26"/>
      <c r="CA26" s="34"/>
      <c r="CB26" s="34"/>
      <c r="CC26"/>
      <c r="CG26" s="34"/>
      <c r="CH26" s="34"/>
      <c r="CK26"/>
      <c r="CM26" s="34"/>
      <c r="CN26" s="34"/>
      <c r="CQ26"/>
      <c r="CS26" s="34"/>
      <c r="CT26" s="34"/>
      <c r="CX26"/>
      <c r="CZ26" s="34"/>
      <c r="DD26" s="33"/>
      <c r="DG26" t="s">
        <v>532</v>
      </c>
      <c r="DH26" t="s">
        <v>671</v>
      </c>
      <c r="DI26" t="s">
        <v>273</v>
      </c>
      <c r="DL26" t="s">
        <v>384</v>
      </c>
      <c r="DM26">
        <v>3</v>
      </c>
      <c r="DN26">
        <v>7</v>
      </c>
      <c r="DO26" t="s">
        <v>533</v>
      </c>
      <c r="DQ26" t="s">
        <v>632</v>
      </c>
      <c r="DR26">
        <v>14</v>
      </c>
      <c r="DS26">
        <v>0</v>
      </c>
      <c r="DU26">
        <v>14</v>
      </c>
      <c r="DV26">
        <v>0</v>
      </c>
      <c r="DX26">
        <v>14</v>
      </c>
      <c r="DY26">
        <v>0</v>
      </c>
      <c r="DZ26" t="s">
        <v>234</v>
      </c>
      <c r="EA26" t="s">
        <v>634</v>
      </c>
    </row>
    <row r="27" spans="1:131" x14ac:dyDescent="0.4">
      <c r="A27" s="33">
        <v>43072.901643518519</v>
      </c>
      <c r="B27" s="24">
        <v>42935.851388888892</v>
      </c>
      <c r="D27" s="33"/>
      <c r="E27" s="33" t="s">
        <v>181</v>
      </c>
      <c r="F27" s="33" t="s">
        <v>179</v>
      </c>
      <c r="G27" s="33" t="s">
        <v>94</v>
      </c>
      <c r="H27" t="s">
        <v>266</v>
      </c>
      <c r="I27" t="s">
        <v>231</v>
      </c>
      <c r="J27" t="s">
        <v>417</v>
      </c>
      <c r="K27" t="s">
        <v>434</v>
      </c>
      <c r="L27" t="s">
        <v>416</v>
      </c>
      <c r="M27" s="29">
        <v>3.13</v>
      </c>
      <c r="N27">
        <v>5.5</v>
      </c>
      <c r="P27" s="23" t="str">
        <f>IFERROR(MID(RADataTable[[#This Row],[RATemplate]],1,LEN(RADataTable[[#This Row],[RATemplate]])-8),"RA") &amp; " " &amp; RADataTable[[#This Row],[prop_id0]] &amp; " " &amp; RADataTable[[#This Row],[last0]]</f>
        <v>RA 1751416 Sitchinava</v>
      </c>
      <c r="T27">
        <v>4</v>
      </c>
      <c r="U27">
        <v>4</v>
      </c>
      <c r="V27" s="33">
        <v>43031.703472222223</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nodari@hawaii.edu</v>
      </c>
      <c r="Z27" s="15" t="str">
        <f>HYPERLINK("mailto:"&amp;RADataTable[[#This Row],[allPIemail]]&amp;"&amp;subject=NSF Proposal:  "&amp;RADataTable[[#This Row],[Div]]&amp;" "&amp;RADataTable[[#This Row],[prop_id0]], "PIs@")</f>
        <v>PIs@</v>
      </c>
      <c r="AA27" t="s">
        <v>233</v>
      </c>
      <c r="AB27" t="s">
        <v>388</v>
      </c>
      <c r="AC27" s="29" t="s">
        <v>553</v>
      </c>
      <c r="AD27" t="s">
        <v>554</v>
      </c>
      <c r="AE27" t="s">
        <v>555</v>
      </c>
      <c r="AF27" s="35">
        <v>549999</v>
      </c>
      <c r="AG27" s="35">
        <v>549999</v>
      </c>
      <c r="AH27" s="23"/>
      <c r="AJ27" s="33"/>
      <c r="AK27" t="s">
        <v>628</v>
      </c>
      <c r="AL27" t="s">
        <v>274</v>
      </c>
      <c r="AM27" s="33" t="s">
        <v>630</v>
      </c>
      <c r="AN27" s="33">
        <v>43032</v>
      </c>
      <c r="AO27" s="23">
        <v>13</v>
      </c>
      <c r="AP27" t="s">
        <v>676</v>
      </c>
      <c r="AR27" s="34"/>
      <c r="AS27"/>
      <c r="AT27" s="33"/>
      <c r="AV27" s="33"/>
      <c r="AX27" s="33"/>
      <c r="AY27"/>
      <c r="BA27" s="33"/>
      <c r="BB27"/>
      <c r="BC27" t="s">
        <v>559</v>
      </c>
      <c r="BD27" s="35">
        <v>549999</v>
      </c>
      <c r="BE27" s="35">
        <v>549999</v>
      </c>
      <c r="BF27">
        <v>0</v>
      </c>
      <c r="BG27" s="33">
        <v>43160</v>
      </c>
      <c r="BH27">
        <v>60</v>
      </c>
      <c r="BI27" t="s">
        <v>270</v>
      </c>
      <c r="BJ27" t="s">
        <v>633</v>
      </c>
      <c r="BK27" t="s">
        <v>639</v>
      </c>
      <c r="BL27" t="s">
        <v>182</v>
      </c>
      <c r="BM27" s="8" t="s">
        <v>180</v>
      </c>
      <c r="BN27" t="s">
        <v>177</v>
      </c>
      <c r="BO27" t="s">
        <v>178</v>
      </c>
      <c r="BP27" s="34" t="s">
        <v>557</v>
      </c>
      <c r="BQ27"/>
      <c r="BU27" s="34"/>
      <c r="BV27" s="34"/>
      <c r="BX27"/>
      <c r="CA27" s="34"/>
      <c r="CB27" s="34"/>
      <c r="CC27"/>
      <c r="CG27" s="34"/>
      <c r="CH27" s="34"/>
      <c r="CK27"/>
      <c r="CM27" s="34"/>
      <c r="CN27" s="34"/>
      <c r="CQ27"/>
      <c r="CS27" s="34"/>
      <c r="CT27" s="34"/>
      <c r="CX27"/>
      <c r="CZ27" s="34"/>
      <c r="DD27" s="33"/>
      <c r="DG27" t="s">
        <v>556</v>
      </c>
      <c r="DH27" t="s">
        <v>677</v>
      </c>
      <c r="DI27" t="s">
        <v>273</v>
      </c>
      <c r="DL27" t="s">
        <v>388</v>
      </c>
      <c r="DM27">
        <v>4</v>
      </c>
      <c r="DN27">
        <v>7</v>
      </c>
      <c r="DO27" t="s">
        <v>558</v>
      </c>
      <c r="DQ27" t="s">
        <v>632</v>
      </c>
      <c r="DR27">
        <v>14</v>
      </c>
      <c r="DS27">
        <v>1</v>
      </c>
      <c r="DU27">
        <v>14</v>
      </c>
      <c r="DV27">
        <v>1</v>
      </c>
      <c r="DX27">
        <v>14</v>
      </c>
      <c r="DY27">
        <v>1</v>
      </c>
      <c r="DZ27" t="s">
        <v>234</v>
      </c>
      <c r="EA27" t="s">
        <v>634</v>
      </c>
    </row>
    <row r="28" spans="1:131" x14ac:dyDescent="0.4">
      <c r="A28" s="33">
        <v>43072.901643518519</v>
      </c>
      <c r="B28" s="24">
        <v>42954.500694444447</v>
      </c>
      <c r="D28" s="33"/>
      <c r="E28" s="33" t="s">
        <v>181</v>
      </c>
      <c r="F28" s="33" t="s">
        <v>179</v>
      </c>
      <c r="G28" s="33" t="s">
        <v>94</v>
      </c>
      <c r="H28" t="s">
        <v>561</v>
      </c>
      <c r="I28" t="s">
        <v>231</v>
      </c>
      <c r="J28" t="s">
        <v>562</v>
      </c>
      <c r="K28" t="s">
        <v>434</v>
      </c>
      <c r="L28" t="s">
        <v>560</v>
      </c>
      <c r="M28" s="29">
        <v>4.05</v>
      </c>
      <c r="N28">
        <v>3.25</v>
      </c>
      <c r="P28" s="23" t="str">
        <f>IFERROR(MID(RADataTable[[#This Row],[RATemplate]],1,LEN(RADataTable[[#This Row],[RATemplate]])-8),"RA") &amp; " " &amp; RADataTable[[#This Row],[prop_id0]] &amp; " " &amp; RADataTable[[#This Row],[last0]]</f>
        <v>RA 1755481 Wang</v>
      </c>
      <c r="T28">
        <v>4</v>
      </c>
      <c r="U28">
        <v>4</v>
      </c>
      <c r="V28" s="33">
        <v>43031.775694444441</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kwang@georgiasouthern.edu</v>
      </c>
      <c r="Z28" s="15" t="str">
        <f>HYPERLINK("mailto:"&amp;RADataTable[[#This Row],[allPIemail]]&amp;"&amp;subject=NSF Proposal:  "&amp;RADataTable[[#This Row],[Div]]&amp;" "&amp;RADataTable[[#This Row],[prop_id0]], "PIs@")</f>
        <v>PIs@</v>
      </c>
      <c r="AA28" t="s">
        <v>233</v>
      </c>
      <c r="AB28" t="s">
        <v>389</v>
      </c>
      <c r="AC28" s="29" t="s">
        <v>426</v>
      </c>
      <c r="AD28" t="s">
        <v>563</v>
      </c>
      <c r="AE28" t="s">
        <v>564</v>
      </c>
      <c r="AF28" s="35">
        <v>168126</v>
      </c>
      <c r="AG28" s="35">
        <v>168126</v>
      </c>
      <c r="AH28" s="23"/>
      <c r="AJ28" s="33"/>
      <c r="AK28" t="s">
        <v>628</v>
      </c>
      <c r="AL28" t="s">
        <v>629</v>
      </c>
      <c r="AM28" s="33" t="s">
        <v>630</v>
      </c>
      <c r="AN28" s="33">
        <v>43032</v>
      </c>
      <c r="AO28" s="23">
        <v>5</v>
      </c>
      <c r="AP28" t="s">
        <v>678</v>
      </c>
      <c r="AR28" s="34"/>
      <c r="AS28"/>
      <c r="AT28" s="33"/>
      <c r="AV28" s="33"/>
      <c r="AX28" s="33"/>
      <c r="AY28"/>
      <c r="BA28" s="33"/>
      <c r="BB28"/>
      <c r="BC28" t="s">
        <v>568</v>
      </c>
      <c r="BD28" s="35">
        <v>168126</v>
      </c>
      <c r="BE28" s="35">
        <v>168126</v>
      </c>
      <c r="BF28">
        <v>0</v>
      </c>
      <c r="BG28" s="33">
        <v>43101</v>
      </c>
      <c r="BH28">
        <v>24</v>
      </c>
      <c r="BI28" t="s">
        <v>679</v>
      </c>
      <c r="BJ28" t="s">
        <v>680</v>
      </c>
      <c r="BK28" t="s">
        <v>639</v>
      </c>
      <c r="BL28" t="s">
        <v>182</v>
      </c>
      <c r="BM28" s="8" t="s">
        <v>180</v>
      </c>
      <c r="BN28" t="s">
        <v>177</v>
      </c>
      <c r="BO28" t="s">
        <v>178</v>
      </c>
      <c r="BP28" s="34" t="s">
        <v>566</v>
      </c>
      <c r="BQ28"/>
      <c r="BU28" s="34"/>
      <c r="BV28" s="34"/>
      <c r="BX28"/>
      <c r="CA28" s="34"/>
      <c r="CB28" s="34"/>
      <c r="CC28"/>
      <c r="CG28" s="34"/>
      <c r="CH28" s="34"/>
      <c r="CK28"/>
      <c r="CM28" s="34"/>
      <c r="CN28" s="34"/>
      <c r="CQ28"/>
      <c r="CS28" s="34"/>
      <c r="CT28" s="34"/>
      <c r="CX28"/>
      <c r="CZ28" s="34"/>
      <c r="DD28" s="33"/>
      <c r="DG28" t="s">
        <v>565</v>
      </c>
      <c r="DH28" t="s">
        <v>681</v>
      </c>
      <c r="DI28" t="s">
        <v>503</v>
      </c>
      <c r="DL28" t="s">
        <v>389</v>
      </c>
      <c r="DM28">
        <v>3</v>
      </c>
      <c r="DN28">
        <v>4</v>
      </c>
      <c r="DO28" t="s">
        <v>567</v>
      </c>
      <c r="DQ28" t="s">
        <v>632</v>
      </c>
      <c r="DR28">
        <v>14</v>
      </c>
      <c r="DS28">
        <v>0</v>
      </c>
      <c r="DU28">
        <v>14</v>
      </c>
      <c r="DV28">
        <v>0</v>
      </c>
      <c r="DX28">
        <v>14</v>
      </c>
      <c r="DY28">
        <v>0</v>
      </c>
      <c r="DZ28" t="s">
        <v>234</v>
      </c>
      <c r="EA28" t="s">
        <v>634</v>
      </c>
    </row>
    <row r="29" spans="1:131" x14ac:dyDescent="0.4">
      <c r="A29" s="33">
        <v>43072.901643518519</v>
      </c>
      <c r="B29" s="24">
        <v>42956.647916666669</v>
      </c>
      <c r="D29" s="33"/>
      <c r="E29" s="33" t="s">
        <v>181</v>
      </c>
      <c r="F29" s="33" t="s">
        <v>179</v>
      </c>
      <c r="G29" s="33" t="s">
        <v>94</v>
      </c>
      <c r="H29" t="s">
        <v>561</v>
      </c>
      <c r="I29" t="s">
        <v>231</v>
      </c>
      <c r="J29" t="s">
        <v>562</v>
      </c>
      <c r="K29" t="s">
        <v>418</v>
      </c>
      <c r="L29" t="s">
        <v>560</v>
      </c>
      <c r="M29" s="29">
        <v>4.05</v>
      </c>
      <c r="N29">
        <v>5.333333333333333</v>
      </c>
      <c r="P29" s="23" t="str">
        <f>IFERROR(MID(RADataTable[[#This Row],[RATemplate]],1,LEN(RADataTable[[#This Row],[RATemplate]])-8),"RA") &amp; " " &amp; RADataTable[[#This Row],[prop_id0]] &amp; " " &amp; RADataTable[[#This Row],[last0]]</f>
        <v>RA 1755881 San</v>
      </c>
      <c r="T29">
        <v>3</v>
      </c>
      <c r="U29">
        <v>3</v>
      </c>
      <c r="V29" s="33">
        <v>43031.741666666669</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osan@okstate.edu</v>
      </c>
      <c r="Z29" s="15" t="str">
        <f>HYPERLINK("mailto:"&amp;RADataTable[[#This Row],[allPIemail]]&amp;"&amp;subject=NSF Proposal:  "&amp;RADataTable[[#This Row],[Div]]&amp;" "&amp;RADataTable[[#This Row],[prop_id0]], "PIs@")</f>
        <v>PIs@</v>
      </c>
      <c r="AA29" t="s">
        <v>233</v>
      </c>
      <c r="AB29" t="s">
        <v>393</v>
      </c>
      <c r="AC29" s="29" t="s">
        <v>588</v>
      </c>
      <c r="AD29" t="s">
        <v>589</v>
      </c>
      <c r="AE29" t="s">
        <v>590</v>
      </c>
      <c r="AF29" s="35">
        <v>170144</v>
      </c>
      <c r="AG29" s="35">
        <v>170144</v>
      </c>
      <c r="AH29" s="23"/>
      <c r="AJ29" s="33"/>
      <c r="AK29" t="s">
        <v>628</v>
      </c>
      <c r="AL29" t="s">
        <v>629</v>
      </c>
      <c r="AM29" s="33" t="s">
        <v>630</v>
      </c>
      <c r="AN29" s="33">
        <v>43032</v>
      </c>
      <c r="AO29" s="23">
        <v>5</v>
      </c>
      <c r="AP29" t="s">
        <v>688</v>
      </c>
      <c r="AR29" s="34"/>
      <c r="AS29"/>
      <c r="AT29" s="33"/>
      <c r="AV29" s="33"/>
      <c r="AX29" s="33"/>
      <c r="AY29"/>
      <c r="BA29" s="33"/>
      <c r="BB29"/>
      <c r="BC29" t="s">
        <v>594</v>
      </c>
      <c r="BD29" s="35">
        <v>170144</v>
      </c>
      <c r="BE29" s="35">
        <v>170144</v>
      </c>
      <c r="BF29">
        <v>0</v>
      </c>
      <c r="BG29" s="33">
        <v>43252</v>
      </c>
      <c r="BH29">
        <v>24</v>
      </c>
      <c r="BI29" t="s">
        <v>679</v>
      </c>
      <c r="BJ29" t="s">
        <v>680</v>
      </c>
      <c r="BK29" t="s">
        <v>222</v>
      </c>
      <c r="BL29" t="s">
        <v>182</v>
      </c>
      <c r="BM29" s="8" t="s">
        <v>180</v>
      </c>
      <c r="BN29" t="s">
        <v>177</v>
      </c>
      <c r="BO29" t="s">
        <v>178</v>
      </c>
      <c r="BP29" s="34" t="s">
        <v>592</v>
      </c>
      <c r="BQ29"/>
      <c r="BU29" s="34"/>
      <c r="BV29" s="34"/>
      <c r="BX29"/>
      <c r="CA29" s="34"/>
      <c r="CB29" s="34"/>
      <c r="CC29"/>
      <c r="CG29" s="34"/>
      <c r="CH29" s="34"/>
      <c r="CK29"/>
      <c r="CM29" s="34"/>
      <c r="CN29" s="34"/>
      <c r="CQ29"/>
      <c r="CS29" s="34"/>
      <c r="CT29" s="34"/>
      <c r="CX29"/>
      <c r="CZ29" s="34"/>
      <c r="DD29" s="33"/>
      <c r="DG29" t="s">
        <v>591</v>
      </c>
      <c r="DH29" t="s">
        <v>689</v>
      </c>
      <c r="DI29" t="s">
        <v>503</v>
      </c>
      <c r="DL29" t="s">
        <v>393</v>
      </c>
      <c r="DM29">
        <v>3</v>
      </c>
      <c r="DN29">
        <v>8</v>
      </c>
      <c r="DO29" t="s">
        <v>593</v>
      </c>
      <c r="DQ29" t="s">
        <v>632</v>
      </c>
      <c r="DR29">
        <v>14</v>
      </c>
      <c r="DS29">
        <v>0</v>
      </c>
      <c r="DU29">
        <v>14</v>
      </c>
      <c r="DV29">
        <v>0</v>
      </c>
      <c r="DX29">
        <v>14</v>
      </c>
      <c r="DY29">
        <v>0</v>
      </c>
      <c r="DZ29" t="s">
        <v>234</v>
      </c>
      <c r="EA29" t="s">
        <v>634</v>
      </c>
    </row>
    <row r="30" spans="1:131" x14ac:dyDescent="0.4">
      <c r="A30" s="33">
        <v>43072.901643518519</v>
      </c>
      <c r="B30" s="24">
        <v>42956.697222222225</v>
      </c>
      <c r="D30" s="33"/>
      <c r="E30" s="33" t="s">
        <v>181</v>
      </c>
      <c r="F30" s="33" t="s">
        <v>179</v>
      </c>
      <c r="G30" s="33" t="s">
        <v>94</v>
      </c>
      <c r="H30" t="s">
        <v>561</v>
      </c>
      <c r="I30" t="s">
        <v>231</v>
      </c>
      <c r="J30" t="s">
        <v>562</v>
      </c>
      <c r="K30" t="s">
        <v>418</v>
      </c>
      <c r="L30" t="s">
        <v>560</v>
      </c>
      <c r="M30" s="29">
        <v>4.05</v>
      </c>
      <c r="N30">
        <v>5.333333333333333</v>
      </c>
      <c r="P30" s="23" t="str">
        <f>IFERROR(MID(RADataTable[[#This Row],[RATemplate]],1,LEN(RADataTable[[#This Row],[RATemplate]])-8),"RA") &amp; " " &amp; RADataTable[[#This Row],[prop_id0]] &amp; " " &amp; RADataTable[[#This Row],[last0]]</f>
        <v>RA 1755954 Hajimirza</v>
      </c>
      <c r="T30">
        <v>3</v>
      </c>
      <c r="U30">
        <v>3</v>
      </c>
      <c r="V30" s="33">
        <v>43032.675694444442</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shima.hm@tamu.edu</v>
      </c>
      <c r="Z30" s="15" t="str">
        <f>HYPERLINK("mailto:"&amp;RADataTable[[#This Row],[allPIemail]]&amp;"&amp;subject=NSF Proposal:  "&amp;RADataTable[[#This Row],[Div]]&amp;" "&amp;RADataTable[[#This Row],[prop_id0]], "PIs@")</f>
        <v>PIs@</v>
      </c>
      <c r="AA30" t="s">
        <v>233</v>
      </c>
      <c r="AB30" t="s">
        <v>394</v>
      </c>
      <c r="AC30" s="29" t="s">
        <v>595</v>
      </c>
      <c r="AD30" t="s">
        <v>596</v>
      </c>
      <c r="AE30" t="s">
        <v>597</v>
      </c>
      <c r="AF30" s="35">
        <v>175000</v>
      </c>
      <c r="AG30" s="35">
        <v>175000</v>
      </c>
      <c r="AH30" s="23"/>
      <c r="AJ30" s="33"/>
      <c r="AK30" t="s">
        <v>628</v>
      </c>
      <c r="AL30" t="s">
        <v>629</v>
      </c>
      <c r="AM30" s="33" t="s">
        <v>630</v>
      </c>
      <c r="AN30" s="33">
        <v>43032</v>
      </c>
      <c r="AO30" s="23">
        <v>5</v>
      </c>
      <c r="AP30" t="s">
        <v>690</v>
      </c>
      <c r="AR30" s="34"/>
      <c r="AS30"/>
      <c r="AT30" s="33"/>
      <c r="AV30" s="33"/>
      <c r="AX30" s="33"/>
      <c r="AY30"/>
      <c r="BA30" s="33"/>
      <c r="BB30"/>
      <c r="BC30" t="s">
        <v>600</v>
      </c>
      <c r="BD30" s="35">
        <v>175000</v>
      </c>
      <c r="BE30" s="35">
        <v>175000</v>
      </c>
      <c r="BF30">
        <v>0</v>
      </c>
      <c r="BG30" s="33">
        <v>43252</v>
      </c>
      <c r="BH30">
        <v>24</v>
      </c>
      <c r="BI30" t="s">
        <v>679</v>
      </c>
      <c r="BJ30" t="s">
        <v>680</v>
      </c>
      <c r="BK30" t="s">
        <v>222</v>
      </c>
      <c r="BL30" t="s">
        <v>182</v>
      </c>
      <c r="BM30" s="8" t="s">
        <v>180</v>
      </c>
      <c r="BN30" t="s">
        <v>177</v>
      </c>
      <c r="BO30" t="s">
        <v>178</v>
      </c>
      <c r="BP30" s="34" t="s">
        <v>585</v>
      </c>
      <c r="BQ30"/>
      <c r="BU30" s="34"/>
      <c r="BV30" s="34"/>
      <c r="BX30"/>
      <c r="CA30" s="34"/>
      <c r="CB30" s="34"/>
      <c r="CC30"/>
      <c r="CG30" s="34"/>
      <c r="CH30" s="34"/>
      <c r="CK30"/>
      <c r="CM30" s="34"/>
      <c r="CN30" s="34"/>
      <c r="CQ30"/>
      <c r="CS30" s="34"/>
      <c r="CT30" s="34"/>
      <c r="CX30"/>
      <c r="CZ30" s="34"/>
      <c r="DD30" s="33"/>
      <c r="DG30" t="s">
        <v>598</v>
      </c>
      <c r="DH30" t="s">
        <v>691</v>
      </c>
      <c r="DI30" t="s">
        <v>503</v>
      </c>
      <c r="DL30" t="s">
        <v>394</v>
      </c>
      <c r="DM30">
        <v>4</v>
      </c>
      <c r="DN30">
        <v>7</v>
      </c>
      <c r="DO30" t="s">
        <v>599</v>
      </c>
      <c r="DQ30" t="s">
        <v>632</v>
      </c>
      <c r="DR30">
        <v>14</v>
      </c>
      <c r="DS30">
        <v>0</v>
      </c>
      <c r="DU30">
        <v>14</v>
      </c>
      <c r="DV30">
        <v>0</v>
      </c>
      <c r="DX30">
        <v>14</v>
      </c>
      <c r="DY30">
        <v>0</v>
      </c>
      <c r="DZ30" t="s">
        <v>234</v>
      </c>
      <c r="EA30" t="s">
        <v>634</v>
      </c>
    </row>
    <row r="31" spans="1:131" x14ac:dyDescent="0.4">
      <c r="A31" s="33">
        <v>43072.901643518519</v>
      </c>
      <c r="B31" s="24">
        <v>42956.717361111114</v>
      </c>
      <c r="D31" s="33"/>
      <c r="E31" s="33" t="s">
        <v>181</v>
      </c>
      <c r="F31" s="33" t="s">
        <v>179</v>
      </c>
      <c r="G31" s="33" t="s">
        <v>94</v>
      </c>
      <c r="H31" t="s">
        <v>561</v>
      </c>
      <c r="I31" t="s">
        <v>231</v>
      </c>
      <c r="J31" t="s">
        <v>562</v>
      </c>
      <c r="K31" t="s">
        <v>418</v>
      </c>
      <c r="L31" t="s">
        <v>560</v>
      </c>
      <c r="M31" s="29">
        <v>4.05</v>
      </c>
      <c r="N31">
        <v>4.666666666666667</v>
      </c>
      <c r="P31" s="23" t="str">
        <f>IFERROR(MID(RADataTable[[#This Row],[RATemplate]],1,LEN(RADataTable[[#This Row],[RATemplate]])-8),"RA") &amp; " " &amp; RADataTable[[#This Row],[prop_id0]] &amp; " " &amp; RADataTable[[#This Row],[last0]]</f>
        <v>RA 1755978 Gangammanavar</v>
      </c>
      <c r="T31">
        <v>3</v>
      </c>
      <c r="U31">
        <v>3</v>
      </c>
      <c r="V31" s="33">
        <v>43031.75</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harsha@smu.edu</v>
      </c>
      <c r="Z31" s="15" t="str">
        <f>HYPERLINK("mailto:"&amp;RADataTable[[#This Row],[allPIemail]]&amp;"&amp;subject=NSF Proposal:  "&amp;RADataTable[[#This Row],[Div]]&amp;" "&amp;RADataTable[[#This Row],[prop_id0]], "PIs@")</f>
        <v>PIs@</v>
      </c>
      <c r="AA31" t="s">
        <v>233</v>
      </c>
      <c r="AB31" t="s">
        <v>395</v>
      </c>
      <c r="AC31" s="29" t="s">
        <v>601</v>
      </c>
      <c r="AD31" t="s">
        <v>602</v>
      </c>
      <c r="AE31" t="s">
        <v>603</v>
      </c>
      <c r="AF31" s="35">
        <v>175000</v>
      </c>
      <c r="AG31" s="35">
        <v>175000</v>
      </c>
      <c r="AH31" s="23"/>
      <c r="AJ31" s="33"/>
      <c r="AK31" t="s">
        <v>628</v>
      </c>
      <c r="AL31" t="s">
        <v>629</v>
      </c>
      <c r="AM31" s="33" t="s">
        <v>630</v>
      </c>
      <c r="AN31" s="33">
        <v>43032</v>
      </c>
      <c r="AO31" s="23">
        <v>5</v>
      </c>
      <c r="AP31" t="s">
        <v>692</v>
      </c>
      <c r="AR31" s="34"/>
      <c r="AS31"/>
      <c r="AT31" s="33"/>
      <c r="AV31" s="33"/>
      <c r="AX31" s="33"/>
      <c r="AY31"/>
      <c r="BA31" s="33"/>
      <c r="BB31"/>
      <c r="BC31" t="s">
        <v>606</v>
      </c>
      <c r="BD31" s="35">
        <v>175000</v>
      </c>
      <c r="BE31" s="35">
        <v>175000</v>
      </c>
      <c r="BF31">
        <v>0</v>
      </c>
      <c r="BG31" s="33">
        <v>43101</v>
      </c>
      <c r="BH31">
        <v>24</v>
      </c>
      <c r="BI31" t="s">
        <v>679</v>
      </c>
      <c r="BJ31" t="s">
        <v>680</v>
      </c>
      <c r="BK31" t="s">
        <v>222</v>
      </c>
      <c r="BL31" t="s">
        <v>182</v>
      </c>
      <c r="BM31" s="8" t="s">
        <v>180</v>
      </c>
      <c r="BN31" t="s">
        <v>177</v>
      </c>
      <c r="BO31" t="s">
        <v>178</v>
      </c>
      <c r="BP31" s="34" t="s">
        <v>362</v>
      </c>
      <c r="BQ31"/>
      <c r="BU31" s="34"/>
      <c r="BV31" s="34"/>
      <c r="BX31"/>
      <c r="CA31" s="34"/>
      <c r="CB31" s="34"/>
      <c r="CC31"/>
      <c r="CG31" s="34"/>
      <c r="CH31" s="34"/>
      <c r="CK31"/>
      <c r="CM31" s="34"/>
      <c r="CN31" s="34"/>
      <c r="CQ31"/>
      <c r="CS31" s="34"/>
      <c r="CT31" s="34"/>
      <c r="CX31"/>
      <c r="CZ31" s="34"/>
      <c r="DD31" s="33"/>
      <c r="DG31" t="s">
        <v>604</v>
      </c>
      <c r="DH31" t="s">
        <v>693</v>
      </c>
      <c r="DI31" t="s">
        <v>503</v>
      </c>
      <c r="DL31" t="s">
        <v>395</v>
      </c>
      <c r="DM31">
        <v>3</v>
      </c>
      <c r="DN31">
        <v>6</v>
      </c>
      <c r="DO31" t="s">
        <v>605</v>
      </c>
      <c r="DQ31" t="s">
        <v>632</v>
      </c>
      <c r="DR31">
        <v>14</v>
      </c>
      <c r="DS31">
        <v>0</v>
      </c>
      <c r="DU31">
        <v>14</v>
      </c>
      <c r="DV31">
        <v>0</v>
      </c>
      <c r="DX31">
        <v>14</v>
      </c>
      <c r="DY31">
        <v>0</v>
      </c>
      <c r="DZ31" t="s">
        <v>234</v>
      </c>
      <c r="EA31" t="s">
        <v>634</v>
      </c>
    </row>
    <row r="32" spans="1:131" x14ac:dyDescent="0.4">
      <c r="A32" s="33">
        <v>43072.901643518519</v>
      </c>
      <c r="B32" s="24">
        <v>42930.554166666669</v>
      </c>
      <c r="D32" s="33"/>
      <c r="E32" s="33" t="s">
        <v>181</v>
      </c>
      <c r="F32" s="33" t="s">
        <v>179</v>
      </c>
      <c r="G32" s="33" t="s">
        <v>94</v>
      </c>
      <c r="H32" t="s">
        <v>266</v>
      </c>
      <c r="I32" t="s">
        <v>231</v>
      </c>
      <c r="J32" t="s">
        <v>417</v>
      </c>
      <c r="K32" t="s">
        <v>418</v>
      </c>
      <c r="L32" t="s">
        <v>416</v>
      </c>
      <c r="M32" s="29">
        <v>4.22</v>
      </c>
      <c r="N32">
        <v>3.75</v>
      </c>
      <c r="P32" s="23" t="str">
        <f>IFERROR(MID(RADataTable[[#This Row],[RATemplate]],1,LEN(RADataTable[[#This Row],[RATemplate]])-8),"RA") &amp; " " &amp; RADataTable[[#This Row],[prop_id0]] &amp; " " &amp; RADataTable[[#This Row],[last0]]</f>
        <v>RA 1749173 Borgwardt</v>
      </c>
      <c r="T32">
        <v>4</v>
      </c>
      <c r="U32">
        <v>4</v>
      </c>
      <c r="V32" s="33">
        <v>43031.583333333336</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steffen.borgwardt@ucdenver.edu</v>
      </c>
      <c r="Z32" s="15" t="str">
        <f>HYPERLINK("mailto:"&amp;RADataTable[[#This Row],[allPIemail]]&amp;"&amp;subject=NSF Proposal:  "&amp;RADataTable[[#This Row],[Div]]&amp;" "&amp;RADataTable[[#This Row],[prop_id0]], "PIs@")</f>
        <v>PIs@</v>
      </c>
      <c r="AA32" t="s">
        <v>233</v>
      </c>
      <c r="AB32" t="s">
        <v>366</v>
      </c>
      <c r="AC32" s="29" t="s">
        <v>419</v>
      </c>
      <c r="AD32" t="s">
        <v>420</v>
      </c>
      <c r="AE32" t="s">
        <v>421</v>
      </c>
      <c r="AF32" s="35">
        <v>470400</v>
      </c>
      <c r="AG32" s="35">
        <v>470400</v>
      </c>
      <c r="AH32" s="23"/>
      <c r="AJ32" s="33"/>
      <c r="AK32" t="s">
        <v>628</v>
      </c>
      <c r="AL32" t="s">
        <v>629</v>
      </c>
      <c r="AM32" s="33" t="s">
        <v>630</v>
      </c>
      <c r="AN32" s="33">
        <v>43032</v>
      </c>
      <c r="AO32" s="23">
        <v>22</v>
      </c>
      <c r="AP32" t="s">
        <v>631</v>
      </c>
      <c r="AR32" s="34"/>
      <c r="AS32"/>
      <c r="AT32" s="33"/>
      <c r="AV32" s="33"/>
      <c r="AX32" s="33"/>
      <c r="AY32"/>
      <c r="BA32" s="33"/>
      <c r="BB32"/>
      <c r="BC32" t="s">
        <v>425</v>
      </c>
      <c r="BD32" s="35">
        <v>470400</v>
      </c>
      <c r="BE32" s="35">
        <v>470400</v>
      </c>
      <c r="BF32">
        <v>0</v>
      </c>
      <c r="BG32" s="33">
        <v>43101</v>
      </c>
      <c r="BH32">
        <v>60</v>
      </c>
      <c r="BI32" t="s">
        <v>270</v>
      </c>
      <c r="BJ32" t="s">
        <v>633</v>
      </c>
      <c r="BK32" t="s">
        <v>222</v>
      </c>
      <c r="BL32" t="s">
        <v>182</v>
      </c>
      <c r="BM32" s="8" t="s">
        <v>180</v>
      </c>
      <c r="BN32" t="s">
        <v>177</v>
      </c>
      <c r="BO32" t="s">
        <v>178</v>
      </c>
      <c r="BP32" s="34" t="s">
        <v>423</v>
      </c>
      <c r="BQ32"/>
      <c r="BU32" s="34"/>
      <c r="BV32" s="34"/>
      <c r="BX32"/>
      <c r="CA32" s="34"/>
      <c r="CB32" s="34"/>
      <c r="CC32"/>
      <c r="CG32" s="34"/>
      <c r="CH32" s="34"/>
      <c r="CK32"/>
      <c r="CM32" s="34"/>
      <c r="CN32" s="34"/>
      <c r="CQ32"/>
      <c r="CS32" s="34"/>
      <c r="CT32" s="34"/>
      <c r="CX32"/>
      <c r="CZ32" s="34"/>
      <c r="DD32" s="33"/>
      <c r="DG32" t="s">
        <v>422</v>
      </c>
      <c r="DH32" t="s">
        <v>635</v>
      </c>
      <c r="DI32" t="s">
        <v>503</v>
      </c>
      <c r="DL32" t="s">
        <v>366</v>
      </c>
      <c r="DM32">
        <v>2</v>
      </c>
      <c r="DN32">
        <v>7</v>
      </c>
      <c r="DO32" t="s">
        <v>424</v>
      </c>
      <c r="DQ32" t="s">
        <v>632</v>
      </c>
      <c r="DR32">
        <v>14</v>
      </c>
      <c r="DS32">
        <v>0</v>
      </c>
      <c r="DU32">
        <v>14</v>
      </c>
      <c r="DV32">
        <v>0</v>
      </c>
      <c r="DX32">
        <v>14</v>
      </c>
      <c r="DY32">
        <v>0</v>
      </c>
      <c r="DZ32" t="s">
        <v>234</v>
      </c>
      <c r="EA32" t="s">
        <v>634</v>
      </c>
    </row>
    <row r="33" spans="1:131" x14ac:dyDescent="0.4">
      <c r="A33" s="33">
        <v>43072.901643518519</v>
      </c>
      <c r="B33" s="24">
        <v>42934.808333333334</v>
      </c>
      <c r="D33" s="33"/>
      <c r="E33" s="33" t="s">
        <v>181</v>
      </c>
      <c r="F33" s="33" t="s">
        <v>179</v>
      </c>
      <c r="G33" s="33" t="s">
        <v>94</v>
      </c>
      <c r="H33" t="s">
        <v>266</v>
      </c>
      <c r="I33" t="s">
        <v>231</v>
      </c>
      <c r="J33" t="s">
        <v>417</v>
      </c>
      <c r="K33" t="s">
        <v>418</v>
      </c>
      <c r="L33" t="s">
        <v>416</v>
      </c>
      <c r="M33" s="29">
        <v>4.22</v>
      </c>
      <c r="N33">
        <v>4</v>
      </c>
      <c r="P33" s="23" t="str">
        <f>IFERROR(MID(RADataTable[[#This Row],[RATemplate]],1,LEN(RADataTable[[#This Row],[RATemplate]])-8),"RA") &amp; " " &amp; RADataTable[[#This Row],[prop_id0]] &amp; " " &amp; RADataTable[[#This Row],[last0]]</f>
        <v>RA 1750076 Schroeder</v>
      </c>
      <c r="T33">
        <v>4</v>
      </c>
      <c r="U33">
        <v>4</v>
      </c>
      <c r="V33" s="33">
        <v>43031.584027777775</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craig@ucr.edu</v>
      </c>
      <c r="Z33" s="15" t="str">
        <f>HYPERLINK("mailto:"&amp;RADataTable[[#This Row],[allPIemail]]&amp;"&amp;subject=NSF Proposal:  "&amp;RADataTable[[#This Row],[Div]]&amp;" "&amp;RADataTable[[#This Row],[prop_id0]], "PIs@")</f>
        <v>PIs@</v>
      </c>
      <c r="AA33" t="s">
        <v>233</v>
      </c>
      <c r="AB33" t="s">
        <v>376</v>
      </c>
      <c r="AC33" s="29" t="s">
        <v>481</v>
      </c>
      <c r="AD33" t="s">
        <v>482</v>
      </c>
      <c r="AE33" t="s">
        <v>483</v>
      </c>
      <c r="AF33" s="35">
        <v>440331</v>
      </c>
      <c r="AG33" s="35">
        <v>440331</v>
      </c>
      <c r="AH33" s="23"/>
      <c r="AJ33" s="33"/>
      <c r="AK33" t="s">
        <v>628</v>
      </c>
      <c r="AL33" t="s">
        <v>629</v>
      </c>
      <c r="AM33" s="33" t="s">
        <v>630</v>
      </c>
      <c r="AN33" s="33">
        <v>43032</v>
      </c>
      <c r="AO33" s="23">
        <v>22</v>
      </c>
      <c r="AP33" t="s">
        <v>656</v>
      </c>
      <c r="AR33" s="34"/>
      <c r="AS33"/>
      <c r="AT33" s="33"/>
      <c r="AV33" s="33"/>
      <c r="AX33" s="33"/>
      <c r="AY33"/>
      <c r="BA33" s="33"/>
      <c r="BB33"/>
      <c r="BC33" t="s">
        <v>487</v>
      </c>
      <c r="BD33" s="35">
        <v>440331</v>
      </c>
      <c r="BE33" s="35">
        <v>440331</v>
      </c>
      <c r="BF33">
        <v>0</v>
      </c>
      <c r="BG33" s="33">
        <v>43101</v>
      </c>
      <c r="BH33">
        <v>60</v>
      </c>
      <c r="BI33" t="s">
        <v>270</v>
      </c>
      <c r="BJ33" t="s">
        <v>633</v>
      </c>
      <c r="BK33" t="s">
        <v>222</v>
      </c>
      <c r="BL33" t="s">
        <v>182</v>
      </c>
      <c r="BM33" s="8" t="s">
        <v>180</v>
      </c>
      <c r="BN33" t="s">
        <v>177</v>
      </c>
      <c r="BO33" t="s">
        <v>178</v>
      </c>
      <c r="BP33" s="34" t="s">
        <v>485</v>
      </c>
      <c r="BQ33"/>
      <c r="BU33" s="34"/>
      <c r="BV33" s="34"/>
      <c r="BX33"/>
      <c r="CA33" s="34"/>
      <c r="CB33" s="34"/>
      <c r="CC33"/>
      <c r="CG33" s="34"/>
      <c r="CH33" s="34"/>
      <c r="CK33"/>
      <c r="CM33" s="34"/>
      <c r="CN33" s="34"/>
      <c r="CQ33"/>
      <c r="CS33" s="34"/>
      <c r="CT33" s="34"/>
      <c r="CX33"/>
      <c r="CZ33" s="34"/>
      <c r="DD33" s="33"/>
      <c r="DG33" t="s">
        <v>484</v>
      </c>
      <c r="DH33" t="s">
        <v>657</v>
      </c>
      <c r="DI33" t="s">
        <v>503</v>
      </c>
      <c r="DL33" t="s">
        <v>376</v>
      </c>
      <c r="DM33">
        <v>3</v>
      </c>
      <c r="DN33">
        <v>7</v>
      </c>
      <c r="DO33" t="s">
        <v>486</v>
      </c>
      <c r="DQ33" t="s">
        <v>632</v>
      </c>
      <c r="DR33">
        <v>14</v>
      </c>
      <c r="DS33">
        <v>0</v>
      </c>
      <c r="DU33">
        <v>14</v>
      </c>
      <c r="DV33">
        <v>0</v>
      </c>
      <c r="DX33">
        <v>14</v>
      </c>
      <c r="DY33">
        <v>0</v>
      </c>
      <c r="DZ33" t="s">
        <v>234</v>
      </c>
      <c r="EA33" t="s">
        <v>634</v>
      </c>
    </row>
  </sheetData>
  <conditionalFormatting sqref="R2:R33">
    <cfRule type="expression" dxfId="0" priority="1">
      <formula>LEFT(#REF!,1)="E"</formula>
    </cfRule>
  </conditionalFormatting>
  <dataValidations count="1">
    <dataValidation type="list" allowBlank="1" showInputMessage="1" showErrorMessage="1" sqref="O2:O33">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125186</xdr:colOff>
                    <xdr:row>0</xdr:row>
                    <xdr:rowOff>174171</xdr:rowOff>
                  </from>
                  <to>
                    <xdr:col>16</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8"/>
  <sheetViews>
    <sheetView tabSelected="1" topLeftCell="A21" workbookViewId="0">
      <selection activeCell="A36" sqref="A36:XFD36"/>
    </sheetView>
  </sheetViews>
  <sheetFormatPr defaultColWidth="9.3046875" defaultRowHeight="14.6" x14ac:dyDescent="0.4"/>
  <cols>
    <col min="1" max="1" width="16.69140625" style="68" customWidth="1"/>
    <col min="2" max="2" width="16.53515625" style="68" customWidth="1"/>
    <col min="3" max="3" width="98.53515625" style="88" customWidth="1"/>
    <col min="4" max="16384" width="9.3046875" style="66"/>
  </cols>
  <sheetData>
    <row r="1" spans="1:2" x14ac:dyDescent="0.4">
      <c r="A1" s="68" t="s">
        <v>328</v>
      </c>
    </row>
    <row r="2" spans="1:2" x14ac:dyDescent="0.4">
      <c r="A2" s="69" t="s">
        <v>329</v>
      </c>
      <c r="B2" s="70" t="s">
        <v>330</v>
      </c>
    </row>
    <row r="3" spans="1:2" x14ac:dyDescent="0.4">
      <c r="A3" s="69" t="s">
        <v>331</v>
      </c>
      <c r="B3" s="71" t="s">
        <v>349</v>
      </c>
    </row>
    <row r="4" spans="1:2" x14ac:dyDescent="0.4">
      <c r="A4" s="68" t="s">
        <v>332</v>
      </c>
      <c r="B4" s="70" t="s">
        <v>333</v>
      </c>
    </row>
    <row r="5" spans="1:2" x14ac:dyDescent="0.4">
      <c r="A5" s="68" t="s">
        <v>334</v>
      </c>
      <c r="B5" s="70" t="s">
        <v>335</v>
      </c>
    </row>
    <row r="7" spans="1:2" x14ac:dyDescent="0.4">
      <c r="A7" s="72" t="s">
        <v>313</v>
      </c>
      <c r="B7" s="73" t="s">
        <v>314</v>
      </c>
    </row>
    <row r="8" spans="1:2" x14ac:dyDescent="0.4">
      <c r="A8" s="74" t="s">
        <v>318</v>
      </c>
      <c r="B8" s="75"/>
    </row>
    <row r="9" spans="1:2" x14ac:dyDescent="0.4">
      <c r="A9" s="74" t="s">
        <v>303</v>
      </c>
      <c r="B9" s="75"/>
    </row>
    <row r="10" spans="1:2" x14ac:dyDescent="0.4">
      <c r="A10" s="74" t="s">
        <v>317</v>
      </c>
      <c r="B10" s="75"/>
    </row>
    <row r="11" spans="1:2" x14ac:dyDescent="0.4">
      <c r="A11" s="74" t="s">
        <v>316</v>
      </c>
      <c r="B11" s="75"/>
    </row>
    <row r="12" spans="1:2" x14ac:dyDescent="0.4">
      <c r="A12" s="74" t="s">
        <v>315</v>
      </c>
      <c r="B12" s="75"/>
    </row>
    <row r="13" spans="1:2" x14ac:dyDescent="0.4">
      <c r="A13" s="74" t="s">
        <v>319</v>
      </c>
      <c r="B13" s="75"/>
    </row>
    <row r="14" spans="1:2" x14ac:dyDescent="0.4">
      <c r="A14" s="74" t="s">
        <v>181</v>
      </c>
      <c r="B14" s="75"/>
    </row>
    <row r="15" spans="1:2" x14ac:dyDescent="0.4">
      <c r="A15" s="74" t="s">
        <v>320</v>
      </c>
      <c r="B15" s="75"/>
    </row>
    <row r="16" spans="1:2" x14ac:dyDescent="0.4">
      <c r="A16" s="74" t="s">
        <v>307</v>
      </c>
      <c r="B16" s="75"/>
    </row>
    <row r="17" spans="1:3" x14ac:dyDescent="0.4">
      <c r="A17" s="74" t="s">
        <v>310</v>
      </c>
      <c r="B17" s="75"/>
    </row>
    <row r="18" spans="1:3" x14ac:dyDescent="0.4">
      <c r="A18" s="76" t="s">
        <v>312</v>
      </c>
      <c r="B18" s="77"/>
    </row>
    <row r="24" spans="1:3" x14ac:dyDescent="0.4">
      <c r="A24" s="78" t="s">
        <v>195</v>
      </c>
      <c r="B24" s="79" t="s">
        <v>336</v>
      </c>
      <c r="C24" s="89" t="s">
        <v>337</v>
      </c>
    </row>
    <row r="25" spans="1:3" ht="35.700000000000003" customHeight="1" x14ac:dyDescent="0.4">
      <c r="A25" s="68" t="s">
        <v>338</v>
      </c>
      <c r="B25" s="80">
        <v>43073.273344907408</v>
      </c>
      <c r="C25" s="90" t="s">
        <v>730</v>
      </c>
    </row>
    <row r="26" spans="1:3" ht="35.700000000000003" customHeight="1" x14ac:dyDescent="0.4">
      <c r="A26" s="68" t="s">
        <v>339</v>
      </c>
      <c r="B26" s="80">
        <v>43073.273344907408</v>
      </c>
      <c r="C26" s="90" t="s">
        <v>1001</v>
      </c>
    </row>
    <row r="27" spans="1:3" ht="35.700000000000003" customHeight="1" x14ac:dyDescent="0.4">
      <c r="A27" s="68" t="s">
        <v>340</v>
      </c>
      <c r="B27" s="80">
        <v>43073.273344907408</v>
      </c>
      <c r="C27" s="90" t="s">
        <v>726</v>
      </c>
    </row>
    <row r="28" spans="1:3" ht="35.700000000000003" customHeight="1" x14ac:dyDescent="0.4">
      <c r="A28" s="68" t="s">
        <v>341</v>
      </c>
      <c r="B28" s="80">
        <v>43073.273344907408</v>
      </c>
      <c r="C28" s="90" t="s">
        <v>727</v>
      </c>
    </row>
    <row r="29" spans="1:3" ht="35.700000000000003" customHeight="1" x14ac:dyDescent="0.4">
      <c r="A29" s="68" t="s">
        <v>342</v>
      </c>
      <c r="B29" s="80">
        <v>43073.273344907408</v>
      </c>
      <c r="C29" s="90" t="s">
        <v>728</v>
      </c>
    </row>
    <row r="30" spans="1:3" ht="35.700000000000003" customHeight="1" x14ac:dyDescent="0.4">
      <c r="A30" s="68" t="s">
        <v>343</v>
      </c>
      <c r="B30" s="80">
        <v>43073.273344907408</v>
      </c>
      <c r="C30" s="90" t="s">
        <v>729</v>
      </c>
    </row>
    <row r="31" spans="1:3" ht="35.700000000000003" customHeight="1" x14ac:dyDescent="0.4">
      <c r="A31" s="68" t="s">
        <v>344</v>
      </c>
      <c r="B31" s="80">
        <v>43073.273344907408</v>
      </c>
      <c r="C31" s="90" t="s">
        <v>1002</v>
      </c>
    </row>
    <row r="32" spans="1:3" ht="35.700000000000003" customHeight="1" x14ac:dyDescent="0.4">
      <c r="A32" s="68" t="s">
        <v>345</v>
      </c>
      <c r="B32" s="80">
        <v>43073.273344907408</v>
      </c>
      <c r="C32" s="90" t="s">
        <v>732</v>
      </c>
    </row>
    <row r="33" spans="1:3" ht="35.700000000000003" customHeight="1" x14ac:dyDescent="0.4">
      <c r="A33" s="68" t="s">
        <v>346</v>
      </c>
      <c r="B33" s="80">
        <v>43073.273344907408</v>
      </c>
      <c r="C33" s="90" t="s">
        <v>734</v>
      </c>
    </row>
    <row r="34" spans="1:3" ht="35.700000000000003" customHeight="1" x14ac:dyDescent="0.4">
      <c r="A34" s="68" t="s">
        <v>347</v>
      </c>
      <c r="B34" s="80">
        <v>43073.273344907408</v>
      </c>
      <c r="C34" s="90" t="s">
        <v>731</v>
      </c>
    </row>
    <row r="35" spans="1:3" ht="35.700000000000003" customHeight="1" x14ac:dyDescent="0.4">
      <c r="A35" s="68" t="s">
        <v>724</v>
      </c>
      <c r="B35" s="80">
        <v>43073.273344907408</v>
      </c>
      <c r="C35" s="90" t="s">
        <v>733</v>
      </c>
    </row>
    <row r="36" spans="1:3" ht="35.700000000000003" customHeight="1" x14ac:dyDescent="0.4">
      <c r="A36" s="68" t="s">
        <v>725</v>
      </c>
      <c r="B36" s="80">
        <v>43073.273344907408</v>
      </c>
      <c r="C36" s="90" t="s">
        <v>735</v>
      </c>
    </row>
    <row r="37" spans="1:3" ht="35.700000000000003" customHeight="1" x14ac:dyDescent="0.4"/>
    <row r="38" spans="1:3" ht="18" customHeight="1"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41</vt:i4>
      </vt:variant>
    </vt:vector>
  </HeadingPairs>
  <TitlesOfParts>
    <vt:vector size="51"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HiddenSettings!RA_PRCglossary</vt:lpstr>
      <vt:lpstr>HiddenSettings!RA_projText</vt:lpstr>
      <vt:lpstr>HiddenSettings!RA_prop</vt:lpstr>
      <vt:lpstr>HiddenSettings!RA_propCheck</vt:lpstr>
      <vt:lpstr>HiddenSettings!RA_propPRCs</vt:lpstr>
      <vt:lpstr>HiddenSettings!RA_revs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2017-12-04T14:15:47Z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