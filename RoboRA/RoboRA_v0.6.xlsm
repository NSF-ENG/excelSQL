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tables/table12.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5.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queryTables/queryTable9.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40" windowHeight="5190" firstSheet="1" activeTab="5"/>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HiddenSettings" sheetId="9" state="hidden" r:id="rId11"/>
  </sheets>
  <functionGroups builtInGroupCount="18"/>
  <definedNames>
    <definedName name="AwdTemplate">RoboRA!$B$14</definedName>
    <definedName name="codes_prop_stts">HiddenSettings!$E$7:$E$11</definedName>
    <definedName name="DeclTemplate">RoboRA!$E$14</definedName>
    <definedName name="delaytime">RoboRA!$M$12</definedName>
    <definedName name="dir_div_abbr">Advanced!$E$17</definedName>
    <definedName name="dirRAoutput">RoboRA!$N$3</definedName>
    <definedName name="dirRAtemplate">Advanced!$J$9</definedName>
    <definedName name="fiscalyear" localSheetId="3">Budgets!$L$2</definedName>
    <definedName name="from_date">Advanced!$E$12</definedName>
    <definedName name="Mac_connect_string" localSheetId="10">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10">HiddenSettings!$B$4</definedName>
    <definedName name="pgm_annc_id">Advanced!$E$15</definedName>
    <definedName name="pgm_ele_code">Advanced!$E$18</definedName>
    <definedName name="pm_ibm_logn_id">Advanced!$E$14</definedName>
    <definedName name="prop_atr_code">Advanced!$E$22</definedName>
    <definedName name="prop_stts_code" localSheetId="5">Advanced!$E$23</definedName>
    <definedName name="prop_titl_txt">Advanced!$E$21</definedName>
    <definedName name="Query_from_RPTSERVER" localSheetId="3" hidden="1">Budgets!$A$3:$AC$83</definedName>
    <definedName name="Query_from_RPTSERVER" localSheetId="2" hidden="1">ckAwd!$A$1:$AX$17</definedName>
    <definedName name="Query_from_RPTSERVER" localSheetId="1" hidden="1">ckCoding!$A$1:$BL$17</definedName>
    <definedName name="Query_from_RPTSERVER" localSheetId="8" hidden="1">ckSplits!$A$1:$AH$2</definedName>
    <definedName name="Query_from_RPTSERVER" localSheetId="6" hidden="1">Conflict!$A$2:$C$7</definedName>
    <definedName name="Query_from_RPTSERVER" localSheetId="7" hidden="1">PRCs!$A$2:$B$8</definedName>
    <definedName name="Query_from_RPTSERVER" localSheetId="9" hidden="1">ProjText!$B$1:$P$97</definedName>
    <definedName name="Query_from_RPTSERVER" localSheetId="4" hidden="1">RAData!$A$1:$EF$18</definedName>
    <definedName name="Query_from_RPTSERVER_1" localSheetId="7" hidden="1">PRCs!$D$2:$E$4</definedName>
    <definedName name="query_params" localSheetId="5">Advanced!$E$12:$F$22</definedName>
    <definedName name="query_params" localSheetId="10">HiddenSettings!$A$8:$B$18</definedName>
    <definedName name="RA_allRAdata" localSheetId="10">HiddenSettings!$C$29</definedName>
    <definedName name="RA_allRAdata2" localSheetId="10">HiddenSettings!$C$41</definedName>
    <definedName name="RA_awdCheck" localSheetId="10">HiddenSettings!$C$31</definedName>
    <definedName name="RA_budgBlocks" localSheetId="10">HiddenSettings!$C$34</definedName>
    <definedName name="RA_ckConfRevrInst" localSheetId="10">HiddenSettings!$C$39</definedName>
    <definedName name="RA_confl" localSheetId="10">HiddenSettings!$C$40</definedName>
    <definedName name="RA_leads" localSheetId="10">HiddenSettings!$C$24</definedName>
    <definedName name="RA_panl" localSheetId="10">HiddenSettings!$C$28</definedName>
    <definedName name="RA_PECglossary" localSheetId="10">HiddenSettings!$C$38</definedName>
    <definedName name="RA_pidCreate" localSheetId="10">HiddenSettings!$C$36</definedName>
    <definedName name="RA_pidSelect" localSheetId="10">HiddenSettings!$C$37</definedName>
    <definedName name="RA_PRCglossary" localSheetId="10">HiddenSettings!$C$30</definedName>
    <definedName name="RA_projText" localSheetId="10">HiddenSettings!$C$33</definedName>
    <definedName name="RA_prop" localSheetId="10">HiddenSettings!$C$26</definedName>
    <definedName name="RA_propCheck" localSheetId="10">HiddenSettings!$C$32</definedName>
    <definedName name="RA_propPRCs" localSheetId="10">HiddenSettings!$C$25</definedName>
    <definedName name="RA_revs" localSheetId="10">HiddenSettings!$C$27</definedName>
    <definedName name="RA_splits" localSheetId="10">HiddenSettings!$C$35</definedName>
    <definedName name="revtable" localSheetId="10">HiddenSettings!$C$23</definedName>
    <definedName name="RoboRAFolder">HiddenSettings!$B$6</definedName>
    <definedName name="rpt_pwd" comment="reportserver password" localSheetId="10">HiddenSettings!$B$3</definedName>
    <definedName name="select_prop_stts">HiddenSettings!$E$6</definedName>
    <definedName name="signer1">RoboRA!$N$6</definedName>
    <definedName name="signer2">RoboRA!$N$7</definedName>
    <definedName name="StdDeclTemplate">RoboRA!$H$14</definedName>
    <definedName name="StdNDPDeclTemplate" localSheetId="0">RoboRA!$K$14</definedName>
    <definedName name="to_date">Advanced!$F$12</definedName>
    <definedName name="user_id" comment="reportserver user_id" localSheetId="10">HiddenSettings!$B$2</definedName>
  </definedNames>
  <calcPr calcId="171027" concurrentCalc="0"/>
  <pivotCaches>
    <pivotCache cacheId="1" r:id="rId12"/>
    <pivotCache cacheId="9" r:id="rId1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 i="1" l="1"/>
  <c r="M2" i="10"/>
  <c r="M3" i="10"/>
  <c r="M4" i="10"/>
  <c r="M5" i="10"/>
  <c r="M6" i="10"/>
  <c r="M7" i="10"/>
  <c r="M8" i="10"/>
  <c r="M9" i="10"/>
  <c r="M10" i="10"/>
  <c r="M11" i="10"/>
  <c r="M12" i="10"/>
  <c r="M13" i="10"/>
  <c r="M14" i="10"/>
  <c r="M15" i="10"/>
  <c r="M16" i="10"/>
  <c r="M17" i="10"/>
  <c r="P2" i="10"/>
  <c r="P3" i="10"/>
  <c r="P4" i="10"/>
  <c r="P5" i="10"/>
  <c r="P6" i="10"/>
  <c r="P7" i="10"/>
  <c r="P8" i="10"/>
  <c r="P9" i="10"/>
  <c r="P10" i="10"/>
  <c r="P11" i="10"/>
  <c r="P12" i="10"/>
  <c r="P13" i="10"/>
  <c r="P14" i="10"/>
  <c r="P15" i="10"/>
  <c r="P16" i="10"/>
  <c r="P17" i="10"/>
  <c r="W2" i="10"/>
  <c r="W3" i="10"/>
  <c r="W4" i="10"/>
  <c r="W5" i="10"/>
  <c r="W6" i="10"/>
  <c r="W7" i="10"/>
  <c r="W8" i="10"/>
  <c r="W9" i="10"/>
  <c r="W10" i="10"/>
  <c r="W11" i="10"/>
  <c r="W12" i="10"/>
  <c r="W13" i="10"/>
  <c r="W14" i="10"/>
  <c r="W15" i="10"/>
  <c r="W16" i="10"/>
  <c r="W17" i="10"/>
  <c r="AT2" i="10"/>
  <c r="AT3" i="10"/>
  <c r="AT4" i="10"/>
  <c r="AT5" i="10"/>
  <c r="AT6" i="10"/>
  <c r="AT7" i="10"/>
  <c r="AT8" i="10"/>
  <c r="AT9" i="10"/>
  <c r="AT10" i="10"/>
  <c r="AT11" i="10"/>
  <c r="AT12" i="10"/>
  <c r="AT13" i="10"/>
  <c r="AT14" i="10"/>
  <c r="AT15" i="10"/>
  <c r="AT16" i="10"/>
  <c r="AT17" i="10"/>
  <c r="AW2" i="10"/>
  <c r="AW3" i="10"/>
  <c r="AW4" i="10"/>
  <c r="AW5" i="10"/>
  <c r="AW6" i="10"/>
  <c r="AW7" i="10"/>
  <c r="AW8" i="10"/>
  <c r="AW9" i="10"/>
  <c r="AW10" i="10"/>
  <c r="AW11" i="10"/>
  <c r="AW12" i="10"/>
  <c r="AW13" i="10"/>
  <c r="AW14" i="10"/>
  <c r="AW15" i="10"/>
  <c r="AW16" i="10"/>
  <c r="AW17"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N4" i="13"/>
  <c r="N5" i="13"/>
  <c r="N6" i="13"/>
  <c r="N7" i="13"/>
  <c r="N8"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L2" i="13"/>
  <c r="X4" i="13"/>
  <c r="X5" i="13"/>
  <c r="X6" i="13"/>
  <c r="X7" i="13"/>
  <c r="X8" i="13"/>
  <c r="X9" i="13"/>
  <c r="X10" i="13"/>
  <c r="X11" i="13"/>
  <c r="X12" i="13"/>
  <c r="X13" i="13"/>
  <c r="X14" i="13"/>
  <c r="X15" i="13"/>
  <c r="X16" i="13"/>
  <c r="X17" i="13"/>
  <c r="X18" i="13"/>
  <c r="X19" i="13"/>
  <c r="X20" i="13"/>
  <c r="X21" i="13"/>
  <c r="X22" i="13"/>
  <c r="X23" i="13"/>
  <c r="X2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X66" i="13"/>
  <c r="X67" i="13"/>
  <c r="X68" i="13"/>
  <c r="X69" i="13"/>
  <c r="X70" i="13"/>
  <c r="X71" i="13"/>
  <c r="X72" i="13"/>
  <c r="X73" i="13"/>
  <c r="X74" i="13"/>
  <c r="X75" i="13"/>
  <c r="X76" i="13"/>
  <c r="X77" i="13"/>
  <c r="X78" i="13"/>
  <c r="X79" i="13"/>
  <c r="X80" i="13"/>
  <c r="X81" i="13"/>
  <c r="X82" i="13"/>
  <c r="X83" i="13"/>
  <c r="R16" i="2"/>
  <c r="R10" i="2"/>
  <c r="R4" i="2"/>
  <c r="R3" i="2"/>
  <c r="R5" i="2"/>
  <c r="R11" i="2"/>
  <c r="R17" i="2"/>
  <c r="R6" i="2"/>
  <c r="R12" i="2"/>
  <c r="R8" i="2"/>
  <c r="R7" i="2"/>
  <c r="R9" i="2"/>
  <c r="R13" i="2"/>
  <c r="R14" i="2"/>
  <c r="R15" i="2"/>
  <c r="R18" i="2"/>
  <c r="R2" i="2"/>
  <c r="U16" i="2"/>
  <c r="U10" i="2"/>
  <c r="U4" i="2"/>
  <c r="U3" i="2"/>
  <c r="U5" i="2"/>
  <c r="U11" i="2"/>
  <c r="U17" i="2"/>
  <c r="U6" i="2"/>
  <c r="U12" i="2"/>
  <c r="U8" i="2"/>
  <c r="U7" i="2"/>
  <c r="U9" i="2"/>
  <c r="U13" i="2"/>
  <c r="U14" i="2"/>
  <c r="U15" i="2"/>
  <c r="U18" i="2"/>
  <c r="U2" i="2"/>
  <c r="V16" i="2"/>
  <c r="V10" i="2"/>
  <c r="V4" i="2"/>
  <c r="V3" i="2"/>
  <c r="V5" i="2"/>
  <c r="V11" i="2"/>
  <c r="V17" i="2"/>
  <c r="V6" i="2"/>
  <c r="V12" i="2"/>
  <c r="V8" i="2"/>
  <c r="V7" i="2"/>
  <c r="V9" i="2"/>
  <c r="V13" i="2"/>
  <c r="V14" i="2"/>
  <c r="V15" i="2"/>
  <c r="V18" i="2"/>
  <c r="V2" i="2"/>
  <c r="W16" i="2"/>
  <c r="W10" i="2"/>
  <c r="W4" i="2"/>
  <c r="W3" i="2"/>
  <c r="W5" i="2"/>
  <c r="W11" i="2"/>
  <c r="W17" i="2"/>
  <c r="W6" i="2"/>
  <c r="W12" i="2"/>
  <c r="W8" i="2"/>
  <c r="W7" i="2"/>
  <c r="W9" i="2"/>
  <c r="W13" i="2"/>
  <c r="W14" i="2"/>
  <c r="W15" i="2"/>
  <c r="W18" i="2"/>
  <c r="W2" i="2"/>
  <c r="X16" i="2"/>
  <c r="X10" i="2"/>
  <c r="X4" i="2"/>
  <c r="X3" i="2"/>
  <c r="X5" i="2"/>
  <c r="X11" i="2"/>
  <c r="X17" i="2"/>
  <c r="X6" i="2"/>
  <c r="X12" i="2"/>
  <c r="X8" i="2"/>
  <c r="X7" i="2"/>
  <c r="X9" i="2"/>
  <c r="X13" i="2"/>
  <c r="X14" i="2"/>
  <c r="X15" i="2"/>
  <c r="X18" i="2"/>
  <c r="X2" i="2"/>
  <c r="Y16" i="2"/>
  <c r="Y10" i="2"/>
  <c r="Y4" i="2"/>
  <c r="Y3" i="2"/>
  <c r="Y5" i="2"/>
  <c r="Y11" i="2"/>
  <c r="Y17" i="2"/>
  <c r="Y6" i="2"/>
  <c r="Y12" i="2"/>
  <c r="Y8" i="2"/>
  <c r="Y7" i="2"/>
  <c r="Y9" i="2"/>
  <c r="Y13" i="2"/>
  <c r="Y14" i="2"/>
  <c r="Y15" i="2"/>
  <c r="Y18" i="2"/>
  <c r="Y2" i="2"/>
  <c r="AE16" i="2"/>
  <c r="AE10" i="2"/>
  <c r="AE4" i="2"/>
  <c r="AE3" i="2"/>
  <c r="AE5" i="2"/>
  <c r="AE11" i="2"/>
  <c r="AE17" i="2"/>
  <c r="AE6" i="2"/>
  <c r="AE12" i="2"/>
  <c r="AE8" i="2"/>
  <c r="AE7" i="2"/>
  <c r="AE9" i="2"/>
  <c r="AE13" i="2"/>
  <c r="AE14" i="2"/>
  <c r="AE15" i="2"/>
  <c r="AE18" i="2"/>
  <c r="AE2" i="2"/>
  <c r="N2" i="3"/>
  <c r="N3" i="3"/>
  <c r="N4" i="3"/>
  <c r="N5" i="3"/>
  <c r="N6" i="3"/>
  <c r="N7" i="3"/>
  <c r="N8" i="3"/>
  <c r="N9" i="3"/>
  <c r="N10" i="3"/>
  <c r="N11" i="3"/>
  <c r="N12" i="3"/>
  <c r="N13" i="3"/>
  <c r="N14" i="3"/>
  <c r="N15" i="3"/>
  <c r="N16" i="3"/>
  <c r="N17" i="3"/>
  <c r="O2" i="3"/>
  <c r="O3" i="3"/>
  <c r="O4" i="3"/>
  <c r="O5" i="3"/>
  <c r="O6" i="3"/>
  <c r="O7" i="3"/>
  <c r="O8" i="3"/>
  <c r="O9" i="3"/>
  <c r="O10" i="3"/>
  <c r="O11" i="3"/>
  <c r="O12" i="3"/>
  <c r="O13" i="3"/>
  <c r="O14" i="3"/>
  <c r="O15" i="3"/>
  <c r="O16" i="3"/>
  <c r="O17" i="3"/>
  <c r="P2" i="3"/>
  <c r="P3" i="3"/>
  <c r="P4" i="3"/>
  <c r="P5" i="3"/>
  <c r="P6" i="3"/>
  <c r="P7" i="3"/>
  <c r="P8" i="3"/>
  <c r="P9" i="3"/>
  <c r="P10" i="3"/>
  <c r="P11" i="3"/>
  <c r="P12" i="3"/>
  <c r="P13" i="3"/>
  <c r="P14" i="3"/>
  <c r="P15" i="3"/>
  <c r="P16" i="3"/>
  <c r="P17" i="3"/>
  <c r="S2" i="3"/>
  <c r="S3" i="3"/>
  <c r="S4" i="3"/>
  <c r="S5" i="3"/>
  <c r="S6" i="3"/>
  <c r="S7" i="3"/>
  <c r="S8" i="3"/>
  <c r="S9" i="3"/>
  <c r="S10" i="3"/>
  <c r="S11" i="3"/>
  <c r="S12" i="3"/>
  <c r="S13" i="3"/>
  <c r="S14" i="3"/>
  <c r="S15" i="3"/>
  <c r="S16" i="3"/>
  <c r="S17" i="3"/>
  <c r="V2" i="3"/>
  <c r="V3" i="3"/>
  <c r="V4" i="3"/>
  <c r="V5" i="3"/>
  <c r="V6" i="3"/>
  <c r="V7" i="3"/>
  <c r="V8" i="3"/>
  <c r="V9" i="3"/>
  <c r="V10" i="3"/>
  <c r="V11" i="3"/>
  <c r="V12" i="3"/>
  <c r="V13" i="3"/>
  <c r="V14" i="3"/>
  <c r="V15" i="3"/>
  <c r="V16" i="3"/>
  <c r="V17" i="3"/>
  <c r="AB2" i="3"/>
  <c r="AB3" i="3"/>
  <c r="AB4" i="3"/>
  <c r="AB5" i="3"/>
  <c r="AB6" i="3"/>
  <c r="AB7" i="3"/>
  <c r="AB8" i="3"/>
  <c r="AB9" i="3"/>
  <c r="AB10" i="3"/>
  <c r="AB11" i="3"/>
  <c r="AB12" i="3"/>
  <c r="AB13" i="3"/>
  <c r="AB14" i="3"/>
  <c r="AB15" i="3"/>
  <c r="AB16" i="3"/>
  <c r="AB17" i="3"/>
  <c r="AR2" i="3"/>
  <c r="AR3" i="3"/>
  <c r="AR4" i="3"/>
  <c r="AR5" i="3"/>
  <c r="AR6" i="3"/>
  <c r="AR7" i="3"/>
  <c r="AR8" i="3"/>
  <c r="AR9" i="3"/>
  <c r="AR10" i="3"/>
  <c r="AR11" i="3"/>
  <c r="AR12" i="3"/>
  <c r="AR13" i="3"/>
  <c r="AR14" i="3"/>
  <c r="AR15" i="3"/>
  <c r="AR16" i="3"/>
  <c r="AR17" i="3"/>
  <c r="AU2" i="3"/>
  <c r="AU3" i="3"/>
  <c r="AU4" i="3"/>
  <c r="AU5" i="3"/>
  <c r="AU6" i="3"/>
  <c r="AU7" i="3"/>
  <c r="AU8" i="3"/>
  <c r="AU9" i="3"/>
  <c r="AU10" i="3"/>
  <c r="AU11" i="3"/>
  <c r="AU12" i="3"/>
  <c r="AU13" i="3"/>
  <c r="AU14" i="3"/>
  <c r="AU15" i="3"/>
  <c r="AU16" i="3"/>
  <c r="AU17" i="3"/>
  <c r="P98"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30" i="1"/>
  <c r="E23" i="1"/>
</calcChain>
</file>

<file path=xl/comments1.xml><?xml version="1.0" encoding="utf-8"?>
<comments xmlns="http://schemas.openxmlformats.org/spreadsheetml/2006/main">
  <authors>
    <author>Jack Snoeyink</author>
  </authors>
  <commentList>
    <comment ref="H15" authorId="0" shapeId="0">
      <text>
        <r>
          <rPr>
            <sz val="9"/>
            <color indexed="81"/>
            <rFont val="Tahoma"/>
            <family val="2"/>
          </rPr>
          <t xml:space="preserve">Std templates are automatically put into eJacket. </t>
        </r>
      </text>
    </comment>
    <comment ref="K15"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6.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pm_ibm_logn_id = 'jsnoeyi'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pm_ibm_logn_id = 'jsnoeyi'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pm_ibm_logn_id = 'jsnoeyi'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PConfl,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pm_ibm_logn_id = 'jsnoeyi'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rop, #myLead, #myRA"/>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pm_ibm_logn_id = 'jsnoeyi'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CGlossaryQuery1"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pm_ibm_logn_id = 'jsnoeyi'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rop, #myLead, #myRA"/>
  </connection>
  <connection id="7" name="ProjTextQuery" type="1" refreshedVersion="6"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pm_ibm_logn_id = 'jsnoeyi'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8"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pm_ibm_logn_id = 'jsnoeyi'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PConfl, #myPanl, #myProjPanl, #myProjPanlSumm DROP TABLE #myDmog"/>
  </connection>
  <connection id="9"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natr_rqst natr_rqst ON prop.natr_rqst_code = natr_rqst.natr_rqst_code_x000a_WHERE (1=1)  AND (prop.pm_ibm_logn_id = 'jsnoeyi'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<sst xmlns="http://schemas.openxmlformats.org/spreadsheetml/2006/main" count="4111" uniqueCount="897">
  <si>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</si>
  <si>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</si>
  <si>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</si>
  <si>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</si>
  <si>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</si>
  <si>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</si>
  <si>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</si>
  <si>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</si>
  <si>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</si>
  <si>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</si>
  <si>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</si>
  <si>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</si>
  <si>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</si>
  <si>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</si>
  <si>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</si>
  <si>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</si>
  <si>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</si>
  <si>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</si>
  <si>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</si>
  <si>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</si>
  <si>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</si>
  <si>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</si>
  <si>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</si>
  <si>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</si>
  <si>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</si>
  <si>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</si>
  <si>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</si>
  <si>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</si>
  <si>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</si>
  <si>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</si>
  <si>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</si>
  <si>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</si>
  <si>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</si>
  <si>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</si>
  <si>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</si>
  <si>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</si>
  <si>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</si>
  <si>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</si>
  <si>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</si>
  <si>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</si>
  <si>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</si>
  <si>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</si>
  <si>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</si>
  <si>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</si>
  <si>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</si>
  <si>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</si>
  <si>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</si>
  <si>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</si>
  <si>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</si>
  <si>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</si>
  <si>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</si>
  <si>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</si>
  <si>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</si>
  <si>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</si>
  <si>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</si>
  <si>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</si>
  <si>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</si>
  <si>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</si>
  <si>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</si>
  <si>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</si>
  <si>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</si>
  <si>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</si>
  <si>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</si>
  <si>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</si>
  <si>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</si>
  <si>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</si>
  <si>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</si>
  <si>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</si>
  <si>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</si>
  <si>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</si>
  <si>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</si>
  <si>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</si>
  <si>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</si>
  <si>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</si>
  <si>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</si>
  <si>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</si>
  <si>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</si>
  <si>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</si>
  <si>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</si>
  <si>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</si>
  <si>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</si>
  <si>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</si>
  <si>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</si>
  <si>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</si>
  <si>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</si>
  <si>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</si>
  <si>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</si>
  <si>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</si>
  <si>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</si>
  <si>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</si>
  <si>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</si>
  <si>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</si>
  <si>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</si>
  <si>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</si>
  <si>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</si>
  <si>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</si>
  <si>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</si>
  <si>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</si>
  <si>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</si>
  <si>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</si>
  <si>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</si>
  <si>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</si>
  <si>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</si>
  <si>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</si>
  <si>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</si>
  <si>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</si>
  <si>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</si>
  <si>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</si>
  <si>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</si>
  <si>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</si>
  <si>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</si>
  <si>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</si>
  <si>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</si>
  <si>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</si>
  <si>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</si>
  <si>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</si>
  <si>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</si>
  <si>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</si>
  <si>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</si>
  <si>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</si>
  <si>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</si>
  <si>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</si>
  <si>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</si>
  <si>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</si>
  <si>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</si>
  <si>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</si>
  <si>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</si>
  <si>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</si>
  <si>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</si>
  <si>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</si>
  <si>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</si>
  <si>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</si>
  <si>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</si>
  <si>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</si>
  <si>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</si>
  <si>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</si>
  <si>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</si>
  <si>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</si>
  <si>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</si>
  <si>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</si>
  <si>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</si>
  <si>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</si>
  <si>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</si>
  <si>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</si>
  <si>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</si>
  <si>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</si>
  <si>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</si>
  <si>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</si>
  <si>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</si>
  <si>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</si>
  <si>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</si>
  <si>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</si>
  <si>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</si>
  <si>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</si>
  <si>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</si>
  <si>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</si>
  <si>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</si>
  <si>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</si>
  <si>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</si>
  <si>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</si>
  <si>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</si>
  <si>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</si>
  <si>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</si>
  <si>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</si>
  <si>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</si>
  <si>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</si>
  <si>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</si>
  <si>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</si>
  <si>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</si>
  <si>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</si>
  <si>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</si>
  <si>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</si>
  <si>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</si>
  <si>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</si>
  <si>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</si>
  <si>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</si>
  <si>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</si>
  <si>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</si>
  <si>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</si>
  <si>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</si>
  <si>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Decline: select template</t>
  </si>
  <si>
    <t>Awds: select template</t>
  </si>
  <si>
    <t>Autoload to eJacket Preferences</t>
  </si>
  <si>
    <t>Standard Declines: autoloaded to eJacket</t>
  </si>
  <si>
    <t>international?</t>
  </si>
  <si>
    <t>Revs &amp; Panl release</t>
  </si>
  <si>
    <t>Human &amp; Vertibrate</t>
  </si>
  <si>
    <t>demographics</t>
  </si>
  <si>
    <t>Set Autoload Preferences on RoboRA tab</t>
  </si>
  <si>
    <t>delay (increase if eJacket can't keep up.)</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</si>
  <si>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</si>
  <si>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</si>
  <si>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</si>
  <si>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</si>
  <si>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</si>
  <si>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</si>
  <si>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</si>
  <si>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</si>
  <si>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</si>
  <si>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</si>
  <si>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</si>
  <si>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</si>
  <si>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</si>
  <si>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</si>
  <si>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</si>
  <si>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</si>
  <si>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</si>
  <si>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</si>
  <si>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</si>
  <si>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</si>
  <si>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</si>
  <si>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</si>
  <si>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</si>
  <si>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</si>
  <si>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</si>
  <si>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</si>
  <si>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</si>
  <si>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</si>
  <si>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</si>
  <si>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</si>
  <si>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</si>
  <si>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</si>
  <si>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</si>
  <si>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</si>
  <si>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</si>
  <si>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</si>
  <si>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</si>
  <si>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</si>
  <si>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</si>
  <si>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</si>
  <si>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</si>
  <si>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</si>
  <si>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</si>
  <si>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</si>
  <si>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</si>
  <si>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</si>
  <si>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</si>
  <si>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</si>
  <si>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</si>
  <si>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</si>
  <si>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</si>
  <si>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</si>
  <si>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</si>
  <si>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</si>
  <si>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</si>
  <si>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</si>
  <si>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</si>
  <si>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</si>
  <si>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</si>
  <si>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</si>
  <si>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</si>
  <si>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</si>
  <si>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</si>
  <si>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</si>
  <si>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</si>
  <si>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</si>
  <si>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</si>
  <si>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</si>
  <si>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</si>
  <si>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</si>
  <si>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</si>
  <si>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</si>
  <si>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</si>
  <si>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</si>
  <si>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</si>
  <si>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</si>
  <si>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</si>
  <si>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</si>
  <si>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</si>
  <si>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</si>
  <si>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</si>
  <si>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</si>
  <si>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</si>
  <si>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</si>
  <si>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</si>
  <si>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</si>
  <si>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</si>
  <si>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</si>
  <si>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</si>
  <si>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</si>
  <si>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</si>
  <si>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</si>
  <si>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</si>
  <si>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</si>
  <si>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</si>
  <si>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</si>
  <si>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</si>
  <si>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</si>
  <si>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</si>
  <si>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</si>
  <si>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</si>
  <si>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</si>
  <si>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</si>
  <si>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</si>
  <si>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</si>
  <si>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</si>
  <si>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</si>
  <si>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</si>
  <si>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</si>
  <si>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</si>
  <si>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</si>
  <si>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</si>
  <si>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</si>
  <si>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</si>
  <si>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</si>
  <si>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</si>
  <si>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</si>
  <si>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</si>
  <si>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</si>
  <si>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</si>
  <si>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</si>
  <si>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</si>
  <si>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</si>
  <si>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</si>
  <si>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</si>
  <si>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</si>
  <si>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</si>
  <si>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</si>
  <si>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</si>
  <si>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</si>
  <si>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</si>
  <si>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</si>
  <si>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</si>
  <si>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</si>
  <si>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</si>
  <si>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</si>
  <si>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</si>
  <si>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</si>
  <si>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</si>
  <si>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</si>
  <si>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</si>
  <si>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</si>
  <si>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</si>
  <si>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</si>
  <si>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</si>
  <si>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</si>
  <si>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</si>
  <si>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</si>
  <si>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</si>
  <si>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</si>
  <si>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</si>
  <si>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</si>
  <si>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</si>
  <si>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</si>
  <si>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</si>
  <si>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</si>
  <si>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</si>
  <si>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</si>
  <si>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</si>
  <si>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</si>
  <si>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</si>
  <si>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</si>
  <si>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</si>
  <si>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</si>
  <si>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</si>
  <si>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</si>
  <si>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</si>
  <si>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</si>
  <si>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</si>
  <si>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</si>
  <si>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</si>
  <si>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</si>
  <si>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</si>
  <si>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</si>
  <si>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</si>
  <si>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</si>
  <si>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</si>
  <si>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Obj</t>
  </si>
  <si>
    <t>RAps_note</t>
  </si>
  <si>
    <t>divergentReviews</t>
  </si>
  <si>
    <t>Revised budget totals by year</t>
  </si>
  <si>
    <t>PEC Glossary; program element codes on proposals</t>
  </si>
  <si>
    <t>PEC_Description</t>
  </si>
  <si>
    <t>Glossaries of PRC/PECs used</t>
  </si>
  <si>
    <t>RA_PECglossary</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</si>
  <si>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</si>
  <si>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</si>
  <si>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</si>
  <si>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</si>
  <si>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</si>
  <si>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</si>
  <si>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</si>
  <si>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</si>
  <si>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</si>
  <si>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</si>
  <si>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</si>
  <si>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</si>
  <si>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</si>
  <si>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 xml:space="preserve">SELECT DISTINCT prop.prop_id, prop.lead_prop_id, prop.pi_id, prop.inst_id, prop.pm_ibm_logn_id as PO, _x000D_
</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</si>
  <si>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</si>
  <si>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</si>
  <si>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</si>
  <si>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</si>
  <si>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</si>
  <si>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</si>
  <si>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t>Where to save filled-in RA drafts:</t>
  </si>
  <si>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</si>
  <si>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</si>
  <si>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</si>
  <si>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</si>
  <si>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</si>
  <si>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</si>
  <si>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</si>
  <si>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</si>
  <si>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</si>
  <si>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</si>
  <si>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</si>
  <si>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</si>
  <si>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.first line.</t>
  </si>
  <si>
    <t>..please</t>
  </si>
  <si>
    <t>keep</t>
  </si>
  <si>
    <t>for</t>
  </si>
  <si>
    <t>mail</t>
  </si>
  <si>
    <t>merge</t>
  </si>
  <si>
    <t>formatting.</t>
  </si>
  <si>
    <t>thx.</t>
  </si>
  <si>
    <t>NRFP</t>
  </si>
  <si>
    <t>zztemplateFname RAt.docx</t>
  </si>
  <si>
    <t>Divn</t>
  </si>
  <si>
    <t>1234567</t>
  </si>
  <si>
    <t>E,E/V,V,V/G,G,G/F,F,F/P,P</t>
  </si>
  <si>
    <t>This first row is needed so that mail merge formatting will be correct. Please do not remove it.  Mail merge takes its formatting from the first rows of the table............</t>
  </si>
  <si>
    <t>E,V,G,F,P</t>
  </si>
  <si>
    <t>P123456</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</si>
  <si>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</si>
  <si>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</si>
  <si>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</si>
  <si>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</si>
  <si>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</si>
  <si>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</si>
  <si>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</si>
  <si>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</si>
  <si>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</si>
  <si>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</si>
  <si>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Name for PO signature</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</si>
  <si>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</si>
  <si>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</si>
  <si>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</si>
  <si>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</si>
  <si>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</si>
  <si>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</si>
  <si>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</si>
  <si>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if making RAs:</t>
  </si>
  <si>
    <t xml:space="preserve">Here is what to do:  </t>
  </si>
  <si>
    <t>and finally:</t>
  </si>
  <si>
    <t>restrict prop status:</t>
  </si>
  <si>
    <t>Check affiliations for these reviewers with listed conflicts</t>
  </si>
  <si>
    <t xml:space="preserve">--Needs: RA_lead(#myProp) _x000D_
SELECT p.pgm_ele_code AS PEC, pec.pgm_ele_name AS PEC_Description_x000D_
FROM (SELECT DISTINCT pgm_ele_code FROM #myProp pid _x000D_
JOIN csd.prop p ON p.prop_id = pid.prop_id) p_x000D_
JOIN csd.pgm_ele pec ON pec.pgm_ele_code = p.pgm_ele_code_x000D_
ORDER BY PEC_x000D_
</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</si>
  <si>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</si>
  <si>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</si>
  <si>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</si>
  <si>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</si>
  <si>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</si>
  <si>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</si>
  <si>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RA_allRAdata2</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</si>
  <si>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</si>
  <si>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revr_id</t>
  </si>
  <si>
    <t>inst_shrt_name</t>
  </si>
  <si>
    <t>Panelist</t>
  </si>
  <si>
    <t>conflrev0</t>
  </si>
  <si>
    <t>conflrev1</t>
  </si>
  <si>
    <t>conflrev2</t>
  </si>
  <si>
    <t>List of conflicted panelists separated by semicolons. Not everyone will need this list, but some divisions request this information, so I am seeing if we can provide it. There is a limit of seven names returned, though all will be counted.</t>
  </si>
  <si>
    <t>on PC/Citrix WIn7:</t>
  </si>
  <si>
    <r>
      <t xml:space="preserve">Std are autoloaded to eJ. Use Word (PC or Mac) to complete drafts &amp; </t>
    </r>
    <r>
      <rPr>
        <i/>
        <sz val="11"/>
        <color theme="5" tint="-0.499984740745262"/>
        <rFont val="Calibri"/>
        <family val="2"/>
        <scheme val="minor"/>
      </rPr>
      <t>CleanCopy</t>
    </r>
    <r>
      <rPr>
        <sz val="11"/>
        <color theme="5" tint="-0.499984740745262"/>
        <rFont val="Calibri"/>
        <family val="2"/>
        <scheme val="minor"/>
      </rPr>
      <t xml:space="preserve"> to eJacket.  </t>
    </r>
  </si>
  <si>
    <t>Select folder to save RA drafts and project review docs:</t>
  </si>
  <si>
    <t>Check/set output folder pref. at right</t>
  </si>
  <si>
    <t>usu. R: or local:</t>
  </si>
  <si>
    <t>Preferences</t>
  </si>
  <si>
    <t>Check signature&amp;autoload prefs.</t>
  </si>
  <si>
    <t>paste values:</t>
  </si>
  <si>
    <t>use during panel!</t>
  </si>
  <si>
    <t>Conflict</t>
  </si>
  <si>
    <t>If Std Declines have Es</t>
  </si>
  <si>
    <t>Reviewers with some conflict</t>
  </si>
  <si>
    <t>above or Advanced</t>
  </si>
  <si>
    <r>
      <t xml:space="preserve">       in table below, and press </t>
    </r>
    <r>
      <rPr>
        <b/>
        <sz val="11"/>
        <color theme="5" tint="-0.499984740745262"/>
        <rFont val="Calibri"/>
        <family val="2"/>
        <scheme val="minor"/>
      </rPr>
      <t>GO</t>
    </r>
    <r>
      <rPr>
        <sz val="11"/>
        <color theme="5" tint="-0.499984740745262"/>
        <rFont val="Calibri"/>
        <family val="2"/>
        <scheme val="minor"/>
      </rPr>
      <t>.</t>
    </r>
  </si>
  <si>
    <r>
      <t xml:space="preserve">3. Click </t>
    </r>
    <r>
      <rPr>
        <b/>
        <sz val="11"/>
        <color theme="5" tint="-0.499984740745262"/>
        <rFont val="Calibri"/>
        <family val="2"/>
        <scheme val="minor"/>
      </rPr>
      <t>PDF</t>
    </r>
    <r>
      <rPr>
        <sz val="11"/>
        <color theme="5" tint="-0.499984740745262"/>
        <rFont val="Calibri"/>
        <family val="2"/>
        <scheme val="minor"/>
      </rPr>
      <t xml:space="preserve"> to gather review documents.</t>
    </r>
  </si>
  <si>
    <r>
      <rPr>
        <b/>
        <sz val="11"/>
        <rFont val="Calibri"/>
        <family val="2"/>
        <scheme val="minor"/>
      </rPr>
      <t>RoboRA</t>
    </r>
    <r>
      <rPr>
        <sz val="11"/>
        <rFont val="Calibri"/>
        <family val="2"/>
        <scheme val="minor"/>
      </rPr>
      <t xml:space="preserve"> fills RA drafts from reportserver &amp; shows coding and project review documents.</t>
    </r>
  </si>
  <si>
    <r>
      <t xml:space="preserve">Check RA templates </t>
    </r>
    <r>
      <rPr>
        <sz val="9"/>
        <rFont val="Calibri"/>
        <family val="2"/>
        <scheme val="minor"/>
      </rPr>
      <t>(above each table)</t>
    </r>
  </si>
  <si>
    <r>
      <t xml:space="preserve">Paste prop_id </t>
    </r>
    <r>
      <rPr>
        <sz val="10"/>
        <rFont val="Calibri"/>
        <family val="2"/>
        <scheme val="minor"/>
      </rPr>
      <t>(values)</t>
    </r>
    <r>
      <rPr>
        <sz val="11"/>
        <rFont val="Calibri"/>
        <family val="2"/>
        <scheme val="minor"/>
      </rPr>
      <t xml:space="preserve"> into tables </t>
    </r>
  </si>
  <si>
    <t>Std Low Decline RAt.docx</t>
  </si>
  <si>
    <t>Folder with RA templates:</t>
  </si>
  <si>
    <t>Awards begin with Awd; autoloaded begin with Std</t>
  </si>
  <si>
    <t>R:\RoboRARAtemplates\*.docx</t>
  </si>
  <si>
    <t>Rqd: rptServer connection (NSF PC, Citrix Win Desktop, or Mac+openlink)</t>
  </si>
  <si>
    <t xml:space="preserve">Note: Template file names must end in RAt.docx </t>
  </si>
  <si>
    <t xml:space="preserve">0. If needed  </t>
  </si>
  <si>
    <t>jsnoeyi</t>
  </si>
  <si>
    <t>026Y</t>
  </si>
  <si>
    <t>CRII CISE Research Initiation</t>
  </si>
  <si>
    <t>7796</t>
  </si>
  <si>
    <t>ALGORITHMIC FOUNDATIONS</t>
  </si>
  <si>
    <t>1045</t>
  </si>
  <si>
    <t>CAREER: FACULTY EARLY CAR DEV</t>
  </si>
  <si>
    <t>7926</t>
  </si>
  <si>
    <t>ALGORITHMS</t>
  </si>
  <si>
    <t>7929</t>
  </si>
  <si>
    <t>COMPUTATIONAL GEOMETRY</t>
  </si>
  <si>
    <t>7933</t>
  </si>
  <si>
    <t>NUM, SYMBOL, &amp; ALGEBRA COMPUT</t>
  </si>
  <si>
    <t>8228</t>
  </si>
  <si>
    <t>CISE Resrch Initiatn Initiatve</t>
  </si>
  <si>
    <t>9150</t>
  </si>
  <si>
    <t>EXP PROG TO STIM COMP RES</t>
  </si>
  <si>
    <t>HB1006554</t>
  </si>
  <si>
    <t>Georgia Institute of Tech</t>
  </si>
  <si>
    <t>Singh, Mohit</t>
  </si>
  <si>
    <t>NP0987734</t>
  </si>
  <si>
    <t>MIT</t>
  </si>
  <si>
    <t>Madry, Aleksander</t>
  </si>
  <si>
    <t>HP0981050</t>
  </si>
  <si>
    <t>OHIO STATE UNIVERSITY</t>
  </si>
  <si>
    <t>Sidiropoulos, Anastasios</t>
  </si>
  <si>
    <t>US0729183</t>
  </si>
  <si>
    <t>University of California,</t>
  </si>
  <si>
    <t>Eppstein, David</t>
  </si>
  <si>
    <t>HS0880526</t>
  </si>
  <si>
    <t>Yale University</t>
  </si>
  <si>
    <t>Spielman, Daniel</t>
  </si>
  <si>
    <t>1749173</t>
  </si>
  <si>
    <t>Borgwardt</t>
  </si>
  <si>
    <t xml:space="preserve"> PanlSumm</t>
  </si>
  <si>
    <t>JSNOEYI</t>
  </si>
  <si>
    <t>P180207</t>
  </si>
  <si>
    <t xml:space="preserve"> AF CAREER/CRII Panel A</t>
  </si>
  <si>
    <t>Not Competitive</t>
  </si>
  <si>
    <t>4</t>
  </si>
  <si>
    <t>22</t>
  </si>
  <si>
    <t>NC</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</si>
  <si>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</si>
  <si>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RA</t>
  </si>
  <si>
    <t xml:space="preserve"> </t>
  </si>
  <si>
    <t>ejupd</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</si>
  <si>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Algorithms for Optimal Walks_x000D_
_x000D_
L: 1749173 Borgwardt, Steffen U of Colorado Denver $  470,400_x000D_
_x000D_
_x000D_
P180207 NC AF CAREER/CRII Panel A (14 panelists; 0 decl confl),_x000B_  on 10/24/2017, recommended as Not Competitive (V,F,F,F/P)_x000D_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</si>
  <si>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Review</t>
  </si>
  <si>
    <t>TKIMBRE</t>
  </si>
  <si>
    <t>XB0890913</t>
  </si>
  <si>
    <t>Ceberio</t>
  </si>
  <si>
    <t>mceberio@utep.edu</t>
  </si>
  <si>
    <t>P</t>
  </si>
  <si>
    <t>R</t>
  </si>
  <si>
    <t>F/P</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</si>
  <si>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</si>
  <si>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</si>
  <si>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</si>
  <si>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</si>
  <si>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F</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</si>
  <si>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</si>
  <si>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</si>
  <si>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</si>
  <si>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</si>
  <si>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V</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</si>
  <si>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</si>
  <si>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</si>
  <si>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</si>
  <si>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</si>
  <si>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</si>
  <si>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SummProj</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</si>
  <si>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</si>
  <si>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1749385</t>
  </si>
  <si>
    <t>Wang</t>
  </si>
  <si>
    <t>Low Competitive</t>
  </si>
  <si>
    <t>3</t>
  </si>
  <si>
    <t>13</t>
  </si>
  <si>
    <t>LC</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</si>
  <si>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</si>
  <si>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Algorithms for Shortest Paths and Related Problems in Computational Geometry_x000D_
_x000D_
L: 1749385 Wang, Haitao Utah State University $  524,898_x000D_
_x000D_
_x000D_
P180207 LC AF CAREER/CRII Panel A (14 panelists),_x000B_  on 10/24/2017, recommended as Low Competitive (E,V,G,G/F)_x000D_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</si>
  <si>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EZ0601720</t>
  </si>
  <si>
    <t>Agarwal</t>
  </si>
  <si>
    <t>pankaj@cs.duke.edu</t>
  </si>
  <si>
    <t>G</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</si>
  <si>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</si>
  <si>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</si>
  <si>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</si>
  <si>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</si>
  <si>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</si>
  <si>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Eppstein</t>
  </si>
  <si>
    <t>eppstein@uci.edu</t>
  </si>
  <si>
    <t>E</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</si>
  <si>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</si>
  <si>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Sidiropoulos</t>
  </si>
  <si>
    <t>sidiropo@gmail.com</t>
  </si>
  <si>
    <t>G/F</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</si>
  <si>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</si>
  <si>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</si>
  <si>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1749563</t>
  </si>
  <si>
    <t>Del Pia</t>
  </si>
  <si>
    <t>Competitive</t>
  </si>
  <si>
    <t>2</t>
  </si>
  <si>
    <t>C</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</si>
  <si>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</si>
  <si>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E/V</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</si>
  <si>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</si>
  <si>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V/G</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</si>
  <si>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</si>
  <si>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</si>
  <si>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Singh</t>
  </si>
  <si>
    <t>mohitsinghr@gmail.com</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</si>
  <si>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</si>
  <si>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</si>
  <si>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1749609</t>
  </si>
  <si>
    <t>Lee</t>
  </si>
  <si>
    <t>Highly Competitive</t>
  </si>
  <si>
    <t>1</t>
  </si>
  <si>
    <t>HC</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</si>
  <si>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</si>
  <si>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</si>
  <si>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</si>
  <si>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</si>
  <si>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</si>
  <si>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</si>
  <si>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1749855</t>
  </si>
  <si>
    <t>Orabona</t>
  </si>
  <si>
    <t>P180209</t>
  </si>
  <si>
    <t xml:space="preserve"> AF CAREER/CRII Panel B</t>
  </si>
  <si>
    <t xml:space="preserve"> Panel Summary       
 INTELLECTUAL MERIT:_x000D_
_x000D_
The goal of this proposal is to provide new algorithms with provable guarantees that depend on less parameters than the current machine learning algorithms. For example, this project aims at removing the need to set learning rates, regularization hyper parameters, and use weight initialization strategies in convex and non-convex optimization based machine learning algorithms._x000D_
_x000D_
+ Strengths_x000D_
-- This is a high risk, high rewards proposal on removing hyper parameters (and their tuning) from machine learning algorithms._x000D_
-- The proposal is very well written._x000D_
-- The proposal has a very exciting vision._x000D_
-- The PI is well qualified  to make progress on the problems he is proposing; he has good preliminary work in these directions._x000D_
_x000D_
- Weaknesses_x000D_
-- While the proposal research is broad and general, the techniques that the PI plans to use are quite specific (e.g. connection to a betting game). It's unclear whether the algorithms and results that are expected from this research are for some special learning scenarios or are going to be quite general (and if they are general, why it's possible to achieve that). The PI can strengthen the proposal by addressing this. _x000D_
-- The  relative ranking compared to the other proposals in the same panel was the only reason for which some of the panelists did not rank this proposal in the Excellent category._x000D_
_x000D_
_x000D_
BROADER IMPACTS:_x000D_
If successful, the research has direct benefits on the practicality of machine learning algorithms in various domains. The proposal provides adequate integration of research and education: course development, student advising/monitoring and outreach to K-12 classrooms (including collaborating with the non-profit company Kioto to create web-based machine learning courses for K-12 schools)._x000D_
_x000D_
+ Strengths_x000D_
The integration of research and teaching was particularly strong. _x000D_
_x000D_
- Weaknesses_x000D_
Some panelists felt that the proposed agenda is quite challenging and thus too risky, which might mitigate its potential broader impact._x000D_
_x000D_
Summary:_x000D_
This is a very strong proposal which has identified a number of interesting and interrelated research questions related to advancing the state of the art in theoretical machine learning via eliminating hyper parameters. The  broader impact and education components are strong as well._x000D_
_x000D_
PANEL RECOMMENDATION: Justification, including key strengths and critical_x000D_
weaknesses._x000D_
__Highly competitive (HC)_x000D_
_X_Competitive (C)_x000D_
__Low Competitive (LC)_x000D_
__Not Competitive (NC)_x000D_
_x000D_
The summary was read by/to the panel and the panel concurred that the summary accurately reflects the panel discussion. 
</t>
  </si>
  <si>
    <t>YC1007331</t>
  </si>
  <si>
    <t>Balcan</t>
  </si>
  <si>
    <t>ninamf@cs.cmu.edu</t>
  </si>
  <si>
    <t xml:space="preserve">In the context of the five review elements, please _x000D_
evaluate the strengths and weaknesses of the proposal with respect to intellectual merit._x000D_
_x000D_
The goal of this proposal is to provide new algorithms and the theoretical understanding to remove some of the hyperparameters present in current machine learning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models._x000D_
_x000D_
_x000D_
The PI has a recent interesting work in this direction a reasonable plan to attach the proposed objectives._x000D_
_x000D_
In the context of the five review elements, please _x000D_
evaluate the strengths and weaknesses of the proposal with respect to broader impacts._x000D_
_x000D_
The educational&amp;broader impact component is nicely laid out: it includes curriculum development, outreach to the growing community of machine learning practitioners via tutorial materials and open-source software on a dedicated website, collaborating with the non-profit company kidOYO to create web-based machine learning courses for K-12 schools._x000D_
_x000D_
_x000D_
Please evaluate the strengths and _x000D_
weaknesses of the proposal with respect to any additional solicitation-specific review criteria, if _x000D_
applicable_x000D_
_x000D_
_x000D_
_x000D_
Summary Statement_x000D_
_x000D_
This is a well written proposal on new algorithms and the theoretical understanding to remove some of the hyperparameters present in current machine learning algorithms. The project has an exciting vision and the PI is well qualified  to make progress on the problems he is proposing; he has good preliminary work in these directions._x000D_
_x000D_
_x000D_
</t>
  </si>
  <si>
    <t>XN0907598</t>
  </si>
  <si>
    <t>Chen</t>
  </si>
  <si>
    <t>yiling@seas.harvard.edu</t>
  </si>
  <si>
    <t xml:space="preserve">In the context of the five review elements, please _x000D_
evaluate the strengths and weaknesses of the proposal with respect to intellectual merit._x000D_
_x000D_
This proposal aims to develop theory for hyperparameter-free machine learning algorithms (or reducing hyperparameters). The proposed research includes three components: (1) Characterize computational complexity of learning algorithms without assuming knowledge on values of hyperparameters. In other words, take into account the computation involved for setting and tuning hyperparameters when considering the complexity of a learning algorithm. (2) Develop hyperparameter-free online optimization for both convex and some non-convex functions. (3) Reduce hyperparameters in deep learning. _x000D_
_x000D_
The research plan for the three components are generally well thought out and built upon the PI's previous research. For (1), the PI plans to first establish a lower bound of optimal computational complexity for learning in RKHS and then design a learning algorithm to match this optimal bound. The PI plans to extend his prior results (a lower bound for stochastic optimization in a particular setting and a hypermarameter-free stochastic approximation procedure) to achieve these. For (2), the PI's prior work has established a connection between parameter-free online convex optimization and a betting game and has used this connection to design parameter-free online learning algorithms. The PI will extend the work to richer settings. For (3), the PI again plans to leverage the aforementioned connection to the betting game to help remove superfluous hyperparameters from deep learning. But why the technique may help deep learning algorithms are somewhat vague to me. _x000D_
_x000D_
The directions of the proposed research are challenging and exciting. Theory for hyperparameter-free machine learning can fundamentally change our understanding of machine learning. The PI has a track record of developing interesting results in the area of the proposed research and is highly qualified for carrying out the proposed research.  _x000D_
_x000D_
One weakness of the proposal is: While the proposal research is broad and general, the techniques that the PI plan to use are quite specific (e.g. connection to a betting game). I didn't figure out from reading the proposal whether, as a result, the algorithms and results that are expected from this research are for some special learning scenarios or are going to be quite general (and if they are general, why it's possible to achieve that)._x000D_
_x000D_
In the context of the five review elements, please _x000D_
evaluate the strengths and weaknesses of the proposal with respect to broader impacts._x000D_
_x000D_
+ If successful, the research has direct benefits on practicality of machine learning algorithms in various domains._x000D_
_x000D_
Please evaluate the strengths and _x000D_
weaknesses of the proposal with respect to any additional solicitation-specific review criteria, if _x000D_
applicable_x000D_
_x000D_
Adequate integration of research and education: course development, student advising/mentoring and outreach to K-12 classrooms._x000D_
_x000D_
Summary Statement_x000D_
_x000D_
A solid, ambitious and well-reasoned proposal._x000D_
_x000D_
</t>
  </si>
  <si>
    <t>WE0867353</t>
  </si>
  <si>
    <t>Drineas</t>
  </si>
  <si>
    <t>drineas@gmail.com</t>
  </si>
  <si>
    <t xml:space="preserve">In the context of the five review elements, please _x000D_
evaluate the strengths and weaknesses of the proposal with respect to intellectual merit._x000D_
_x000D_
The objective of the proposal is to prevent overfitting as in machine learning by tuning the hyperparameters of the algorithm in order to trade-off the simplicity of the model with its performance on the training data. The PI seeks to design hyperparameter-free algorithms in order to achieve a better understanding of the computational complexity of learning. The career goal of the PI is to lay the foundations for hyperparameter-free non-linear and_x000D_
non-convex machine learning algorithms and already has some preliminary results in this direction. _x000D_
_x000D_
The proposal has three research directions, with the third direction being probably the most interesting and timely one. The first two directions focus on characterizing (fully?) the computational complexity of learning without prior knowledge and on doing stochastic optimization without hyperparameters. The third direction aims to reduce the hyperparameters in deep learning. _x000D_
_x000D_
Overall, this is a challenging and worth-while objective. Removing hyperparameters instead of fine-tuning them is an important direction for machine learning in the era of big data. The PI has a significant amount of prior work in this area and has a reasonable plan to attach the proposed objectives. I was not able to follow all the details of the PI's proposed plan, but the research questions are reasonably formulated -- I would have preferred a more detailed discussion of the assumptions under which the PI will actually deliver some of the proposed lower bounds. The proposed work in deep learning is more qualitatively described and was somewhat easier to follow. The end objective is to understand the characteristics of machine learning tasks that guarantee a better performance with deep learning methods with fewer hyperparameters._x000D_
_x000D_
In the context of the five review elements, please _x000D_
evaluate the strengths and weaknesses of the proposal with respect to broader impacts._x000D_
_x000D_
The broader impacts of the proposed research could be significant, if successful. However, the proposed agenda is quite challenging and thus risky. Other broader impacts are relatively standard, except for the collaboration with kidOYO, which is quite interesting. There is a letter of support for kidOYO, but no preliminary work showing how the educational infrastructure that kidOYO builds could benefit from the PI's agenda._x000D_
_x000D_
Please evaluate the strengths and _x000D_
weaknesses of the proposal with respect to any additional solicitation-specific review criteria, if _x000D_
applicable_x000D_
_x000D_
See above discussion._x000D_
_x000D_
Summary Statement_x000D_
_x000D_
A high risk high rewards proposal on removing hyperparameters (and their tuning) from machine learning algorithms. Solid proposal, with a nice vision and good preliminary work. Reasonable educational broader impacts._x000D_
_x000D_
</t>
  </si>
  <si>
    <t>NC1006557</t>
  </si>
  <si>
    <t>Mattei</t>
  </si>
  <si>
    <t>nsmattei@gmail.com</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</si>
  <si>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proposed research is important and an impressive number of key questions are identified towards expanding machine learning algorithms to eliminate dependancy on manually tuned hyperparameters..  It has the potential to impact not only the subfield of Machine Learning but inform advancements across a number of disciplines in computer science.  Focusing on eliminating hyperparameters is an important step and has broad application._x000D_
_x000D_
2. To what extent do the proposed activities suggest and explore creative, original, or potentially transformative concepts?_x000D_
_x000D_
The proposed activities are impressive -- the questions are obviously linked though not in an inter-coupled way and the PI identifies key aspects that need to be addressed. _x000D_
_x000D_
3. Is the plan for carrying out the proposed activities well-reasoned, well-organized, and based on a sound rationale? Does the plan incorporate a mechanism to assess success?_x000D_
_x000D_
This was a very tight proposal in so far as some of the same algorithmic machinery could be applied in may different areas without being codependent.  These aspects can be worked on independently and advances in any of them could be cross-fertilized._x000D_
_x000D_
4. How well qualified is the individual, team, or institution to conduct the proposed activities?_x000D_
_x000D_
He is obviously well qualified and given his experience creating opensource software there is obvious opportunity for significant impact_x000D_
_x000D_
5. Are there adequate resources available to the PI (either at the home institution or through collaborations) to carry out the proposed activities?_x000D_
_x000D_
Yes, there is strong support from both the coordinating institutions and within the department._x000D_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Very strong broader impacts -- the PI has identified several channels for teaching that are non-traditional and have significant opportunity to make an impact on a variety of populations, in addition his commitment to creating new learning modules and outreach to local communities._x000D_
_x000D_
2. To what extent do the proposed activities suggest and explore creative, original, or potentially transformative concepts?_x000D_
_x000D_
The PI has identified gaps where his research area can seamlessly support broader outreach.  The ideas (creating learning modules) are creative and potentially transformative if done well. _x000D_
_x000D_
3. Is the plan for carrying out the proposed activities well-reasoned, well-organized, and based on a sound rationale? Does the plan incorporate a mechanism to assess success?_x000D_
_x000D_
Yes, the plan is solid and there are feedback mechanisms to address success both for releasing software as well as outreach activities._x000D_
_x000D_
4. How well qualified is the individual, team, or institution to conduct the proposed activities?_x000D_
_x000D_
The PI has a track record of open-source software and identified good channels to host and maintain his work._x000D_
_x000D_
5. Are there adequate resources available to the PI (either at the home institution or through collaborations) to carry out the proposed activities?_x000D_
_x000D_
There were sufficient resources allocated to achieve the ambitious broader impacts (i.e., a GA for programming).  The PI seems committed to these broader impacts both with OYO and releasing source code._x000D_
_x000D_
Please evaluate the strengths and _x000D_
weaknesses of the proposal with respect to any additional solicitation-specific review criteria, if _x000D_
applicable_x000D_
_x000D_
_x000D_
_x000D_
Summary Statement_x000D_
_x000D_
An extremely strong proposal which has identified a number of interesting and interrelated research questions related to advancing the state of the art in theoretical machine learning via eliminating hyperparameters.  Outstanding attention to broader impacts and establishing connections to deliver the research to a diverse set of stakeholders._x000D_
_x000D_
_x000D_
</t>
  </si>
  <si>
    <t>Machine Learning has been described as the fuel of the next industrial revolution. Yet, current state-of-the-art machine learning algorithms still heavily rely on having a human in the loop setting hyperparameters to make the algorithms work properly._x000D_
The long-term goal of this project is to change the way machine learning algorithms are designed and analyzed, removing the need for hyperparameters to be tuned, yet retaining optimal theoretical and empirical performance. The overall objective is to lay the foundations for hyperparameter-free non-linear and non-convex machine learning algorithms. _x000D_
The PI's recent results built unexpected connections between optimal sequential investment and machine learning with convex models. This connection allows us, for example, to use hyperparameter-free algorithm from optimal sequential investment to design hyperparameter-free convex learning algorithms. Hence, the central hypothesis is that these connections will lead to hyperparameter-free learning algorithms for non-convex models, in particular for modern Deep Learning architectures._x000D_
_x000D_
The central hypothesis will be tested by pursuing the following inter-related specific aims:_x000D_
- Generalization and computational complexity. The aim is to fully characterize the computational complexity of learning, without assuming knowledge of unknown quantities._x000D_
- Stochastic optimization without hyperparameters. The PI will extend his recent results on hyperparameter-free online convex optimization to take advantage of curvature and smoothness. Moreover, the PI will extend these results to non-convex smooth functions proving convergence to local minima._x000D_
- Reducing hyperparameters in Deep Learning. A natural application of this theory is to deep learning models. For example, the PI aims at designing, analyzing, and implementing full fledged optimization algorithms aimed to be used by deep learning practitioners, rather than proof of concepts on synthetic problems._x000D_
_x000D_
The proposed line of research fundamentally differs from the current practice of trying to patch existing machine learning methods, finding ways to tune the hyperparameters rather than removing them.The proposed research is expected to contribute new algorithms and the theoretical understanding to remove at least some of the hyperparameters present in current machine learning algorithms. This will be done through a theoretical analysis on the role of the hyperparameters and through the design of hyperparameter-free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models.Machine learning algorithms are at the core of many recent and future developments in Biology, Medicine, Engineering, etc. However, there is still a wide gap between theoretical and applied results. This project brings together these two worlds, for designing better theoretically principled machine learning algorithms. Also, the proposed Education Plan is designed to fill the same gap in the minds of the students. It will involve designing theoretical undergraduate courses on advanced machine learning and curricular materials for graduate courses. Also, the PI plans to outreach to the growing community of machine learning practitioners via tutorial materials and open-source software on a dedicated website. Moreover, to have a broad and direct impact on the local community of Long Island, the PI will collaborate with the non-profit company kidOYO to create web-based machine learning courses for K-12 schools.</t>
  </si>
  <si>
    <t>1749977</t>
  </si>
  <si>
    <t>Solomon</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</si>
  <si>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</si>
  <si>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Structured Optimization for Geometric Problems_x000D_
_x000D_
L: 1749977 Solomon, Justin MIT $  550,000_x000D_
_x000D_
_x000D_
P180207 LC AF CAREER/CRII Panel A (14 panelists; 2 decl confl),_x000B_  on 10/24/2017, recommended as Low Competitive (E,V,V/G,F)_x000D_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</si>
  <si>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</si>
  <si>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</si>
  <si>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</si>
  <si>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</si>
  <si>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</si>
  <si>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1750076</t>
  </si>
  <si>
    <t>Schroeder</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</si>
  <si>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</si>
  <si>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Addressing robustness in numerical simulation of nonlinear elastic solids through optimization integration and improved collision treatments_x000D_
_x000D_
L: 1750076 Schroeder, Craig U of Cal Riverside $  440,331_x000D_
_x000D_
_x000D_
P180207 NC AF CAREER/CRII Panel A (14 panelists; 0 decl confl),_x000B_  on 10/24/2017, recommended as Not Competitive (V,F,F,F)_x000D_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</si>
  <si>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YB0880523</t>
  </si>
  <si>
    <t>Bender</t>
  </si>
  <si>
    <t>bender@cs.stonybrook.edu</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</si>
  <si>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</si>
  <si>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</si>
  <si>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Madry</t>
  </si>
  <si>
    <t>madry@mit.edu</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</si>
  <si>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</si>
  <si>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Spielman</t>
  </si>
  <si>
    <t>spielman@cs.yale.edu</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</si>
  <si>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</si>
  <si>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</si>
  <si>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1750780</t>
  </si>
  <si>
    <t>Raichel</t>
  </si>
  <si>
    <t>7</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</si>
  <si>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</si>
  <si>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</si>
  <si>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</si>
  <si>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</si>
  <si>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SM1006553</t>
  </si>
  <si>
    <t>He</t>
  </si>
  <si>
    <t>xinhe@buffalo.edu</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</si>
  <si>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</si>
  <si>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</si>
  <si>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1751047</t>
  </si>
  <si>
    <t>Gibson</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</si>
  <si>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</si>
  <si>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A Modern Look at Visibility Problems_x000D_
_x000D_
L: 1751047 Gibson, Matthew U of Texas San Antonio $  415,497_x000D_
_x000D_
_x000D_
P180207 LC AF CAREER/CRII Panel A (14 panelists),_x000B_  on 10/24/2017, recommended as Low Competitive (V,G,G/F,F)_x000D_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</si>
  <si>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</si>
  <si>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</si>
  <si>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</si>
  <si>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</si>
  <si>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</si>
  <si>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1751102</t>
  </si>
  <si>
    <t>Vouga</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</si>
  <si>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</si>
  <si>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</si>
  <si>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</si>
  <si>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</si>
  <si>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</si>
  <si>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</si>
  <si>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</si>
  <si>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1751135</t>
  </si>
  <si>
    <t>Nayyeri</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</si>
  <si>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</si>
  <si>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</si>
  <si>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</si>
  <si>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</si>
  <si>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</si>
  <si>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</si>
  <si>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1755702</t>
  </si>
  <si>
    <t>Charkhgard</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</si>
  <si>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</si>
  <si>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Theory and Algorithms for Two Classes of Optimization Problems: Multi-objective Binary Linear Programs and Single-objective Maximum Multiplicative Programs_x000D_
_x000D_
L: 1755702 Charkhgard, Hadi U of South Florida $  172,682_x000D_
_x000D_
_x000D_
P180207 LC AF CAREER/CRII Panel A (14 panelists),_x000B_  on 10/24/2017, recommended as Low Competitive (G,G,G)_x000D_
Std competition rank 4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</si>
  <si>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</si>
  <si>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</si>
  <si>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</si>
  <si>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</si>
  <si>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1755881</t>
  </si>
  <si>
    <t>San</t>
  </si>
  <si>
    <t>5</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</si>
  <si>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</si>
  <si>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 Generalized Deconvolution Algorithms for Coarse-Grained Simulations of Nonlinear Multiscale Systems_x000D_
_x000D_
L: 1755881 San, Omer Oklahoma State University $  170,144_x000D_
_x000D_
_x000D_
P180207 NC AF CAREER/CRII Panel A (14 panelists),_x000B_  on 10/24/2017, recommended as Not Competitive (E/V,G,F)_x000D_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</si>
  <si>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</si>
  <si>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</si>
  <si>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</si>
  <si>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</si>
  <si>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1755954</t>
  </si>
  <si>
    <t>Hajimirza</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</si>
  <si>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</si>
  <si>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</si>
  <si>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AF:Bayesian Framework for Efficient Surrogate Modeling and Learning of Probabilistic Functions Based on Large Scale Monte Carlo Simulations_x000D_
_x000D_
L: 1755954 Hajimirza, Shima Texas Engineering Exp Sta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</si>
  <si>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</si>
  <si>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</si>
  <si>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PU0973340</t>
  </si>
  <si>
    <t>Kortsarz</t>
  </si>
  <si>
    <t>guyk@camden.rutgers.edu</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</si>
  <si>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</si>
  <si>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</si>
  <si>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1755978</t>
  </si>
  <si>
    <t>Gangammanavar</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</si>
  <si>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</si>
  <si>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CRII:AF: Stochastic Programming Decomposition Model and Algorithm for Discrete-event Dynamic Systems_x000D_
_x000D_
L: 1755978 Gangammanavar, Harsha Southern Methodist Univ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</si>
  <si>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</si>
  <si>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</si>
  <si>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</si>
  <si>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</si>
  <si>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1807311</t>
  </si>
  <si>
    <t>Stein</t>
  </si>
  <si>
    <t>This grant will enable Ph.D. students to attend SODA 2018 which will  be held January 7-10 2018 in New Orleans, Louisianna.This award will have the following benefits. First, it will encourage and facilitate the participation of under-represented groups in a top-tier computer science conference. Second, it will contribute towards attracting more under-represented groups to computer science research giving students an opportunity to engage in the important technical, professional and social exchanges that SODA fosters.Finally, the conference itself and all conference attendees will benefit from the greater attendance and consequently higher proportion of students and under-represented groups that this travel grant will make possible._x000D_
_x000D_
The conference disseminates the cutting edge results in the field of discrete algorithms.  Extending this knowledge to a larger community will increase the impact of the work at the conference.</t>
  </si>
  <si>
    <t>NSF 17-537</t>
  </si>
  <si>
    <t>05010000</t>
  </si>
  <si>
    <t>PEND</t>
  </si>
  <si>
    <t>NEW</t>
  </si>
  <si>
    <t>4110</t>
  </si>
  <si>
    <t>CAR17-18</t>
  </si>
  <si>
    <t>1045 7926</t>
  </si>
  <si>
    <t>CO</t>
  </si>
  <si>
    <t>I</t>
  </si>
  <si>
    <t>CCF</t>
  </si>
  <si>
    <t>Steffen</t>
  </si>
  <si>
    <t>U of Colorado Denver</t>
  </si>
  <si>
    <t>V,F,F,F/P</t>
  </si>
  <si>
    <t>Pending, Review Package Produced</t>
  </si>
  <si>
    <t>CAREER: Algorithms for Optimal Walks</t>
  </si>
  <si>
    <t>steffen.borgwardt@ucdenver.edu</t>
  </si>
  <si>
    <t>1045 7929</t>
  </si>
  <si>
    <t>UT</t>
  </si>
  <si>
    <t>Haitao</t>
  </si>
  <si>
    <t>Utah State University</t>
  </si>
  <si>
    <t>E,V,G,G/F</t>
  </si>
  <si>
    <t>CAREER: Algorithms for Shortest Paths and Related Problems in Computational Geometry</t>
  </si>
  <si>
    <t>haitao.wang@usu.edu</t>
  </si>
  <si>
    <t>WI</t>
  </si>
  <si>
    <t>Alberto</t>
  </si>
  <si>
    <t>U of Wisconsin Madison</t>
  </si>
  <si>
    <t>E/V,V,V,V/G</t>
  </si>
  <si>
    <t>CAREER: Mixed-Integer Quadratic Optimization: Algorithms and Complexity</t>
  </si>
  <si>
    <t>delpia@wisc.edu</t>
  </si>
  <si>
    <t>WA</t>
  </si>
  <si>
    <t>Yin Tat</t>
  </si>
  <si>
    <t>U of Washington</t>
  </si>
  <si>
    <t>E,E,E/V,V/G</t>
  </si>
  <si>
    <t>CAREER: The Interplay between Combinatorial Optimization and Algorithmic Convex Geometry</t>
  </si>
  <si>
    <t>yintat@uw.edu</t>
  </si>
  <si>
    <t>NY</t>
  </si>
  <si>
    <t xml:space="preserve"> Francesco</t>
  </si>
  <si>
    <t>SUNY Stony Brook</t>
  </si>
  <si>
    <t>E,E,V,V</t>
  </si>
  <si>
    <t>CAREER: Hyperparameter-free Algorithms for Machine Learning</t>
  </si>
  <si>
    <t>francesco@cs.stonybrook.edu</t>
  </si>
  <si>
    <t>MA</t>
  </si>
  <si>
    <t>Justin</t>
  </si>
  <si>
    <t>E,V,V/G,F</t>
  </si>
  <si>
    <t>CAREER: Structured Optimization for Geometric Problems</t>
  </si>
  <si>
    <t>jsolomon@mit.edu</t>
  </si>
  <si>
    <t>1045 7933</t>
  </si>
  <si>
    <t>CA</t>
  </si>
  <si>
    <t>Craig</t>
  </si>
  <si>
    <t>U of Cal Riverside</t>
  </si>
  <si>
    <t>V,F,F,F</t>
  </si>
  <si>
    <t>CAREER: Addressing robustness in numerical simulation of nonlinear elastic solids through optimization integration and improved collision treatments</t>
  </si>
  <si>
    <t>craig@ucr.edu</t>
  </si>
  <si>
    <t>TX</t>
  </si>
  <si>
    <t>Benjamin</t>
  </si>
  <si>
    <t>U of Texas Dallas</t>
  </si>
  <si>
    <t>E,V,V,V</t>
  </si>
  <si>
    <t>CAREER:  AF: Giving Form to Data with a Geometric Scaffold</t>
  </si>
  <si>
    <t>Benjamin.Raichel@utdallas.edu</t>
  </si>
  <si>
    <t>Matthew</t>
  </si>
  <si>
    <t>U of Texas San Antonio</t>
  </si>
  <si>
    <t>V,G,G/F,F</t>
  </si>
  <si>
    <t>CAREER: A Modern Look at Visibility Problems</t>
  </si>
  <si>
    <t>MATTHEW.GIBSON@UTSA.EDU</t>
  </si>
  <si>
    <t>Paul</t>
  </si>
  <si>
    <t>U of Texas Austin</t>
  </si>
  <si>
    <t>V,V,V,G</t>
  </si>
  <si>
    <t>CAREER: Simulation and Design of Thin Objects Using Discrete Differential Geometry Algorithms</t>
  </si>
  <si>
    <t>evouga@cs.utexas.edu</t>
  </si>
  <si>
    <t>OR</t>
  </si>
  <si>
    <t>Amir</t>
  </si>
  <si>
    <t>Oregon State University</t>
  </si>
  <si>
    <t>V,V,V,V/G</t>
  </si>
  <si>
    <t>CAREER: Mapping Problems in Computational Geometry and Topology</t>
  </si>
  <si>
    <t>nayyeria@eecs.oregonstate.edu</t>
  </si>
  <si>
    <t>NSF 17-552</t>
  </si>
  <si>
    <t>FY18CRII</t>
  </si>
  <si>
    <t>7926 8228</t>
  </si>
  <si>
    <t>FL</t>
  </si>
  <si>
    <t>Hadi</t>
  </si>
  <si>
    <t>U of South Florida</t>
  </si>
  <si>
    <t>G,G,G</t>
  </si>
  <si>
    <t>CRII: AF: Theory and Algorithms for Two Classes of Optimization Problems: Multi-objective Binary Linear Programs and Single-objective Maximum Multiplicative Programs</t>
  </si>
  <si>
    <t>hcharkhgard@usf.edu</t>
  </si>
  <si>
    <t>7933 8228 9150</t>
  </si>
  <si>
    <t>Omer</t>
  </si>
  <si>
    <t>Oklahoma State University</t>
  </si>
  <si>
    <t>E/V,G,F</t>
  </si>
  <si>
    <t>CRII: AF: Generalized Deconvolution Algorithms for Coarse-Grained Simulations of Nonlinear Multiscale Systems</t>
  </si>
  <si>
    <t>osan@okstate.edu</t>
  </si>
  <si>
    <t>7933 8228</t>
  </si>
  <si>
    <t>Shima</t>
  </si>
  <si>
    <t>Texas Engineering Exp Sta</t>
  </si>
  <si>
    <t>V,G,G/F</t>
  </si>
  <si>
    <t>CRII: AF:Bayesian Framework for Efficient Surrogate Modeling and Learning of Probabilistic Functions Based on Large Scale Monte Carlo Simulations</t>
  </si>
  <si>
    <t>shima.hm@tamu.edu</t>
  </si>
  <si>
    <t>Harsha</t>
  </si>
  <si>
    <t>Southern Methodist Univ</t>
  </si>
  <si>
    <t>V/G,G,F</t>
  </si>
  <si>
    <t>CRII:AF: Stochastic Programming Decomposition Model and Algorithm for Discrete-event Dynamic Systems</t>
  </si>
  <si>
    <t>harsha@smu.edu</t>
  </si>
  <si>
    <t>NSF 17-1</t>
  </si>
  <si>
    <t>Clifford</t>
  </si>
  <si>
    <t>Columbia University</t>
  </si>
  <si>
    <t>Pending, Assigned to PM</t>
  </si>
  <si>
    <t>SODA 2018 Travel Grant</t>
  </si>
  <si>
    <t>cliff@ieor.columbia.edu</t>
  </si>
  <si>
    <t>AF CAREER/CRII Panel A</t>
  </si>
  <si>
    <t xml:space="preserve"> V,F,F,F/P</t>
  </si>
  <si>
    <t>31 rated projects: 3 HC, 12 C, 10 LC, 6 NC</t>
  </si>
  <si>
    <t>Faculty Early Career Development Program</t>
  </si>
  <si>
    <t>Division of Computing and Communication Foundations</t>
  </si>
  <si>
    <t>Jack Snoeyink</t>
  </si>
  <si>
    <t>New Project</t>
  </si>
  <si>
    <t>Research Grants-Not Elsewh Cla</t>
  </si>
  <si>
    <t>CSE</t>
  </si>
  <si>
    <t>Direct For Computer &amp; Info Scie &amp; Enginr</t>
  </si>
  <si>
    <t xml:space="preserve">steffen.borgwardt@ucdenver.edu      </t>
  </si>
  <si>
    <t xml:space="preserve"> E,V,G,G/F</t>
  </si>
  <si>
    <t xml:space="preserve">haitao.wang@usu.edu      </t>
  </si>
  <si>
    <t xml:space="preserve"> E/V,V,V,V/G</t>
  </si>
  <si>
    <t xml:space="preserve">delpia@wisc.edu      </t>
  </si>
  <si>
    <t xml:space="preserve"> E,E,E/V,V/G</t>
  </si>
  <si>
    <t>Aleksander Madry, MIT; Mohit Singh, Georgia Institute of Tech,Daniel Spielman, Yale University</t>
  </si>
  <si>
    <t xml:space="preserve">yintat@uw.edu      </t>
  </si>
  <si>
    <t>AF CAREER/CRII Panel B</t>
  </si>
  <si>
    <t xml:space="preserve"> E,E,V,V</t>
  </si>
  <si>
    <t>29 rated projects: 5 HC, 9 C, 11 LC, 4 NC</t>
  </si>
  <si>
    <t xml:space="preserve">francesco@cs.stonybrook.edu      </t>
  </si>
  <si>
    <t xml:space="preserve"> E,V,V/G,F</t>
  </si>
  <si>
    <t>Aleksander Madry, MIT; Daniel Spielman, Yale University</t>
  </si>
  <si>
    <t xml:space="preserve">jsolomon@mit.edu      </t>
  </si>
  <si>
    <t xml:space="preserve"> V,F,F,F</t>
  </si>
  <si>
    <t xml:space="preserve">craig@ucr.edu      </t>
  </si>
  <si>
    <t xml:space="preserve"> E,V,V,V</t>
  </si>
  <si>
    <t>Anastasios Sidiropoulos, OHIO STATE UNIVERSITY</t>
  </si>
  <si>
    <t xml:space="preserve">Benjamin.Raichel@utdallas.edu      </t>
  </si>
  <si>
    <t xml:space="preserve"> V,G,G/F,F</t>
  </si>
  <si>
    <t xml:space="preserve">MATTHEW.GIBSON@UTSA.EDU      </t>
  </si>
  <si>
    <t xml:space="preserve"> V,V,V,G</t>
  </si>
  <si>
    <t xml:space="preserve">evouga@cs.utexas.edu      </t>
  </si>
  <si>
    <t xml:space="preserve"> V,V,V,V/G</t>
  </si>
  <si>
    <t>David Eppstein, University of California,; Anastasios Sidiropoulos, OHIO STATE UNIVERSITY</t>
  </si>
  <si>
    <t xml:space="preserve">nayyeria@eecs.oregonstate.edu      </t>
  </si>
  <si>
    <t xml:space="preserve"> G,G,G</t>
  </si>
  <si>
    <t>Computer and Information Science and Engineering (CISE) Research Initiation Initiative</t>
  </si>
  <si>
    <t xml:space="preserve">hcharkhgard@usf.edu      </t>
  </si>
  <si>
    <t xml:space="preserve"> E/V,G,F</t>
  </si>
  <si>
    <t xml:space="preserve">osan@okstate.edu      </t>
  </si>
  <si>
    <t xml:space="preserve"> V,G,G/F</t>
  </si>
  <si>
    <t xml:space="preserve">shima.hm@tamu.edu      </t>
  </si>
  <si>
    <t xml:space="preserve"> V/G,G,F</t>
  </si>
  <si>
    <t xml:space="preserve">harsha@smu.edu      </t>
  </si>
  <si>
    <t>Proposal &amp; Award Policies &amp; Procedures Guide - PAPPG</t>
  </si>
  <si>
    <t xml:space="preserve">cliff@ieor.columbia.edu      </t>
  </si>
  <si>
    <t>STND</t>
  </si>
  <si>
    <t/>
  </si>
  <si>
    <t>N</t>
  </si>
  <si>
    <t xml:space="preserve">        </t>
  </si>
  <si>
    <t xml:space="preserve">Finland; Hungary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</si>
</sst>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7"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1"/>
      <color theme="1"/>
      <name val="Calibri"/>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6">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41">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applyNumberFormat="1"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6" fillId="0" borderId="0" xfId="0" applyFon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25" fillId="0" borderId="0" xfId="0" applyFont="1" applyAlignment="1">
      <alignment horizontal="right"/>
    </xf>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0" fillId="0" borderId="0" xfId="0" applyFont="1" applyProtection="1">
      <protection locked="0"/>
    </xf>
    <xf numFmtId="0" fontId="23" fillId="0" borderId="0" xfId="0" applyNumberFormat="1" applyFont="1" applyFill="1" applyAlignment="1" applyProtection="1">
      <alignment horizontal="left" vertical="center"/>
    </xf>
    <xf numFmtId="0" fontId="17" fillId="0" borderId="0" xfId="0" applyFont="1" applyAlignment="1">
      <alignment vertical="top"/>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3" fillId="0" borderId="0" xfId="0" applyFont="1"/>
    <xf numFmtId="0" fontId="1" fillId="0" borderId="0" xfId="0" applyFont="1" applyFill="1" applyAlignment="1">
      <alignment horizontal="left"/>
    </xf>
    <xf numFmtId="0" fontId="6" fillId="0" borderId="0" xfId="0" applyFont="1"/>
    <xf numFmtId="0" fontId="34" fillId="0" borderId="0" xfId="0" applyFont="1"/>
    <xf numFmtId="0" fontId="6" fillId="0" borderId="0" xfId="0" applyFont="1" applyAlignment="1">
      <alignment wrapText="1"/>
    </xf>
    <xf numFmtId="0" fontId="6" fillId="0" borderId="0" xfId="0" quotePrefix="1" applyNumberFormat="1" applyFont="1" applyAlignment="1">
      <alignment horizontal="center"/>
    </xf>
    <xf numFmtId="0" fontId="0" fillId="0" borderId="0" xfId="0" applyFill="1" applyAlignment="1">
      <alignment vertical="top"/>
    </xf>
    <xf numFmtId="0" fontId="22" fillId="3" borderId="0" xfId="0" applyFont="1" applyFill="1" applyAlignment="1">
      <alignment horizontal="center" vertical="center"/>
    </xf>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xf numFmtId="0" fontId="4" fillId="0" borderId="13" xfId="1" applyBorder="1"/>
    <xf numFmtId="0" fontId="4" fillId="0" borderId="14" xfId="1" applyBorder="1"/>
    <xf numFmtId="0" fontId="4" fillId="0" borderId="15" xfId="1" applyBorder="1"/>
    <xf numFmtId="166" fontId="36" fillId="0" borderId="0" xfId="2" applyNumberFormat="1" applyFont="1"/>
  </cellXfs>
  <cellStyles count="6">
    <cellStyle name="Currency" xfId="2" builtinId="4"/>
    <cellStyle name="Hyperlink" xfId="1" builtinId="8"/>
    <cellStyle name="Normal" xfId="0" builtinId="0"/>
    <cellStyle name="Percent" xfId="5" builtinId="5"/>
    <cellStyle name="Subtotal" xfId="4"/>
    <cellStyle name="Subtotal Label" xfId="3"/>
  </cellStyles>
  <dxfs count="289">
    <dxf>
      <fill>
        <patternFill>
          <fgColor indexed="64"/>
          <bgColor rgb="FFFBC3AF" tint="0.54997405926694543"/>
        </patternFill>
      </fill>
    </dxf>
    <dxf>
      <border>
        <top style="thin">
          <color auto="1"/>
        </top>
      </border>
    </dxf>
    <dxf>
      <fill>
        <patternFill>
          <fgColor indexed="64"/>
          <bgColor rgb="FFEBF5CD"/>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ill>
        <patternFill>
          <fgColor indexed="64"/>
          <bgColor rgb="FFFBC3AF" tint="0.54997405926694543"/>
        </patternFill>
      </fill>
    </dxf>
    <dxf>
      <fill>
        <patternFill>
          <fgColor indexed="64"/>
          <bgColor rgb="FFFBC3AF" tint="0.54997405926694543"/>
        </patternFill>
      </fill>
    </dxf>
    <dxf>
      <fill>
        <patternFill>
          <bgColor rgb="FFFEEFE2"/>
        </patternFill>
      </fill>
    </dxf>
    <dxf>
      <fill>
        <patternFill>
          <fgColor indexed="64"/>
          <bgColor rgb="FFFBC3AF" tint="0.54997405926694543"/>
        </patternFill>
      </fill>
    </dxf>
    <dxf>
      <fill>
        <patternFill>
          <fgColor indexed="64"/>
          <bgColor rgb="FFEBF5CD"/>
        </patternFill>
      </fill>
    </dxf>
    <dxf>
      <border>
        <top style="thin">
          <color auto="1"/>
        </top>
      </border>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auto="1"/>
        <name val="Calibri"/>
        <scheme val="none"/>
      </font>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8"/>
      <tableStyleElement type="headerRow" dxfId="287"/>
      <tableStyleElement type="totalRow" dxfId="286"/>
      <tableStyleElement type="firstRowStripe" dxfId="285"/>
    </tableStyle>
    <tableStyle name="OmitTableStyle" pivot="0" count="6">
      <tableStyleElement type="wholeTable" dxfId="284"/>
      <tableStyleElement type="headerRow" dxfId="283"/>
      <tableStyleElement type="totalRow" dxfId="282"/>
      <tableStyleElement type="firstColumn" dxfId="281"/>
      <tableStyleElement type="lastColumn" dxfId="280"/>
      <tableStyleElement type="firstRowStripe" dxfId="279"/>
    </tableStyle>
    <tableStyle name="Table Style 1" pivot="0" count="1">
      <tableStyleElement type="wholeTable" dxfId="278"/>
    </tableStyle>
    <tableStyle name="TableFall" pivot="0" count="4">
      <tableStyleElement type="wholeTable" dxfId="277"/>
      <tableStyleElement type="headerRow" dxfId="276"/>
      <tableStyleElement type="totalRow" dxfId="275"/>
      <tableStyleElement type="firstRowStripe" dxfId="274"/>
    </tableStyle>
    <tableStyle name="TableStyleMedium3 2" pivot="0" count="7">
      <tableStyleElement type="wholeTable" dxfId="273"/>
      <tableStyleElement type="headerRow" dxfId="272"/>
      <tableStyleElement type="totalRow" dxfId="271"/>
      <tableStyleElement type="firstColumn" dxfId="270"/>
      <tableStyleElement type="lastColumn" dxfId="269"/>
      <tableStyleElement type="firstRowStripe" dxfId="268"/>
      <tableStyleElement type="firstColumnStripe" dxfId="267"/>
    </tableStyle>
    <tableStyle name="TableStyleMedium7 2" pivot="0" count="7">
      <tableStyleElement type="wholeTable" dxfId="266"/>
      <tableStyleElement type="headerRow" dxfId="265"/>
      <tableStyleElement type="totalRow" dxfId="264"/>
      <tableStyleElement type="firstColumn" dxfId="263"/>
      <tableStyleElement type="lastColumn" dxfId="262"/>
      <tableStyleElement type="firstRowStripe" dxfId="261"/>
      <tableStyleElement type="firstColumnStripe" dxfId="260"/>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5" dropStyle="combo" dx="35" fmlaLink="HiddenSettings!$E$6" fmlaRange="HiddenSettings!$D$7:$D$11" sel="2"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5" dropStyle="combo" dx="35" fmlaLink="HiddenSettings!$E$6" fmlaRange="HiddenSettings!$D$7:$D$11" sel="2"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3" Type="http://schemas.openxmlformats.org/officeDocument/2006/relationships/hyperlink" Target="#Help!A1"/><Relationship Id="rId7" Type="http://schemas.openxmlformats.org/officeDocument/2006/relationships/image" Target="../media/image5.png"/><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31750</xdr:colOff>
          <xdr:row>6</xdr:row>
          <xdr:rowOff>69850</xdr:rowOff>
        </xdr:from>
        <xdr:to>
          <xdr:col>7</xdr:col>
          <xdr:colOff>622300</xdr:colOff>
          <xdr:row>7</xdr:row>
          <xdr:rowOff>31750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Pull project data from rptServer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9</xdr:row>
          <xdr:rowOff>76200</xdr:rowOff>
        </xdr:from>
        <xdr:to>
          <xdr:col>7</xdr:col>
          <xdr:colOff>571500</xdr:colOff>
          <xdr:row>10</xdr:row>
          <xdr:rowOff>19050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RA Drafts</a:t>
              </a:r>
            </a:p>
          </xdr:txBody>
        </xdr:sp>
        <xdr:clientData/>
      </xdr:twoCellAnchor>
    </mc:Choice>
    <mc:Fallback/>
  </mc:AlternateContent>
  <xdr:twoCellAnchor editAs="absolute">
    <xdr:from>
      <xdr:col>7</xdr:col>
      <xdr:colOff>689715</xdr:colOff>
      <xdr:row>0</xdr:row>
      <xdr:rowOff>153156</xdr:rowOff>
    </xdr:from>
    <xdr:to>
      <xdr:col>11</xdr:col>
      <xdr:colOff>494301</xdr:colOff>
      <xdr:row>8</xdr:row>
      <xdr:rowOff>39975</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600132" y="153156"/>
          <a:ext cx="2207002" cy="1786527"/>
          <a:chOff x="3153963" y="0"/>
          <a:chExt cx="2672189"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53963" y="0"/>
            <a:ext cx="2672189" cy="961828"/>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12</xdr:col>
          <xdr:colOff>209550</xdr:colOff>
          <xdr:row>7</xdr:row>
          <xdr:rowOff>209550</xdr:rowOff>
        </xdr:from>
        <xdr:to>
          <xdr:col>13</xdr:col>
          <xdr:colOff>1689100</xdr:colOff>
          <xdr:row>8</xdr:row>
          <xdr:rowOff>209550</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8</xdr:row>
          <xdr:rowOff>203200</xdr:rowOff>
        </xdr:from>
        <xdr:to>
          <xdr:col>14</xdr:col>
          <xdr:colOff>57150</xdr:colOff>
          <xdr:row>9</xdr:row>
          <xdr:rowOff>133350</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9</xdr:row>
          <xdr:rowOff>146050</xdr:rowOff>
        </xdr:from>
        <xdr:to>
          <xdr:col>14</xdr:col>
          <xdr:colOff>165100</xdr:colOff>
          <xdr:row>10</xdr:row>
          <xdr:rowOff>50800</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10</xdr:row>
          <xdr:rowOff>57150</xdr:rowOff>
        </xdr:from>
        <xdr:to>
          <xdr:col>14</xdr:col>
          <xdr:colOff>57150</xdr:colOff>
          <xdr:row>11</xdr:row>
          <xdr:rowOff>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31750</xdr:colOff>
          <xdr:row>7</xdr:row>
          <xdr:rowOff>88900</xdr:rowOff>
        </xdr:from>
        <xdr:to>
          <xdr:col>7</xdr:col>
          <xdr:colOff>622300</xdr:colOff>
          <xdr:row>8</xdr:row>
          <xdr:rowOff>50800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Project review docs to PDF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50800</xdr:rowOff>
        </xdr:from>
        <xdr:to>
          <xdr:col>7</xdr:col>
          <xdr:colOff>628650</xdr:colOff>
          <xdr:row>5</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95250</xdr:colOff>
          <xdr:row>8</xdr:row>
          <xdr:rowOff>152400</xdr:rowOff>
        </xdr:from>
        <xdr:to>
          <xdr:col>11</xdr:col>
          <xdr:colOff>298450</xdr:colOff>
          <xdr:row>9</xdr:row>
          <xdr:rowOff>127000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8</xdr:row>
          <xdr:rowOff>146050</xdr:rowOff>
        </xdr:from>
        <xdr:to>
          <xdr:col>9</xdr:col>
          <xdr:colOff>203200</xdr:colOff>
          <xdr:row>9</xdr:row>
          <xdr:rowOff>127000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xdr:row>
          <xdr:rowOff>19050</xdr:rowOff>
        </xdr:from>
        <xdr:to>
          <xdr:col>13</xdr:col>
          <xdr:colOff>317500</xdr:colOff>
          <xdr:row>2</xdr:row>
          <xdr:rowOff>0</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00000000-0008-0000-0000-00001A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69850</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8</xdr:row>
          <xdr:rowOff>19050</xdr:rowOff>
        </xdr:from>
        <xdr:to>
          <xdr:col>9</xdr:col>
          <xdr:colOff>0</xdr:colOff>
          <xdr:row>9</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500-000008000000}"/>
            </a:ext>
          </a:extLst>
        </xdr:cNvPr>
        <xdr:cNvGrpSpPr>
          <a:grpSpLocks noChangeAspect="1"/>
        </xdr:cNvGrpSpPr>
      </xdr:nvGrpSpPr>
      <xdr:grpSpPr>
        <a:xfrm>
          <a:off x="3138539" y="0"/>
          <a:ext cx="2155092" cy="1680028"/>
          <a:chOff x="3257550" y="0"/>
          <a:chExt cx="2553319" cy="2054967"/>
        </a:xfrm>
      </xdr:grpSpPr>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5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Data">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1</xdr:col>
      <xdr:colOff>474319</xdr:colOff>
      <xdr:row>23</xdr:row>
      <xdr:rowOff>169477</xdr:rowOff>
    </xdr:from>
    <xdr:to>
      <xdr:col>2</xdr:col>
      <xdr:colOff>813970</xdr:colOff>
      <xdr:row>28</xdr:row>
      <xdr:rowOff>21256</xdr:rowOff>
    </xdr:to>
    <xdr:pic macro="[0]!RefreshFromBlock">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57348" y="5487148"/>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222250</xdr:colOff>
          <xdr:row>22</xdr:row>
          <xdr:rowOff>12700</xdr:rowOff>
        </xdr:from>
        <xdr:to>
          <xdr:col>6</xdr:col>
          <xdr:colOff>260350</xdr:colOff>
          <xdr:row>23</xdr:row>
          <xdr:rowOff>12700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925286</xdr:colOff>
      <xdr:row>23</xdr:row>
      <xdr:rowOff>225517</xdr:rowOff>
    </xdr:from>
    <xdr:to>
      <xdr:col>4</xdr:col>
      <xdr:colOff>337456</xdr:colOff>
      <xdr:row>28</xdr:row>
      <xdr:rowOff>92530</xdr:rowOff>
    </xdr:to>
    <xdr:pic macro="[0]!makeProjText">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943100" y="5543188"/>
          <a:ext cx="800099" cy="9991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184150</xdr:colOff>
          <xdr:row>2</xdr:row>
          <xdr:rowOff>203200</xdr:rowOff>
        </xdr:from>
        <xdr:to>
          <xdr:col>9</xdr:col>
          <xdr:colOff>0</xdr:colOff>
          <xdr:row>4</xdr:row>
          <xdr:rowOff>12700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500-00002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127000</xdr:rowOff>
        </xdr:from>
        <xdr:to>
          <xdr:col>4</xdr:col>
          <xdr:colOff>12700</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90.643858564814" missingItemsLimit="0" createdVersion="6" refreshedVersion="6" minRefreshableVersion="3" recordCount="1">
  <cacheSource type="worksheet">
    <worksheetSource name="RADataQTable"/>
  </cacheSource>
  <cacheFields count="136">
    <cacheField name="dd_rcom_date" numFmtId="165">
      <sharedItems containsSemiMixedTypes="0" containsNonDate="0" containsDate="1" containsString="0" minDate="2000-01-01T00:00:00" maxDate="2000-01-02T00:00:00"/>
    </cacheField>
    <cacheField name="nsf_rcvd_date" numFmtId="168">
      <sharedItems containsSemiMixedTypes="0" containsNonDate="0" containsDate="1" containsString="0" minDate="2000-01-01T00:00:00" maxDate="2000-01-02T00:00: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SemiMixedTypes="0" containsNonDate="0" containsDate="1" containsString="0" minDate="2000-01-01T00:00:00" maxDate="2000-01-02T00:00:00"/>
    </cacheField>
    <cacheField name="nPanl" numFmtId="0">
      <sharedItems containsSemiMixedTypes="0" containsString="0" containsNumber="1" containsInteger="1" minValue="0" maxValue="0"/>
    </cacheField>
    <cacheField name="RecRkMin" numFmtId="2">
      <sharedItems containsSemiMixedTypes="0" containsString="0" containsNumber="1" minValue="-0.99999998999999995" maxValue="-0.99999998999999995"/>
    </cacheField>
    <cacheField name="rec0" numFmtId="0">
      <sharedItems/>
    </cacheField>
    <cacheField name="rec1" numFmtId="0">
      <sharedItems/>
    </cacheField>
    <cacheField name="rec2" numFmtId="0">
      <sharedItems/>
    </cacheField>
    <cacheField name="RAtemplate" numFmtId="49">
      <sharedItems count="1">
        <s v="zztemplateFname RAt.docx"/>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0"/>
    </cacheField>
    <cacheField name="Nunmkd" numFmtId="0">
      <sharedItems containsSemiMixedTypes="0" containsString="0" containsNumber="1" containsInteger="1" minValue="0" maxValue="0"/>
    </cacheField>
    <cacheField name="Nunrlsbl" numFmtId="0">
      <sharedItems containsSemiMixedTypes="0" containsString="0" containsNumber="1" containsInteger="1" minValue="0" maxValue="0"/>
    </cacheField>
    <cacheField name="divergentReviews" numFmtId="0">
      <sharedItems/>
    </cacheField>
    <cacheField name="minScore" numFmtId="0">
      <sharedItems containsSemiMixedTypes="0" containsString="0" containsNumber="1" containsInteger="1" minValue="1" maxValue="1"/>
    </cacheField>
    <cacheField name="avg_score" numFmtId="2">
      <sharedItems containsSemiMixedTypes="0" containsString="0" containsNumber="1" minValue="4.5" maxValue="4.5"/>
    </cacheField>
    <cacheField name="maxScore" numFmtId="0">
      <sharedItems containsSemiMixedTypes="0" containsString="0" containsNumber="1" containsInteger="1" minValue="9" maxValue="9"/>
    </cacheField>
    <cacheField name="allReviews" numFmtId="0">
      <sharedItems/>
    </cacheField>
    <cacheField name="last_rev_date" numFmtId="165">
      <sharedItems containsSemiMixedTypes="0" containsNonDate="0" containsDate="1" containsString="0" minDate="2000-01-01T00:00:00" maxDate="2000-01-02T00:00:00"/>
    </cacheField>
    <cacheField name="rqst_tot" numFmtId="166">
      <sharedItems containsSemiMixedTypes="0" containsString="0" containsNumber="1" containsInteger="1" minValue="99999999" maxValue="99999999"/>
    </cacheField>
    <cacheField name="budg_tot" numFmtId="166">
      <sharedItems containsSemiMixedTypes="0" containsString="0" containsNumber="1" containsInteger="1" minValue="99999999"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00-01-02T00:00:00"/>
    </cacheField>
    <cacheField name="rqst_mnth_cnt" numFmtId="0">
      <sharedItems containsSemiMixedTypes="0" containsString="0" containsNumber="1" containsInteger="1" minValue="36" maxValue="36"/>
    </cacheField>
    <cacheField name="prop_titl_txt" numFmtId="0">
      <sharedItems/>
    </cacheField>
    <cacheField name="AhNrev" numFmtId="0">
      <sharedItems containsSemiMixedTypes="0" containsString="0" containsNumber="1" containsInteger="1" minValue="0" maxValue="0"/>
    </cacheField>
    <cacheField name="AhRevs" numFmtId="0">
      <sharedItems/>
    </cacheField>
    <cacheField name="AhLast" numFmtId="165">
      <sharedItems containsSemiMixedTypes="0" containsNonDate="0" containsDate="1" containsString="0" minDate="2000-01-01T00:00:00" maxDate="2000-01-02T00:00:00"/>
    </cacheField>
    <cacheField name="panl_id0" numFmtId="0">
      <sharedItems/>
    </cacheField>
    <cacheField name="RCOM_TXT0" numFmtId="0">
      <sharedItems/>
    </cacheField>
    <cacheField name="rank0" numFmtId="0">
      <sharedItems containsSemiMixedTypes="0" containsString="0" containsNumber="1" containsInteger="1" minValue="99" maxValue="99"/>
    </cacheField>
    <cacheField name="panl_name0" numFmtId="0">
      <sharedItems/>
    </cacheField>
    <cacheField name="panl_end0" numFmtId="165">
      <sharedItems containsSemiMixedTypes="0" containsNonDate="0" containsDate="1" containsString="0" minDate="2000-01-01T00:00:00" maxDate="2000-01-02T00:00:00"/>
    </cacheField>
    <cacheField name="revs0" numFmtId="0">
      <sharedItems/>
    </cacheField>
    <cacheField name="PanlString0" numFmtId="0">
      <sharedItems/>
    </cacheField>
    <cacheField name="pnlst0" numFmtId="0">
      <sharedItems containsSemiMixedTypes="0" containsString="0" containsNumber="1" containsInteger="1" minValue="0" maxValue="0"/>
    </cacheField>
    <cacheField name="confl0" numFmtId="0">
      <sharedItems containsSemiMixedTypes="0" containsString="0" containsNumber="1" containsInteger="1" minValue="0" maxValue="0"/>
    </cacheField>
    <cacheField name="panl_id1" numFmtId="0">
      <sharedItems/>
    </cacheField>
    <cacheField name="RCOM_TXT1" numFmtId="0">
      <sharedItems/>
    </cacheField>
    <cacheField name="rank1" numFmtId="0">
      <sharedItems containsSemiMixedTypes="0" containsString="0" containsNumber="1" containsInteger="1" minValue="99" maxValue="99"/>
    </cacheField>
    <cacheField name="panl_name1" numFmtId="0">
      <sharedItems/>
    </cacheField>
    <cacheField name="panl_end1" numFmtId="165">
      <sharedItems containsSemiMixedTypes="0" containsNonDate="0" containsDate="1" containsString="0" minDate="2000-01-01T00:00:00" maxDate="2000-01-02T00:00:00"/>
    </cacheField>
    <cacheField name="revs1" numFmtId="0">
      <sharedItems/>
    </cacheField>
    <cacheField name="PanlString1" numFmtId="0">
      <sharedItems/>
    </cacheField>
    <cacheField name="pnlst1" numFmtId="0">
      <sharedItems containsSemiMixedTypes="0" containsString="0" containsNumber="1" containsInteger="1" minValue="0" maxValue="0"/>
    </cacheField>
    <cacheField name="confl1" numFmtId="0">
      <sharedItems containsSemiMixedTypes="0" containsString="0" containsNumber="1" containsInteger="1" minValue="0" maxValue="0"/>
    </cacheField>
    <cacheField name="panl_id2" numFmtId="0">
      <sharedItems/>
    </cacheField>
    <cacheField name="RCOM_TXT2" numFmtId="0">
      <sharedItems/>
    </cacheField>
    <cacheField name="rank2" numFmtId="0">
      <sharedItems containsSemiMixedTypes="0" containsString="0" containsNumber="1" containsInteger="1" minValue="99" maxValue="99"/>
    </cacheField>
    <cacheField name="panl_name2" numFmtId="0">
      <sharedItems/>
    </cacheField>
    <cacheField name="panl_end2" numFmtId="165">
      <sharedItems containsSemiMixedTypes="0" containsNonDate="0" containsDate="1" containsString="0" minDate="2000-01-01T00:00:00" maxDate="2000-01-02T00:00:00"/>
    </cacheField>
    <cacheField name="revs2" numFmtId="0">
      <sharedItems/>
    </cacheField>
    <cacheField name="PanlString2" numFmtId="0">
      <sharedItems/>
    </cacheField>
    <cacheField name="pnlst2" numFmtId="0">
      <sharedItems containsSemiMixedTypes="0" containsString="0" containsNumber="1" containsInteger="1" minValue="0" maxValue="0"/>
    </cacheField>
    <cacheField name="confl2" numFmtId="0">
      <sharedItems containsSemiMixedTypes="0" containsString="0"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99999999" maxValue="99999999"/>
    </cacheField>
    <cacheField name="b0tot" numFmtId="166">
      <sharedItems containsSemiMixedTypes="0" containsString="0" containsNumber="1" containsInteger="1" minValue="99999999" maxValue="99999999"/>
    </cacheField>
    <cacheField name="PRC0" numFmtId="0">
      <sharedItems/>
    </cacheField>
    <cacheField name="prop_id1" numFmtId="0">
      <sharedItems/>
    </cacheField>
    <cacheField name="last1" numFmtId="0">
      <sharedItems/>
    </cacheField>
    <cacheField name="frst1" numFmtId="0">
      <sharedItems/>
    </cacheField>
    <cacheField name="inst1" numFmtId="0">
      <sharedItems/>
    </cacheField>
    <cacheField name="rqst1" numFmtId="166">
      <sharedItems containsSemiMixedTypes="0" containsString="0" containsNumber="1" containsInteger="1" minValue="99999999" maxValue="99999999"/>
    </cacheField>
    <cacheField name="b1tot" numFmtId="166">
      <sharedItems containsSemiMixedTypes="0" containsString="0" containsNumber="1" containsInteger="1" minValue="99999999" maxValue="99999999"/>
    </cacheField>
    <cacheField name="PRC1" numFmtId="0">
      <sharedItems/>
    </cacheField>
    <cacheField name="prop_id2" numFmtId="0">
      <sharedItems/>
    </cacheField>
    <cacheField name="last2" numFmtId="0">
      <sharedItems/>
    </cacheField>
    <cacheField name="frst2" numFmtId="0">
      <sharedItems/>
    </cacheField>
    <cacheField name="inst2" numFmtId="0">
      <sharedItems/>
    </cacheField>
    <cacheField name="rqst2" numFmtId="166">
      <sharedItems containsSemiMixedTypes="0" containsString="0" containsNumber="1" containsInteger="1" minValue="99999999" maxValue="99999999"/>
    </cacheField>
    <cacheField name="b2tot" numFmtId="166">
      <sharedItems containsSemiMixedTypes="0" containsString="0" containsNumber="1" containsInteger="1" minValue="99999999" maxValue="99999999"/>
    </cacheField>
    <cacheField name="PRC2" numFmtId="0">
      <sharedItems/>
    </cacheField>
    <cacheField name="prop_id3" numFmtId="0">
      <sharedItems/>
    </cacheField>
    <cacheField name="last3" numFmtId="0">
      <sharedItems/>
    </cacheField>
    <cacheField name="frst3" numFmtId="0">
      <sharedItems/>
    </cacheField>
    <cacheField name="inst3" numFmtId="0">
      <sharedItems/>
    </cacheField>
    <cacheField name="rqst3" numFmtId="166">
      <sharedItems containsSemiMixedTypes="0" containsString="0" containsNumber="1" containsInteger="1" minValue="99999999" maxValue="99999999"/>
    </cacheField>
    <cacheField name="b3tot" numFmtId="166">
      <sharedItems containsSemiMixedTypes="0" containsString="0" containsNumber="1" containsInteger="1" minValue="99999999" maxValue="99999999"/>
    </cacheField>
    <cacheField name="PRC3" numFmtId="0">
      <sharedItems/>
    </cacheField>
    <cacheField name="prop_id4" numFmtId="0">
      <sharedItems/>
    </cacheField>
    <cacheField name="last4" numFmtId="0">
      <sharedItems/>
    </cacheField>
    <cacheField name="frst4" numFmtId="0">
      <sharedItems/>
    </cacheField>
    <cacheField name="inst4" numFmtId="0">
      <sharedItems/>
    </cacheField>
    <cacheField name="rqst4" numFmtId="166">
      <sharedItems containsSemiMixedTypes="0" containsString="0" containsNumber="1" containsInteger="1" minValue="99999999" maxValue="99999999"/>
    </cacheField>
    <cacheField name="b4tot" numFmtId="166">
      <sharedItems containsSemiMixedTypes="0" containsString="0" containsNumber="1" containsInteger="1" minValue="99999999" maxValue="99999999"/>
    </cacheField>
    <cacheField name="PRC4" numFmtId="0">
      <sharedItems/>
    </cacheField>
    <cacheField name="prop_id5" numFmtId="0">
      <sharedItems/>
    </cacheField>
    <cacheField name="last5" numFmtId="0">
      <sharedItems/>
    </cacheField>
    <cacheField name="frst5" numFmtId="0">
      <sharedItems/>
    </cacheField>
    <cacheField name="inst5" numFmtId="0">
      <sharedItems/>
    </cacheField>
    <cacheField name="rqst5" numFmtId="166">
      <sharedItems containsSemiMixedTypes="0" containsString="0" containsNumber="1" containsInteger="1" minValue="99999999" maxValue="99999999"/>
    </cacheField>
    <cacheField name="b5tot" numFmtId="166">
      <sharedItems containsSemiMixedTypes="0" containsString="0" containsNumber="1" containsInteger="1" minValue="99999999" maxValue="99999999"/>
    </cacheField>
    <cacheField name="PRC5" numFmtId="0">
      <sharedItems/>
    </cacheField>
    <cacheField name="prop_id6" numFmtId="0">
      <sharedItems/>
    </cacheField>
    <cacheField name="last6" numFmtId="0">
      <sharedItems/>
    </cacheField>
    <cacheField name="frst6" numFmtId="0">
      <sharedItems/>
    </cacheField>
    <cacheField name="inst6" numFmtId="0">
      <sharedItems/>
    </cacheField>
    <cacheField name="rqst6" numFmtId="166">
      <sharedItems containsSemiMixedTypes="0" containsString="0" containsNumber="1" containsInteger="1" minValue="99999999" maxValue="99999999"/>
    </cacheField>
    <cacheField name="b6tot" numFmtId="166">
      <sharedItems containsSemiMixedTypes="0" containsString="0" containsNumber="1" containsInteger="1" minValue="99999999" maxValue="99999999"/>
    </cacheField>
    <cacheField name="PRC6" numFmtId="0">
      <sharedItems/>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00-01-02T00:00:00"/>
    </cacheField>
    <cacheField name="email" numFmtId="0">
      <sharedItems/>
    </cacheField>
    <cacheField name="allPIemail" numFmtId="0">
      <sharedItems/>
    </cacheField>
    <cacheField name="conflrev0" numFmtId="0">
      <sharedItems/>
    </cacheField>
    <cacheField name="conflrev1" numFmtId="0">
      <sharedItems/>
    </cacheField>
    <cacheField name="conflrev2"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91.273761226854"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s v="List of conflicted panelists separated by semicolons. Not everyone will need this list, but some divisions request this information, so I am seeing if we can provide it. There is a limit of seven names returned, though all will be counted."/>
    <s v="List of conflicted panelists separated by semicolons. Not everyone will need this list, but some divisions request this information, so I am seeing if we can provide it. There is a limit of seven names returned, though all will be counted."/>
    <s v="List of conflicted panelists separated by semicolons. Not everyone will need this list, but some divisions request this information, so I am seeing if we can provide it. There is a limit of seven names returned, though all will be counted."/>
  </r>
</pivotCacheRecords>
</file>

<file path=xl/pivotCache/pivotCacheRecords2.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241">
      <pivotArea outline="0" collapsedLevelsAreSubtotals="1" fieldPosition="0"/>
    </format>
    <format dxfId="240">
      <pivotArea outline="0" collapsedLevelsAreSubtotals="1" fieldPosition="0"/>
    </format>
    <format dxfId="2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6">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48">
    <queryTableFields count="136">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5:B16" insertRow="1" totalsRowShown="0" dataDxfId="259">
  <autoFilter ref="B15:B16"/>
  <tableColumns count="1">
    <tableColumn id="1" name="prop_id" dataDxfId="258"/>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5:E16" insertRow="1" totalsRowShown="0" dataDxfId="257">
  <autoFilter ref="E15:E16"/>
  <tableColumns count="1">
    <tableColumn id="1" name="prop_id" dataDxfId="256"/>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5:H16" insertRow="1" totalsRowShown="0" dataDxfId="255">
  <autoFilter ref="H15:H16"/>
  <tableColumns count="1">
    <tableColumn id="1" name="prop_id" dataDxfId="254"/>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K15:K16" insertRow="1" totalsRowShown="0" dataDxfId="253">
  <autoFilter ref="K15:K16"/>
  <tableColumns count="1">
    <tableColumn id="1" name="prop_id" dataDxfId="252"/>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N14:O35" totalsRowShown="0" headerRowDxfId="251">
  <tableColumns count="2">
    <tableColumn id="1" name="Where to find:" dataDxfId="250"/>
    <tableColumn id="2" name="link" dataCellStyle="Hyper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L17" tableType="queryTable" totalsRowShown="0">
  <tableColumns count="64">
    <tableColumn id="123" uniqueName="123" name="dd_rcom_date" queryTableFieldId="1" dataDxfId="231"/>
    <tableColumn id="124" uniqueName="124" name="nsf_rcvd_date" queryTableFieldId="2" dataDxfId="230"/>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29"/>
    <tableColumn id="131" uniqueName="131" name="bas_rsch_pct" queryTableFieldId="9" dataDxfId="228"/>
    <tableColumn id="132" uniqueName="132" name="other_pct" queryTableFieldId="10" dataDxfId="227"/>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26">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25"/>
    <tableColumn id="186" uniqueName="186" name="0" queryTableFieldId="65" dataDxfId="224">
      <calculatedColumnFormula>S1+(ckCodingQTable[[#This Row],[ILN]]&lt;"M")</calculatedColumnFormula>
    </tableColumn>
    <tableColumn id="139" uniqueName="139" name="ILN" queryTableFieldId="17" dataDxfId="223"/>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22"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21"/>
    <tableColumn id="146" uniqueName="146" name="rqst_mnth_cnt" queryTableFieldId="24"/>
    <tableColumn id="147" uniqueName="147" name="nPanl" queryTableFieldId="25"/>
    <tableColumn id="149" uniqueName="149" name="nPSunrls" queryTableFieldId="27"/>
    <tableColumn id="148" uniqueName="148" name="nPSunmrkd" queryTableFieldId="26" dataDxfId="220"/>
    <tableColumn id="152" uniqueName="152" name="allReviews" queryTableFieldId="30"/>
    <tableColumn id="153" uniqueName="153" name="avg_score" queryTableFieldId="31" dataDxfId="219"/>
    <tableColumn id="154" uniqueName="154" name="last_rev_date" queryTableFieldId="32" dataDxfId="218"/>
    <tableColumn id="156" uniqueName="156" name="Nconfl" queryTableFieldId="34" dataDxfId="217"/>
    <tableColumn id="151" uniqueName="151" name="nRev" queryTableFieldId="29"/>
    <tableColumn id="157" uniqueName="157" name="Nunrlsbl" queryTableFieldId="35"/>
    <tableColumn id="155" uniqueName="155" name="Nunmkd" queryTableFieldId="33" dataDxfId="216"/>
    <tableColumn id="158" uniqueName="158" name="NrlsdCDNPS" queryTableFieldId="36" dataDxfId="215"/>
    <tableColumn id="159" uniqueName="159" name="NpendSlct" queryTableFieldId="37" dataDxfId="214"/>
    <tableColumn id="160" uniqueName="160" name="NdiffFLeJ" queryTableFieldId="38" dataDxfId="213"/>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3" uniqueName="163" name="brevn" queryTableFieldId="41"/>
    <tableColumn id="164" uniqueName="164" name="rqst_tot" queryTableFieldId="42" dataDxfId="212" dataCellStyle="Currency"/>
    <tableColumn id="165" uniqueName="165" name="budg_tot" queryTableFieldId="43" dataDxfId="211" dataCellStyle="Currency"/>
    <tableColumn id="166" uniqueName="166" name="sub_ctr_tot" queryTableFieldId="44" dataDxfId="210" dataCellStyle="Currency"/>
    <tableColumn id="167" uniqueName="167" name="frgn_trav_tot" queryTableFieldId="45" dataDxfId="209" dataCellStyle="Currency"/>
    <tableColumn id="168" uniqueName="168" name="pdoc_tot" queryTableFieldId="46" dataDxfId="208" dataCellStyle="Currency"/>
    <tableColumn id="169" uniqueName="169" name="part_tot_dol" queryTableFieldId="47" dataDxfId="207"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AX17" tableType="queryTable" totalsRowShown="0">
  <autoFilter ref="A1:AX17">
    <filterColumn colId="45">
      <customFilters>
        <customFilter operator="notEqual" val=" "/>
      </customFilters>
    </filterColumn>
  </autoFilter>
  <tableColumns count="50">
    <tableColumn id="1" uniqueName="1" name="dd_rcom_date" queryTableFieldId="214" dataDxfId="64"/>
    <tableColumn id="4" uniqueName="4" name="nsf_rcvd_date" queryTableFieldId="4" dataDxfId="63"/>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62"/>
    <tableColumn id="39" uniqueName="39" name="natr_rqst_abbr" queryTableFieldId="280" dataDxfId="61"/>
    <tableColumn id="49" uniqueName="49" name="rcom_istr_abbr" queryTableFieldId="281" dataDxfId="60"/>
    <tableColumn id="19" uniqueName="19" name="obj_clas_code" queryTableFieldId="221"/>
    <tableColumn id="11" uniqueName="11" name="cntx_stmt_id" queryTableFieldId="11"/>
    <tableColumn id="32" uniqueName="32" name="RAupdate" queryTableFieldId="254" dataDxfId="59"/>
    <tableColumn id="25" uniqueName="25" name="0" queryTableFieldId="230" dataDxfId="58">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57" dataCellStyle="Hyperlink">
      <calculatedColumnFormula>HYPERLINK("https://www.ejacket.nsf.gov/ej/showProposal.do?ID="&amp;ckAwdQTable[[#This Row],[prop_id]],"eJ")</calculatedColumnFormula>
    </tableColumn>
    <tableColumn id="27" uniqueName="27" name="Div" queryTableFieldId="282" dataDxfId="56"/>
    <tableColumn id="12" uniqueName="12" name="prop_id" queryTableFieldId="12"/>
    <tableColumn id="13" uniqueName="13" name="pi_last_name" queryTableFieldId="13"/>
    <tableColumn id="14" uniqueName="14" name="pi_frst_name" queryTableFieldId="14"/>
    <tableColumn id="24" uniqueName="24" name="inst" queryTableFieldId="283" dataDxfId="55"/>
    <tableColumn id="23" uniqueName="23" name="st_code" queryTableFieldId="225"/>
    <tableColumn id="206" uniqueName="206" name="@pi email" queryTableFieldId="212" dataDxfId="54"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53"/>
    <tableColumn id="17" uniqueName="17" name="rqst_mnth_cnt" queryTableFieldId="17"/>
    <tableColumn id="9" uniqueName="9" name="humn_date" queryTableFieldId="218"/>
    <tableColumn id="28" uniqueName="28" name="hum_asur" queryTableFieldId="301" dataDxfId="52"/>
    <tableColumn id="29" uniqueName="29" name="HUM_EXPT" queryTableFieldId="302" dataDxfId="51"/>
    <tableColumn id="10" uniqueName="10" name="vrtb_date" queryTableFieldId="219"/>
    <tableColumn id="37" uniqueName="37" name="vrtb_asur" queryTableFieldId="303" dataDxfId="50"/>
    <tableColumn id="30" uniqueName="30" name="Country" queryTableFieldId="250" dataDxfId="49"/>
    <tableColumn id="34" uniqueName="34" name="rqst_tot" queryTableFieldId="288" dataDxfId="48" dataCellStyle="Currency"/>
    <tableColumn id="35" uniqueName="35" name="brevn" queryTableFieldId="289" dataDxfId="47"/>
    <tableColumn id="36" uniqueName="36" name="budg_tot" queryTableFieldId="290" dataDxfId="46"/>
    <tableColumn id="40" uniqueName="40" name="sub_ctr_tot" queryTableFieldId="292" dataDxfId="45"/>
    <tableColumn id="41" uniqueName="41" name="frgn_trav_tot" queryTableFieldId="293" dataDxfId="44"/>
    <tableColumn id="42" uniqueName="42" name="pdoc_tot" queryTableFieldId="294" dataDxfId="43"/>
    <tableColumn id="43" uniqueName="43" name="part_tot_dol" queryTableFieldId="295" dataDxfId="42"/>
    <tableColumn id="44" uniqueName="44" name="grad_tot_cnt" queryTableFieldId="296" dataDxfId="41"/>
    <tableColumn id="45" uniqueName="45" name="sr_tot_cnt" queryTableFieldId="297" dataDxfId="40"/>
    <tableColumn id="46" uniqueName="46" name="sr_sumr_mnths" queryTableFieldId="298" dataDxfId="39"/>
    <tableColumn id="47" uniqueName="47" name="sr_acad_mnths" queryTableFieldId="299" dataDxfId="38"/>
    <tableColumn id="48" uniqueName="48" name="sr_cal_mnths" queryTableFieldId="300" dataDxfId="37"/>
    <tableColumn id="8" uniqueName="8" name="prop_stts_txt" queryTableFieldId="278" dataDxfId="36"/>
    <tableColumn id="54" uniqueName="54" name="OTH_AGCY_SUBM_FLAG" queryTableFieldId="287" dataDxfId="35"/>
    <tableColumn id="53" uniqueName="53" name="Abstr?marks" queryTableFieldId="320" dataDxfId="34">
      <calculatedColumnFormula>SummarizeQuestMarks(ckAwdQTable[[#This Row],[abst_narr_txt]])</calculatedColumnFormula>
    </tableColumn>
    <tableColumn id="51" uniqueName="51" name="abst_narr_txt" queryTableFieldId="251" dataDxfId="33"/>
    <tableColumn id="83" uniqueName="83" name="prop_titl_txt" queryTableFieldId="83"/>
    <tableColumn id="52" uniqueName="52" name="titl_ck" queryTableFieldId="322">
      <calculatedColumnFormula>AND(ckAwdQTable[[#This Row],[ILN]]&gt;"M", SUBSTITUTE(ckAwdQTable[[#This Row],[prop_titl_txt]]," ","")&lt;&gt;SUBSTITUTE(AV1," ",""))</calculatedColumnFormula>
    </tableColumn>
    <tableColumn id="26" uniqueName="26" name="email" queryTableFieldId="284" dataDxfId="32"/>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83" tableType="queryTable" totalsRowShown="0" dataDxfId="249">
  <autoFilter ref="A3:AC83"/>
  <tableColumns count="29">
    <tableColumn id="10" uniqueName="10" name="prop_id" queryTableFieldId="10" dataDxfId="110"/>
    <tableColumn id="9" uniqueName="9" name="ILN" queryTableFieldId="89" dataDxfId="109" dataCellStyle="Hyperlink"/>
    <tableColumn id="31" uniqueName="31" name="10" queryTableFieldId="98" dataDxfId="108" dataCellStyle="Hyperlink">
      <calculatedColumnFormula>C3+(BudgetsQTable[[#This Row],[lead]]&lt;&gt;K3)</calculatedColumnFormula>
    </tableColumn>
    <tableColumn id="32" uniqueName="32" name="0" queryTableFieldId="97" dataDxfId="107" dataCellStyle="Hyperlink">
      <calculatedColumnFormula>D3*(BudgetsQTable[[#This Row],[lead]]=K3)+(BudgetsQTable[[#This Row],[prop_id]]&lt;&gt;A3)</calculatedColumnFormula>
    </tableColumn>
    <tableColumn id="3" uniqueName="3" name="nsf_rcvd_date" queryTableFieldId="63" dataDxfId="106" dataCellStyle="Hyperlink"/>
    <tableColumn id="4" uniqueName="4" name="pgm_annc_id" queryTableFieldId="64" dataDxfId="105" dataCellStyle="Hyperlink"/>
    <tableColumn id="5" uniqueName="5" name="org_code" queryTableFieldId="65" dataDxfId="104" dataCellStyle="Hyperlink"/>
    <tableColumn id="6" uniqueName="6" name="pgm_ele_code" queryTableFieldId="66" dataDxfId="103" dataCellStyle="Hyperlink"/>
    <tableColumn id="27" uniqueName="27" name="PO" queryTableFieldId="91" dataDxfId="102" dataCellStyle="Hyperlink"/>
    <tableColumn id="28" uniqueName="28" name="pi_email" queryTableFieldId="92" dataDxfId="101" dataCellStyle="Hyperlink"/>
    <tableColumn id="8" uniqueName="8" name="lead" queryTableFieldId="68" dataDxfId="100"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99"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98" dataCellStyle="Hyperlink"/>
    <tableColumn id="14" uniqueName="14" name="sr_pers_cnt" queryTableFieldId="73" dataDxfId="97" dataCellStyle="Hyperlink"/>
    <tableColumn id="15" uniqueName="15" name="sr_summ_mnth_cnt" queryTableFieldId="74" dataDxfId="96" dataCellStyle="Hyperlink"/>
    <tableColumn id="16" uniqueName="16" name="pdoc_grnt_dol" queryTableFieldId="75" dataDxfId="95" dataCellStyle="Currency"/>
    <tableColumn id="17" uniqueName="17" name="frgn_trav_dol" queryTableFieldId="76" dataDxfId="94" dataCellStyle="Currency"/>
    <tableColumn id="18" uniqueName="18" name="part_dol" queryTableFieldId="77" dataDxfId="93" dataCellStyle="Currency"/>
    <tableColumn id="19" uniqueName="19" name="budg_tot_dol" queryTableFieldId="78" dataDxfId="92" dataCellStyle="Currency"/>
    <tableColumn id="20" uniqueName="20" name="revn_num" queryTableFieldId="79" dataDxfId="91" dataCellStyle="Hyperlink"/>
    <tableColumn id="21" uniqueName="21" name="budg_seq_yr" queryTableFieldId="80" dataDxfId="90" dataCellStyle="Hyperlink"/>
    <tableColumn id="26" uniqueName="26" name="Column1" queryTableFieldId="85" dataDxfId="89" dataCellStyle="Hyperlink">
      <calculatedColumnFormula>IF(ISBLANK(BudgetsQTable[[#This Row],[budg_seq_yr]]),"FY"&amp;fiscalyear,"FY"&amp;fiscalyear-1+BudgetsQTable[[#This Row],[budg_seq_yr]])</calculatedColumnFormula>
    </tableColumn>
    <tableColumn id="22" uniqueName="22" name="dol" queryTableFieldId="81" dataDxfId="88" dataCellStyle="Currency"/>
    <tableColumn id="23" uniqueName="23" name="org_code2" queryTableFieldId="82" dataDxfId="87" dataCellStyle="Hyperlink"/>
    <tableColumn id="24" uniqueName="24" name="PEC" queryTableFieldId="83" dataDxfId="86" dataCellStyle="Hyperlink"/>
    <tableColumn id="7" uniqueName="7" name="Obj" queryTableFieldId="99" dataDxfId="85" dataCellStyle="Hyperlink"/>
    <tableColumn id="25" uniqueName="25" name="PRCs" queryTableFieldId="84" dataDxfId="84"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F18" tableType="queryTable" totalsRowShown="0">
  <autoFilter ref="A1:EF18">
    <filterColumn colId="12">
      <customFilters>
        <customFilter operator="greaterThan" val="0"/>
      </customFilters>
    </filterColumn>
  </autoFilter>
  <sortState ref="A2:EF18">
    <sortCondition ref="M1:M18"/>
  </sortState>
  <tableColumns count="136">
    <tableColumn id="1" uniqueName="1" name="dd_rcom_date" queryTableFieldId="1" dataDxfId="206"/>
    <tableColumn id="2" uniqueName="2" name="nsf_rcvd_date" queryTableFieldId="2" dataDxfId="205"/>
    <tableColumn id="3" uniqueName="3" name="pgm_annc_id" queryTableFieldId="3" dataDxfId="204"/>
    <tableColumn id="4" uniqueName="4" name="org_code" queryTableFieldId="4" dataDxfId="203"/>
    <tableColumn id="5" uniqueName="5" name="pgm_ele_code" queryTableFieldId="5" dataDxfId="202"/>
    <tableColumn id="6" uniqueName="6" name="natr_rqst_abbr" queryTableFieldId="6" dataDxfId="201"/>
    <tableColumn id="7" uniqueName="7" name="prop_stts_abbr" queryTableFieldId="7" dataDxfId="200"/>
    <tableColumn id="8" uniqueName="8" name="obj_clas_code" queryTableFieldId="8"/>
    <tableColumn id="9" uniqueName="9" name="cntx_stmt_id" queryTableFieldId="9"/>
    <tableColumn id="10" uniqueName="10" name="PO" queryTableFieldId="10"/>
    <tableColumn id="11" uniqueName="11" name="RAupdate" queryTableFieldId="11" dataDxfId="199"/>
    <tableColumn id="12" uniqueName="12" name="nPanl" queryTableFieldId="12"/>
    <tableColumn id="13" uniqueName="13" name="RecRkMin" queryTableFieldId="13" dataDxfId="198"/>
    <tableColumn id="14" uniqueName="14" name="rec0" queryTableFieldId="14"/>
    <tableColumn id="15" uniqueName="15" name="rec1" queryTableFieldId="15"/>
    <tableColumn id="16" uniqueName="16" name="rec2" queryTableFieldId="16"/>
    <tableColumn id="17" uniqueName="17" name="RAtemplate" queryTableFieldId="17" dataDxfId="197"/>
    <tableColumn id="133" uniqueName="133" name="Radraft_filename" queryTableFieldId="135" dataDxfId="196">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95"/>
    <tableColumn id="137" uniqueName="137" name="RAps_note" queryTableFieldId="136" dataDxfId="194"/>
    <tableColumn id="134" uniqueName="134" name="RAsigner" queryTableFieldId="134" dataDxfId="193">
      <calculatedColumnFormula>IF(signer1="PD",IF(ISBLANK(RADataQTable[[#This Row],[sign_blck_name]]),"",RADataQTable[[#This Row],[sign_blck_name]]),IF(ISBLANK(signer1),"",signer1))</calculatedColumnFormula>
    </tableColumn>
    <tableColumn id="135" uniqueName="135" name="RAsigner2" queryTableFieldId="133" dataDxfId="192">
      <calculatedColumnFormula>signer2</calculatedColumnFormula>
    </tableColumn>
    <tableColumn id="138" uniqueName="138" name="ej" queryTableFieldId="142" dataDxfId="191" dataCellStyle="Hyperlink">
      <calculatedColumnFormula>HYPERLINK("https://www.ejacket.nsf.gov/ej/showProposal.do?Continue=Y&amp;ID="&amp;RADataQTable[[#This Row],[prop_id0]],"eJ")</calculatedColumnFormula>
    </tableColumn>
    <tableColumn id="139" uniqueName="139" name="@PI" queryTableFieldId="141" dataDxfId="190"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89"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88"/>
    <tableColumn id="23" uniqueName="23" name="avg_score" queryTableFieldId="23" dataDxfId="187"/>
    <tableColumn id="24" uniqueName="24" name="maxScore" queryTableFieldId="24"/>
    <tableColumn id="25" uniqueName="25" name="allReviews" queryTableFieldId="25"/>
    <tableColumn id="26" uniqueName="26" name="last_rev_date" queryTableFieldId="26" dataDxfId="186"/>
    <tableColumn id="28" uniqueName="28" name="rqst_tot" queryTableFieldId="28" dataDxfId="185" dataCellStyle="Currency"/>
    <tableColumn id="29" uniqueName="29" name="budg_tot" queryTableFieldId="29" dataDxfId="184" dataCellStyle="Currency"/>
    <tableColumn id="30" uniqueName="30" name="budRevnMax" queryTableFieldId="30"/>
    <tableColumn id="31" uniqueName="31" name="rqst_eff_date" queryTableFieldId="31" dataDxfId="183"/>
    <tableColumn id="32" uniqueName="32" name="rqst_mnth_cnt" queryTableFieldId="32" dataDxfId="182"/>
    <tableColumn id="33" uniqueName="33" name="prop_titl_txt" queryTableFieldId="33" dataDxfId="181"/>
    <tableColumn id="34" uniqueName="34" name="AhNrev" queryTableFieldId="34"/>
    <tableColumn id="35" uniqueName="35" name="AhRevs" queryTableFieldId="35"/>
    <tableColumn id="36" uniqueName="36" name="AhLast" queryTableFieldId="36" dataDxfId="180"/>
    <tableColumn id="37" uniqueName="37" name="panl_id0" queryTableFieldId="37"/>
    <tableColumn id="38" uniqueName="38" name="RCOM_TXT0" queryTableFieldId="38" dataDxfId="179"/>
    <tableColumn id="39" uniqueName="39" name="rank0" queryTableFieldId="39" dataDxfId="178"/>
    <tableColumn id="40" uniqueName="40" name="panl_name0" queryTableFieldId="40" dataDxfId="177"/>
    <tableColumn id="41" uniqueName="41" name="panl_end0" queryTableFieldId="41" dataDxfId="176"/>
    <tableColumn id="42" uniqueName="42" name="revs0" queryTableFieldId="42" dataDxfId="175"/>
    <tableColumn id="43" uniqueName="43" name="PanlString0" queryTableFieldId="43" dataDxfId="174"/>
    <tableColumn id="44" uniqueName="44" name="pnlst0" queryTableFieldId="44" dataDxfId="173"/>
    <tableColumn id="45" uniqueName="45" name="confl0" queryTableFieldId="45" dataDxfId="172"/>
    <tableColumn id="46" uniqueName="46" name="panl_id1" queryTableFieldId="46" dataDxfId="171"/>
    <tableColumn id="47" uniqueName="47" name="RCOM_TXT1" queryTableFieldId="47" dataDxfId="170"/>
    <tableColumn id="48" uniqueName="48" name="rank1" queryTableFieldId="48" dataDxfId="169"/>
    <tableColumn id="49" uniqueName="49" name="panl_name1" queryTableFieldId="49" dataDxfId="168"/>
    <tableColumn id="50" uniqueName="50" name="panl_end1" queryTableFieldId="50" dataDxfId="167"/>
    <tableColumn id="51" uniqueName="51" name="revs1" queryTableFieldId="51" dataDxfId="166"/>
    <tableColumn id="52" uniqueName="52" name="PanlString1" queryTableFieldId="52" dataDxfId="165"/>
    <tableColumn id="53" uniqueName="53" name="pnlst1" queryTableFieldId="53" dataDxfId="164"/>
    <tableColumn id="54" uniqueName="54" name="confl1" queryTableFieldId="54" dataDxfId="163"/>
    <tableColumn id="55" uniqueName="55" name="panl_id2" queryTableFieldId="55" dataDxfId="162"/>
    <tableColumn id="56" uniqueName="56" name="RCOM_TXT2" queryTableFieldId="56" dataDxfId="161"/>
    <tableColumn id="57" uniqueName="57" name="rank2" queryTableFieldId="57" dataDxfId="160"/>
    <tableColumn id="58" uniqueName="58" name="panl_name2" queryTableFieldId="58" dataDxfId="159"/>
    <tableColumn id="59" uniqueName="59" name="panl_end2" queryTableFieldId="59" dataDxfId="158"/>
    <tableColumn id="60" uniqueName="60" name="revs2" queryTableFieldId="60" dataDxfId="157"/>
    <tableColumn id="61" uniqueName="61" name="PanlString2" queryTableFieldId="61" dataDxfId="156"/>
    <tableColumn id="62" uniqueName="62" name="pnlst2" queryTableFieldId="62" dataDxfId="155"/>
    <tableColumn id="63" uniqueName="63" name="confl2" queryTableFieldId="63" dataDxfId="154"/>
    <tableColumn id="64" uniqueName="64" name="prop_id0" queryTableFieldId="64"/>
    <tableColumn id="65" uniqueName="65" name="last0" queryTableFieldId="65" dataDxfId="153"/>
    <tableColumn id="66" uniqueName="66" name="frst0" queryTableFieldId="66" dataDxfId="152"/>
    <tableColumn id="67" uniqueName="67" name="inst0" queryTableFieldId="67" dataDxfId="151"/>
    <tableColumn id="68" uniqueName="68" name="rqst0" queryTableFieldId="68" dataDxfId="150"/>
    <tableColumn id="69" uniqueName="69" name="b0tot" queryTableFieldId="69" dataDxfId="149"/>
    <tableColumn id="70" uniqueName="70" name="PRC0" queryTableFieldId="70"/>
    <tableColumn id="71" uniqueName="71" name="prop_id1" queryTableFieldId="71" dataDxfId="148"/>
    <tableColumn id="72" uniqueName="72" name="last1" queryTableFieldId="72" dataDxfId="147"/>
    <tableColumn id="73" uniqueName="73" name="frst1" queryTableFieldId="73" dataDxfId="146"/>
    <tableColumn id="74" uniqueName="74" name="inst1" queryTableFieldId="74" dataDxfId="145"/>
    <tableColumn id="75" uniqueName="75" name="rqst1" queryTableFieldId="75" dataDxfId="144"/>
    <tableColumn id="76" uniqueName="76" name="b1tot" queryTableFieldId="76" dataDxfId="143"/>
    <tableColumn id="77" uniqueName="77" name="PRC1" queryTableFieldId="77"/>
    <tableColumn id="78" uniqueName="78" name="prop_id2" queryTableFieldId="78" dataDxfId="142"/>
    <tableColumn id="79" uniqueName="79" name="last2" queryTableFieldId="79" dataDxfId="141"/>
    <tableColumn id="80" uniqueName="80" name="frst2" queryTableFieldId="80" dataDxfId="140"/>
    <tableColumn id="81" uniqueName="81" name="inst2" queryTableFieldId="81" dataDxfId="139"/>
    <tableColumn id="82" uniqueName="82" name="rqst2" queryTableFieldId="82" dataDxfId="138"/>
    <tableColumn id="83" uniqueName="83" name="b2tot" queryTableFieldId="83" dataDxfId="137"/>
    <tableColumn id="84" uniqueName="84" name="PRC2" queryTableFieldId="84"/>
    <tableColumn id="85" uniqueName="85" name="prop_id3" queryTableFieldId="85" dataDxfId="136"/>
    <tableColumn id="86" uniqueName="86" name="last3" queryTableFieldId="86" dataDxfId="135"/>
    <tableColumn id="87" uniqueName="87" name="frst3" queryTableFieldId="87" dataDxfId="134"/>
    <tableColumn id="88" uniqueName="88" name="inst3" queryTableFieldId="88" dataDxfId="133"/>
    <tableColumn id="89" uniqueName="89" name="rqst3" queryTableFieldId="89" dataDxfId="132"/>
    <tableColumn id="90" uniqueName="90" name="b3tot" queryTableFieldId="90" dataDxfId="131"/>
    <tableColumn id="91" uniqueName="91" name="PRC3" queryTableFieldId="91"/>
    <tableColumn id="92" uniqueName="92" name="prop_id4" queryTableFieldId="92" dataDxfId="130"/>
    <tableColumn id="93" uniqueName="93" name="last4" queryTableFieldId="93" dataDxfId="129"/>
    <tableColumn id="94" uniqueName="94" name="frst4" queryTableFieldId="94" dataDxfId="128"/>
    <tableColumn id="95" uniqueName="95" name="inst4" queryTableFieldId="95" dataDxfId="127"/>
    <tableColumn id="96" uniqueName="96" name="rqst4" queryTableFieldId="96" dataDxfId="126"/>
    <tableColumn id="97" uniqueName="97" name="b4tot" queryTableFieldId="97" dataDxfId="125"/>
    <tableColumn id="98" uniqueName="98" name="PRC4" queryTableFieldId="98"/>
    <tableColumn id="99" uniqueName="99" name="prop_id5" queryTableFieldId="99" dataDxfId="124"/>
    <tableColumn id="100" uniqueName="100" name="last5" queryTableFieldId="100" dataDxfId="123"/>
    <tableColumn id="101" uniqueName="101" name="frst5" queryTableFieldId="101" dataDxfId="122"/>
    <tableColumn id="102" uniqueName="102" name="inst5" queryTableFieldId="102" dataDxfId="121"/>
    <tableColumn id="103" uniqueName="103" name="rqst5" queryTableFieldId="103" dataDxfId="120"/>
    <tableColumn id="104" uniqueName="104" name="b5tot" queryTableFieldId="104" dataDxfId="119"/>
    <tableColumn id="105" uniqueName="105" name="PRC5" queryTableFieldId="105"/>
    <tableColumn id="106" uniqueName="106" name="prop_id6" queryTableFieldId="106" dataDxfId="118"/>
    <tableColumn id="107" uniqueName="107" name="last6" queryTableFieldId="107" dataDxfId="117"/>
    <tableColumn id="108" uniqueName="108" name="frst6" queryTableFieldId="108" dataDxfId="116"/>
    <tableColumn id="109" uniqueName="109" name="inst6" queryTableFieldId="109" dataDxfId="115"/>
    <tableColumn id="110" uniqueName="110" name="rqst6" queryTableFieldId="110" dataDxfId="114"/>
    <tableColumn id="111" uniqueName="111" name="b6tot" queryTableFieldId="111" dataDxfId="113"/>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112"/>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111"/>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1" insertRow="1" totalsRowShown="0" headerRowDxfId="248" dataDxfId="247">
  <autoFilter ref="J10:J11"/>
  <tableColumns count="1">
    <tableColumn id="1" name="Available templates:" dataDxfId="246"/>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245" dataDxfId="244">
  <autoFilter ref="N2:N29"/>
  <tableColumns count="1">
    <tableColumn id="1" name="Epscor" totalsRowFunction="count" dataDxfId="243" totalsRowDxfId="242"/>
  </tableColumns>
  <tableStyleInfo name="TableFall" showFirstColumn="0" showLastColumn="0" showRowStripes="1" showColumnStripes="0"/>
</table>
</file>

<file path=xl/tables/table12.xml><?xml version="1.0" encoding="utf-8"?>
<table xmlns="http://schemas.openxmlformats.org/spreadsheetml/2006/main" id="16" name="ConflictQTable" displayName="ConflictQTable" ref="A2:C7" tableType="queryTable" totalsRowShown="0" headerRowCellStyle="Normal" dataCellStyle="Normal">
  <autoFilter ref="A2:C7"/>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3.xml><?xml version="1.0" encoding="utf-8"?>
<table xmlns="http://schemas.openxmlformats.org/spreadsheetml/2006/main" id="11" name="PRCGlossaryQTable" displayName="PRCGlossaryQTable" ref="A2:B8" tableType="queryTable" totalsRowShown="0" headerRowCellStyle="Normal" dataCellStyle="Normal">
  <autoFilter ref="A2:B8"/>
  <tableColumns count="2">
    <tableColumn id="1" uniqueName="1" name="PRC" queryTableFieldId="278" dataDxfId="237"/>
    <tableColumn id="2" uniqueName="2" name="PRC_Description" queryTableFieldId="279"/>
  </tableColumns>
  <tableStyleInfo name="TableStyleMedium2" showFirstColumn="0" showLastColumn="0" showRowStripes="1" showColumnStripes="0"/>
</table>
</file>

<file path=xl/tables/table14.xml><?xml version="1.0" encoding="utf-8"?>
<table xmlns="http://schemas.openxmlformats.org/spreadsheetml/2006/main" id="13" name="PECGlossaryQTable" displayName="PECGlossaryQTable" ref="D2:E4" tableType="queryTable" totalsRowShown="0" headerRowCellStyle="Normal" dataCellStyle="Normal">
  <autoFilter ref="D2:E4"/>
  <tableColumns count="2">
    <tableColumn id="1" uniqueName="1" name="PEC" queryTableFieldId="280" dataDxfId="238"/>
    <tableColumn id="2" uniqueName="2" name="PEC_Description" queryTableFieldId="281"/>
  </tableColumns>
  <tableStyleInfo name="TableStyleMedium2" showFirstColumn="0" showLastColumn="0" showRowStripes="1" showColumnStripes="0"/>
</table>
</file>

<file path=xl/tables/table15.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27"/>
    <tableColumn id="22" uniqueName="22" name="nsf_rcvd_date" queryTableFieldId="2" dataDxfId="26"/>
    <tableColumn id="23" uniqueName="23" name="cntx_stmt_id" queryTableFieldId="3"/>
    <tableColumn id="24" uniqueName="24" name="pgm_annc_id" queryTableFieldId="4"/>
    <tableColumn id="60" uniqueName="60" name="pObj" queryTableFieldId="13" dataDxfId="25"/>
    <tableColumn id="61" uniqueName="61" name="bObj" queryTableFieldId="14" dataDxfId="24"/>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23"/>
    <tableColumn id="35" uniqueName="35" name="rcom_istr_abbr" queryTableFieldId="15" dataDxfId="22"/>
    <tableColumn id="57" uniqueName="57" name="budg_yr" queryTableFieldId="27" dataDxfId="21"/>
    <tableColumn id="58" uniqueName="58" name="splt_id" queryTableFieldId="28" dataDxfId="20"/>
    <tableColumn id="59" uniqueName="59" name="budg_splt_tot_dol" queryTableFieldId="29" dataDxfId="19"/>
    <tableColumn id="54" uniqueName="54" name="0" queryTableFieldId="35" dataDxfId="18">
      <calculatedColumnFormula>S1+(X2&lt;&gt;X1)</calculatedColumnFormula>
    </tableColumn>
    <tableColumn id="37" uniqueName="37" name="ILN" queryTableFieldId="17" dataDxfId="17"/>
    <tableColumn id="36" uniqueName="36" name="lead" queryTableFieldId="16" dataDxfId="16"/>
    <tableColumn id="55" uniqueName="55" name="eJ" queryTableFieldId="36" dataDxfId="15" dataCellStyle="Hyperlink">
      <calculatedColumnFormula>HYPERLINK("https://www.ejacket.nsf.gov/ej/showProposal.do?ID="&amp;ckSplitsQTable[[#This Row],[prop_id]],"eJ")</calculatedColumnFormula>
    </tableColumn>
    <tableColumn id="38" uniqueName="38" name="Div" queryTableFieldId="18" dataDxfId="14"/>
    <tableColumn id="39" uniqueName="39" name="prop_id" queryTableFieldId="19" dataDxfId="13"/>
    <tableColumn id="40" uniqueName="40" name="pi_last_name" queryTableFieldId="20" dataDxfId="12"/>
    <tableColumn id="41" uniqueName="41" name="pi_frst_name" queryTableFieldId="21" dataDxfId="11"/>
    <tableColumn id="42" uniqueName="42" name="inst" queryTableFieldId="22" dataDxfId="10"/>
    <tableColumn id="56" uniqueName="56" name="@ pi" queryTableFieldId="37" dataDxfId="9"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8"/>
    <tableColumn id="44" uniqueName="44" name="propPRCs" queryTableFieldId="24" dataDxfId="7"/>
    <tableColumn id="45" uniqueName="45" name="bPRCs" queryTableFieldId="25" dataDxfId="6"/>
    <tableColumn id="46" uniqueName="46" name="awd_id" queryTableFieldId="26" dataDxfId="5"/>
    <tableColumn id="50" uniqueName="50" name="prop_stts_txt" queryTableFieldId="30" dataDxfId="4"/>
    <tableColumn id="51" uniqueName="51" name="prop_titl_txt" queryTableFieldId="31" dataDxfId="3"/>
  </tableColumns>
  <tableStyleInfo name="TableStyleLight11" showFirstColumn="0" showLastColumn="0" showRowStripes="0" showColumnStripes="0"/>
</table>
</file>

<file path=xl/tables/table16.xml><?xml version="1.0" encoding="utf-8"?>
<table xmlns="http://schemas.openxmlformats.org/spreadsheetml/2006/main" id="1" name="ProjTextQTable" displayName="ProjTextQTable" ref="A1:P98" tableType="queryTable" totalsRowCount="1">
  <autoFilter ref="A1:P97"/>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35" totalsRowDxfId="236"/>
    <tableColumn id="11" uniqueName="11" name="returned" queryTableFieldId="11" dataDxfId="234"/>
    <tableColumn id="14" uniqueName="14" name="nchars" queryTableFieldId="15" dataDxfId="233">
      <calculatedColumnFormula>LEN(ProjTextQTable[[#This Row],[text]])</calculatedColumnFormula>
    </tableColumn>
    <tableColumn id="15" uniqueName="15" name="nwords" queryTableFieldId="14" dataDxfId="232">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19" Type="http://schemas.openxmlformats.org/officeDocument/2006/relationships/table" Target="../tables/table5.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9.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6.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5.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6.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O35"/>
  <sheetViews>
    <sheetView showGridLines="0" topLeftCell="K1" zoomScale="120" zoomScaleNormal="120" workbookViewId="0">
      <selection activeCell="P24" sqref="P24"/>
    </sheetView>
  </sheetViews>
  <sheetFormatPr defaultRowHeight="14.5" x14ac:dyDescent="0.35"/>
  <cols>
    <col min="1" max="1" width="2" customWidth="1"/>
    <col min="2" max="2" width="12.453125" customWidth="1"/>
    <col min="3" max="3" width="3.1796875" customWidth="1"/>
    <col min="4" max="4" width="2.453125" customWidth="1"/>
    <col min="5" max="5" width="13.26953125" customWidth="1"/>
    <col min="6" max="6" width="4.81640625" customWidth="1"/>
    <col min="7" max="7" width="3.54296875" customWidth="1"/>
    <col min="8" max="8" width="12.26953125" customWidth="1"/>
    <col min="9" max="9" width="4.81640625" customWidth="1"/>
    <col min="10" max="10" width="4.54296875" customWidth="1"/>
    <col min="11" max="11" width="12.7265625" customWidth="1"/>
    <col min="12" max="12" width="7.36328125" customWidth="1"/>
    <col min="13" max="13" width="4.453125" customWidth="1"/>
    <col min="14" max="14" width="26.81640625" customWidth="1"/>
    <col min="15" max="15" width="21.54296875" customWidth="1"/>
  </cols>
  <sheetData>
    <row r="1" spans="2:15" ht="18" customHeight="1" x14ac:dyDescent="0.35">
      <c r="B1" s="128" t="s">
        <v>478</v>
      </c>
      <c r="C1" s="128"/>
      <c r="D1" s="128"/>
      <c r="E1" s="128"/>
      <c r="F1" s="128"/>
      <c r="G1" s="128"/>
      <c r="H1" s="128"/>
      <c r="I1" s="128"/>
      <c r="J1" s="128"/>
      <c r="K1" s="128"/>
      <c r="M1" s="3" t="s">
        <v>468</v>
      </c>
    </row>
    <row r="2" spans="2:15" ht="18" customHeight="1" x14ac:dyDescent="0.35">
      <c r="B2" s="129" t="s">
        <v>485</v>
      </c>
      <c r="C2" s="128"/>
      <c r="D2" s="128"/>
      <c r="E2" s="128"/>
      <c r="F2" s="128"/>
      <c r="G2" s="128"/>
      <c r="H2" s="128"/>
      <c r="I2" s="130"/>
      <c r="J2" s="128">
        <v>2</v>
      </c>
      <c r="K2" s="128"/>
      <c r="M2" s="126"/>
      <c r="N2" s="44" t="s">
        <v>465</v>
      </c>
    </row>
    <row r="3" spans="2:15" ht="18" customHeight="1" x14ac:dyDescent="0.35">
      <c r="B3" s="3"/>
      <c r="C3" s="35" t="s">
        <v>443</v>
      </c>
      <c r="D3" s="131">
        <v>0</v>
      </c>
      <c r="E3" s="128" t="s">
        <v>479</v>
      </c>
      <c r="F3" s="128"/>
      <c r="G3" s="128"/>
      <c r="H3" s="128"/>
      <c r="I3" s="33"/>
      <c r="J3" t="b">
        <v>0</v>
      </c>
      <c r="M3" s="3"/>
      <c r="N3" s="137"/>
      <c r="O3" s="139"/>
    </row>
    <row r="4" spans="2:15" ht="18" customHeight="1" x14ac:dyDescent="0.35">
      <c r="B4" s="3"/>
      <c r="C4" s="35" t="s">
        <v>467</v>
      </c>
      <c r="D4" s="131">
        <v>1</v>
      </c>
      <c r="E4" s="128" t="s">
        <v>466</v>
      </c>
      <c r="F4" s="128"/>
      <c r="G4" s="128"/>
      <c r="H4" s="128"/>
      <c r="I4" s="33"/>
      <c r="J4" t="b">
        <v>0</v>
      </c>
      <c r="M4" s="116"/>
      <c r="N4" s="44"/>
    </row>
    <row r="5" spans="2:15" ht="18.399999999999999" customHeight="1" x14ac:dyDescent="0.35">
      <c r="B5" s="3"/>
      <c r="C5" s="35" t="s">
        <v>470</v>
      </c>
      <c r="D5" s="131">
        <v>2</v>
      </c>
      <c r="E5" s="128" t="s">
        <v>480</v>
      </c>
      <c r="F5" s="128"/>
      <c r="G5" s="128"/>
      <c r="H5" s="128"/>
      <c r="I5" s="33"/>
      <c r="M5" s="3" t="s">
        <v>394</v>
      </c>
    </row>
    <row r="6" spans="2:15" ht="20.25" customHeight="1" x14ac:dyDescent="0.35">
      <c r="B6" s="3"/>
      <c r="C6" s="35" t="s">
        <v>445</v>
      </c>
      <c r="D6" s="131">
        <v>3</v>
      </c>
      <c r="E6" s="36"/>
      <c r="F6" s="36"/>
      <c r="M6" s="60" t="s">
        <v>220</v>
      </c>
      <c r="N6" s="29" t="s">
        <v>219</v>
      </c>
    </row>
    <row r="7" spans="2:15" ht="20.25" customHeight="1" x14ac:dyDescent="0.35">
      <c r="B7" s="3"/>
      <c r="C7" s="35" t="s">
        <v>463</v>
      </c>
      <c r="D7" s="131">
        <v>4</v>
      </c>
      <c r="E7" s="36"/>
      <c r="F7" s="36"/>
      <c r="M7" s="60" t="s">
        <v>221</v>
      </c>
      <c r="N7" s="29" t="s">
        <v>387</v>
      </c>
    </row>
    <row r="8" spans="2:15" ht="20.25" customHeight="1" x14ac:dyDescent="0.35">
      <c r="B8" s="3"/>
      <c r="C8" s="35" t="s">
        <v>471</v>
      </c>
      <c r="D8" s="131">
        <v>5</v>
      </c>
      <c r="E8" s="36"/>
      <c r="F8" s="36"/>
      <c r="M8" s="3" t="s">
        <v>182</v>
      </c>
    </row>
    <row r="9" spans="2:15" ht="20.25" customHeight="1" x14ac:dyDescent="0.35">
      <c r="B9" s="3"/>
      <c r="C9" s="35" t="s">
        <v>442</v>
      </c>
      <c r="D9" s="131">
        <v>6</v>
      </c>
      <c r="E9" s="128" t="s">
        <v>469</v>
      </c>
      <c r="F9" s="128"/>
      <c r="G9" s="128"/>
      <c r="H9" s="128"/>
    </row>
    <row r="10" spans="2:15" ht="20.25" customHeight="1" x14ac:dyDescent="0.35">
      <c r="B10" s="3"/>
      <c r="C10" s="35" t="s">
        <v>444</v>
      </c>
      <c r="D10" s="131">
        <v>7</v>
      </c>
      <c r="E10" s="36"/>
      <c r="F10" s="36"/>
    </row>
    <row r="11" spans="2:15" ht="19.75" customHeight="1" x14ac:dyDescent="0.35">
      <c r="B11" s="3" t="s">
        <v>464</v>
      </c>
      <c r="C11" s="35"/>
      <c r="D11" s="37"/>
      <c r="E11" s="36"/>
      <c r="F11" s="36"/>
    </row>
    <row r="12" spans="2:15" ht="18" customHeight="1" x14ac:dyDescent="0.35">
      <c r="B12" s="3"/>
      <c r="C12" s="35"/>
      <c r="D12" s="37"/>
      <c r="E12" s="36"/>
      <c r="F12" s="36"/>
      <c r="M12" s="43">
        <v>50</v>
      </c>
      <c r="N12" s="44" t="s">
        <v>189</v>
      </c>
    </row>
    <row r="13" spans="2:15" x14ac:dyDescent="0.35">
      <c r="B13" s="3" t="s">
        <v>181</v>
      </c>
      <c r="C13" s="3"/>
      <c r="D13" s="34"/>
      <c r="E13" s="3" t="s">
        <v>180</v>
      </c>
      <c r="F13" s="3"/>
      <c r="G13" s="3"/>
      <c r="H13" s="3" t="s">
        <v>183</v>
      </c>
    </row>
    <row r="14" spans="2:15" x14ac:dyDescent="0.35">
      <c r="B14" t="s">
        <v>161</v>
      </c>
      <c r="E14" t="s">
        <v>162</v>
      </c>
      <c r="H14" t="s">
        <v>481</v>
      </c>
      <c r="K14" t="s">
        <v>400</v>
      </c>
      <c r="N14" s="59" t="s">
        <v>348</v>
      </c>
      <c r="O14" s="125" t="s">
        <v>406</v>
      </c>
    </row>
    <row r="15" spans="2:15" x14ac:dyDescent="0.35">
      <c r="B15" t="s">
        <v>0</v>
      </c>
      <c r="E15" t="s">
        <v>0</v>
      </c>
      <c r="H15" t="s">
        <v>0</v>
      </c>
      <c r="K15" t="s">
        <v>0</v>
      </c>
      <c r="N15" s="3" t="s">
        <v>344</v>
      </c>
      <c r="O15" s="7" t="s">
        <v>346</v>
      </c>
    </row>
    <row r="16" spans="2:15" x14ac:dyDescent="0.35">
      <c r="B16" s="25"/>
      <c r="E16" s="25"/>
      <c r="H16" s="25"/>
      <c r="K16" s="25"/>
      <c r="N16" s="3" t="s">
        <v>473</v>
      </c>
      <c r="O16" s="7" t="s">
        <v>346</v>
      </c>
    </row>
    <row r="17" spans="3:15" x14ac:dyDescent="0.35">
      <c r="N17" s="3" t="s">
        <v>361</v>
      </c>
      <c r="O17" s="7" t="s">
        <v>362</v>
      </c>
    </row>
    <row r="18" spans="3:15" x14ac:dyDescent="0.35">
      <c r="N18" s="3" t="s">
        <v>357</v>
      </c>
      <c r="O18" s="7" t="s">
        <v>342</v>
      </c>
    </row>
    <row r="19" spans="3:15" x14ac:dyDescent="0.35">
      <c r="N19" s="3" t="s">
        <v>353</v>
      </c>
      <c r="O19" s="7" t="s">
        <v>342</v>
      </c>
    </row>
    <row r="20" spans="3:15" x14ac:dyDescent="0.35">
      <c r="N20" s="3" t="s">
        <v>343</v>
      </c>
      <c r="O20" s="7" t="s">
        <v>342</v>
      </c>
    </row>
    <row r="21" spans="3:15" x14ac:dyDescent="0.35">
      <c r="N21" s="3" t="s">
        <v>405</v>
      </c>
      <c r="O21" s="7" t="s">
        <v>342</v>
      </c>
    </row>
    <row r="22" spans="3:15" x14ac:dyDescent="0.35">
      <c r="N22" s="3" t="s">
        <v>397</v>
      </c>
      <c r="O22" s="7" t="s">
        <v>342</v>
      </c>
    </row>
    <row r="23" spans="3:15" x14ac:dyDescent="0.35">
      <c r="N23" s="3" t="s">
        <v>404</v>
      </c>
      <c r="O23" s="7" t="s">
        <v>340</v>
      </c>
    </row>
    <row r="24" spans="3:15" x14ac:dyDescent="0.35">
      <c r="C24" s="42"/>
      <c r="N24" s="3" t="s">
        <v>396</v>
      </c>
      <c r="O24" s="7" t="s">
        <v>340</v>
      </c>
    </row>
    <row r="25" spans="3:15" x14ac:dyDescent="0.35">
      <c r="N25" s="3" t="s">
        <v>356</v>
      </c>
      <c r="O25" s="7" t="s">
        <v>340</v>
      </c>
    </row>
    <row r="26" spans="3:15" x14ac:dyDescent="0.35">
      <c r="N26" s="3" t="s">
        <v>373</v>
      </c>
      <c r="O26" s="7" t="s">
        <v>11</v>
      </c>
    </row>
    <row r="27" spans="3:15" x14ac:dyDescent="0.35">
      <c r="N27" s="3" t="s">
        <v>474</v>
      </c>
      <c r="O27" s="7" t="s">
        <v>472</v>
      </c>
    </row>
    <row r="28" spans="3:15" x14ac:dyDescent="0.35">
      <c r="N28" s="3" t="s">
        <v>398</v>
      </c>
      <c r="O28" s="7" t="s">
        <v>475</v>
      </c>
    </row>
    <row r="29" spans="3:15" x14ac:dyDescent="0.35">
      <c r="N29" s="3" t="s">
        <v>360</v>
      </c>
      <c r="O29" s="7" t="s">
        <v>350</v>
      </c>
    </row>
    <row r="30" spans="3:15" x14ac:dyDescent="0.35">
      <c r="N30" s="3" t="s">
        <v>359</v>
      </c>
      <c r="O30" s="7" t="s">
        <v>350</v>
      </c>
    </row>
    <row r="31" spans="3:15" x14ac:dyDescent="0.35">
      <c r="N31" s="3" t="s">
        <v>370</v>
      </c>
      <c r="O31" s="7" t="s">
        <v>341</v>
      </c>
    </row>
    <row r="32" spans="3:15" x14ac:dyDescent="0.35">
      <c r="N32" s="3" t="s">
        <v>364</v>
      </c>
      <c r="O32" s="7" t="s">
        <v>363</v>
      </c>
    </row>
    <row r="33" spans="14:15" x14ac:dyDescent="0.35">
      <c r="N33" s="3" t="s">
        <v>351</v>
      </c>
      <c r="O33" s="7" t="s">
        <v>352</v>
      </c>
    </row>
    <row r="34" spans="14:15" x14ac:dyDescent="0.35">
      <c r="N34" s="3" t="s">
        <v>349</v>
      </c>
      <c r="O34" s="7" t="s">
        <v>345</v>
      </c>
    </row>
    <row r="35" spans="14:15" x14ac:dyDescent="0.35">
      <c r="N35" s="3" t="s">
        <v>355</v>
      </c>
      <c r="O35" s="7" t="s">
        <v>354</v>
      </c>
    </row>
  </sheetData>
  <mergeCells count="1">
    <mergeCell ref="N3:O3"/>
  </mergeCells>
  <dataValidations count="1">
    <dataValidation type="list" allowBlank="1" showInputMessage="1" showErrorMessage="1" sqref="B14 E14 H14 K14">
      <formula1>INDIRECT("AvailableTemplates[Available templates:]")</formula1>
    </dataValidation>
  </dataValidations>
  <hyperlinks>
    <hyperlink ref="O18" location="ckCoding!I1" tooltip="Highlighed when total &lt; 100%" display="ckCoding"/>
    <hyperlink ref="O17" location="ProjText!A1" tooltip="see step 5 above-left; Makes a bookmarked pdf with these documents.  Not only good for quoting while writing RAs, but also to review/search during a panel, or for bulk DD concur." display="pdf from ProjText"/>
    <hyperlink ref="O35" location="RAData!T1" tooltip="Text in RAps_note is added to RA drafts after signature without modifying the template" display="RAData, or edit template"/>
    <hyperlink ref="O34" location="RAData!R1" tooltip="to change all, set above and 'Pull Data'; set individually in RAdata, or leave blank for Word to fill in." display="above, or RAData"/>
    <hyperlink ref="O33" location="ckSplits!AM1" tooltip="Feel free to edit pivot table" display="Pivot table on ckSplits"/>
    <hyperlink ref="O31" location="Budgets!L1" tooltip="Latest budget revisions shown" display="Budgets"/>
    <hyperlink ref="O29" location="Advanced!H7" tooltip="Set the template folder to your R: drive or your local machine, and RoboRA will copy the templates for you to customize. I suggest saving RoboRA in the folder with the templates. " display="Advanced"/>
    <hyperlink ref="O28" location="dirRAoutput" tooltip="Pick a folder on your R drive for archiving, your local drive to work while offline, or a shared drive to share with others." display="above or Advanced"/>
    <hyperlink ref="O30" location="Advanced!M1" tooltip="Add/remove state abbreviations here" display="Advanced"/>
    <hyperlink ref="O26" location="PRCs!A1" tooltip="Shows only those in use by projects" display="PRCs"/>
    <hyperlink ref="O24" location="ckAwd!AT1" tooltip="Shows question marks except those after a letter &amp; before a space.  Non-lead abstracts highlighted if they differ from lead." display="ckAwd"/>
    <hyperlink ref="O25" location="ckAwd!AE1" tooltip="See countries from cover and total frgn_trav bugdet" display="ckAwd"/>
    <hyperlink ref="O23" location="ckAwd!Z1" tooltip="Information from the cover pages." display="ckAwd"/>
    <hyperlink ref="O15" location="RAData!X1" tooltip="Links create outlook email to just the project lead, or to all PIs &amp; co-PIs on project." display="RAData"/>
    <hyperlink ref="O32" location="ckSplits!A1" tooltip="Mostly for IAS use; compare budget and proposal codes &amp; PRCs." display="ckSplits"/>
    <hyperlink ref="O19" location="ckCoding!M1" tooltip="Highlights state when epscor code is wrong and WMD when cover has women, minority, or disabled. " display="ckCoding"/>
    <hyperlink ref="O20" location="ckCoding!C1" tooltip="Highlights mismatches (coding, title, ...) throughout tab" display="ckCoding"/>
    <hyperlink ref="O22" location="ckCoding!AE1" tooltip="Black numbers (of panels, conflicts, reviews, unreleasable) are information.  Red numbers (unreleased, released conflicts, received reviews marked pending) should be checked out." display="ckCoding"/>
    <hyperlink ref="O21" location="ckCoding!C1" tooltip="Highlights when there aren't at least three releasable reviews." display="ckCoding"/>
    <hyperlink ref="O27" location="Conflict!A1" tooltip="You'll want to check the affiliations for reviewers that have registered conflicts, because they may be out of date in PARS." display="Conflict"/>
    <hyperlink ref="O16" location="RAData!Q1" tooltip="Green highlighting means there is an E or E/V review. Check before clicking &quot;Create RA Drafts&quot;.  " display="RAData"/>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autoFill="0" autoPict="0" macro="[0]!PullDataFromTables">
                <anchor>
                  <from>
                    <xdr:col>4</xdr:col>
                    <xdr:colOff>31750</xdr:colOff>
                    <xdr:row>6</xdr:row>
                    <xdr:rowOff>69850</xdr:rowOff>
                  </from>
                  <to>
                    <xdr:col>7</xdr:col>
                    <xdr:colOff>622300</xdr:colOff>
                    <xdr:row>7</xdr:row>
                    <xdr:rowOff>31750</xdr:rowOff>
                  </to>
                </anchor>
              </controlPr>
            </control>
          </mc:Choice>
        </mc:AlternateContent>
        <mc:AlternateContent xmlns:mc="http://schemas.openxmlformats.org/markup-compatibility/2006">
          <mc:Choice Requires="x14">
            <control shapeId="16388" r:id="rId5" name="Button 4">
              <controlPr defaultSize="0" autoFill="0" autoPict="0" macro="[0]!MakeIndicatedRAs">
                <anchor>
                  <from>
                    <xdr:col>4</xdr:col>
                    <xdr:colOff>19050</xdr:colOff>
                    <xdr:row>9</xdr:row>
                    <xdr:rowOff>76200</xdr:rowOff>
                  </from>
                  <to>
                    <xdr:col>7</xdr:col>
                    <xdr:colOff>571500</xdr:colOff>
                    <xdr:row>10</xdr:row>
                    <xdr:rowOff>19050</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12</xdr:col>
                    <xdr:colOff>209550</xdr:colOff>
                    <xdr:row>7</xdr:row>
                    <xdr:rowOff>209550</xdr:rowOff>
                  </from>
                  <to>
                    <xdr:col>13</xdr:col>
                    <xdr:colOff>1689100</xdr:colOff>
                    <xdr:row>8</xdr:row>
                    <xdr:rowOff>209550</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12</xdr:col>
                    <xdr:colOff>209550</xdr:colOff>
                    <xdr:row>8</xdr:row>
                    <xdr:rowOff>203200</xdr:rowOff>
                  </from>
                  <to>
                    <xdr:col>14</xdr:col>
                    <xdr:colOff>57150</xdr:colOff>
                    <xdr:row>9</xdr:row>
                    <xdr:rowOff>133350</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12</xdr:col>
                    <xdr:colOff>209550</xdr:colOff>
                    <xdr:row>9</xdr:row>
                    <xdr:rowOff>146050</xdr:rowOff>
                  </from>
                  <to>
                    <xdr:col>14</xdr:col>
                    <xdr:colOff>165100</xdr:colOff>
                    <xdr:row>10</xdr:row>
                    <xdr:rowOff>50800</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12</xdr:col>
                    <xdr:colOff>209550</xdr:colOff>
                    <xdr:row>10</xdr:row>
                    <xdr:rowOff>57150</xdr:rowOff>
                  </from>
                  <to>
                    <xdr:col>14</xdr:col>
                    <xdr:colOff>57150</xdr:colOff>
                    <xdr:row>11</xdr:row>
                    <xdr:rowOff>0</xdr:rowOff>
                  </to>
                </anchor>
              </controlPr>
            </control>
          </mc:Choice>
        </mc:AlternateContent>
        <mc:AlternateContent xmlns:mc="http://schemas.openxmlformats.org/markup-compatibility/2006">
          <mc:Choice Requires="x14">
            <control shapeId="16402" r:id="rId10" name="Button 18">
              <controlPr defaultSize="0" autoFill="0" autoPict="0" macro="[0]!makeProjText">
                <anchor>
                  <from>
                    <xdr:col>4</xdr:col>
                    <xdr:colOff>31750</xdr:colOff>
                    <xdr:row>7</xdr:row>
                    <xdr:rowOff>88900</xdr:rowOff>
                  </from>
                  <to>
                    <xdr:col>7</xdr:col>
                    <xdr:colOff>622300</xdr:colOff>
                    <xdr:row>8</xdr:row>
                    <xdr:rowOff>50800</xdr:rowOff>
                  </to>
                </anchor>
              </controlPr>
            </control>
          </mc:Choice>
        </mc:AlternateContent>
        <mc:AlternateContent xmlns:mc="http://schemas.openxmlformats.org/markup-compatibility/2006">
          <mc:Choice Requires="x14">
            <control shapeId="16403" r:id="rId11" name="ddPropStts_RoboRA">
              <controlPr defaultSize="0" autoLine="0" autoPict="0">
                <anchor moveWithCells="1">
                  <from>
                    <xdr:col>4</xdr:col>
                    <xdr:colOff>12700</xdr:colOff>
                    <xdr:row>5</xdr:row>
                    <xdr:rowOff>50800</xdr:rowOff>
                  </from>
                  <to>
                    <xdr:col>7</xdr:col>
                    <xdr:colOff>628650</xdr:colOff>
                    <xdr:row>5</xdr:row>
                    <xdr:rowOff>228600</xdr:rowOff>
                  </to>
                </anchor>
              </controlPr>
            </control>
          </mc:Choice>
        </mc:AlternateContent>
        <mc:AlternateContent xmlns:mc="http://schemas.openxmlformats.org/markup-compatibility/2006">
          <mc:Choice Requires="x14">
            <control shapeId="16407" r:id="rId12" name="Button 23">
              <controlPr defaultSize="0" autoFill="0" autoPict="0" macro="[0]!PasteFromMyWork">
                <anchor>
                  <from>
                    <xdr:col>10</xdr:col>
                    <xdr:colOff>95250</xdr:colOff>
                    <xdr:row>8</xdr:row>
                    <xdr:rowOff>152400</xdr:rowOff>
                  </from>
                  <to>
                    <xdr:col>11</xdr:col>
                    <xdr:colOff>298450</xdr:colOff>
                    <xdr:row>9</xdr:row>
                    <xdr:rowOff>127000</xdr:rowOff>
                  </to>
                </anchor>
              </controlPr>
            </control>
          </mc:Choice>
        </mc:AlternateContent>
        <mc:AlternateContent xmlns:mc="http://schemas.openxmlformats.org/markup-compatibility/2006">
          <mc:Choice Requires="x14">
            <control shapeId="16409" r:id="rId13" name="Button 25">
              <controlPr defaultSize="0" autoFill="0" autoPict="0" macro="[0]!ClearData">
                <anchor>
                  <from>
                    <xdr:col>8</xdr:col>
                    <xdr:colOff>0</xdr:colOff>
                    <xdr:row>8</xdr:row>
                    <xdr:rowOff>146050</xdr:rowOff>
                  </from>
                  <to>
                    <xdr:col>9</xdr:col>
                    <xdr:colOff>203200</xdr:colOff>
                    <xdr:row>9</xdr:row>
                    <xdr:rowOff>127000</xdr:rowOff>
                  </to>
                </anchor>
              </controlPr>
            </control>
          </mc:Choice>
        </mc:AlternateContent>
        <mc:AlternateContent xmlns:mc="http://schemas.openxmlformats.org/markup-compatibility/2006">
          <mc:Choice Requires="x14">
            <control shapeId="16410" r:id="rId14" name="Button 26">
              <controlPr defaultSize="0" autoFill="0" autoPict="0" macro="[0]!Picker_dirRAoutput">
                <anchor moveWithCells="1">
                  <from>
                    <xdr:col>12</xdr:col>
                    <xdr:colOff>57150</xdr:colOff>
                    <xdr:row>1</xdr:row>
                    <xdr:rowOff>19050</xdr:rowOff>
                  </from>
                  <to>
                    <xdr:col>13</xdr:col>
                    <xdr:colOff>317500</xdr:colOff>
                    <xdr:row>2</xdr:row>
                    <xdr:rowOff>0</xdr:rowOff>
                  </to>
                </anchor>
              </controlPr>
            </control>
          </mc:Choice>
        </mc:AlternateContent>
      </controls>
    </mc:Choice>
  </mc:AlternateContent>
  <tableParts count="5">
    <tablePart r:id="rId15"/>
    <tablePart r:id="rId16"/>
    <tablePart r:id="rId17"/>
    <tablePart r:id="rId18"/>
    <tablePart r:id="rId1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17"/>
  <sheetViews>
    <sheetView zoomScale="99" zoomScaleNormal="99" workbookViewId="0">
      <selection activeCell="E1" sqref="E1"/>
    </sheetView>
  </sheetViews>
  <sheetFormatPr defaultRowHeight="14.5" x14ac:dyDescent="0.35"/>
  <cols>
    <col min="1" max="1" width="8.7265625" style="17" customWidth="1"/>
    <col min="2" max="2" width="8.7265625" style="30" customWidth="1"/>
    <col min="3" max="3" width="11.26953125" customWidth="1"/>
    <col min="4" max="4" width="9.81640625" customWidth="1"/>
    <col min="5" max="5" width="5.453125" customWidth="1"/>
    <col min="6" max="6" width="5.7265625" style="18" customWidth="1"/>
    <col min="7" max="7" width="5.54296875" style="18" customWidth="1"/>
    <col min="8" max="8" width="5.26953125" style="21" customWidth="1"/>
    <col min="9" max="9" width="5.7265625" customWidth="1"/>
    <col min="10" max="10" width="5.1796875" customWidth="1"/>
    <col min="11" max="11" width="11.54296875" customWidth="1"/>
    <col min="12" max="12" width="9.26953125" bestFit="1" customWidth="1"/>
    <col min="13" max="13" width="4.26953125" customWidth="1"/>
    <col min="14" max="14" width="3.81640625" customWidth="1"/>
    <col min="15" max="15" width="5.54296875" hidden="1" customWidth="1"/>
    <col min="16" max="16" width="6.54296875" style="21" hidden="1" customWidth="1"/>
    <col min="17" max="17" width="14.1796875" customWidth="1"/>
    <col min="18" max="18" width="14.26953125" style="22" customWidth="1"/>
    <col min="19" max="19" width="4.1796875" style="106" customWidth="1"/>
    <col min="20" max="20" width="2.1796875" style="89" customWidth="1"/>
    <col min="21" max="21" width="8.1796875" style="38" customWidth="1"/>
    <col min="22" max="22" width="2.7265625" style="38" customWidth="1"/>
    <col min="23" max="23" width="3.7265625" customWidth="1"/>
    <col min="24" max="24" width="8.1796875" customWidth="1"/>
    <col min="25" max="25" width="11.1796875" customWidth="1"/>
    <col min="26" max="26" width="9.54296875" style="17" customWidth="1"/>
    <col min="27" max="27" width="18.453125" customWidth="1"/>
    <col min="28" max="28" width="8.1796875" style="107" customWidth="1"/>
    <col min="29" max="29" width="8.7265625" style="30" customWidth="1"/>
    <col min="30" max="30" width="3.54296875" style="18" customWidth="1"/>
    <col min="31" max="33" width="2.1796875" customWidth="1"/>
    <col min="34" max="34" width="14.453125" customWidth="1"/>
    <col min="35" max="35" width="4.54296875" customWidth="1"/>
    <col min="36" max="36" width="14.453125" style="26" customWidth="1"/>
    <col min="37" max="37" width="2.1796875" style="21" customWidth="1"/>
    <col min="38" max="44" width="2.81640625" customWidth="1"/>
    <col min="45" max="45" width="23" customWidth="1"/>
    <col min="46" max="46" width="80.54296875" bestFit="1" customWidth="1"/>
    <col min="47" max="47" width="7.81640625" hidden="1" customWidth="1"/>
    <col min="48" max="48" width="4.54296875" customWidth="1"/>
    <col min="49" max="49" width="11.7265625" customWidth="1"/>
    <col min="50" max="50" width="11.453125" customWidth="1"/>
    <col min="51" max="51" width="11.1796875" customWidth="1"/>
    <col min="52" max="52" width="10.81640625" customWidth="1"/>
    <col min="53" max="53" width="11.1796875" customWidth="1"/>
    <col min="54" max="54" width="9.81640625" customWidth="1"/>
    <col min="55" max="59" width="4.7265625" customWidth="1"/>
    <col min="60" max="63" width="4.26953125" customWidth="1"/>
    <col min="64" max="64" width="18.26953125" customWidth="1"/>
  </cols>
  <sheetData>
    <row r="1" spans="1:64" ht="53.15" customHeight="1" x14ac:dyDescent="0.35">
      <c r="A1" s="17" t="s">
        <v>85</v>
      </c>
      <c r="B1" s="30" t="s">
        <v>6</v>
      </c>
      <c r="C1" t="s">
        <v>7</v>
      </c>
      <c r="D1" t="s">
        <v>4</v>
      </c>
      <c r="E1" t="s">
        <v>3</v>
      </c>
      <c r="F1" t="s">
        <v>159</v>
      </c>
      <c r="G1" t="s">
        <v>157</v>
      </c>
      <c r="H1" s="89" t="s">
        <v>90</v>
      </c>
      <c r="I1" s="38" t="s">
        <v>121</v>
      </c>
      <c r="J1" s="38" t="s">
        <v>122</v>
      </c>
      <c r="K1" t="s">
        <v>15</v>
      </c>
      <c r="L1" t="s">
        <v>89</v>
      </c>
      <c r="M1" t="s">
        <v>91</v>
      </c>
      <c r="N1" t="s">
        <v>330</v>
      </c>
      <c r="O1" t="s">
        <v>331</v>
      </c>
      <c r="P1" s="21" t="s">
        <v>332</v>
      </c>
      <c r="Q1" t="s">
        <v>245</v>
      </c>
      <c r="R1" s="22" t="s">
        <v>14</v>
      </c>
      <c r="S1" s="106" t="s">
        <v>97</v>
      </c>
      <c r="T1" s="21" t="s">
        <v>86</v>
      </c>
      <c r="U1" t="s">
        <v>8</v>
      </c>
      <c r="V1" t="s">
        <v>1</v>
      </c>
      <c r="W1" s="14" t="s">
        <v>137</v>
      </c>
      <c r="X1" t="s">
        <v>0</v>
      </c>
      <c r="Y1" t="s">
        <v>9</v>
      </c>
      <c r="Z1" t="s">
        <v>16</v>
      </c>
      <c r="AA1" t="s">
        <v>244</v>
      </c>
      <c r="AB1" s="108" t="s">
        <v>325</v>
      </c>
      <c r="AC1" s="30" t="s">
        <v>17</v>
      </c>
      <c r="AD1" t="s">
        <v>18</v>
      </c>
      <c r="AE1" s="104" t="s">
        <v>145</v>
      </c>
      <c r="AF1" s="105" t="s">
        <v>246</v>
      </c>
      <c r="AG1" s="104" t="s">
        <v>146</v>
      </c>
      <c r="AH1" t="s">
        <v>248</v>
      </c>
      <c r="AI1" s="26" t="s">
        <v>21</v>
      </c>
      <c r="AJ1" s="22" t="s">
        <v>141</v>
      </c>
      <c r="AK1" s="119" t="s">
        <v>318</v>
      </c>
      <c r="AL1" s="104" t="s">
        <v>247</v>
      </c>
      <c r="AM1" s="104" t="s">
        <v>249</v>
      </c>
      <c r="AN1" s="104" t="s">
        <v>140</v>
      </c>
      <c r="AO1" s="104" t="s">
        <v>250</v>
      </c>
      <c r="AP1" s="104" t="s">
        <v>251</v>
      </c>
      <c r="AQ1" s="104" t="s">
        <v>252</v>
      </c>
      <c r="AR1" t="s">
        <v>376</v>
      </c>
      <c r="AS1" t="s">
        <v>160</v>
      </c>
      <c r="AT1" t="s">
        <v>34</v>
      </c>
      <c r="AU1" t="s">
        <v>333</v>
      </c>
      <c r="AV1" t="s">
        <v>253</v>
      </c>
      <c r="AW1" t="s">
        <v>19</v>
      </c>
      <c r="AX1" t="s">
        <v>20</v>
      </c>
      <c r="AY1" t="s">
        <v>254</v>
      </c>
      <c r="AZ1" t="s">
        <v>255</v>
      </c>
      <c r="BA1" t="s">
        <v>256</v>
      </c>
      <c r="BB1" t="s">
        <v>257</v>
      </c>
      <c r="BC1" t="s">
        <v>258</v>
      </c>
      <c r="BD1" t="s">
        <v>259</v>
      </c>
      <c r="BE1" t="s">
        <v>260</v>
      </c>
      <c r="BF1" t="s">
        <v>261</v>
      </c>
      <c r="BG1" t="s">
        <v>262</v>
      </c>
      <c r="BH1" t="s">
        <v>129</v>
      </c>
      <c r="BI1" t="s">
        <v>130</v>
      </c>
      <c r="BJ1" t="s">
        <v>132</v>
      </c>
      <c r="BK1" t="s">
        <v>131</v>
      </c>
      <c r="BL1" t="s">
        <v>139</v>
      </c>
    </row>
    <row r="2" spans="1:64" x14ac:dyDescent="0.35">
      <c r="A2" s="30"/>
      <c r="B2" s="30">
        <v>42930.554166666669</v>
      </c>
      <c r="C2" t="s">
        <v>737</v>
      </c>
      <c r="D2" t="s">
        <v>738</v>
      </c>
      <c r="E2" t="s">
        <v>491</v>
      </c>
      <c r="F2" t="s">
        <v>739</v>
      </c>
      <c r="G2" t="s">
        <v>740</v>
      </c>
      <c r="H2" s="21" t="s">
        <v>741</v>
      </c>
      <c r="I2" s="85">
        <v>1</v>
      </c>
      <c r="J2" s="85">
        <v>0</v>
      </c>
      <c r="K2" t="s">
        <v>742</v>
      </c>
      <c r="L2" t="s">
        <v>523</v>
      </c>
      <c r="M2" t="s">
        <v>744</v>
      </c>
      <c r="N2" t="str">
        <f>IF(SUM(ckCodingQTable[[#This Row],[NfmlPIs]:[NnonWhtAsnPIs]])&gt;0,"WMD","")</f>
        <v/>
      </c>
      <c r="O2" t="b">
        <f>_xlfn.XOR(IFERROR(MATCH(ckCodingQTable[[#This Row],[st_code]],EpscorTable[],0)&gt;0,FALSE),IFERROR(FIND("9150",ckCodingQTable[[#This Row],[propPRCs]])&gt;0,FALSE))</f>
        <v>0</v>
      </c>
      <c r="P2" s="21" t="b">
        <f>_xlfn.XOR(ckCodingQTable[[#This Row],[wmd]]&lt;&gt;"",IFERROR(FIND("9102",ckCodingQTable[[#This Row],[propPRCs]])&gt;0,FALSE))</f>
        <v>0</v>
      </c>
      <c r="Q2" t="s">
        <v>743</v>
      </c>
      <c r="R2" s="22">
        <v>43076.608981481484</v>
      </c>
      <c r="S2" s="106">
        <f>S1+(ckCodingQTable[[#This Row],[ILN]]&lt;"M")</f>
        <v>1</v>
      </c>
      <c r="T2" s="21" t="s">
        <v>745</v>
      </c>
      <c r="U2" t="s">
        <v>520</v>
      </c>
      <c r="V2" s="7" t="str">
        <f>HYPERLINK("https://www.ejacket.nsf.gov/ej/showProposal.do?ID="&amp;ckCodingQTable[[#This Row],[prop_id]],"eJ")</f>
        <v>eJ</v>
      </c>
      <c r="W2" t="s">
        <v>746</v>
      </c>
      <c r="X2" t="s">
        <v>520</v>
      </c>
      <c r="Y2" t="s">
        <v>521</v>
      </c>
      <c r="Z2" t="s">
        <v>747</v>
      </c>
      <c r="AA2" t="s">
        <v>748</v>
      </c>
      <c r="AB2" s="109" t="str">
        <f>HYPERLINK("mailto:"&amp;ckCodingQTable[[#This Row],[email]]&amp;"&amp;subject=Your NSF Proposal:  "&amp;ckCodingQTable[[#This Row],[Div]]&amp;" "&amp;ckCodingQTable[[#This Row],[prop_id]], ckCodingQTable[[#This Row],[email]])</f>
        <v>steffen.borgwardt@ucdenver.edu</v>
      </c>
      <c r="AC2" s="30">
        <v>43101</v>
      </c>
      <c r="AD2">
        <v>60</v>
      </c>
      <c r="AE2">
        <v>1</v>
      </c>
      <c r="AG2" s="110">
        <v>1</v>
      </c>
      <c r="AH2" t="s">
        <v>749</v>
      </c>
      <c r="AI2" s="26">
        <v>3.75</v>
      </c>
      <c r="AJ2" s="22">
        <v>43031.583333333336</v>
      </c>
      <c r="AL2">
        <v>4</v>
      </c>
      <c r="AN2" s="110">
        <v>4</v>
      </c>
      <c r="AO2" s="110"/>
      <c r="AP2" s="110"/>
      <c r="AQ2" s="110"/>
      <c r="AR2" s="7" t="str">
        <f>HYPERLINK("https://www.ejacket.nsf.gov/ej/showProposal.do?ID="&amp;ckCodingQTable[[#This Row],[prop_id]],"eJ")</f>
        <v>eJ</v>
      </c>
      <c r="AS2" t="s">
        <v>750</v>
      </c>
      <c r="AT2" t="s">
        <v>751</v>
      </c>
      <c r="AU2" t="b">
        <f>IF(ckCodingQTable[[#This Row],[ILN]]="N",SUBSTITUTE(AT1," ","")&lt;&gt;SUBSTITUTE(ckCodingQTable[[#This Row],[prop_titl_txt]]," ",""), FALSE)</f>
        <v>0</v>
      </c>
      <c r="AV2">
        <v>0</v>
      </c>
      <c r="AW2" s="13">
        <v>470400</v>
      </c>
      <c r="AX2" s="13">
        <v>470400</v>
      </c>
      <c r="AY2" s="13"/>
      <c r="AZ2" s="13">
        <v>9600</v>
      </c>
      <c r="BA2" s="13"/>
      <c r="BB2" s="13"/>
      <c r="BC2">
        <v>5</v>
      </c>
      <c r="BD2">
        <v>5</v>
      </c>
      <c r="BE2">
        <v>7.5</v>
      </c>
      <c r="BH2">
        <v>0</v>
      </c>
      <c r="BI2">
        <v>0</v>
      </c>
      <c r="BJ2">
        <v>0</v>
      </c>
      <c r="BK2">
        <v>0</v>
      </c>
      <c r="BL2" t="s">
        <v>752</v>
      </c>
    </row>
    <row r="3" spans="1:64" x14ac:dyDescent="0.35">
      <c r="A3" s="30"/>
      <c r="B3" s="30">
        <v>42933.547222222223</v>
      </c>
      <c r="C3" t="s">
        <v>737</v>
      </c>
      <c r="D3" t="s">
        <v>738</v>
      </c>
      <c r="E3" t="s">
        <v>491</v>
      </c>
      <c r="F3" t="s">
        <v>739</v>
      </c>
      <c r="G3" t="s">
        <v>740</v>
      </c>
      <c r="H3" s="21" t="s">
        <v>741</v>
      </c>
      <c r="I3" s="85">
        <v>1</v>
      </c>
      <c r="J3" s="85">
        <v>0</v>
      </c>
      <c r="K3" t="s">
        <v>742</v>
      </c>
      <c r="L3" t="s">
        <v>523</v>
      </c>
      <c r="M3" t="s">
        <v>754</v>
      </c>
      <c r="N3" t="str">
        <f>IF(SUM(ckCodingQTable[[#This Row],[NfmlPIs]:[NnonWhtAsnPIs]])&gt;0,"WMD","")</f>
        <v/>
      </c>
      <c r="O3" t="b">
        <f>_xlfn.XOR(IFERROR(MATCH(ckCodingQTable[[#This Row],[st_code]],EpscorTable[],0)&gt;0,FALSE),IFERROR(FIND("9150",ckCodingQTable[[#This Row],[propPRCs]])&gt;0,FALSE))</f>
        <v>0</v>
      </c>
      <c r="P3" s="21" t="b">
        <f>_xlfn.XOR(ckCodingQTable[[#This Row],[wmd]]&lt;&gt;"",IFERROR(FIND("9102",ckCodingQTable[[#This Row],[propPRCs]])&gt;0,FALSE))</f>
        <v>0</v>
      </c>
      <c r="Q3" t="s">
        <v>753</v>
      </c>
      <c r="R3" s="22">
        <v>43082.662557870368</v>
      </c>
      <c r="S3" s="106">
        <f>S2+(ckCodingQTable[[#This Row],[ILN]]&lt;"M")</f>
        <v>2</v>
      </c>
      <c r="T3" s="21" t="s">
        <v>745</v>
      </c>
      <c r="U3" t="s">
        <v>560</v>
      </c>
      <c r="V3" s="7" t="str">
        <f>HYPERLINK("https://www.ejacket.nsf.gov/ej/showProposal.do?ID="&amp;ckCodingQTable[[#This Row],[prop_id]],"eJ")</f>
        <v>eJ</v>
      </c>
      <c r="W3" t="s">
        <v>746</v>
      </c>
      <c r="X3" t="s">
        <v>560</v>
      </c>
      <c r="Y3" t="s">
        <v>561</v>
      </c>
      <c r="Z3" t="s">
        <v>755</v>
      </c>
      <c r="AA3" t="s">
        <v>756</v>
      </c>
      <c r="AB3" s="109" t="str">
        <f>HYPERLINK("mailto:"&amp;ckCodingQTable[[#This Row],[email]]&amp;"&amp;subject=Your NSF Proposal:  "&amp;ckCodingQTable[[#This Row],[Div]]&amp;" "&amp;ckCodingQTable[[#This Row],[prop_id]], ckCodingQTable[[#This Row],[email]])</f>
        <v>haitao.wang@usu.edu</v>
      </c>
      <c r="AC3" s="30">
        <v>43221</v>
      </c>
      <c r="AD3">
        <v>60</v>
      </c>
      <c r="AE3">
        <v>1</v>
      </c>
      <c r="AG3" s="110">
        <v>1</v>
      </c>
      <c r="AH3" t="s">
        <v>757</v>
      </c>
      <c r="AI3" s="26">
        <v>6.25</v>
      </c>
      <c r="AJ3" s="22">
        <v>43030.179166666669</v>
      </c>
      <c r="AL3">
        <v>4</v>
      </c>
      <c r="AN3" s="110">
        <v>4</v>
      </c>
      <c r="AO3" s="110"/>
      <c r="AP3" s="110"/>
      <c r="AQ3" s="110"/>
      <c r="AR3" s="7" t="str">
        <f>HYPERLINK("https://www.ejacket.nsf.gov/ej/showProposal.do?ID="&amp;ckCodingQTable[[#This Row],[prop_id]],"eJ")</f>
        <v>eJ</v>
      </c>
      <c r="AS3" t="s">
        <v>750</v>
      </c>
      <c r="AT3" t="s">
        <v>758</v>
      </c>
      <c r="AU3" t="b">
        <f>IF(ckCodingQTable[[#This Row],[ILN]]="N",SUBSTITUTE(AT2," ","")&lt;&gt;SUBSTITUTE(ckCodingQTable[[#This Row],[prop_titl_txt]]," ",""), FALSE)</f>
        <v>0</v>
      </c>
      <c r="AV3">
        <v>0</v>
      </c>
      <c r="AW3" s="13">
        <v>524898</v>
      </c>
      <c r="AX3" s="13">
        <v>524898</v>
      </c>
      <c r="AY3" s="13"/>
      <c r="AZ3" s="13">
        <v>15000</v>
      </c>
      <c r="BA3" s="13"/>
      <c r="BB3" s="13"/>
      <c r="BC3">
        <v>10</v>
      </c>
      <c r="BD3">
        <v>5</v>
      </c>
      <c r="BE3">
        <v>5</v>
      </c>
      <c r="BH3">
        <v>0</v>
      </c>
      <c r="BI3">
        <v>0</v>
      </c>
      <c r="BJ3">
        <v>0</v>
      </c>
      <c r="BK3">
        <v>0</v>
      </c>
      <c r="BL3" t="s">
        <v>759</v>
      </c>
    </row>
    <row r="4" spans="1:64" x14ac:dyDescent="0.35">
      <c r="A4" s="30"/>
      <c r="B4" s="30">
        <v>42933.713888888888</v>
      </c>
      <c r="C4" t="s">
        <v>737</v>
      </c>
      <c r="D4" t="s">
        <v>738</v>
      </c>
      <c r="E4" t="s">
        <v>491</v>
      </c>
      <c r="F4" t="s">
        <v>739</v>
      </c>
      <c r="G4" t="s">
        <v>740</v>
      </c>
      <c r="H4" s="21" t="s">
        <v>741</v>
      </c>
      <c r="I4" s="85">
        <v>1</v>
      </c>
      <c r="J4" s="85">
        <v>0</v>
      </c>
      <c r="K4" t="s">
        <v>742</v>
      </c>
      <c r="L4" t="s">
        <v>523</v>
      </c>
      <c r="M4" t="s">
        <v>760</v>
      </c>
      <c r="N4" t="str">
        <f>IF(SUM(ckCodingQTable[[#This Row],[NfmlPIs]:[NnonWhtAsnPIs]])&gt;0,"WMD","")</f>
        <v/>
      </c>
      <c r="O4" t="b">
        <f>_xlfn.XOR(IFERROR(MATCH(ckCodingQTable[[#This Row],[st_code]],EpscorTable[],0)&gt;0,FALSE),IFERROR(FIND("9150",ckCodingQTable[[#This Row],[propPRCs]])&gt;0,FALSE))</f>
        <v>0</v>
      </c>
      <c r="P4" s="21" t="b">
        <f>_xlfn.XOR(ckCodingQTable[[#This Row],[wmd]]&lt;&gt;"",IFERROR(FIND("9102",ckCodingQTable[[#This Row],[propPRCs]])&gt;0,FALSE))</f>
        <v>0</v>
      </c>
      <c r="Q4" t="s">
        <v>743</v>
      </c>
      <c r="S4" s="106">
        <f>S3+(ckCodingQTable[[#This Row],[ILN]]&lt;"M")</f>
        <v>3</v>
      </c>
      <c r="T4" s="21" t="s">
        <v>745</v>
      </c>
      <c r="U4" t="s">
        <v>586</v>
      </c>
      <c r="V4" s="7" t="str">
        <f>HYPERLINK("https://www.ejacket.nsf.gov/ej/showProposal.do?ID="&amp;ckCodingQTable[[#This Row],[prop_id]],"eJ")</f>
        <v>eJ</v>
      </c>
      <c r="W4" t="s">
        <v>746</v>
      </c>
      <c r="X4" t="s">
        <v>586</v>
      </c>
      <c r="Y4" t="s">
        <v>587</v>
      </c>
      <c r="Z4" t="s">
        <v>761</v>
      </c>
      <c r="AA4" t="s">
        <v>762</v>
      </c>
      <c r="AB4" s="109" t="str">
        <f>HYPERLINK("mailto:"&amp;ckCodingQTable[[#This Row],[email]]&amp;"&amp;subject=Your NSF Proposal:  "&amp;ckCodingQTable[[#This Row],[Div]]&amp;" "&amp;ckCodingQTable[[#This Row],[prop_id]], ckCodingQTable[[#This Row],[email]])</f>
        <v>delpia@wisc.edu</v>
      </c>
      <c r="AC4" s="30">
        <v>43344</v>
      </c>
      <c r="AD4">
        <v>60</v>
      </c>
      <c r="AE4">
        <v>1</v>
      </c>
      <c r="AG4" s="110">
        <v>1</v>
      </c>
      <c r="AH4" t="s">
        <v>763</v>
      </c>
      <c r="AI4" s="26">
        <v>7</v>
      </c>
      <c r="AJ4" s="22">
        <v>43031.584027777775</v>
      </c>
      <c r="AL4">
        <v>4</v>
      </c>
      <c r="AN4" s="110">
        <v>4</v>
      </c>
      <c r="AO4" s="110"/>
      <c r="AP4" s="110"/>
      <c r="AQ4" s="110"/>
      <c r="AR4" s="7" t="str">
        <f>HYPERLINK("https://www.ejacket.nsf.gov/ej/showProposal.do?ID="&amp;ckCodingQTable[[#This Row],[prop_id]],"eJ")</f>
        <v>eJ</v>
      </c>
      <c r="AS4" t="s">
        <v>750</v>
      </c>
      <c r="AT4" t="s">
        <v>764</v>
      </c>
      <c r="AU4" t="b">
        <f>IF(ckCodingQTable[[#This Row],[ILN]]="N",SUBSTITUTE(AT3," ","")&lt;&gt;SUBSTITUTE(ckCodingQTable[[#This Row],[prop_titl_txt]]," ",""), FALSE)</f>
        <v>0</v>
      </c>
      <c r="AV4">
        <v>0</v>
      </c>
      <c r="AW4" s="13">
        <v>500000</v>
      </c>
      <c r="AX4" s="13">
        <v>500000</v>
      </c>
      <c r="AY4" s="13"/>
      <c r="AZ4" s="13">
        <v>12416</v>
      </c>
      <c r="BA4" s="13"/>
      <c r="BB4" s="13"/>
      <c r="BC4">
        <v>5</v>
      </c>
      <c r="BD4">
        <v>5</v>
      </c>
      <c r="BE4">
        <v>5</v>
      </c>
      <c r="BH4">
        <v>0</v>
      </c>
      <c r="BI4">
        <v>0</v>
      </c>
      <c r="BJ4">
        <v>0</v>
      </c>
      <c r="BK4">
        <v>0</v>
      </c>
      <c r="BL4" t="s">
        <v>765</v>
      </c>
    </row>
    <row r="5" spans="1:64" x14ac:dyDescent="0.35">
      <c r="A5" s="30"/>
      <c r="B5" s="30">
        <v>42933.820138888892</v>
      </c>
      <c r="C5" t="s">
        <v>737</v>
      </c>
      <c r="D5" t="s">
        <v>738</v>
      </c>
      <c r="E5" t="s">
        <v>491</v>
      </c>
      <c r="F5" t="s">
        <v>739</v>
      </c>
      <c r="G5" t="s">
        <v>740</v>
      </c>
      <c r="H5" s="21" t="s">
        <v>741</v>
      </c>
      <c r="I5" s="85">
        <v>1</v>
      </c>
      <c r="J5" s="85">
        <v>0</v>
      </c>
      <c r="K5" t="s">
        <v>742</v>
      </c>
      <c r="L5" t="s">
        <v>523</v>
      </c>
      <c r="M5" t="s">
        <v>766</v>
      </c>
      <c r="N5" t="str">
        <f>IF(SUM(ckCodingQTable[[#This Row],[NfmlPIs]:[NnonWhtAsnPIs]])&gt;0,"WMD","")</f>
        <v/>
      </c>
      <c r="O5" t="b">
        <f>_xlfn.XOR(IFERROR(MATCH(ckCodingQTable[[#This Row],[st_code]],EpscorTable[],0)&gt;0,FALSE),IFERROR(FIND("9150",ckCodingQTable[[#This Row],[propPRCs]])&gt;0,FALSE))</f>
        <v>0</v>
      </c>
      <c r="P5" s="21" t="b">
        <f>_xlfn.XOR(ckCodingQTable[[#This Row],[wmd]]&lt;&gt;"",IFERROR(FIND("9102",ckCodingQTable[[#This Row],[propPRCs]])&gt;0,FALSE))</f>
        <v>0</v>
      </c>
      <c r="Q5" t="s">
        <v>743</v>
      </c>
      <c r="S5" s="106">
        <f>S4+(ckCodingQTable[[#This Row],[ILN]]&lt;"M")</f>
        <v>4</v>
      </c>
      <c r="T5" s="21" t="s">
        <v>745</v>
      </c>
      <c r="U5" t="s">
        <v>601</v>
      </c>
      <c r="V5" s="7" t="str">
        <f>HYPERLINK("https://www.ejacket.nsf.gov/ej/showProposal.do?ID="&amp;ckCodingQTable[[#This Row],[prop_id]],"eJ")</f>
        <v>eJ</v>
      </c>
      <c r="W5" t="s">
        <v>746</v>
      </c>
      <c r="X5" t="s">
        <v>601</v>
      </c>
      <c r="Y5" t="s">
        <v>602</v>
      </c>
      <c r="Z5" t="s">
        <v>767</v>
      </c>
      <c r="AA5" t="s">
        <v>768</v>
      </c>
      <c r="AB5" s="109" t="str">
        <f>HYPERLINK("mailto:"&amp;ckCodingQTable[[#This Row],[email]]&amp;"&amp;subject=Your NSF Proposal:  "&amp;ckCodingQTable[[#This Row],[Div]]&amp;" "&amp;ckCodingQTable[[#This Row],[prop_id]], ckCodingQTable[[#This Row],[email]])</f>
        <v>yintat@uw.edu</v>
      </c>
      <c r="AC5" s="30">
        <v>43175</v>
      </c>
      <c r="AD5">
        <v>60</v>
      </c>
      <c r="AE5">
        <v>1</v>
      </c>
      <c r="AG5" s="110">
        <v>1</v>
      </c>
      <c r="AH5" t="s">
        <v>769</v>
      </c>
      <c r="AI5" s="26">
        <v>8</v>
      </c>
      <c r="AJ5" s="22">
        <v>43031.375694444447</v>
      </c>
      <c r="AK5" s="21">
        <v>3</v>
      </c>
      <c r="AL5">
        <v>4</v>
      </c>
      <c r="AN5" s="110">
        <v>4</v>
      </c>
      <c r="AO5" s="110"/>
      <c r="AP5" s="110"/>
      <c r="AQ5" s="110"/>
      <c r="AR5" s="7" t="str">
        <f>HYPERLINK("https://www.ejacket.nsf.gov/ej/showProposal.do?ID="&amp;ckCodingQTable[[#This Row],[prop_id]],"eJ")</f>
        <v>eJ</v>
      </c>
      <c r="AS5" t="s">
        <v>750</v>
      </c>
      <c r="AT5" t="s">
        <v>770</v>
      </c>
      <c r="AU5" t="b">
        <f>IF(ckCodingQTable[[#This Row],[ILN]]="N",SUBSTITUTE(AT4," ","")&lt;&gt;SUBSTITUTE(ckCodingQTable[[#This Row],[prop_titl_txt]]," ",""), FALSE)</f>
        <v>0</v>
      </c>
      <c r="AV5">
        <v>0</v>
      </c>
      <c r="AW5" s="13">
        <v>549841</v>
      </c>
      <c r="AX5" s="13">
        <v>549841</v>
      </c>
      <c r="AY5" s="13"/>
      <c r="AZ5" s="13"/>
      <c r="BA5" s="13"/>
      <c r="BB5" s="13"/>
      <c r="BC5">
        <v>5</v>
      </c>
      <c r="BD5">
        <v>5</v>
      </c>
      <c r="BE5">
        <v>2.5</v>
      </c>
      <c r="BG5">
        <v>2.5</v>
      </c>
      <c r="BH5">
        <v>0</v>
      </c>
      <c r="BI5">
        <v>0</v>
      </c>
      <c r="BJ5">
        <v>0</v>
      </c>
      <c r="BK5">
        <v>0</v>
      </c>
      <c r="BL5" t="s">
        <v>771</v>
      </c>
    </row>
    <row r="6" spans="1:64" x14ac:dyDescent="0.35">
      <c r="A6" s="30"/>
      <c r="B6" s="30">
        <v>42934.625694444447</v>
      </c>
      <c r="C6" t="s">
        <v>737</v>
      </c>
      <c r="D6" t="s">
        <v>738</v>
      </c>
      <c r="E6" t="s">
        <v>491</v>
      </c>
      <c r="F6" t="s">
        <v>739</v>
      </c>
      <c r="G6" t="s">
        <v>740</v>
      </c>
      <c r="H6" s="21" t="s">
        <v>741</v>
      </c>
      <c r="I6" s="85">
        <v>1</v>
      </c>
      <c r="J6" s="85">
        <v>0</v>
      </c>
      <c r="K6" t="s">
        <v>742</v>
      </c>
      <c r="L6" t="s">
        <v>523</v>
      </c>
      <c r="M6" t="s">
        <v>772</v>
      </c>
      <c r="N6" t="str">
        <f>IF(SUM(ckCodingQTable[[#This Row],[NfmlPIs]:[NnonWhtAsnPIs]])&gt;0,"WMD","")</f>
        <v/>
      </c>
      <c r="O6" t="b">
        <f>_xlfn.XOR(IFERROR(MATCH(ckCodingQTable[[#This Row],[st_code]],EpscorTable[],0)&gt;0,FALSE),IFERROR(FIND("9150",ckCodingQTable[[#This Row],[propPRCs]])&gt;0,FALSE))</f>
        <v>0</v>
      </c>
      <c r="P6" s="21" t="b">
        <f>_xlfn.XOR(ckCodingQTable[[#This Row],[wmd]]&lt;&gt;"",IFERROR(FIND("9102",ckCodingQTable[[#This Row],[propPRCs]])&gt;0,FALSE))</f>
        <v>0</v>
      </c>
      <c r="Q6" t="s">
        <v>743</v>
      </c>
      <c r="S6" s="106">
        <f>S5+(ckCodingQTable[[#This Row],[ILN]]&lt;"M")</f>
        <v>5</v>
      </c>
      <c r="T6" s="21" t="s">
        <v>745</v>
      </c>
      <c r="U6" t="s">
        <v>612</v>
      </c>
      <c r="V6" s="7" t="str">
        <f>HYPERLINK("https://www.ejacket.nsf.gov/ej/showProposal.do?ID="&amp;ckCodingQTable[[#This Row],[prop_id]],"eJ")</f>
        <v>eJ</v>
      </c>
      <c r="W6" t="s">
        <v>746</v>
      </c>
      <c r="X6" t="s">
        <v>612</v>
      </c>
      <c r="Y6" t="s">
        <v>613</v>
      </c>
      <c r="Z6" t="s">
        <v>773</v>
      </c>
      <c r="AA6" t="s">
        <v>774</v>
      </c>
      <c r="AB6" s="109" t="str">
        <f>HYPERLINK("mailto:"&amp;ckCodingQTable[[#This Row],[email]]&amp;"&amp;subject=Your NSF Proposal:  "&amp;ckCodingQTable[[#This Row],[Div]]&amp;" "&amp;ckCodingQTable[[#This Row],[prop_id]], ckCodingQTable[[#This Row],[email]])</f>
        <v>francesco@cs.stonybrook.edu</v>
      </c>
      <c r="AC6" s="30">
        <v>43101</v>
      </c>
      <c r="AD6">
        <v>60</v>
      </c>
      <c r="AE6">
        <v>1</v>
      </c>
      <c r="AG6" s="110">
        <v>1</v>
      </c>
      <c r="AH6" t="s">
        <v>775</v>
      </c>
      <c r="AI6" s="26">
        <v>8</v>
      </c>
      <c r="AJ6" s="22">
        <v>43059.663888888892</v>
      </c>
      <c r="AL6">
        <v>4</v>
      </c>
      <c r="AN6" s="110">
        <v>4</v>
      </c>
      <c r="AO6" s="110"/>
      <c r="AP6" s="110"/>
      <c r="AQ6" s="110"/>
      <c r="AR6" s="7" t="str">
        <f>HYPERLINK("https://www.ejacket.nsf.gov/ej/showProposal.do?ID="&amp;ckCodingQTable[[#This Row],[prop_id]],"eJ")</f>
        <v>eJ</v>
      </c>
      <c r="AS6" t="s">
        <v>750</v>
      </c>
      <c r="AT6" t="s">
        <v>776</v>
      </c>
      <c r="AU6" t="b">
        <f>IF(ckCodingQTable[[#This Row],[ILN]]="N",SUBSTITUTE(AT5," ","")&lt;&gt;SUBSTITUTE(ckCodingQTable[[#This Row],[prop_titl_txt]]," ",""), FALSE)</f>
        <v>0</v>
      </c>
      <c r="AV6">
        <v>0</v>
      </c>
      <c r="AW6" s="13">
        <v>516750</v>
      </c>
      <c r="AX6" s="13">
        <v>516750</v>
      </c>
      <c r="AY6" s="13"/>
      <c r="AZ6" s="13">
        <v>10000</v>
      </c>
      <c r="BA6" s="13"/>
      <c r="BB6" s="13"/>
      <c r="BC6">
        <v>9</v>
      </c>
      <c r="BD6">
        <v>5</v>
      </c>
      <c r="BE6">
        <v>5</v>
      </c>
      <c r="BH6">
        <v>0</v>
      </c>
      <c r="BI6">
        <v>0</v>
      </c>
      <c r="BJ6">
        <v>0</v>
      </c>
      <c r="BK6">
        <v>0</v>
      </c>
      <c r="BL6" t="s">
        <v>777</v>
      </c>
    </row>
    <row r="7" spans="1:64" x14ac:dyDescent="0.35">
      <c r="A7" s="30"/>
      <c r="B7" s="30">
        <v>42934.695138888892</v>
      </c>
      <c r="C7" t="s">
        <v>737</v>
      </c>
      <c r="D7" t="s">
        <v>738</v>
      </c>
      <c r="E7" t="s">
        <v>491</v>
      </c>
      <c r="F7" t="s">
        <v>739</v>
      </c>
      <c r="G7" t="s">
        <v>740</v>
      </c>
      <c r="H7" s="21" t="s">
        <v>741</v>
      </c>
      <c r="I7" s="85">
        <v>1</v>
      </c>
      <c r="J7" s="85">
        <v>0</v>
      </c>
      <c r="K7" t="s">
        <v>742</v>
      </c>
      <c r="L7" t="s">
        <v>523</v>
      </c>
      <c r="M7" t="s">
        <v>778</v>
      </c>
      <c r="N7" t="str">
        <f>IF(SUM(ckCodingQTable[[#This Row],[NfmlPIs]:[NnonWhtAsnPIs]])&gt;0,"WMD","")</f>
        <v/>
      </c>
      <c r="O7" t="b">
        <f>_xlfn.XOR(IFERROR(MATCH(ckCodingQTable[[#This Row],[st_code]],EpscorTable[],0)&gt;0,FALSE),IFERROR(FIND("9150",ckCodingQTable[[#This Row],[propPRCs]])&gt;0,FALSE))</f>
        <v>0</v>
      </c>
      <c r="P7" s="21" t="b">
        <f>_xlfn.XOR(ckCodingQTable[[#This Row],[wmd]]&lt;&gt;"",IFERROR(FIND("9102",ckCodingQTable[[#This Row],[propPRCs]])&gt;0,FALSE))</f>
        <v>0</v>
      </c>
      <c r="Q7" t="s">
        <v>753</v>
      </c>
      <c r="R7" s="22">
        <v>43082.662685185183</v>
      </c>
      <c r="S7" s="106">
        <f>S6+(ckCodingQTable[[#This Row],[ILN]]&lt;"M")</f>
        <v>6</v>
      </c>
      <c r="T7" s="21" t="s">
        <v>745</v>
      </c>
      <c r="U7" t="s">
        <v>634</v>
      </c>
      <c r="V7" s="7" t="str">
        <f>HYPERLINK("https://www.ejacket.nsf.gov/ej/showProposal.do?ID="&amp;ckCodingQTable[[#This Row],[prop_id]],"eJ")</f>
        <v>eJ</v>
      </c>
      <c r="W7" t="s">
        <v>746</v>
      </c>
      <c r="X7" t="s">
        <v>634</v>
      </c>
      <c r="Y7" t="s">
        <v>635</v>
      </c>
      <c r="Z7" t="s">
        <v>779</v>
      </c>
      <c r="AA7" t="s">
        <v>509</v>
      </c>
      <c r="AB7" s="109" t="str">
        <f>HYPERLINK("mailto:"&amp;ckCodingQTable[[#This Row],[email]]&amp;"&amp;subject=Your NSF Proposal:  "&amp;ckCodingQTable[[#This Row],[Div]]&amp;" "&amp;ckCodingQTable[[#This Row],[prop_id]], ckCodingQTable[[#This Row],[email]])</f>
        <v>jsolomon@mit.edu</v>
      </c>
      <c r="AC7" s="30">
        <v>43101</v>
      </c>
      <c r="AD7">
        <v>60</v>
      </c>
      <c r="AE7">
        <v>1</v>
      </c>
      <c r="AG7" s="110">
        <v>1</v>
      </c>
      <c r="AH7" t="s">
        <v>780</v>
      </c>
      <c r="AI7" s="26">
        <v>6.25</v>
      </c>
      <c r="AJ7" s="22">
        <v>43030.972222222219</v>
      </c>
      <c r="AK7" s="21">
        <v>2</v>
      </c>
      <c r="AL7">
        <v>4</v>
      </c>
      <c r="AN7" s="110">
        <v>4</v>
      </c>
      <c r="AO7" s="110"/>
      <c r="AP7" s="110"/>
      <c r="AQ7" s="110"/>
      <c r="AR7" s="7" t="str">
        <f>HYPERLINK("https://www.ejacket.nsf.gov/ej/showProposal.do?ID="&amp;ckCodingQTable[[#This Row],[prop_id]],"eJ")</f>
        <v>eJ</v>
      </c>
      <c r="AS7" t="s">
        <v>750</v>
      </c>
      <c r="AT7" t="s">
        <v>781</v>
      </c>
      <c r="AU7" t="b">
        <f>IF(ckCodingQTable[[#This Row],[ILN]]="N",SUBSTITUTE(AT6," ","")&lt;&gt;SUBSTITUTE(ckCodingQTable[[#This Row],[prop_titl_txt]]," ",""), FALSE)</f>
        <v>0</v>
      </c>
      <c r="AV7">
        <v>0</v>
      </c>
      <c r="AW7" s="13">
        <v>550000</v>
      </c>
      <c r="AX7" s="13">
        <v>550000</v>
      </c>
      <c r="AY7" s="13"/>
      <c r="AZ7" s="13"/>
      <c r="BA7" s="13"/>
      <c r="BB7" s="13"/>
      <c r="BC7">
        <v>5</v>
      </c>
      <c r="BD7">
        <v>5</v>
      </c>
      <c r="BE7">
        <v>2.5</v>
      </c>
      <c r="BH7">
        <v>0</v>
      </c>
      <c r="BI7">
        <v>0</v>
      </c>
      <c r="BJ7">
        <v>0</v>
      </c>
      <c r="BK7">
        <v>0</v>
      </c>
      <c r="BL7" t="s">
        <v>782</v>
      </c>
    </row>
    <row r="8" spans="1:64" x14ac:dyDescent="0.35">
      <c r="A8" s="30"/>
      <c r="B8" s="30">
        <v>42934.808333333334</v>
      </c>
      <c r="C8" t="s">
        <v>737</v>
      </c>
      <c r="D8" t="s">
        <v>738</v>
      </c>
      <c r="E8" t="s">
        <v>491</v>
      </c>
      <c r="F8" t="s">
        <v>739</v>
      </c>
      <c r="G8" t="s">
        <v>740</v>
      </c>
      <c r="H8" s="21" t="s">
        <v>741</v>
      </c>
      <c r="I8" s="85">
        <v>1</v>
      </c>
      <c r="J8" s="85">
        <v>0</v>
      </c>
      <c r="K8" t="s">
        <v>742</v>
      </c>
      <c r="L8" t="s">
        <v>523</v>
      </c>
      <c r="M8" t="s">
        <v>784</v>
      </c>
      <c r="N8" t="str">
        <f>IF(SUM(ckCodingQTable[[#This Row],[NfmlPIs]:[NnonWhtAsnPIs]])&gt;0,"WMD","")</f>
        <v/>
      </c>
      <c r="O8" t="b">
        <f>_xlfn.XOR(IFERROR(MATCH(ckCodingQTable[[#This Row],[st_code]],EpscorTable[],0)&gt;0,FALSE),IFERROR(FIND("9150",ckCodingQTable[[#This Row],[propPRCs]])&gt;0,FALSE))</f>
        <v>0</v>
      </c>
      <c r="P8" s="21" t="b">
        <f>_xlfn.XOR(ckCodingQTable[[#This Row],[wmd]]&lt;&gt;"",IFERROR(FIND("9102",ckCodingQTable[[#This Row],[propPRCs]])&gt;0,FALSE))</f>
        <v>0</v>
      </c>
      <c r="Q8" t="s">
        <v>783</v>
      </c>
      <c r="R8" s="22">
        <v>43076.609027777777</v>
      </c>
      <c r="S8" s="106">
        <f>S7+(ckCodingQTable[[#This Row],[ILN]]&lt;"M")</f>
        <v>7</v>
      </c>
      <c r="T8" s="21" t="s">
        <v>745</v>
      </c>
      <c r="U8" t="s">
        <v>643</v>
      </c>
      <c r="V8" s="7" t="str">
        <f>HYPERLINK("https://www.ejacket.nsf.gov/ej/showProposal.do?ID="&amp;ckCodingQTable[[#This Row],[prop_id]],"eJ")</f>
        <v>eJ</v>
      </c>
      <c r="W8" t="s">
        <v>746</v>
      </c>
      <c r="X8" t="s">
        <v>643</v>
      </c>
      <c r="Y8" t="s">
        <v>644</v>
      </c>
      <c r="Z8" t="s">
        <v>785</v>
      </c>
      <c r="AA8" t="s">
        <v>786</v>
      </c>
      <c r="AB8" s="109" t="str">
        <f>HYPERLINK("mailto:"&amp;ckCodingQTable[[#This Row],[email]]&amp;"&amp;subject=Your NSF Proposal:  "&amp;ckCodingQTable[[#This Row],[Div]]&amp;" "&amp;ckCodingQTable[[#This Row],[prop_id]], ckCodingQTable[[#This Row],[email]])</f>
        <v>craig@ucr.edu</v>
      </c>
      <c r="AC8" s="30">
        <v>43101</v>
      </c>
      <c r="AD8">
        <v>60</v>
      </c>
      <c r="AE8">
        <v>1</v>
      </c>
      <c r="AG8" s="110">
        <v>1</v>
      </c>
      <c r="AH8" t="s">
        <v>787</v>
      </c>
      <c r="AI8" s="26">
        <v>4</v>
      </c>
      <c r="AJ8" s="22">
        <v>43031.584027777775</v>
      </c>
      <c r="AL8">
        <v>4</v>
      </c>
      <c r="AN8" s="110">
        <v>4</v>
      </c>
      <c r="AO8" s="110"/>
      <c r="AP8" s="110"/>
      <c r="AQ8" s="110"/>
      <c r="AR8" s="7" t="str">
        <f>HYPERLINK("https://www.ejacket.nsf.gov/ej/showProposal.do?ID="&amp;ckCodingQTable[[#This Row],[prop_id]],"eJ")</f>
        <v>eJ</v>
      </c>
      <c r="AS8" t="s">
        <v>750</v>
      </c>
      <c r="AT8" t="s">
        <v>788</v>
      </c>
      <c r="AU8" t="b">
        <f>IF(ckCodingQTable[[#This Row],[ILN]]="N",SUBSTITUTE(AT7," ","")&lt;&gt;SUBSTITUTE(ckCodingQTable[[#This Row],[prop_titl_txt]]," ",""), FALSE)</f>
        <v>0</v>
      </c>
      <c r="AV8">
        <v>0</v>
      </c>
      <c r="AW8" s="13">
        <v>440331</v>
      </c>
      <c r="AX8" s="13">
        <v>440331</v>
      </c>
      <c r="AY8" s="13"/>
      <c r="AZ8" s="13"/>
      <c r="BA8" s="13"/>
      <c r="BB8" s="13"/>
      <c r="BC8">
        <v>5</v>
      </c>
      <c r="BD8">
        <v>5</v>
      </c>
      <c r="BE8">
        <v>5</v>
      </c>
      <c r="BH8">
        <v>0</v>
      </c>
      <c r="BI8">
        <v>0</v>
      </c>
      <c r="BJ8">
        <v>0</v>
      </c>
      <c r="BK8">
        <v>0</v>
      </c>
      <c r="BL8" t="s">
        <v>789</v>
      </c>
    </row>
    <row r="9" spans="1:64" x14ac:dyDescent="0.35">
      <c r="A9" s="30"/>
      <c r="B9" s="30">
        <v>42935.633333333331</v>
      </c>
      <c r="C9" t="s">
        <v>737</v>
      </c>
      <c r="D9" t="s">
        <v>738</v>
      </c>
      <c r="E9" t="s">
        <v>491</v>
      </c>
      <c r="F9" t="s">
        <v>739</v>
      </c>
      <c r="G9" t="s">
        <v>740</v>
      </c>
      <c r="H9" s="21" t="s">
        <v>741</v>
      </c>
      <c r="I9" s="85">
        <v>1</v>
      </c>
      <c r="J9" s="85">
        <v>0</v>
      </c>
      <c r="K9" t="s">
        <v>742</v>
      </c>
      <c r="L9" t="s">
        <v>523</v>
      </c>
      <c r="M9" t="s">
        <v>790</v>
      </c>
      <c r="N9" t="str">
        <f>IF(SUM(ckCodingQTable[[#This Row],[NfmlPIs]:[NnonWhtAsnPIs]])&gt;0,"WMD","")</f>
        <v/>
      </c>
      <c r="O9" t="b">
        <f>_xlfn.XOR(IFERROR(MATCH(ckCodingQTable[[#This Row],[st_code]],EpscorTable[],0)&gt;0,FALSE),IFERROR(FIND("9150",ckCodingQTable[[#This Row],[propPRCs]])&gt;0,FALSE))</f>
        <v>0</v>
      </c>
      <c r="P9" s="21" t="b">
        <f>_xlfn.XOR(ckCodingQTable[[#This Row],[wmd]]&lt;&gt;"",IFERROR(FIND("9102",ckCodingQTable[[#This Row],[propPRCs]])&gt;0,FALSE))</f>
        <v>0</v>
      </c>
      <c r="Q9" t="s">
        <v>753</v>
      </c>
      <c r="S9" s="106">
        <f>S8+(ckCodingQTable[[#This Row],[ILN]]&lt;"M")</f>
        <v>8</v>
      </c>
      <c r="T9" s="21" t="s">
        <v>745</v>
      </c>
      <c r="U9" t="s">
        <v>659</v>
      </c>
      <c r="V9" s="7" t="str">
        <f>HYPERLINK("https://www.ejacket.nsf.gov/ej/showProposal.do?ID="&amp;ckCodingQTable[[#This Row],[prop_id]],"eJ")</f>
        <v>eJ</v>
      </c>
      <c r="W9" t="s">
        <v>746</v>
      </c>
      <c r="X9" t="s">
        <v>659</v>
      </c>
      <c r="Y9" t="s">
        <v>660</v>
      </c>
      <c r="Z9" t="s">
        <v>791</v>
      </c>
      <c r="AA9" t="s">
        <v>792</v>
      </c>
      <c r="AB9" s="109" t="str">
        <f>HYPERLINK("mailto:"&amp;ckCodingQTable[[#This Row],[email]]&amp;"&amp;subject=Your NSF Proposal:  "&amp;ckCodingQTable[[#This Row],[Div]]&amp;" "&amp;ckCodingQTable[[#This Row],[prop_id]], ckCodingQTable[[#This Row],[email]])</f>
        <v>Benjamin.Raichel@utdallas.edu</v>
      </c>
      <c r="AC9" s="30">
        <v>43344</v>
      </c>
      <c r="AD9">
        <v>60</v>
      </c>
      <c r="AE9">
        <v>1</v>
      </c>
      <c r="AG9" s="110">
        <v>1</v>
      </c>
      <c r="AH9" t="s">
        <v>793</v>
      </c>
      <c r="AI9" s="26">
        <v>7.5</v>
      </c>
      <c r="AJ9" s="22">
        <v>43030.181250000001</v>
      </c>
      <c r="AK9" s="21">
        <v>1</v>
      </c>
      <c r="AL9">
        <v>4</v>
      </c>
      <c r="AN9" s="110">
        <v>4</v>
      </c>
      <c r="AO9" s="110"/>
      <c r="AP9" s="110"/>
      <c r="AQ9" s="110"/>
      <c r="AR9" s="7" t="str">
        <f>HYPERLINK("https://www.ejacket.nsf.gov/ej/showProposal.do?ID="&amp;ckCodingQTable[[#This Row],[prop_id]],"eJ")</f>
        <v>eJ</v>
      </c>
      <c r="AS9" t="s">
        <v>750</v>
      </c>
      <c r="AT9" t="s">
        <v>794</v>
      </c>
      <c r="AU9" t="b">
        <f>IF(ckCodingQTable[[#This Row],[ILN]]="N",SUBSTITUTE(AT8," ","")&lt;&gt;SUBSTITUTE(ckCodingQTable[[#This Row],[prop_titl_txt]]," ",""), FALSE)</f>
        <v>0</v>
      </c>
      <c r="AV9">
        <v>0</v>
      </c>
      <c r="AW9" s="13">
        <v>582785</v>
      </c>
      <c r="AX9" s="13">
        <v>582785</v>
      </c>
      <c r="AY9" s="13"/>
      <c r="AZ9" s="13">
        <v>7500</v>
      </c>
      <c r="BA9" s="13"/>
      <c r="BB9" s="13"/>
      <c r="BC9">
        <v>10</v>
      </c>
      <c r="BD9">
        <v>5</v>
      </c>
      <c r="BE9">
        <v>5</v>
      </c>
      <c r="BH9">
        <v>0</v>
      </c>
      <c r="BI9">
        <v>0</v>
      </c>
      <c r="BJ9">
        <v>0</v>
      </c>
      <c r="BK9">
        <v>0</v>
      </c>
      <c r="BL9" t="s">
        <v>795</v>
      </c>
    </row>
    <row r="10" spans="1:64" x14ac:dyDescent="0.35">
      <c r="A10" s="30"/>
      <c r="B10" s="30">
        <v>42935.680555555555</v>
      </c>
      <c r="C10" t="s">
        <v>737</v>
      </c>
      <c r="D10" t="s">
        <v>738</v>
      </c>
      <c r="E10" t="s">
        <v>491</v>
      </c>
      <c r="F10" t="s">
        <v>739</v>
      </c>
      <c r="G10" t="s">
        <v>740</v>
      </c>
      <c r="H10" s="21" t="s">
        <v>741</v>
      </c>
      <c r="I10" s="85">
        <v>1</v>
      </c>
      <c r="J10" s="85">
        <v>0</v>
      </c>
      <c r="K10" t="s">
        <v>742</v>
      </c>
      <c r="L10" t="s">
        <v>523</v>
      </c>
      <c r="M10" t="s">
        <v>790</v>
      </c>
      <c r="N10" t="str">
        <f>IF(SUM(ckCodingQTable[[#This Row],[NfmlPIs]:[NnonWhtAsnPIs]])&gt;0,"WMD","")</f>
        <v/>
      </c>
      <c r="O10" t="b">
        <f>_xlfn.XOR(IFERROR(MATCH(ckCodingQTable[[#This Row],[st_code]],EpscorTable[],0)&gt;0,FALSE),IFERROR(FIND("9150",ckCodingQTable[[#This Row],[propPRCs]])&gt;0,FALSE))</f>
        <v>0</v>
      </c>
      <c r="P10" s="21" t="b">
        <f>_xlfn.XOR(ckCodingQTable[[#This Row],[wmd]]&lt;&gt;"",IFERROR(FIND("9102",ckCodingQTable[[#This Row],[propPRCs]])&gt;0,FALSE))</f>
        <v>0</v>
      </c>
      <c r="Q10" t="s">
        <v>753</v>
      </c>
      <c r="R10" s="22">
        <v>43082.668969907405</v>
      </c>
      <c r="S10" s="106">
        <f>S9+(ckCodingQTable[[#This Row],[ILN]]&lt;"M")</f>
        <v>9</v>
      </c>
      <c r="T10" s="21" t="s">
        <v>745</v>
      </c>
      <c r="U10" t="s">
        <v>671</v>
      </c>
      <c r="V10" s="7" t="str">
        <f>HYPERLINK("https://www.ejacket.nsf.gov/ej/showProposal.do?ID="&amp;ckCodingQTable[[#This Row],[prop_id]],"eJ")</f>
        <v>eJ</v>
      </c>
      <c r="W10" t="s">
        <v>746</v>
      </c>
      <c r="X10" t="s">
        <v>671</v>
      </c>
      <c r="Y10" t="s">
        <v>672</v>
      </c>
      <c r="Z10" t="s">
        <v>796</v>
      </c>
      <c r="AA10" t="s">
        <v>797</v>
      </c>
      <c r="AB10" s="109" t="str">
        <f>HYPERLINK("mailto:"&amp;ckCodingQTable[[#This Row],[email]]&amp;"&amp;subject=Your NSF Proposal:  "&amp;ckCodingQTable[[#This Row],[Div]]&amp;" "&amp;ckCodingQTable[[#This Row],[prop_id]], ckCodingQTable[[#This Row],[email]])</f>
        <v>MATTHEW.GIBSON@UTSA.EDU</v>
      </c>
      <c r="AC10" s="30">
        <v>43132</v>
      </c>
      <c r="AD10">
        <v>60</v>
      </c>
      <c r="AE10">
        <v>1</v>
      </c>
      <c r="AG10" s="110">
        <v>1</v>
      </c>
      <c r="AH10" t="s">
        <v>798</v>
      </c>
      <c r="AI10" s="26">
        <v>4.75</v>
      </c>
      <c r="AJ10" s="22">
        <v>43030.177777777775</v>
      </c>
      <c r="AL10">
        <v>4</v>
      </c>
      <c r="AN10" s="110">
        <v>4</v>
      </c>
      <c r="AO10" s="110"/>
      <c r="AP10" s="110"/>
      <c r="AQ10" s="110"/>
      <c r="AR10" s="7" t="str">
        <f>HYPERLINK("https://www.ejacket.nsf.gov/ej/showProposal.do?ID="&amp;ckCodingQTable[[#This Row],[prop_id]],"eJ")</f>
        <v>eJ</v>
      </c>
      <c r="AS10" t="s">
        <v>750</v>
      </c>
      <c r="AT10" t="s">
        <v>799</v>
      </c>
      <c r="AU10" t="b">
        <f>IF(ckCodingQTable[[#This Row],[ILN]]="N",SUBSTITUTE(AT9," ","")&lt;&gt;SUBSTITUTE(ckCodingQTable[[#This Row],[prop_titl_txt]]," ",""), FALSE)</f>
        <v>0</v>
      </c>
      <c r="AV10">
        <v>0</v>
      </c>
      <c r="AW10" s="13">
        <v>415497</v>
      </c>
      <c r="AX10" s="13">
        <v>415497</v>
      </c>
      <c r="AY10" s="13"/>
      <c r="AZ10" s="13">
        <v>12250</v>
      </c>
      <c r="BA10" s="13"/>
      <c r="BB10" s="13">
        <v>16000</v>
      </c>
      <c r="BC10">
        <v>5</v>
      </c>
      <c r="BD10">
        <v>5</v>
      </c>
      <c r="BE10">
        <v>5</v>
      </c>
      <c r="BH10">
        <v>0</v>
      </c>
      <c r="BI10">
        <v>0</v>
      </c>
      <c r="BJ10">
        <v>0</v>
      </c>
      <c r="BK10">
        <v>0</v>
      </c>
      <c r="BL10" t="s">
        <v>800</v>
      </c>
    </row>
    <row r="11" spans="1:64" x14ac:dyDescent="0.35">
      <c r="A11" s="30"/>
      <c r="B11" s="30">
        <v>42935.69027777778</v>
      </c>
      <c r="C11" t="s">
        <v>737</v>
      </c>
      <c r="D11" t="s">
        <v>738</v>
      </c>
      <c r="E11" t="s">
        <v>491</v>
      </c>
      <c r="F11" t="s">
        <v>739</v>
      </c>
      <c r="G11" t="s">
        <v>740</v>
      </c>
      <c r="H11" s="21" t="s">
        <v>741</v>
      </c>
      <c r="I11" s="85">
        <v>1</v>
      </c>
      <c r="J11" s="85">
        <v>0</v>
      </c>
      <c r="K11" t="s">
        <v>742</v>
      </c>
      <c r="L11" t="s">
        <v>523</v>
      </c>
      <c r="M11" t="s">
        <v>790</v>
      </c>
      <c r="N11" t="str">
        <f>IF(SUM(ckCodingQTable[[#This Row],[NfmlPIs]:[NnonWhtAsnPIs]])&gt;0,"WMD","")</f>
        <v/>
      </c>
      <c r="O11" t="b">
        <f>_xlfn.XOR(IFERROR(MATCH(ckCodingQTable[[#This Row],[st_code]],EpscorTable[],0)&gt;0,FALSE),IFERROR(FIND("9150",ckCodingQTable[[#This Row],[propPRCs]])&gt;0,FALSE))</f>
        <v>0</v>
      </c>
      <c r="P11" s="21" t="b">
        <f>_xlfn.XOR(ckCodingQTable[[#This Row],[wmd]]&lt;&gt;"",IFERROR(FIND("9102",ckCodingQTable[[#This Row],[propPRCs]])&gt;0,FALSE))</f>
        <v>0</v>
      </c>
      <c r="Q11" t="s">
        <v>753</v>
      </c>
      <c r="S11" s="106">
        <f>S10+(ckCodingQTable[[#This Row],[ILN]]&lt;"M")</f>
        <v>10</v>
      </c>
      <c r="T11" s="21" t="s">
        <v>745</v>
      </c>
      <c r="U11" t="s">
        <v>680</v>
      </c>
      <c r="V11" s="7" t="str">
        <f>HYPERLINK("https://www.ejacket.nsf.gov/ej/showProposal.do?ID="&amp;ckCodingQTable[[#This Row],[prop_id]],"eJ")</f>
        <v>eJ</v>
      </c>
      <c r="W11" t="s">
        <v>746</v>
      </c>
      <c r="X11" t="s">
        <v>680</v>
      </c>
      <c r="Y11" t="s">
        <v>681</v>
      </c>
      <c r="Z11" t="s">
        <v>801</v>
      </c>
      <c r="AA11" t="s">
        <v>802</v>
      </c>
      <c r="AB11" s="109" t="str">
        <f>HYPERLINK("mailto:"&amp;ckCodingQTable[[#This Row],[email]]&amp;"&amp;subject=Your NSF Proposal:  "&amp;ckCodingQTable[[#This Row],[Div]]&amp;" "&amp;ckCodingQTable[[#This Row],[prop_id]], ckCodingQTable[[#This Row],[email]])</f>
        <v>evouga@cs.utexas.edu</v>
      </c>
      <c r="AC11" s="30">
        <v>43344</v>
      </c>
      <c r="AD11">
        <v>60</v>
      </c>
      <c r="AE11">
        <v>1</v>
      </c>
      <c r="AG11" s="110">
        <v>1</v>
      </c>
      <c r="AH11" t="s">
        <v>803</v>
      </c>
      <c r="AI11" s="26">
        <v>6.5</v>
      </c>
      <c r="AJ11" s="22">
        <v>43031.392361111109</v>
      </c>
      <c r="AL11">
        <v>4</v>
      </c>
      <c r="AN11" s="110">
        <v>4</v>
      </c>
      <c r="AO11" s="110"/>
      <c r="AP11" s="110"/>
      <c r="AQ11" s="110"/>
      <c r="AR11" s="7" t="str">
        <f>HYPERLINK("https://www.ejacket.nsf.gov/ej/showProposal.do?ID="&amp;ckCodingQTable[[#This Row],[prop_id]],"eJ")</f>
        <v>eJ</v>
      </c>
      <c r="AS11" t="s">
        <v>750</v>
      </c>
      <c r="AT11" t="s">
        <v>804</v>
      </c>
      <c r="AU11" t="b">
        <f>IF(ckCodingQTable[[#This Row],[ILN]]="N",SUBSTITUTE(AT10," ","")&lt;&gt;SUBSTITUTE(ckCodingQTable[[#This Row],[prop_titl_txt]]," ",""), FALSE)</f>
        <v>0</v>
      </c>
      <c r="AV11">
        <v>0</v>
      </c>
      <c r="AW11" s="13">
        <v>523537</v>
      </c>
      <c r="AX11" s="13">
        <v>523537</v>
      </c>
      <c r="AY11" s="13"/>
      <c r="AZ11" s="13">
        <v>15000</v>
      </c>
      <c r="BA11" s="13"/>
      <c r="BB11" s="13"/>
      <c r="BC11">
        <v>7</v>
      </c>
      <c r="BD11">
        <v>5</v>
      </c>
      <c r="BE11">
        <v>2</v>
      </c>
      <c r="BH11">
        <v>0</v>
      </c>
      <c r="BI11">
        <v>0</v>
      </c>
      <c r="BJ11">
        <v>0</v>
      </c>
      <c r="BK11">
        <v>0</v>
      </c>
      <c r="BL11" t="s">
        <v>805</v>
      </c>
    </row>
    <row r="12" spans="1:64" x14ac:dyDescent="0.35">
      <c r="A12" s="30"/>
      <c r="B12" s="30">
        <v>42935.696527777778</v>
      </c>
      <c r="C12" t="s">
        <v>737</v>
      </c>
      <c r="D12" t="s">
        <v>738</v>
      </c>
      <c r="E12" t="s">
        <v>491</v>
      </c>
      <c r="F12" t="s">
        <v>739</v>
      </c>
      <c r="G12" t="s">
        <v>740</v>
      </c>
      <c r="H12" s="21" t="s">
        <v>741</v>
      </c>
      <c r="I12" s="85">
        <v>1</v>
      </c>
      <c r="J12" s="85">
        <v>0</v>
      </c>
      <c r="K12" t="s">
        <v>742</v>
      </c>
      <c r="L12" t="s">
        <v>523</v>
      </c>
      <c r="M12" t="s">
        <v>806</v>
      </c>
      <c r="N12" t="str">
        <f>IF(SUM(ckCodingQTable[[#This Row],[NfmlPIs]:[NnonWhtAsnPIs]])&gt;0,"WMD","")</f>
        <v/>
      </c>
      <c r="O12" t="b">
        <f>_xlfn.XOR(IFERROR(MATCH(ckCodingQTable[[#This Row],[st_code]],EpscorTable[],0)&gt;0,FALSE),IFERROR(FIND("9150",ckCodingQTable[[#This Row],[propPRCs]])&gt;0,FALSE))</f>
        <v>0</v>
      </c>
      <c r="P12" s="21" t="b">
        <f>_xlfn.XOR(ckCodingQTable[[#This Row],[wmd]]&lt;&gt;"",IFERROR(FIND("9102",ckCodingQTable[[#This Row],[propPRCs]])&gt;0,FALSE))</f>
        <v>0</v>
      </c>
      <c r="Q12" t="s">
        <v>753</v>
      </c>
      <c r="S12" s="106">
        <f>S11+(ckCodingQTable[[#This Row],[ILN]]&lt;"M")</f>
        <v>11</v>
      </c>
      <c r="T12" s="21" t="s">
        <v>745</v>
      </c>
      <c r="U12" t="s">
        <v>689</v>
      </c>
      <c r="V12" s="7" t="str">
        <f>HYPERLINK("https://www.ejacket.nsf.gov/ej/showProposal.do?ID="&amp;ckCodingQTable[[#This Row],[prop_id]],"eJ")</f>
        <v>eJ</v>
      </c>
      <c r="W12" t="s">
        <v>746</v>
      </c>
      <c r="X12" t="s">
        <v>689</v>
      </c>
      <c r="Y12" t="s">
        <v>690</v>
      </c>
      <c r="Z12" t="s">
        <v>807</v>
      </c>
      <c r="AA12" t="s">
        <v>808</v>
      </c>
      <c r="AB12" s="109" t="str">
        <f>HYPERLINK("mailto:"&amp;ckCodingQTable[[#This Row],[email]]&amp;"&amp;subject=Your NSF Proposal:  "&amp;ckCodingQTable[[#This Row],[Div]]&amp;" "&amp;ckCodingQTable[[#This Row],[prop_id]], ckCodingQTable[[#This Row],[email]])</f>
        <v>nayyeria@eecs.oregonstate.edu</v>
      </c>
      <c r="AC12" s="30">
        <v>43344</v>
      </c>
      <c r="AD12">
        <v>60</v>
      </c>
      <c r="AE12">
        <v>1</v>
      </c>
      <c r="AG12" s="110">
        <v>1</v>
      </c>
      <c r="AH12" t="s">
        <v>809</v>
      </c>
      <c r="AI12" s="26">
        <v>6.75</v>
      </c>
      <c r="AJ12" s="22">
        <v>43031.69027777778</v>
      </c>
      <c r="AK12" s="21">
        <v>2</v>
      </c>
      <c r="AL12">
        <v>4</v>
      </c>
      <c r="AN12" s="110">
        <v>4</v>
      </c>
      <c r="AO12" s="110"/>
      <c r="AP12" s="110"/>
      <c r="AQ12" s="110"/>
      <c r="AR12" s="7" t="str">
        <f>HYPERLINK("https://www.ejacket.nsf.gov/ej/showProposal.do?ID="&amp;ckCodingQTable[[#This Row],[prop_id]],"eJ")</f>
        <v>eJ</v>
      </c>
      <c r="AS12" t="s">
        <v>750</v>
      </c>
      <c r="AT12" t="s">
        <v>810</v>
      </c>
      <c r="AU12" t="b">
        <f>IF(ckCodingQTable[[#This Row],[ILN]]="N",SUBSTITUTE(AT11," ","")&lt;&gt;SUBSTITUTE(ckCodingQTable[[#This Row],[prop_titl_txt]]," ",""), FALSE)</f>
        <v>0</v>
      </c>
      <c r="AV12">
        <v>0</v>
      </c>
      <c r="AW12" s="13">
        <v>607459</v>
      </c>
      <c r="AX12" s="13">
        <v>607459</v>
      </c>
      <c r="AY12" s="13"/>
      <c r="AZ12" s="13">
        <v>23133</v>
      </c>
      <c r="BA12" s="13"/>
      <c r="BB12" s="13">
        <v>5500</v>
      </c>
      <c r="BC12">
        <v>5</v>
      </c>
      <c r="BD12">
        <v>5</v>
      </c>
      <c r="BE12">
        <v>4.5</v>
      </c>
      <c r="BH12">
        <v>0</v>
      </c>
      <c r="BI12">
        <v>0</v>
      </c>
      <c r="BJ12">
        <v>0</v>
      </c>
      <c r="BK12">
        <v>0</v>
      </c>
      <c r="BL12" t="s">
        <v>811</v>
      </c>
    </row>
    <row r="13" spans="1:64" x14ac:dyDescent="0.35">
      <c r="A13" s="30"/>
      <c r="B13" s="30">
        <v>42956.472222222219</v>
      </c>
      <c r="C13" t="s">
        <v>812</v>
      </c>
      <c r="D13" t="s">
        <v>738</v>
      </c>
      <c r="E13" t="s">
        <v>489</v>
      </c>
      <c r="F13" t="s">
        <v>739</v>
      </c>
      <c r="G13" t="s">
        <v>740</v>
      </c>
      <c r="H13" s="21" t="s">
        <v>741</v>
      </c>
      <c r="I13" s="85">
        <v>1</v>
      </c>
      <c r="J13" s="85">
        <v>0</v>
      </c>
      <c r="K13" t="s">
        <v>813</v>
      </c>
      <c r="L13" t="s">
        <v>523</v>
      </c>
      <c r="M13" t="s">
        <v>815</v>
      </c>
      <c r="N13" t="str">
        <f>IF(SUM(ckCodingQTable[[#This Row],[NfmlPIs]:[NnonWhtAsnPIs]])&gt;0,"WMD","")</f>
        <v/>
      </c>
      <c r="O13" t="b">
        <f>_xlfn.XOR(IFERROR(MATCH(ckCodingQTable[[#This Row],[st_code]],EpscorTable[],0)&gt;0,FALSE),IFERROR(FIND("9150",ckCodingQTable[[#This Row],[propPRCs]])&gt;0,FALSE))</f>
        <v>0</v>
      </c>
      <c r="P13" s="21" t="b">
        <f>_xlfn.XOR(ckCodingQTable[[#This Row],[wmd]]&lt;&gt;"",IFERROR(FIND("9102",ckCodingQTable[[#This Row],[propPRCs]])&gt;0,FALSE))</f>
        <v>0</v>
      </c>
      <c r="Q13" t="s">
        <v>814</v>
      </c>
      <c r="R13" s="22">
        <v>43082.662800925929</v>
      </c>
      <c r="S13" s="106">
        <f>S12+(ckCodingQTable[[#This Row],[ILN]]&lt;"M")</f>
        <v>12</v>
      </c>
      <c r="T13" s="21" t="s">
        <v>745</v>
      </c>
      <c r="U13" t="s">
        <v>697</v>
      </c>
      <c r="V13" s="7" t="str">
        <f>HYPERLINK("https://www.ejacket.nsf.gov/ej/showProposal.do?ID="&amp;ckCodingQTable[[#This Row],[prop_id]],"eJ")</f>
        <v>eJ</v>
      </c>
      <c r="W13" t="s">
        <v>746</v>
      </c>
      <c r="X13" t="s">
        <v>697</v>
      </c>
      <c r="Y13" t="s">
        <v>698</v>
      </c>
      <c r="Z13" t="s">
        <v>816</v>
      </c>
      <c r="AA13" t="s">
        <v>817</v>
      </c>
      <c r="AB13" s="109" t="str">
        <f>HYPERLINK("mailto:"&amp;ckCodingQTable[[#This Row],[email]]&amp;"&amp;subject=Your NSF Proposal:  "&amp;ckCodingQTable[[#This Row],[Div]]&amp;" "&amp;ckCodingQTable[[#This Row],[prop_id]], ckCodingQTable[[#This Row],[email]])</f>
        <v>hcharkhgard@usf.edu</v>
      </c>
      <c r="AC13" s="30">
        <v>43221</v>
      </c>
      <c r="AD13">
        <v>24</v>
      </c>
      <c r="AE13">
        <v>1</v>
      </c>
      <c r="AG13" s="110">
        <v>1</v>
      </c>
      <c r="AH13" t="s">
        <v>818</v>
      </c>
      <c r="AI13" s="26">
        <v>5</v>
      </c>
      <c r="AJ13" s="22">
        <v>43031.770833333336</v>
      </c>
      <c r="AL13">
        <v>3</v>
      </c>
      <c r="AN13" s="110">
        <v>3</v>
      </c>
      <c r="AO13" s="110"/>
      <c r="AP13" s="110"/>
      <c r="AQ13" s="110"/>
      <c r="AR13" s="7" t="str">
        <f>HYPERLINK("https://www.ejacket.nsf.gov/ej/showProposal.do?ID="&amp;ckCodingQTable[[#This Row],[prop_id]],"eJ")</f>
        <v>eJ</v>
      </c>
      <c r="AS13" t="s">
        <v>750</v>
      </c>
      <c r="AT13" t="s">
        <v>819</v>
      </c>
      <c r="AU13" t="b">
        <f>IF(ckCodingQTable[[#This Row],[ILN]]="N",SUBSTITUTE(AT12," ","")&lt;&gt;SUBSTITUTE(ckCodingQTable[[#This Row],[prop_titl_txt]]," ",""), FALSE)</f>
        <v>0</v>
      </c>
      <c r="AV13">
        <v>0</v>
      </c>
      <c r="AW13" s="13">
        <v>172682</v>
      </c>
      <c r="AX13" s="13">
        <v>172682</v>
      </c>
      <c r="AY13" s="13"/>
      <c r="AZ13" s="13"/>
      <c r="BA13" s="13"/>
      <c r="BB13" s="13"/>
      <c r="BC13">
        <v>4</v>
      </c>
      <c r="BH13">
        <v>0</v>
      </c>
      <c r="BI13">
        <v>0</v>
      </c>
      <c r="BJ13">
        <v>0</v>
      </c>
      <c r="BK13">
        <v>0</v>
      </c>
      <c r="BL13" t="s">
        <v>820</v>
      </c>
    </row>
    <row r="14" spans="1:64" x14ac:dyDescent="0.35">
      <c r="A14" s="30"/>
      <c r="B14" s="30">
        <v>42956.647916666669</v>
      </c>
      <c r="C14" t="s">
        <v>812</v>
      </c>
      <c r="D14" t="s">
        <v>738</v>
      </c>
      <c r="E14" t="s">
        <v>489</v>
      </c>
      <c r="F14" t="s">
        <v>739</v>
      </c>
      <c r="G14" t="s">
        <v>740</v>
      </c>
      <c r="H14" s="21" t="s">
        <v>741</v>
      </c>
      <c r="I14" s="85">
        <v>1</v>
      </c>
      <c r="J14" s="85">
        <v>0</v>
      </c>
      <c r="K14" t="s">
        <v>813</v>
      </c>
      <c r="L14" t="s">
        <v>523</v>
      </c>
      <c r="M14" t="s">
        <v>113</v>
      </c>
      <c r="N14" t="str">
        <f>IF(SUM(ckCodingQTable[[#This Row],[NfmlPIs]:[NnonWhtAsnPIs]])&gt;0,"WMD","")</f>
        <v/>
      </c>
      <c r="O14" t="b">
        <f>_xlfn.XOR(IFERROR(MATCH(ckCodingQTable[[#This Row],[st_code]],EpscorTable[],0)&gt;0,FALSE),IFERROR(FIND("9150",ckCodingQTable[[#This Row],[propPRCs]])&gt;0,FALSE))</f>
        <v>0</v>
      </c>
      <c r="P14" s="21" t="b">
        <f>_xlfn.XOR(ckCodingQTable[[#This Row],[wmd]]&lt;&gt;"",IFERROR(FIND("9102",ckCodingQTable[[#This Row],[propPRCs]])&gt;0,FALSE))</f>
        <v>0</v>
      </c>
      <c r="Q14" t="s">
        <v>821</v>
      </c>
      <c r="R14" s="22">
        <v>43082.669189814813</v>
      </c>
      <c r="S14" s="106">
        <f>S13+(ckCodingQTable[[#This Row],[ILN]]&lt;"M")</f>
        <v>13</v>
      </c>
      <c r="T14" s="21" t="s">
        <v>745</v>
      </c>
      <c r="U14" t="s">
        <v>705</v>
      </c>
      <c r="V14" s="7" t="str">
        <f>HYPERLINK("https://www.ejacket.nsf.gov/ej/showProposal.do?ID="&amp;ckCodingQTable[[#This Row],[prop_id]],"eJ")</f>
        <v>eJ</v>
      </c>
      <c r="W14" t="s">
        <v>746</v>
      </c>
      <c r="X14" t="s">
        <v>705</v>
      </c>
      <c r="Y14" t="s">
        <v>706</v>
      </c>
      <c r="Z14" t="s">
        <v>822</v>
      </c>
      <c r="AA14" t="s">
        <v>823</v>
      </c>
      <c r="AB14" s="109" t="str">
        <f>HYPERLINK("mailto:"&amp;ckCodingQTable[[#This Row],[email]]&amp;"&amp;subject=Your NSF Proposal:  "&amp;ckCodingQTable[[#This Row],[Div]]&amp;" "&amp;ckCodingQTable[[#This Row],[prop_id]], ckCodingQTable[[#This Row],[email]])</f>
        <v>osan@okstate.edu</v>
      </c>
      <c r="AC14" s="30">
        <v>43252</v>
      </c>
      <c r="AD14">
        <v>24</v>
      </c>
      <c r="AE14">
        <v>1</v>
      </c>
      <c r="AG14" s="110">
        <v>1</v>
      </c>
      <c r="AH14" t="s">
        <v>824</v>
      </c>
      <c r="AI14" s="26">
        <v>5.333333333333333</v>
      </c>
      <c r="AJ14" s="22">
        <v>43031.741666666669</v>
      </c>
      <c r="AL14">
        <v>3</v>
      </c>
      <c r="AN14" s="110">
        <v>3</v>
      </c>
      <c r="AO14" s="110"/>
      <c r="AP14" s="110"/>
      <c r="AQ14" s="110"/>
      <c r="AR14" s="7" t="str">
        <f>HYPERLINK("https://www.ejacket.nsf.gov/ej/showProposal.do?ID="&amp;ckCodingQTable[[#This Row],[prop_id]],"eJ")</f>
        <v>eJ</v>
      </c>
      <c r="AS14" t="s">
        <v>750</v>
      </c>
      <c r="AT14" t="s">
        <v>825</v>
      </c>
      <c r="AU14" t="b">
        <f>IF(ckCodingQTable[[#This Row],[ILN]]="N",SUBSTITUTE(AT13," ","")&lt;&gt;SUBSTITUTE(ckCodingQTable[[#This Row],[prop_titl_txt]]," ",""), FALSE)</f>
        <v>0</v>
      </c>
      <c r="AV14">
        <v>0</v>
      </c>
      <c r="AW14" s="13">
        <v>170144</v>
      </c>
      <c r="AX14" s="13">
        <v>170144</v>
      </c>
      <c r="AY14" s="13"/>
      <c r="AZ14" s="13"/>
      <c r="BA14" s="13"/>
      <c r="BB14" s="13"/>
      <c r="BC14">
        <v>4</v>
      </c>
      <c r="BH14">
        <v>0</v>
      </c>
      <c r="BI14">
        <v>0</v>
      </c>
      <c r="BJ14">
        <v>0</v>
      </c>
      <c r="BK14">
        <v>0</v>
      </c>
      <c r="BL14" t="s">
        <v>826</v>
      </c>
    </row>
    <row r="15" spans="1:64" x14ac:dyDescent="0.35">
      <c r="A15" s="30"/>
      <c r="B15" s="30">
        <v>42956.697222222225</v>
      </c>
      <c r="C15" t="s">
        <v>812</v>
      </c>
      <c r="D15" t="s">
        <v>738</v>
      </c>
      <c r="E15" t="s">
        <v>489</v>
      </c>
      <c r="F15" t="s">
        <v>739</v>
      </c>
      <c r="G15" t="s">
        <v>740</v>
      </c>
      <c r="H15" s="21" t="s">
        <v>741</v>
      </c>
      <c r="I15" s="85">
        <v>1</v>
      </c>
      <c r="J15" s="85">
        <v>0</v>
      </c>
      <c r="K15" t="s">
        <v>813</v>
      </c>
      <c r="L15" t="s">
        <v>523</v>
      </c>
      <c r="M15" t="s">
        <v>790</v>
      </c>
      <c r="N15" t="str">
        <f>IF(SUM(ckCodingQTable[[#This Row],[NfmlPIs]:[NnonWhtAsnPIs]])&gt;0,"WMD","")</f>
        <v>WMD</v>
      </c>
      <c r="O15" t="b">
        <f>_xlfn.XOR(IFERROR(MATCH(ckCodingQTable[[#This Row],[st_code]],EpscorTable[],0)&gt;0,FALSE),IFERROR(FIND("9150",ckCodingQTable[[#This Row],[propPRCs]])&gt;0,FALSE))</f>
        <v>0</v>
      </c>
      <c r="P15" s="21" t="b">
        <f>_xlfn.XOR(ckCodingQTable[[#This Row],[wmd]]&lt;&gt;"",IFERROR(FIND("9102",ckCodingQTable[[#This Row],[propPRCs]])&gt;0,FALSE))</f>
        <v>1</v>
      </c>
      <c r="Q15" t="s">
        <v>827</v>
      </c>
      <c r="R15" s="22">
        <v>43076.608877314815</v>
      </c>
      <c r="S15" s="106">
        <f>S14+(ckCodingQTable[[#This Row],[ILN]]&lt;"M")</f>
        <v>14</v>
      </c>
      <c r="T15" s="21" t="s">
        <v>745</v>
      </c>
      <c r="U15" t="s">
        <v>714</v>
      </c>
      <c r="V15" s="7" t="str">
        <f>HYPERLINK("https://www.ejacket.nsf.gov/ej/showProposal.do?ID="&amp;ckCodingQTable[[#This Row],[prop_id]],"eJ")</f>
        <v>eJ</v>
      </c>
      <c r="W15" t="s">
        <v>746</v>
      </c>
      <c r="X15" t="s">
        <v>714</v>
      </c>
      <c r="Y15" t="s">
        <v>715</v>
      </c>
      <c r="Z15" t="s">
        <v>828</v>
      </c>
      <c r="AA15" t="s">
        <v>829</v>
      </c>
      <c r="AB15" s="109" t="str">
        <f>HYPERLINK("mailto:"&amp;ckCodingQTable[[#This Row],[email]]&amp;"&amp;subject=Your NSF Proposal:  "&amp;ckCodingQTable[[#This Row],[Div]]&amp;" "&amp;ckCodingQTable[[#This Row],[prop_id]], ckCodingQTable[[#This Row],[email]])</f>
        <v>shima.hm@tamu.edu</v>
      </c>
      <c r="AC15" s="30">
        <v>43252</v>
      </c>
      <c r="AD15">
        <v>24</v>
      </c>
      <c r="AE15">
        <v>1</v>
      </c>
      <c r="AG15" s="110">
        <v>1</v>
      </c>
      <c r="AH15" t="s">
        <v>830</v>
      </c>
      <c r="AI15" s="26">
        <v>5.333333333333333</v>
      </c>
      <c r="AJ15" s="22">
        <v>43032.675694444442</v>
      </c>
      <c r="AL15">
        <v>3</v>
      </c>
      <c r="AN15" s="110">
        <v>3</v>
      </c>
      <c r="AO15" s="110"/>
      <c r="AP15" s="110"/>
      <c r="AQ15" s="110"/>
      <c r="AR15" s="7" t="str">
        <f>HYPERLINK("https://www.ejacket.nsf.gov/ej/showProposal.do?ID="&amp;ckCodingQTable[[#This Row],[prop_id]],"eJ")</f>
        <v>eJ</v>
      </c>
      <c r="AS15" t="s">
        <v>750</v>
      </c>
      <c r="AT15" t="s">
        <v>831</v>
      </c>
      <c r="AU15" t="b">
        <f>IF(ckCodingQTable[[#This Row],[ILN]]="N",SUBSTITUTE(AT14," ","")&lt;&gt;SUBSTITUTE(ckCodingQTable[[#This Row],[prop_titl_txt]]," ",""), FALSE)</f>
        <v>0</v>
      </c>
      <c r="AV15">
        <v>0</v>
      </c>
      <c r="AW15" s="13">
        <v>175000</v>
      </c>
      <c r="AX15" s="13">
        <v>175000</v>
      </c>
      <c r="AY15" s="13"/>
      <c r="AZ15" s="13"/>
      <c r="BA15" s="13"/>
      <c r="BB15" s="13"/>
      <c r="BC15">
        <v>4</v>
      </c>
      <c r="BH15">
        <v>2</v>
      </c>
      <c r="BI15">
        <v>0</v>
      </c>
      <c r="BJ15">
        <v>0</v>
      </c>
      <c r="BK15">
        <v>0</v>
      </c>
      <c r="BL15" t="s">
        <v>832</v>
      </c>
    </row>
    <row r="16" spans="1:64" x14ac:dyDescent="0.35">
      <c r="A16" s="30"/>
      <c r="B16" s="30">
        <v>42956.717361111114</v>
      </c>
      <c r="C16" t="s">
        <v>812</v>
      </c>
      <c r="D16" t="s">
        <v>738</v>
      </c>
      <c r="E16" t="s">
        <v>489</v>
      </c>
      <c r="F16" t="s">
        <v>739</v>
      </c>
      <c r="G16" t="s">
        <v>740</v>
      </c>
      <c r="H16" s="21" t="s">
        <v>741</v>
      </c>
      <c r="I16" s="85">
        <v>1</v>
      </c>
      <c r="J16" s="85">
        <v>0</v>
      </c>
      <c r="K16" t="s">
        <v>813</v>
      </c>
      <c r="L16" t="s">
        <v>523</v>
      </c>
      <c r="M16" t="s">
        <v>790</v>
      </c>
      <c r="N16" t="str">
        <f>IF(SUM(ckCodingQTable[[#This Row],[NfmlPIs]:[NnonWhtAsnPIs]])&gt;0,"WMD","")</f>
        <v/>
      </c>
      <c r="O16" t="b">
        <f>_xlfn.XOR(IFERROR(MATCH(ckCodingQTable[[#This Row],[st_code]],EpscorTable[],0)&gt;0,FALSE),IFERROR(FIND("9150",ckCodingQTable[[#This Row],[propPRCs]])&gt;0,FALSE))</f>
        <v>0</v>
      </c>
      <c r="P16" s="21" t="b">
        <f>_xlfn.XOR(ckCodingQTable[[#This Row],[wmd]]&lt;&gt;"",IFERROR(FIND("9102",ckCodingQTable[[#This Row],[propPRCs]])&gt;0,FALSE))</f>
        <v>0</v>
      </c>
      <c r="Q16" t="s">
        <v>501</v>
      </c>
      <c r="R16" s="22">
        <v>43076.608923611115</v>
      </c>
      <c r="S16" s="106">
        <f>S15+(ckCodingQTable[[#This Row],[ILN]]&lt;"M")</f>
        <v>15</v>
      </c>
      <c r="T16" s="21" t="s">
        <v>745</v>
      </c>
      <c r="U16" t="s">
        <v>726</v>
      </c>
      <c r="V16" s="7" t="str">
        <f>HYPERLINK("https://www.ejacket.nsf.gov/ej/showProposal.do?ID="&amp;ckCodingQTable[[#This Row],[prop_id]],"eJ")</f>
        <v>eJ</v>
      </c>
      <c r="W16" t="s">
        <v>746</v>
      </c>
      <c r="X16" t="s">
        <v>726</v>
      </c>
      <c r="Y16" t="s">
        <v>727</v>
      </c>
      <c r="Z16" t="s">
        <v>833</v>
      </c>
      <c r="AA16" t="s">
        <v>834</v>
      </c>
      <c r="AB16" s="109" t="str">
        <f>HYPERLINK("mailto:"&amp;ckCodingQTable[[#This Row],[email]]&amp;"&amp;subject=Your NSF Proposal:  "&amp;ckCodingQTable[[#This Row],[Div]]&amp;" "&amp;ckCodingQTable[[#This Row],[prop_id]], ckCodingQTable[[#This Row],[email]])</f>
        <v>harsha@smu.edu</v>
      </c>
      <c r="AC16" s="30">
        <v>43101</v>
      </c>
      <c r="AD16">
        <v>24</v>
      </c>
      <c r="AE16">
        <v>1</v>
      </c>
      <c r="AG16" s="110">
        <v>1</v>
      </c>
      <c r="AH16" t="s">
        <v>835</v>
      </c>
      <c r="AI16" s="26">
        <v>4.666666666666667</v>
      </c>
      <c r="AJ16" s="22">
        <v>43031.75</v>
      </c>
      <c r="AL16">
        <v>3</v>
      </c>
      <c r="AN16" s="110">
        <v>3</v>
      </c>
      <c r="AO16" s="110"/>
      <c r="AP16" s="110"/>
      <c r="AQ16" s="110"/>
      <c r="AR16" s="7" t="str">
        <f>HYPERLINK("https://www.ejacket.nsf.gov/ej/showProposal.do?ID="&amp;ckCodingQTable[[#This Row],[prop_id]],"eJ")</f>
        <v>eJ</v>
      </c>
      <c r="AS16" t="s">
        <v>750</v>
      </c>
      <c r="AT16" t="s">
        <v>836</v>
      </c>
      <c r="AU16" t="b">
        <f>IF(ckCodingQTable[[#This Row],[ILN]]="N",SUBSTITUTE(AT15," ","")&lt;&gt;SUBSTITUTE(ckCodingQTable[[#This Row],[prop_titl_txt]]," ",""), FALSE)</f>
        <v>0</v>
      </c>
      <c r="AV16">
        <v>0</v>
      </c>
      <c r="AW16" s="13">
        <v>175000</v>
      </c>
      <c r="AX16" s="13">
        <v>175000</v>
      </c>
      <c r="AY16" s="13"/>
      <c r="AZ16" s="13"/>
      <c r="BA16" s="13"/>
      <c r="BB16" s="13"/>
      <c r="BC16">
        <v>4</v>
      </c>
      <c r="BH16">
        <v>0</v>
      </c>
      <c r="BI16">
        <v>0</v>
      </c>
      <c r="BJ16">
        <v>0</v>
      </c>
      <c r="BK16">
        <v>0</v>
      </c>
      <c r="BL16" t="s">
        <v>837</v>
      </c>
    </row>
    <row r="17" spans="1:64" x14ac:dyDescent="0.35">
      <c r="A17" s="30"/>
      <c r="B17" s="30">
        <v>43035.652777777781</v>
      </c>
      <c r="C17" t="s">
        <v>838</v>
      </c>
      <c r="D17" t="s">
        <v>738</v>
      </c>
      <c r="E17" t="s">
        <v>491</v>
      </c>
      <c r="F17" t="s">
        <v>739</v>
      </c>
      <c r="G17" t="s">
        <v>740</v>
      </c>
      <c r="H17" s="21" t="s">
        <v>741</v>
      </c>
      <c r="I17" s="85">
        <v>0</v>
      </c>
      <c r="J17" s="85">
        <v>0</v>
      </c>
      <c r="L17" t="s">
        <v>523</v>
      </c>
      <c r="M17" t="s">
        <v>772</v>
      </c>
      <c r="N17" t="str">
        <f>IF(SUM(ckCodingQTable[[#This Row],[NfmlPIs]:[NnonWhtAsnPIs]])&gt;0,"WMD","")</f>
        <v/>
      </c>
      <c r="O17" t="b">
        <f>_xlfn.XOR(IFERROR(MATCH(ckCodingQTable[[#This Row],[st_code]],EpscorTable[],0)&gt;0,FALSE),IFERROR(FIND("9150",ckCodingQTable[[#This Row],[propPRCs]])&gt;0,FALSE))</f>
        <v>0</v>
      </c>
      <c r="P17" s="21" t="b">
        <f>_xlfn.XOR(ckCodingQTable[[#This Row],[wmd]]&lt;&gt;"",IFERROR(FIND("9102",ckCodingQTable[[#This Row],[propPRCs]])&gt;0,FALSE))</f>
        <v>0</v>
      </c>
      <c r="S17" s="106">
        <f>S16+(ckCodingQTable[[#This Row],[ILN]]&lt;"M")</f>
        <v>16</v>
      </c>
      <c r="T17" s="21" t="s">
        <v>745</v>
      </c>
      <c r="U17" t="s">
        <v>734</v>
      </c>
      <c r="V17" s="7" t="str">
        <f>HYPERLINK("https://www.ejacket.nsf.gov/ej/showProposal.do?ID="&amp;ckCodingQTable[[#This Row],[prop_id]],"eJ")</f>
        <v>eJ</v>
      </c>
      <c r="W17" t="s">
        <v>746</v>
      </c>
      <c r="X17" t="s">
        <v>734</v>
      </c>
      <c r="Y17" t="s">
        <v>735</v>
      </c>
      <c r="Z17" t="s">
        <v>839</v>
      </c>
      <c r="AA17" t="s">
        <v>840</v>
      </c>
      <c r="AB17" s="109" t="str">
        <f>HYPERLINK("mailto:"&amp;ckCodingQTable[[#This Row],[email]]&amp;"&amp;subject=Your NSF Proposal:  "&amp;ckCodingQTable[[#This Row],[Div]]&amp;" "&amp;ckCodingQTable[[#This Row],[prop_id]], ckCodingQTable[[#This Row],[email]])</f>
        <v>cliff@ieor.columbia.edu</v>
      </c>
      <c r="AC17" s="30">
        <v>43040</v>
      </c>
      <c r="AD17">
        <v>12</v>
      </c>
      <c r="AG17" s="110"/>
      <c r="AI17" s="26"/>
      <c r="AJ17" s="22"/>
      <c r="AN17" s="110"/>
      <c r="AO17" s="110"/>
      <c r="AP17" s="110"/>
      <c r="AQ17" s="110"/>
      <c r="AR17" s="7" t="str">
        <f>HYPERLINK("https://www.ejacket.nsf.gov/ej/showProposal.do?ID="&amp;ckCodingQTable[[#This Row],[prop_id]],"eJ")</f>
        <v>eJ</v>
      </c>
      <c r="AS17" t="s">
        <v>841</v>
      </c>
      <c r="AT17" t="s">
        <v>842</v>
      </c>
      <c r="AU17" t="b">
        <f>IF(ckCodingQTable[[#This Row],[ILN]]="N",SUBSTITUTE(AT16," ","")&lt;&gt;SUBSTITUTE(ckCodingQTable[[#This Row],[prop_titl_txt]]," ",""), FALSE)</f>
        <v>0</v>
      </c>
      <c r="AV17">
        <v>0</v>
      </c>
      <c r="AW17" s="13">
        <v>15000</v>
      </c>
      <c r="AX17" s="13">
        <v>15000</v>
      </c>
      <c r="AY17" s="13"/>
      <c r="AZ17" s="13"/>
      <c r="BA17" s="13"/>
      <c r="BB17" s="13">
        <v>15000</v>
      </c>
      <c r="BH17">
        <v>0</v>
      </c>
      <c r="BI17">
        <v>0</v>
      </c>
      <c r="BJ17">
        <v>0</v>
      </c>
      <c r="BK17">
        <v>0</v>
      </c>
      <c r="BL17" t="s">
        <v>843</v>
      </c>
    </row>
  </sheetData>
  <conditionalFormatting sqref="A2:BL17">
    <cfRule type="expression" dxfId="83" priority="6">
      <formula>MOD($S2,2)</formula>
    </cfRule>
  </conditionalFormatting>
  <conditionalFormatting sqref="AL2:AM17">
    <cfRule type="expression" dxfId="82" priority="5">
      <formula>AND($T2&lt;"M",$AL2&lt;$AM2+3)</formula>
    </cfRule>
  </conditionalFormatting>
  <conditionalFormatting sqref="C2:L17">
    <cfRule type="expression" dxfId="81" priority="4">
      <formula>AND($T2="N", C2&lt;&gt;C1)</formula>
    </cfRule>
  </conditionalFormatting>
  <conditionalFormatting sqref="AT2:AT17">
    <cfRule type="expression" dxfId="80" priority="3">
      <formula>$AU2</formula>
    </cfRule>
  </conditionalFormatting>
  <conditionalFormatting sqref="I2:J17">
    <cfRule type="expression" dxfId="79" priority="2">
      <formula>($J2+$I2)&lt;&gt;1</formula>
    </cfRule>
  </conditionalFormatting>
  <conditionalFormatting sqref="M2:N17">
    <cfRule type="expression" dxfId="78"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17"/>
  <sheetViews>
    <sheetView topLeftCell="A2" zoomScale="98" workbookViewId="0">
      <selection activeCell="F67" sqref="F67"/>
    </sheetView>
  </sheetViews>
  <sheetFormatPr defaultRowHeight="14.5" x14ac:dyDescent="0.35"/>
  <cols>
    <col min="1" max="1" width="8.7265625" style="30" customWidth="1"/>
    <col min="2" max="2" width="8.54296875" customWidth="1"/>
    <col min="3" max="3" width="10.453125" customWidth="1"/>
    <col min="4" max="4" width="8.81640625" customWidth="1"/>
    <col min="5" max="5" width="5.54296875" customWidth="1"/>
    <col min="6" max="6" width="7.7265625" style="30" customWidth="1"/>
    <col min="7" max="9" width="5.81640625" style="30" customWidth="1"/>
    <col min="10" max="10" width="5.26953125" style="30" customWidth="1"/>
    <col min="11" max="11" width="8.54296875" customWidth="1"/>
    <col min="12" max="12" width="14.26953125" customWidth="1"/>
    <col min="13" max="13" width="4.453125" style="107" customWidth="1"/>
    <col min="14" max="14" width="1.81640625" customWidth="1"/>
    <col min="15" max="15" width="8.453125" style="22" customWidth="1"/>
    <col min="16" max="16" width="2.81640625" style="38" customWidth="1"/>
    <col min="17" max="17" width="3.54296875" style="38" customWidth="1"/>
    <col min="18" max="18" width="8.453125" style="38" customWidth="1"/>
    <col min="19" max="19" width="10.81640625" customWidth="1"/>
    <col min="20" max="20" width="10.26953125" customWidth="1"/>
    <col min="21" max="21" width="13.7265625" customWidth="1"/>
    <col min="22" max="22" width="3.7265625" style="30" customWidth="1"/>
    <col min="23" max="23" width="9.54296875" style="107" customWidth="1"/>
    <col min="24" max="24" width="9.26953125" style="30"/>
    <col min="25" max="25" width="4.26953125" style="30" customWidth="1"/>
    <col min="26" max="26" width="9" customWidth="1"/>
    <col min="27" max="27" width="10" customWidth="1"/>
    <col min="28" max="28" width="8.81640625" style="81" customWidth="1"/>
    <col min="29" max="30" width="8.81640625" style="21" customWidth="1"/>
    <col min="31" max="31" width="17.453125" style="21" customWidth="1"/>
    <col min="32" max="32" width="11.7265625" customWidth="1"/>
    <col min="33" max="33" width="3.54296875" style="122" customWidth="1"/>
    <col min="34" max="34" width="10.7265625" customWidth="1"/>
    <col min="35" max="35" width="11.453125" style="13" customWidth="1"/>
    <col min="36" max="36" width="7.54296875" customWidth="1"/>
    <col min="37" max="38" width="10.453125" style="1" customWidth="1"/>
    <col min="39" max="41" width="4.81640625" style="1" customWidth="1"/>
    <col min="42" max="43" width="4.81640625" style="81" customWidth="1"/>
    <col min="44" max="44" width="22.1796875" style="122" customWidth="1"/>
    <col min="45" max="45" width="3.54296875" customWidth="1"/>
    <col min="46" max="46" width="18.54296875" customWidth="1"/>
    <col min="47" max="47" width="5.26953125" style="29" customWidth="1"/>
    <col min="48" max="48" width="90" customWidth="1"/>
    <col min="49" max="49" width="7.26953125" hidden="1" customWidth="1"/>
    <col min="50" max="50" width="29.453125" hidden="1" customWidth="1"/>
    <col min="51" max="51" width="10.1796875" style="21" customWidth="1"/>
    <col min="52" max="52" width="58.81640625" style="21" customWidth="1"/>
    <col min="53" max="53" width="21.26953125" style="21" customWidth="1"/>
    <col min="54" max="56" width="5.54296875" style="21" customWidth="1"/>
    <col min="57" max="57" width="4.453125" customWidth="1"/>
    <col min="58" max="63" width="3" customWidth="1"/>
    <col min="64" max="64" width="9.26953125" style="1"/>
    <col min="66" max="66" width="85.54296875" customWidth="1"/>
    <col min="67" max="67" width="10.453125" customWidth="1"/>
    <col min="68" max="68" width="9.54296875" style="13" customWidth="1"/>
    <col min="69" max="69" width="10.453125" customWidth="1"/>
    <col min="70" max="70" width="15.453125" customWidth="1"/>
    <col min="71" max="71" width="11.7265625" customWidth="1"/>
    <col min="72" max="72" width="9.26953125" hidden="1" customWidth="1"/>
    <col min="73" max="73" width="11" hidden="1" customWidth="1"/>
    <col min="74" max="77" width="4.26953125" customWidth="1"/>
  </cols>
  <sheetData>
    <row r="1" spans="1:68" ht="37.4" customHeight="1" x14ac:dyDescent="0.35">
      <c r="A1" s="30" t="s">
        <v>85</v>
      </c>
      <c r="B1" s="30" t="s">
        <v>6</v>
      </c>
      <c r="C1" t="s">
        <v>7</v>
      </c>
      <c r="D1" t="s">
        <v>4</v>
      </c>
      <c r="E1" t="s">
        <v>3</v>
      </c>
      <c r="F1" t="s">
        <v>89</v>
      </c>
      <c r="G1" t="s">
        <v>159</v>
      </c>
      <c r="H1" t="s">
        <v>157</v>
      </c>
      <c r="I1" t="s">
        <v>303</v>
      </c>
      <c r="J1" t="s">
        <v>90</v>
      </c>
      <c r="K1" t="s">
        <v>15</v>
      </c>
      <c r="L1" s="22" t="s">
        <v>14</v>
      </c>
      <c r="M1" s="108" t="s">
        <v>97</v>
      </c>
      <c r="N1" t="s">
        <v>86</v>
      </c>
      <c r="O1" t="s">
        <v>8</v>
      </c>
      <c r="P1" t="s">
        <v>1</v>
      </c>
      <c r="Q1" t="s">
        <v>137</v>
      </c>
      <c r="R1" t="s">
        <v>0</v>
      </c>
      <c r="S1" t="s">
        <v>9</v>
      </c>
      <c r="T1" t="s">
        <v>16</v>
      </c>
      <c r="U1" t="s">
        <v>244</v>
      </c>
      <c r="V1" t="s">
        <v>91</v>
      </c>
      <c r="W1" s="108" t="s">
        <v>126</v>
      </c>
      <c r="X1" s="30" t="s">
        <v>17</v>
      </c>
      <c r="Y1" t="s">
        <v>18</v>
      </c>
      <c r="Z1" t="s">
        <v>87</v>
      </c>
      <c r="AA1" s="21" t="s">
        <v>319</v>
      </c>
      <c r="AB1" s="21" t="s">
        <v>320</v>
      </c>
      <c r="AC1" t="s">
        <v>88</v>
      </c>
      <c r="AD1" s="21" t="s">
        <v>321</v>
      </c>
      <c r="AE1" s="21" t="s">
        <v>127</v>
      </c>
      <c r="AF1" s="13" t="s">
        <v>19</v>
      </c>
      <c r="AG1" s="121" t="s">
        <v>253</v>
      </c>
      <c r="AH1" s="1" t="s">
        <v>20</v>
      </c>
      <c r="AI1" s="1" t="s">
        <v>254</v>
      </c>
      <c r="AJ1" s="1" t="s">
        <v>255</v>
      </c>
      <c r="AK1" s="1" t="s">
        <v>256</v>
      </c>
      <c r="AL1" s="1" t="s">
        <v>257</v>
      </c>
      <c r="AM1" s="21" t="s">
        <v>258</v>
      </c>
      <c r="AN1" s="21" t="s">
        <v>259</v>
      </c>
      <c r="AO1" s="21" t="s">
        <v>260</v>
      </c>
      <c r="AP1" s="21" t="s">
        <v>261</v>
      </c>
      <c r="AQ1" s="21" t="s">
        <v>262</v>
      </c>
      <c r="AR1" s="122" t="s">
        <v>160</v>
      </c>
      <c r="AS1" s="21" t="s">
        <v>310</v>
      </c>
      <c r="AT1" s="21" t="s">
        <v>347</v>
      </c>
      <c r="AU1" s="29" t="s">
        <v>128</v>
      </c>
      <c r="AV1" t="s">
        <v>34</v>
      </c>
      <c r="AW1" t="s">
        <v>333</v>
      </c>
      <c r="AX1" t="s">
        <v>139</v>
      </c>
      <c r="AY1"/>
      <c r="AZ1"/>
      <c r="BA1"/>
      <c r="BB1"/>
      <c r="BC1"/>
      <c r="BD1"/>
      <c r="BL1"/>
      <c r="BP1"/>
    </row>
    <row r="2" spans="1:68" ht="15" customHeight="1" x14ac:dyDescent="0.35">
      <c r="B2" s="30">
        <v>42930.554166666669</v>
      </c>
      <c r="C2" t="s">
        <v>737</v>
      </c>
      <c r="D2" t="s">
        <v>738</v>
      </c>
      <c r="E2" t="s">
        <v>491</v>
      </c>
      <c r="F2" t="s">
        <v>523</v>
      </c>
      <c r="G2" s="8" t="s">
        <v>739</v>
      </c>
      <c r="H2" s="8" t="s">
        <v>740</v>
      </c>
      <c r="I2" s="8" t="s">
        <v>892</v>
      </c>
      <c r="J2" t="s">
        <v>741</v>
      </c>
      <c r="K2" t="s">
        <v>742</v>
      </c>
      <c r="L2" s="22">
        <v>43076.608981481484</v>
      </c>
      <c r="M2" s="107">
        <f xml:space="preserve"> M1+(ckAwdQTable[ILN]&lt;"M")</f>
        <v>1</v>
      </c>
      <c r="N2" t="s">
        <v>745</v>
      </c>
      <c r="O2" t="s">
        <v>520</v>
      </c>
      <c r="P2" s="15" t="str">
        <f>HYPERLINK("https://www.ejacket.nsf.gov/ej/showProposal.do?ID="&amp;ckAwdQTable[[#This Row],[prop_id]],"eJ")</f>
        <v>eJ</v>
      </c>
      <c r="Q2" s="8" t="s">
        <v>746</v>
      </c>
      <c r="R2" t="s">
        <v>520</v>
      </c>
      <c r="S2" t="s">
        <v>521</v>
      </c>
      <c r="T2" t="s">
        <v>747</v>
      </c>
      <c r="U2" s="8" t="s">
        <v>748</v>
      </c>
      <c r="V2" t="s">
        <v>744</v>
      </c>
      <c r="W2" s="111" t="str">
        <f>HYPERLINK("mailto:"&amp; ckAwdQTable[[#This Row],[email]]&amp;"&amp;subject=Your NSF Proposal:  "&amp;ckAwdQTable[[#This Row],[prop_id]], ckAwdQTable[[#This Row],[email]])</f>
        <v>steffen.borgwardt@ucdenver.edu</v>
      </c>
      <c r="X2" s="30">
        <v>43101</v>
      </c>
      <c r="Y2">
        <v>60</v>
      </c>
      <c r="AA2" s="21" t="s">
        <v>532</v>
      </c>
      <c r="AB2" s="21" t="s">
        <v>893</v>
      </c>
      <c r="AC2"/>
      <c r="AD2" s="21" t="s">
        <v>532</v>
      </c>
      <c r="AE2" s="21" t="s">
        <v>895</v>
      </c>
      <c r="AF2" s="13">
        <v>470400</v>
      </c>
      <c r="AG2" s="121">
        <v>0</v>
      </c>
      <c r="AH2" s="1">
        <v>470400</v>
      </c>
      <c r="AI2" s="1"/>
      <c r="AJ2" s="1">
        <v>9600</v>
      </c>
      <c r="AM2" s="21">
        <v>5</v>
      </c>
      <c r="AN2" s="21">
        <v>5</v>
      </c>
      <c r="AO2" s="21">
        <v>7.5</v>
      </c>
      <c r="AP2" s="21"/>
      <c r="AQ2" s="21"/>
      <c r="AR2" s="123" t="s">
        <v>750</v>
      </c>
      <c r="AS2" s="21" t="s">
        <v>894</v>
      </c>
      <c r="AT2" s="21" t="str">
        <f>SummarizeQuestMarks(ckAwdQTable[[#This Row],[abst_narr_txt]])</f>
        <v xml:space="preserve"> </v>
      </c>
      <c r="AU2" s="124"/>
      <c r="AV2" t="s">
        <v>751</v>
      </c>
      <c r="AW2" t="b">
        <f>AND(ckAwdQTable[[#This Row],[ILN]]&gt;"M", SUBSTITUTE(ckAwdQTable[[#This Row],[prop_titl_txt]]," ","")&lt;&gt;SUBSTITUTE(AV1," ",""))</f>
        <v>0</v>
      </c>
      <c r="AX2" s="8" t="s">
        <v>752</v>
      </c>
      <c r="AY2"/>
      <c r="AZ2"/>
      <c r="BA2"/>
      <c r="BB2"/>
      <c r="BC2"/>
      <c r="BD2"/>
      <c r="BL2"/>
      <c r="BP2"/>
    </row>
    <row r="3" spans="1:68" ht="15" customHeight="1" x14ac:dyDescent="0.35">
      <c r="B3" s="30">
        <v>42933.547222222223</v>
      </c>
      <c r="C3" t="s">
        <v>737</v>
      </c>
      <c r="D3" t="s">
        <v>738</v>
      </c>
      <c r="E3" t="s">
        <v>491</v>
      </c>
      <c r="F3" t="s">
        <v>523</v>
      </c>
      <c r="G3" s="8" t="s">
        <v>739</v>
      </c>
      <c r="H3" s="8" t="s">
        <v>740</v>
      </c>
      <c r="I3" s="8" t="s">
        <v>892</v>
      </c>
      <c r="J3" t="s">
        <v>741</v>
      </c>
      <c r="K3" t="s">
        <v>742</v>
      </c>
      <c r="L3" s="22">
        <v>43082.662557870368</v>
      </c>
      <c r="M3" s="107">
        <f xml:space="preserve"> M2+(ckAwdQTable[ILN]&lt;"M")</f>
        <v>2</v>
      </c>
      <c r="N3" t="s">
        <v>745</v>
      </c>
      <c r="O3" t="s">
        <v>560</v>
      </c>
      <c r="P3" s="15" t="str">
        <f>HYPERLINK("https://www.ejacket.nsf.gov/ej/showProposal.do?ID="&amp;ckAwdQTable[[#This Row],[prop_id]],"eJ")</f>
        <v>eJ</v>
      </c>
      <c r="Q3" s="8" t="s">
        <v>746</v>
      </c>
      <c r="R3" t="s">
        <v>560</v>
      </c>
      <c r="S3" t="s">
        <v>561</v>
      </c>
      <c r="T3" t="s">
        <v>755</v>
      </c>
      <c r="U3" s="8" t="s">
        <v>756</v>
      </c>
      <c r="V3" t="s">
        <v>754</v>
      </c>
      <c r="W3" s="111" t="str">
        <f>HYPERLINK("mailto:"&amp; ckAwdQTable[[#This Row],[email]]&amp;"&amp;subject=Your NSF Proposal:  "&amp;ckAwdQTable[[#This Row],[prop_id]], ckAwdQTable[[#This Row],[email]])</f>
        <v>haitao.wang@usu.edu</v>
      </c>
      <c r="X3" s="30">
        <v>43221</v>
      </c>
      <c r="Y3">
        <v>60</v>
      </c>
      <c r="AA3" s="21" t="s">
        <v>532</v>
      </c>
      <c r="AB3" s="21" t="s">
        <v>893</v>
      </c>
      <c r="AC3"/>
      <c r="AD3" s="21" t="s">
        <v>532</v>
      </c>
      <c r="AE3" s="21" t="s">
        <v>896</v>
      </c>
      <c r="AF3" s="13">
        <v>524898</v>
      </c>
      <c r="AG3" s="121">
        <v>0</v>
      </c>
      <c r="AH3" s="1">
        <v>524898</v>
      </c>
      <c r="AI3" s="1"/>
      <c r="AJ3" s="1">
        <v>15000</v>
      </c>
      <c r="AM3" s="21">
        <v>10</v>
      </c>
      <c r="AN3" s="21">
        <v>5</v>
      </c>
      <c r="AO3" s="21">
        <v>5</v>
      </c>
      <c r="AP3" s="21"/>
      <c r="AQ3" s="21"/>
      <c r="AR3" s="123" t="s">
        <v>750</v>
      </c>
      <c r="AS3" s="21" t="s">
        <v>894</v>
      </c>
      <c r="AT3" s="21" t="str">
        <f>SummarizeQuestMarks(ckAwdQTable[[#This Row],[abst_narr_txt]])</f>
        <v xml:space="preserve"> </v>
      </c>
      <c r="AU3" s="124"/>
      <c r="AV3" t="s">
        <v>758</v>
      </c>
      <c r="AW3" t="b">
        <f>AND(ckAwdQTable[[#This Row],[ILN]]&gt;"M", SUBSTITUTE(ckAwdQTable[[#This Row],[prop_titl_txt]]," ","")&lt;&gt;SUBSTITUTE(AV2," ",""))</f>
        <v>0</v>
      </c>
      <c r="AX3" s="8" t="s">
        <v>759</v>
      </c>
    </row>
    <row r="4" spans="1:68" ht="15" customHeight="1" x14ac:dyDescent="0.35">
      <c r="B4" s="30">
        <v>42933.713888888888</v>
      </c>
      <c r="C4" t="s">
        <v>737</v>
      </c>
      <c r="D4" t="s">
        <v>738</v>
      </c>
      <c r="E4" t="s">
        <v>491</v>
      </c>
      <c r="F4" t="s">
        <v>523</v>
      </c>
      <c r="G4" s="8" t="s">
        <v>739</v>
      </c>
      <c r="H4" s="8" t="s">
        <v>740</v>
      </c>
      <c r="I4" s="8" t="s">
        <v>892</v>
      </c>
      <c r="J4" t="s">
        <v>741</v>
      </c>
      <c r="K4" t="s">
        <v>742</v>
      </c>
      <c r="L4" s="22"/>
      <c r="M4" s="107">
        <f xml:space="preserve"> M3+(ckAwdQTable[ILN]&lt;"M")</f>
        <v>3</v>
      </c>
      <c r="N4" t="s">
        <v>745</v>
      </c>
      <c r="O4" t="s">
        <v>586</v>
      </c>
      <c r="P4" s="15" t="str">
        <f>HYPERLINK("https://www.ejacket.nsf.gov/ej/showProposal.do?ID="&amp;ckAwdQTable[[#This Row],[prop_id]],"eJ")</f>
        <v>eJ</v>
      </c>
      <c r="Q4" s="8" t="s">
        <v>746</v>
      </c>
      <c r="R4" t="s">
        <v>586</v>
      </c>
      <c r="S4" t="s">
        <v>587</v>
      </c>
      <c r="T4" t="s">
        <v>761</v>
      </c>
      <c r="U4" s="8" t="s">
        <v>762</v>
      </c>
      <c r="V4" t="s">
        <v>760</v>
      </c>
      <c r="W4" s="111" t="str">
        <f>HYPERLINK("mailto:"&amp; ckAwdQTable[[#This Row],[email]]&amp;"&amp;subject=Your NSF Proposal:  "&amp;ckAwdQTable[[#This Row],[prop_id]], ckAwdQTable[[#This Row],[email]])</f>
        <v>delpia@wisc.edu</v>
      </c>
      <c r="X4" s="30">
        <v>43344</v>
      </c>
      <c r="Y4">
        <v>60</v>
      </c>
      <c r="AA4" s="21" t="s">
        <v>532</v>
      </c>
      <c r="AB4" s="21" t="s">
        <v>893</v>
      </c>
      <c r="AC4"/>
      <c r="AD4" s="21" t="s">
        <v>532</v>
      </c>
      <c r="AE4" s="21" t="s">
        <v>895</v>
      </c>
      <c r="AF4" s="13">
        <v>500000</v>
      </c>
      <c r="AG4" s="121">
        <v>0</v>
      </c>
      <c r="AH4" s="1">
        <v>500000</v>
      </c>
      <c r="AI4" s="1"/>
      <c r="AJ4" s="1">
        <v>12416</v>
      </c>
      <c r="AM4" s="21">
        <v>5</v>
      </c>
      <c r="AN4" s="21">
        <v>5</v>
      </c>
      <c r="AO4" s="21">
        <v>5</v>
      </c>
      <c r="AP4" s="21"/>
      <c r="AQ4" s="21"/>
      <c r="AR4" s="123" t="s">
        <v>750</v>
      </c>
      <c r="AS4" s="21" t="s">
        <v>894</v>
      </c>
      <c r="AT4" s="21" t="str">
        <f>SummarizeQuestMarks(ckAwdQTable[[#This Row],[abst_narr_txt]])</f>
        <v xml:space="preserve"> </v>
      </c>
      <c r="AU4" s="124"/>
      <c r="AV4" t="s">
        <v>764</v>
      </c>
      <c r="AW4" t="b">
        <f>AND(ckAwdQTable[[#This Row],[ILN]]&gt;"M", SUBSTITUTE(ckAwdQTable[[#This Row],[prop_titl_txt]]," ","")&lt;&gt;SUBSTITUTE(AV3," ",""))</f>
        <v>0</v>
      </c>
      <c r="AX4" s="8" t="s">
        <v>765</v>
      </c>
    </row>
    <row r="5" spans="1:68" ht="15" customHeight="1" x14ac:dyDescent="0.35">
      <c r="B5" s="30">
        <v>42933.820138888892</v>
      </c>
      <c r="C5" t="s">
        <v>737</v>
      </c>
      <c r="D5" t="s">
        <v>738</v>
      </c>
      <c r="E5" t="s">
        <v>491</v>
      </c>
      <c r="F5" t="s">
        <v>523</v>
      </c>
      <c r="G5" s="8" t="s">
        <v>739</v>
      </c>
      <c r="H5" s="8" t="s">
        <v>740</v>
      </c>
      <c r="I5" s="8" t="s">
        <v>892</v>
      </c>
      <c r="J5" t="s">
        <v>741</v>
      </c>
      <c r="K5" t="s">
        <v>742</v>
      </c>
      <c r="L5" s="22"/>
      <c r="M5" s="107">
        <f xml:space="preserve"> M4+(ckAwdQTable[ILN]&lt;"M")</f>
        <v>4</v>
      </c>
      <c r="N5" t="s">
        <v>745</v>
      </c>
      <c r="O5" t="s">
        <v>601</v>
      </c>
      <c r="P5" s="15" t="str">
        <f>HYPERLINK("https://www.ejacket.nsf.gov/ej/showProposal.do?ID="&amp;ckAwdQTable[[#This Row],[prop_id]],"eJ")</f>
        <v>eJ</v>
      </c>
      <c r="Q5" s="8" t="s">
        <v>746</v>
      </c>
      <c r="R5" t="s">
        <v>601</v>
      </c>
      <c r="S5" t="s">
        <v>602</v>
      </c>
      <c r="T5" t="s">
        <v>767</v>
      </c>
      <c r="U5" s="8" t="s">
        <v>768</v>
      </c>
      <c r="V5" t="s">
        <v>766</v>
      </c>
      <c r="W5" s="111" t="str">
        <f>HYPERLINK("mailto:"&amp; ckAwdQTable[[#This Row],[email]]&amp;"&amp;subject=Your NSF Proposal:  "&amp;ckAwdQTable[[#This Row],[prop_id]], ckAwdQTable[[#This Row],[email]])</f>
        <v>yintat@uw.edu</v>
      </c>
      <c r="X5" s="30">
        <v>43175</v>
      </c>
      <c r="Y5">
        <v>60</v>
      </c>
      <c r="AA5" s="21" t="s">
        <v>532</v>
      </c>
      <c r="AB5" s="21" t="s">
        <v>893</v>
      </c>
      <c r="AC5"/>
      <c r="AD5" s="21" t="s">
        <v>532</v>
      </c>
      <c r="AF5" s="13">
        <v>549841</v>
      </c>
      <c r="AG5" s="121">
        <v>0</v>
      </c>
      <c r="AH5" s="1">
        <v>549841</v>
      </c>
      <c r="AI5" s="1"/>
      <c r="AJ5" s="1"/>
      <c r="AM5" s="21">
        <v>5</v>
      </c>
      <c r="AN5" s="21">
        <v>5</v>
      </c>
      <c r="AO5" s="21">
        <v>2.5</v>
      </c>
      <c r="AP5" s="21"/>
      <c r="AQ5" s="21">
        <v>2.5</v>
      </c>
      <c r="AR5" s="123" t="s">
        <v>750</v>
      </c>
      <c r="AS5" s="21" t="s">
        <v>894</v>
      </c>
      <c r="AT5" s="21" t="str">
        <f>SummarizeQuestMarks(ckAwdQTable[[#This Row],[abst_narr_txt]])</f>
        <v xml:space="preserve"> </v>
      </c>
      <c r="AU5" s="124"/>
      <c r="AV5" t="s">
        <v>770</v>
      </c>
      <c r="AW5" t="b">
        <f>AND(ckAwdQTable[[#This Row],[ILN]]&gt;"M", SUBSTITUTE(ckAwdQTable[[#This Row],[prop_titl_txt]]," ","")&lt;&gt;SUBSTITUTE(AV4," ",""))</f>
        <v>0</v>
      </c>
      <c r="AX5" s="8" t="s">
        <v>771</v>
      </c>
    </row>
    <row r="6" spans="1:68" ht="15" customHeight="1" x14ac:dyDescent="0.35">
      <c r="B6" s="30">
        <v>42934.625694444447</v>
      </c>
      <c r="C6" t="s">
        <v>737</v>
      </c>
      <c r="D6" t="s">
        <v>738</v>
      </c>
      <c r="E6" t="s">
        <v>491</v>
      </c>
      <c r="F6" t="s">
        <v>523</v>
      </c>
      <c r="G6" s="8" t="s">
        <v>739</v>
      </c>
      <c r="H6" s="8" t="s">
        <v>740</v>
      </c>
      <c r="I6" s="8" t="s">
        <v>892</v>
      </c>
      <c r="J6" t="s">
        <v>741</v>
      </c>
      <c r="K6" t="s">
        <v>742</v>
      </c>
      <c r="L6" s="22"/>
      <c r="M6" s="107">
        <f xml:space="preserve"> M5+(ckAwdQTable[ILN]&lt;"M")</f>
        <v>5</v>
      </c>
      <c r="N6" t="s">
        <v>745</v>
      </c>
      <c r="O6" t="s">
        <v>612</v>
      </c>
      <c r="P6" s="15" t="str">
        <f>HYPERLINK("https://www.ejacket.nsf.gov/ej/showProposal.do?ID="&amp;ckAwdQTable[[#This Row],[prop_id]],"eJ")</f>
        <v>eJ</v>
      </c>
      <c r="Q6" s="8" t="s">
        <v>746</v>
      </c>
      <c r="R6" t="s">
        <v>612</v>
      </c>
      <c r="S6" t="s">
        <v>613</v>
      </c>
      <c r="T6" t="s">
        <v>773</v>
      </c>
      <c r="U6" s="8" t="s">
        <v>774</v>
      </c>
      <c r="V6" t="s">
        <v>772</v>
      </c>
      <c r="W6" s="111" t="str">
        <f>HYPERLINK("mailto:"&amp; ckAwdQTable[[#This Row],[email]]&amp;"&amp;subject=Your NSF Proposal:  "&amp;ckAwdQTable[[#This Row],[prop_id]], ckAwdQTable[[#This Row],[email]])</f>
        <v>francesco@cs.stonybrook.edu</v>
      </c>
      <c r="X6" s="30">
        <v>43101</v>
      </c>
      <c r="Y6">
        <v>60</v>
      </c>
      <c r="AA6" s="21" t="s">
        <v>532</v>
      </c>
      <c r="AB6" s="21" t="s">
        <v>893</v>
      </c>
      <c r="AC6"/>
      <c r="AD6" s="21" t="s">
        <v>532</v>
      </c>
      <c r="AE6" s="21" t="s">
        <v>895</v>
      </c>
      <c r="AF6" s="13">
        <v>516750</v>
      </c>
      <c r="AG6" s="121">
        <v>0</v>
      </c>
      <c r="AH6" s="1">
        <v>516750</v>
      </c>
      <c r="AI6" s="1"/>
      <c r="AJ6" s="1">
        <v>10000</v>
      </c>
      <c r="AM6" s="21">
        <v>9</v>
      </c>
      <c r="AN6" s="21">
        <v>5</v>
      </c>
      <c r="AO6" s="21">
        <v>5</v>
      </c>
      <c r="AP6" s="21"/>
      <c r="AQ6" s="21"/>
      <c r="AR6" s="123" t="s">
        <v>750</v>
      </c>
      <c r="AS6" s="21" t="s">
        <v>894</v>
      </c>
      <c r="AT6" s="21" t="str">
        <f>SummarizeQuestMarks(ckAwdQTable[[#This Row],[abst_narr_txt]])</f>
        <v xml:space="preserve"> </v>
      </c>
      <c r="AU6" s="124"/>
      <c r="AV6" t="s">
        <v>776</v>
      </c>
      <c r="AW6" t="b">
        <f>AND(ckAwdQTable[[#This Row],[ILN]]&gt;"M", SUBSTITUTE(ckAwdQTable[[#This Row],[prop_titl_txt]]," ","")&lt;&gt;SUBSTITUTE(AV5," ",""))</f>
        <v>0</v>
      </c>
      <c r="AX6" s="8" t="s">
        <v>777</v>
      </c>
    </row>
    <row r="7" spans="1:68" ht="15" customHeight="1" x14ac:dyDescent="0.35">
      <c r="B7" s="30">
        <v>42934.695138888892</v>
      </c>
      <c r="C7" t="s">
        <v>737</v>
      </c>
      <c r="D7" t="s">
        <v>738</v>
      </c>
      <c r="E7" t="s">
        <v>491</v>
      </c>
      <c r="F7" t="s">
        <v>523</v>
      </c>
      <c r="G7" s="8" t="s">
        <v>739</v>
      </c>
      <c r="H7" s="8" t="s">
        <v>740</v>
      </c>
      <c r="I7" s="8" t="s">
        <v>892</v>
      </c>
      <c r="J7" t="s">
        <v>741</v>
      </c>
      <c r="K7" t="s">
        <v>742</v>
      </c>
      <c r="L7" s="22">
        <v>43082.662685185183</v>
      </c>
      <c r="M7" s="107">
        <f xml:space="preserve"> M6+(ckAwdQTable[ILN]&lt;"M")</f>
        <v>6</v>
      </c>
      <c r="N7" t="s">
        <v>745</v>
      </c>
      <c r="O7" t="s">
        <v>634</v>
      </c>
      <c r="P7" s="15" t="str">
        <f>HYPERLINK("https://www.ejacket.nsf.gov/ej/showProposal.do?ID="&amp;ckAwdQTable[[#This Row],[prop_id]],"eJ")</f>
        <v>eJ</v>
      </c>
      <c r="Q7" s="8" t="s">
        <v>746</v>
      </c>
      <c r="R7" t="s">
        <v>634</v>
      </c>
      <c r="S7" t="s">
        <v>635</v>
      </c>
      <c r="T7" t="s">
        <v>779</v>
      </c>
      <c r="U7" s="8" t="s">
        <v>509</v>
      </c>
      <c r="V7" t="s">
        <v>778</v>
      </c>
      <c r="W7" s="111" t="str">
        <f>HYPERLINK("mailto:"&amp; ckAwdQTable[[#This Row],[email]]&amp;"&amp;subject=Your NSF Proposal:  "&amp;ckAwdQTable[[#This Row],[prop_id]], ckAwdQTable[[#This Row],[email]])</f>
        <v>jsolomon@mit.edu</v>
      </c>
      <c r="X7" s="30">
        <v>43101</v>
      </c>
      <c r="Y7">
        <v>60</v>
      </c>
      <c r="AA7" s="21" t="s">
        <v>532</v>
      </c>
      <c r="AB7" s="21" t="s">
        <v>893</v>
      </c>
      <c r="AC7"/>
      <c r="AD7" s="21" t="s">
        <v>532</v>
      </c>
      <c r="AF7" s="13">
        <v>550000</v>
      </c>
      <c r="AG7" s="121">
        <v>0</v>
      </c>
      <c r="AH7" s="1">
        <v>550000</v>
      </c>
      <c r="AI7" s="1"/>
      <c r="AJ7" s="1"/>
      <c r="AM7" s="21">
        <v>5</v>
      </c>
      <c r="AN7" s="21">
        <v>5</v>
      </c>
      <c r="AO7" s="21">
        <v>2.5</v>
      </c>
      <c r="AP7" s="21"/>
      <c r="AQ7" s="21"/>
      <c r="AR7" s="123" t="s">
        <v>750</v>
      </c>
      <c r="AS7" s="21" t="s">
        <v>894</v>
      </c>
      <c r="AT7" s="21" t="str">
        <f>SummarizeQuestMarks(ckAwdQTable[[#This Row],[abst_narr_txt]])</f>
        <v xml:space="preserve"> </v>
      </c>
      <c r="AU7" s="124"/>
      <c r="AV7" t="s">
        <v>781</v>
      </c>
      <c r="AW7" t="b">
        <f>AND(ckAwdQTable[[#This Row],[ILN]]&gt;"M", SUBSTITUTE(ckAwdQTable[[#This Row],[prop_titl_txt]]," ","")&lt;&gt;SUBSTITUTE(AV6," ",""))</f>
        <v>0</v>
      </c>
      <c r="AX7" s="8" t="s">
        <v>782</v>
      </c>
    </row>
    <row r="8" spans="1:68" ht="15" customHeight="1" x14ac:dyDescent="0.35">
      <c r="B8" s="30">
        <v>42934.808333333334</v>
      </c>
      <c r="C8" t="s">
        <v>737</v>
      </c>
      <c r="D8" t="s">
        <v>738</v>
      </c>
      <c r="E8" t="s">
        <v>491</v>
      </c>
      <c r="F8" t="s">
        <v>523</v>
      </c>
      <c r="G8" s="8" t="s">
        <v>739</v>
      </c>
      <c r="H8" s="8" t="s">
        <v>740</v>
      </c>
      <c r="I8" s="8" t="s">
        <v>892</v>
      </c>
      <c r="J8" t="s">
        <v>741</v>
      </c>
      <c r="K8" t="s">
        <v>742</v>
      </c>
      <c r="L8" s="22">
        <v>43076.609027777777</v>
      </c>
      <c r="M8" s="107">
        <f xml:space="preserve"> M7+(ckAwdQTable[ILN]&lt;"M")</f>
        <v>7</v>
      </c>
      <c r="N8" t="s">
        <v>745</v>
      </c>
      <c r="O8" t="s">
        <v>643</v>
      </c>
      <c r="P8" s="15" t="str">
        <f>HYPERLINK("https://www.ejacket.nsf.gov/ej/showProposal.do?ID="&amp;ckAwdQTable[[#This Row],[prop_id]],"eJ")</f>
        <v>eJ</v>
      </c>
      <c r="Q8" s="8" t="s">
        <v>746</v>
      </c>
      <c r="R8" t="s">
        <v>643</v>
      </c>
      <c r="S8" t="s">
        <v>644</v>
      </c>
      <c r="T8" t="s">
        <v>785</v>
      </c>
      <c r="U8" s="8" t="s">
        <v>786</v>
      </c>
      <c r="V8" t="s">
        <v>784</v>
      </c>
      <c r="W8" s="111" t="str">
        <f>HYPERLINK("mailto:"&amp; ckAwdQTable[[#This Row],[email]]&amp;"&amp;subject=Your NSF Proposal:  "&amp;ckAwdQTable[[#This Row],[prop_id]], ckAwdQTable[[#This Row],[email]])</f>
        <v>craig@ucr.edu</v>
      </c>
      <c r="X8" s="30">
        <v>43101</v>
      </c>
      <c r="Y8">
        <v>60</v>
      </c>
      <c r="AA8" s="21" t="s">
        <v>532</v>
      </c>
      <c r="AB8" s="21" t="s">
        <v>893</v>
      </c>
      <c r="AC8"/>
      <c r="AD8" s="21" t="s">
        <v>532</v>
      </c>
      <c r="AF8" s="13">
        <v>440331</v>
      </c>
      <c r="AG8" s="121">
        <v>0</v>
      </c>
      <c r="AH8" s="1">
        <v>440331</v>
      </c>
      <c r="AI8" s="1"/>
      <c r="AJ8" s="1"/>
      <c r="AM8" s="21">
        <v>5</v>
      </c>
      <c r="AN8" s="21">
        <v>5</v>
      </c>
      <c r="AO8" s="21">
        <v>5</v>
      </c>
      <c r="AP8" s="21"/>
      <c r="AQ8" s="21"/>
      <c r="AR8" s="123" t="s">
        <v>750</v>
      </c>
      <c r="AS8" s="21" t="s">
        <v>894</v>
      </c>
      <c r="AT8" s="21" t="str">
        <f>SummarizeQuestMarks(ckAwdQTable[[#This Row],[abst_narr_txt]])</f>
        <v xml:space="preserve"> </v>
      </c>
      <c r="AU8" s="124"/>
      <c r="AV8" t="s">
        <v>788</v>
      </c>
      <c r="AW8" t="b">
        <f>AND(ckAwdQTable[[#This Row],[ILN]]&gt;"M", SUBSTITUTE(ckAwdQTable[[#This Row],[prop_titl_txt]]," ","")&lt;&gt;SUBSTITUTE(AV7," ",""))</f>
        <v>0</v>
      </c>
      <c r="AX8" s="8" t="s">
        <v>789</v>
      </c>
    </row>
    <row r="9" spans="1:68" ht="15" customHeight="1" x14ac:dyDescent="0.35">
      <c r="B9" s="30">
        <v>42935.633333333331</v>
      </c>
      <c r="C9" t="s">
        <v>737</v>
      </c>
      <c r="D9" t="s">
        <v>738</v>
      </c>
      <c r="E9" t="s">
        <v>491</v>
      </c>
      <c r="F9" t="s">
        <v>523</v>
      </c>
      <c r="G9" s="8" t="s">
        <v>739</v>
      </c>
      <c r="H9" s="8" t="s">
        <v>740</v>
      </c>
      <c r="I9" s="8" t="s">
        <v>892</v>
      </c>
      <c r="J9" t="s">
        <v>741</v>
      </c>
      <c r="K9" t="s">
        <v>742</v>
      </c>
      <c r="L9" s="22"/>
      <c r="M9" s="107">
        <f xml:space="preserve"> M8+(ckAwdQTable[ILN]&lt;"M")</f>
        <v>8</v>
      </c>
      <c r="N9" t="s">
        <v>745</v>
      </c>
      <c r="O9" t="s">
        <v>659</v>
      </c>
      <c r="P9" s="15" t="str">
        <f>HYPERLINK("https://www.ejacket.nsf.gov/ej/showProposal.do?ID="&amp;ckAwdQTable[[#This Row],[prop_id]],"eJ")</f>
        <v>eJ</v>
      </c>
      <c r="Q9" s="8" t="s">
        <v>746</v>
      </c>
      <c r="R9" t="s">
        <v>659</v>
      </c>
      <c r="S9" t="s">
        <v>660</v>
      </c>
      <c r="T9" t="s">
        <v>791</v>
      </c>
      <c r="U9" s="8" t="s">
        <v>792</v>
      </c>
      <c r="V9" t="s">
        <v>790</v>
      </c>
      <c r="W9" s="111" t="str">
        <f>HYPERLINK("mailto:"&amp; ckAwdQTable[[#This Row],[email]]&amp;"&amp;subject=Your NSF Proposal:  "&amp;ckAwdQTable[[#This Row],[prop_id]], ckAwdQTable[[#This Row],[email]])</f>
        <v>Benjamin.Raichel@utdallas.edu</v>
      </c>
      <c r="X9" s="30">
        <v>43344</v>
      </c>
      <c r="Y9">
        <v>60</v>
      </c>
      <c r="AA9" s="21" t="s">
        <v>532</v>
      </c>
      <c r="AB9" s="21" t="s">
        <v>893</v>
      </c>
      <c r="AC9"/>
      <c r="AD9" s="21" t="s">
        <v>532</v>
      </c>
      <c r="AE9" s="21" t="s">
        <v>895</v>
      </c>
      <c r="AF9" s="13">
        <v>582785</v>
      </c>
      <c r="AG9" s="121">
        <v>0</v>
      </c>
      <c r="AH9" s="1">
        <v>582785</v>
      </c>
      <c r="AI9" s="1"/>
      <c r="AJ9" s="1">
        <v>7500</v>
      </c>
      <c r="AM9" s="21">
        <v>10</v>
      </c>
      <c r="AN9" s="21">
        <v>5</v>
      </c>
      <c r="AO9" s="21">
        <v>5</v>
      </c>
      <c r="AP9" s="21"/>
      <c r="AQ9" s="21"/>
      <c r="AR9" s="123" t="s">
        <v>750</v>
      </c>
      <c r="AS9" s="21" t="s">
        <v>894</v>
      </c>
      <c r="AT9" s="21" t="str">
        <f>SummarizeQuestMarks(ckAwdQTable[[#This Row],[abst_narr_txt]])</f>
        <v xml:space="preserve"> </v>
      </c>
      <c r="AU9" s="124"/>
      <c r="AV9" t="s">
        <v>794</v>
      </c>
      <c r="AW9" t="b">
        <f>AND(ckAwdQTable[[#This Row],[ILN]]&gt;"M", SUBSTITUTE(ckAwdQTable[[#This Row],[prop_titl_txt]]," ","")&lt;&gt;SUBSTITUTE(AV8," ",""))</f>
        <v>0</v>
      </c>
      <c r="AX9" s="8" t="s">
        <v>795</v>
      </c>
    </row>
    <row r="10" spans="1:68" ht="15" customHeight="1" x14ac:dyDescent="0.35">
      <c r="B10" s="30">
        <v>42935.680555555555</v>
      </c>
      <c r="C10" t="s">
        <v>737</v>
      </c>
      <c r="D10" t="s">
        <v>738</v>
      </c>
      <c r="E10" t="s">
        <v>491</v>
      </c>
      <c r="F10" t="s">
        <v>523</v>
      </c>
      <c r="G10" s="8" t="s">
        <v>739</v>
      </c>
      <c r="H10" s="8" t="s">
        <v>740</v>
      </c>
      <c r="I10" s="8" t="s">
        <v>892</v>
      </c>
      <c r="J10" t="s">
        <v>741</v>
      </c>
      <c r="K10" t="s">
        <v>742</v>
      </c>
      <c r="L10" s="22">
        <v>43082.668969907405</v>
      </c>
      <c r="M10" s="107">
        <f xml:space="preserve"> M9+(ckAwdQTable[ILN]&lt;"M")</f>
        <v>9</v>
      </c>
      <c r="N10" t="s">
        <v>745</v>
      </c>
      <c r="O10" t="s">
        <v>671</v>
      </c>
      <c r="P10" s="15" t="str">
        <f>HYPERLINK("https://www.ejacket.nsf.gov/ej/showProposal.do?ID="&amp;ckAwdQTable[[#This Row],[prop_id]],"eJ")</f>
        <v>eJ</v>
      </c>
      <c r="Q10" s="8" t="s">
        <v>746</v>
      </c>
      <c r="R10" t="s">
        <v>671</v>
      </c>
      <c r="S10" t="s">
        <v>672</v>
      </c>
      <c r="T10" t="s">
        <v>796</v>
      </c>
      <c r="U10" s="8" t="s">
        <v>797</v>
      </c>
      <c r="V10" t="s">
        <v>790</v>
      </c>
      <c r="W10" s="111" t="str">
        <f>HYPERLINK("mailto:"&amp; ckAwdQTable[[#This Row],[email]]&amp;"&amp;subject=Your NSF Proposal:  "&amp;ckAwdQTable[[#This Row],[prop_id]], ckAwdQTable[[#This Row],[email]])</f>
        <v>MATTHEW.GIBSON@UTSA.EDU</v>
      </c>
      <c r="X10" s="30">
        <v>43132</v>
      </c>
      <c r="Y10">
        <v>60</v>
      </c>
      <c r="AA10" s="21" t="s">
        <v>532</v>
      </c>
      <c r="AB10" s="21" t="s">
        <v>893</v>
      </c>
      <c r="AC10"/>
      <c r="AD10" s="21" t="s">
        <v>532</v>
      </c>
      <c r="AE10" s="21" t="s">
        <v>895</v>
      </c>
      <c r="AF10" s="13">
        <v>415497</v>
      </c>
      <c r="AG10" s="121">
        <v>0</v>
      </c>
      <c r="AH10" s="1">
        <v>415497</v>
      </c>
      <c r="AI10" s="1"/>
      <c r="AJ10" s="1">
        <v>12250</v>
      </c>
      <c r="AL10" s="1">
        <v>16000</v>
      </c>
      <c r="AM10" s="21">
        <v>5</v>
      </c>
      <c r="AN10" s="21">
        <v>5</v>
      </c>
      <c r="AO10" s="21">
        <v>5</v>
      </c>
      <c r="AP10" s="21"/>
      <c r="AQ10" s="21"/>
      <c r="AR10" s="123" t="s">
        <v>750</v>
      </c>
      <c r="AS10" s="21" t="s">
        <v>894</v>
      </c>
      <c r="AT10" s="21" t="str">
        <f>SummarizeQuestMarks(ckAwdQTable[[#This Row],[abst_narr_txt]])</f>
        <v xml:space="preserve"> </v>
      </c>
      <c r="AU10" s="124"/>
      <c r="AV10" t="s">
        <v>799</v>
      </c>
      <c r="AW10" t="b">
        <f>AND(ckAwdQTable[[#This Row],[ILN]]&gt;"M", SUBSTITUTE(ckAwdQTable[[#This Row],[prop_titl_txt]]," ","")&lt;&gt;SUBSTITUTE(AV9," ",""))</f>
        <v>0</v>
      </c>
      <c r="AX10" s="8" t="s">
        <v>800</v>
      </c>
    </row>
    <row r="11" spans="1:68" ht="15" customHeight="1" x14ac:dyDescent="0.35">
      <c r="B11" s="30">
        <v>42935.69027777778</v>
      </c>
      <c r="C11" t="s">
        <v>737</v>
      </c>
      <c r="D11" t="s">
        <v>738</v>
      </c>
      <c r="E11" t="s">
        <v>491</v>
      </c>
      <c r="F11" t="s">
        <v>523</v>
      </c>
      <c r="G11" s="8" t="s">
        <v>739</v>
      </c>
      <c r="H11" s="8" t="s">
        <v>740</v>
      </c>
      <c r="I11" s="8" t="s">
        <v>892</v>
      </c>
      <c r="J11" t="s">
        <v>741</v>
      </c>
      <c r="K11" t="s">
        <v>742</v>
      </c>
      <c r="L11" s="22"/>
      <c r="M11" s="107">
        <f xml:space="preserve"> M10+(ckAwdQTable[ILN]&lt;"M")</f>
        <v>10</v>
      </c>
      <c r="N11" t="s">
        <v>745</v>
      </c>
      <c r="O11" t="s">
        <v>680</v>
      </c>
      <c r="P11" s="15" t="str">
        <f>HYPERLINK("https://www.ejacket.nsf.gov/ej/showProposal.do?ID="&amp;ckAwdQTable[[#This Row],[prop_id]],"eJ")</f>
        <v>eJ</v>
      </c>
      <c r="Q11" s="8" t="s">
        <v>746</v>
      </c>
      <c r="R11" t="s">
        <v>680</v>
      </c>
      <c r="S11" t="s">
        <v>681</v>
      </c>
      <c r="T11" t="s">
        <v>801</v>
      </c>
      <c r="U11" s="8" t="s">
        <v>802</v>
      </c>
      <c r="V11" t="s">
        <v>790</v>
      </c>
      <c r="W11" s="111" t="str">
        <f>HYPERLINK("mailto:"&amp; ckAwdQTable[[#This Row],[email]]&amp;"&amp;subject=Your NSF Proposal:  "&amp;ckAwdQTable[[#This Row],[prop_id]], ckAwdQTable[[#This Row],[email]])</f>
        <v>evouga@cs.utexas.edu</v>
      </c>
      <c r="X11" s="30">
        <v>43344</v>
      </c>
      <c r="Y11">
        <v>60</v>
      </c>
      <c r="AA11" s="21" t="s">
        <v>532</v>
      </c>
      <c r="AB11" s="21" t="s">
        <v>893</v>
      </c>
      <c r="AC11"/>
      <c r="AD11" s="21" t="s">
        <v>532</v>
      </c>
      <c r="AE11" s="21" t="s">
        <v>895</v>
      </c>
      <c r="AF11" s="13">
        <v>523537</v>
      </c>
      <c r="AG11" s="121">
        <v>0</v>
      </c>
      <c r="AH11" s="1">
        <v>523537</v>
      </c>
      <c r="AI11" s="1"/>
      <c r="AJ11" s="1">
        <v>15000</v>
      </c>
      <c r="AM11" s="21">
        <v>7</v>
      </c>
      <c r="AN11" s="21">
        <v>5</v>
      </c>
      <c r="AO11" s="21">
        <v>2</v>
      </c>
      <c r="AP11" s="21"/>
      <c r="AQ11" s="21"/>
      <c r="AR11" s="123" t="s">
        <v>750</v>
      </c>
      <c r="AS11" s="21" t="s">
        <v>894</v>
      </c>
      <c r="AT11" s="21" t="str">
        <f>SummarizeQuestMarks(ckAwdQTable[[#This Row],[abst_narr_txt]])</f>
        <v xml:space="preserve"> </v>
      </c>
      <c r="AU11" s="124"/>
      <c r="AV11" t="s">
        <v>804</v>
      </c>
      <c r="AW11" t="b">
        <f>AND(ckAwdQTable[[#This Row],[ILN]]&gt;"M", SUBSTITUTE(ckAwdQTable[[#This Row],[prop_titl_txt]]," ","")&lt;&gt;SUBSTITUTE(AV10," ",""))</f>
        <v>0</v>
      </c>
      <c r="AX11" s="8" t="s">
        <v>805</v>
      </c>
    </row>
    <row r="12" spans="1:68" ht="15" customHeight="1" x14ac:dyDescent="0.35">
      <c r="B12" s="30">
        <v>42935.696527777778</v>
      </c>
      <c r="C12" t="s">
        <v>737</v>
      </c>
      <c r="D12" t="s">
        <v>738</v>
      </c>
      <c r="E12" t="s">
        <v>491</v>
      </c>
      <c r="F12" t="s">
        <v>523</v>
      </c>
      <c r="G12" s="8" t="s">
        <v>739</v>
      </c>
      <c r="H12" s="8" t="s">
        <v>740</v>
      </c>
      <c r="I12" s="8" t="s">
        <v>892</v>
      </c>
      <c r="J12" t="s">
        <v>741</v>
      </c>
      <c r="K12" t="s">
        <v>742</v>
      </c>
      <c r="L12" s="22"/>
      <c r="M12" s="107">
        <f xml:space="preserve"> M11+(ckAwdQTable[ILN]&lt;"M")</f>
        <v>11</v>
      </c>
      <c r="N12" t="s">
        <v>745</v>
      </c>
      <c r="O12" t="s">
        <v>689</v>
      </c>
      <c r="P12" s="15" t="str">
        <f>HYPERLINK("https://www.ejacket.nsf.gov/ej/showProposal.do?ID="&amp;ckAwdQTable[[#This Row],[prop_id]],"eJ")</f>
        <v>eJ</v>
      </c>
      <c r="Q12" s="8" t="s">
        <v>746</v>
      </c>
      <c r="R12" t="s">
        <v>689</v>
      </c>
      <c r="S12" t="s">
        <v>690</v>
      </c>
      <c r="T12" t="s">
        <v>807</v>
      </c>
      <c r="U12" s="8" t="s">
        <v>808</v>
      </c>
      <c r="V12" t="s">
        <v>806</v>
      </c>
      <c r="W12" s="111" t="str">
        <f>HYPERLINK("mailto:"&amp; ckAwdQTable[[#This Row],[email]]&amp;"&amp;subject=Your NSF Proposal:  "&amp;ckAwdQTable[[#This Row],[prop_id]], ckAwdQTable[[#This Row],[email]])</f>
        <v>nayyeria@eecs.oregonstate.edu</v>
      </c>
      <c r="X12" s="30">
        <v>43344</v>
      </c>
      <c r="Y12">
        <v>60</v>
      </c>
      <c r="AA12" s="21" t="s">
        <v>532</v>
      </c>
      <c r="AB12" s="21" t="s">
        <v>893</v>
      </c>
      <c r="AC12"/>
      <c r="AD12" s="21" t="s">
        <v>532</v>
      </c>
      <c r="AE12" s="21" t="s">
        <v>895</v>
      </c>
      <c r="AF12" s="13">
        <v>607459</v>
      </c>
      <c r="AG12" s="121">
        <v>0</v>
      </c>
      <c r="AH12" s="1">
        <v>607459</v>
      </c>
      <c r="AI12" s="1"/>
      <c r="AJ12" s="1">
        <v>23133</v>
      </c>
      <c r="AL12" s="1">
        <v>5500</v>
      </c>
      <c r="AM12" s="21">
        <v>5</v>
      </c>
      <c r="AN12" s="21">
        <v>5</v>
      </c>
      <c r="AO12" s="21">
        <v>4.5</v>
      </c>
      <c r="AP12" s="21"/>
      <c r="AQ12" s="21"/>
      <c r="AR12" s="123" t="s">
        <v>750</v>
      </c>
      <c r="AS12" s="21" t="s">
        <v>894</v>
      </c>
      <c r="AT12" s="21" t="str">
        <f>SummarizeQuestMarks(ckAwdQTable[[#This Row],[abst_narr_txt]])</f>
        <v xml:space="preserve"> </v>
      </c>
      <c r="AU12" s="124"/>
      <c r="AV12" t="s">
        <v>810</v>
      </c>
      <c r="AW12" t="b">
        <f>AND(ckAwdQTable[[#This Row],[ILN]]&gt;"M", SUBSTITUTE(ckAwdQTable[[#This Row],[prop_titl_txt]]," ","")&lt;&gt;SUBSTITUTE(AV11," ",""))</f>
        <v>0</v>
      </c>
      <c r="AX12" s="8" t="s">
        <v>811</v>
      </c>
    </row>
    <row r="13" spans="1:68" ht="15" customHeight="1" x14ac:dyDescent="0.35">
      <c r="B13" s="30">
        <v>42956.472222222219</v>
      </c>
      <c r="C13" t="s">
        <v>812</v>
      </c>
      <c r="D13" t="s">
        <v>738</v>
      </c>
      <c r="E13" t="s">
        <v>489</v>
      </c>
      <c r="F13" t="s">
        <v>523</v>
      </c>
      <c r="G13" s="8" t="s">
        <v>739</v>
      </c>
      <c r="H13" s="8" t="s">
        <v>740</v>
      </c>
      <c r="I13" s="8" t="s">
        <v>892</v>
      </c>
      <c r="J13" t="s">
        <v>741</v>
      </c>
      <c r="K13" t="s">
        <v>813</v>
      </c>
      <c r="L13" s="22">
        <v>43082.662800925929</v>
      </c>
      <c r="M13" s="107">
        <f xml:space="preserve"> M12+(ckAwdQTable[ILN]&lt;"M")</f>
        <v>12</v>
      </c>
      <c r="N13" t="s">
        <v>745</v>
      </c>
      <c r="O13" t="s">
        <v>697</v>
      </c>
      <c r="P13" s="15" t="str">
        <f>HYPERLINK("https://www.ejacket.nsf.gov/ej/showProposal.do?ID="&amp;ckAwdQTable[[#This Row],[prop_id]],"eJ")</f>
        <v>eJ</v>
      </c>
      <c r="Q13" s="8" t="s">
        <v>746</v>
      </c>
      <c r="R13" t="s">
        <v>697</v>
      </c>
      <c r="S13" t="s">
        <v>698</v>
      </c>
      <c r="T13" t="s">
        <v>816</v>
      </c>
      <c r="U13" s="8" t="s">
        <v>817</v>
      </c>
      <c r="V13" t="s">
        <v>815</v>
      </c>
      <c r="W13" s="111" t="str">
        <f>HYPERLINK("mailto:"&amp; ckAwdQTable[[#This Row],[email]]&amp;"&amp;subject=Your NSF Proposal:  "&amp;ckAwdQTable[[#This Row],[prop_id]], ckAwdQTable[[#This Row],[email]])</f>
        <v>hcharkhgard@usf.edu</v>
      </c>
      <c r="X13" s="30">
        <v>43221</v>
      </c>
      <c r="Y13">
        <v>24</v>
      </c>
      <c r="AA13" s="21" t="s">
        <v>532</v>
      </c>
      <c r="AB13" s="21" t="s">
        <v>893</v>
      </c>
      <c r="AC13"/>
      <c r="AD13" s="21" t="s">
        <v>532</v>
      </c>
      <c r="AF13" s="13">
        <v>172682</v>
      </c>
      <c r="AG13" s="121">
        <v>0</v>
      </c>
      <c r="AH13" s="1">
        <v>172682</v>
      </c>
      <c r="AI13" s="1"/>
      <c r="AJ13" s="1"/>
      <c r="AM13" s="21">
        <v>4</v>
      </c>
      <c r="AN13" s="21"/>
      <c r="AO13" s="21"/>
      <c r="AP13" s="21"/>
      <c r="AQ13" s="21"/>
      <c r="AR13" s="123" t="s">
        <v>750</v>
      </c>
      <c r="AS13" s="21" t="s">
        <v>894</v>
      </c>
      <c r="AT13" s="21" t="str">
        <f>SummarizeQuestMarks(ckAwdQTable[[#This Row],[abst_narr_txt]])</f>
        <v xml:space="preserve"> </v>
      </c>
      <c r="AU13" s="124"/>
      <c r="AV13" t="s">
        <v>819</v>
      </c>
      <c r="AW13" t="b">
        <f>AND(ckAwdQTable[[#This Row],[ILN]]&gt;"M", SUBSTITUTE(ckAwdQTable[[#This Row],[prop_titl_txt]]," ","")&lt;&gt;SUBSTITUTE(AV12," ",""))</f>
        <v>0</v>
      </c>
      <c r="AX13" s="8" t="s">
        <v>820</v>
      </c>
    </row>
    <row r="14" spans="1:68" ht="15" customHeight="1" x14ac:dyDescent="0.35">
      <c r="B14" s="30">
        <v>42956.647916666669</v>
      </c>
      <c r="C14" t="s">
        <v>812</v>
      </c>
      <c r="D14" t="s">
        <v>738</v>
      </c>
      <c r="E14" t="s">
        <v>489</v>
      </c>
      <c r="F14" t="s">
        <v>523</v>
      </c>
      <c r="G14" s="8" t="s">
        <v>739</v>
      </c>
      <c r="H14" s="8" t="s">
        <v>740</v>
      </c>
      <c r="I14" s="8" t="s">
        <v>892</v>
      </c>
      <c r="J14" t="s">
        <v>741</v>
      </c>
      <c r="K14" t="s">
        <v>813</v>
      </c>
      <c r="L14" s="22">
        <v>43082.669189814813</v>
      </c>
      <c r="M14" s="107">
        <f xml:space="preserve"> M13+(ckAwdQTable[ILN]&lt;"M")</f>
        <v>13</v>
      </c>
      <c r="N14" t="s">
        <v>745</v>
      </c>
      <c r="O14" t="s">
        <v>705</v>
      </c>
      <c r="P14" s="15" t="str">
        <f>HYPERLINK("https://www.ejacket.nsf.gov/ej/showProposal.do?ID="&amp;ckAwdQTable[[#This Row],[prop_id]],"eJ")</f>
        <v>eJ</v>
      </c>
      <c r="Q14" s="8" t="s">
        <v>746</v>
      </c>
      <c r="R14" t="s">
        <v>705</v>
      </c>
      <c r="S14" t="s">
        <v>706</v>
      </c>
      <c r="T14" t="s">
        <v>822</v>
      </c>
      <c r="U14" s="8" t="s">
        <v>823</v>
      </c>
      <c r="V14" t="s">
        <v>113</v>
      </c>
      <c r="W14" s="111" t="str">
        <f>HYPERLINK("mailto:"&amp; ckAwdQTable[[#This Row],[email]]&amp;"&amp;subject=Your NSF Proposal:  "&amp;ckAwdQTable[[#This Row],[prop_id]], ckAwdQTable[[#This Row],[email]])</f>
        <v>osan@okstate.edu</v>
      </c>
      <c r="X14" s="30">
        <v>43252</v>
      </c>
      <c r="Y14">
        <v>24</v>
      </c>
      <c r="AA14" s="21" t="s">
        <v>532</v>
      </c>
      <c r="AB14" s="21" t="s">
        <v>893</v>
      </c>
      <c r="AC14"/>
      <c r="AD14" s="21" t="s">
        <v>532</v>
      </c>
      <c r="AF14" s="13">
        <v>170144</v>
      </c>
      <c r="AG14" s="121">
        <v>0</v>
      </c>
      <c r="AH14" s="1">
        <v>170144</v>
      </c>
      <c r="AI14" s="1"/>
      <c r="AJ14" s="1"/>
      <c r="AM14" s="21">
        <v>4</v>
      </c>
      <c r="AN14" s="21"/>
      <c r="AO14" s="21"/>
      <c r="AP14" s="21"/>
      <c r="AQ14" s="21"/>
      <c r="AR14" s="123" t="s">
        <v>750</v>
      </c>
      <c r="AS14" s="21" t="s">
        <v>894</v>
      </c>
      <c r="AT14" s="21" t="str">
        <f>SummarizeQuestMarks(ckAwdQTable[[#This Row],[abst_narr_txt]])</f>
        <v xml:space="preserve"> </v>
      </c>
      <c r="AU14" s="124"/>
      <c r="AV14" t="s">
        <v>825</v>
      </c>
      <c r="AW14" t="b">
        <f>AND(ckAwdQTable[[#This Row],[ILN]]&gt;"M", SUBSTITUTE(ckAwdQTable[[#This Row],[prop_titl_txt]]," ","")&lt;&gt;SUBSTITUTE(AV13," ",""))</f>
        <v>0</v>
      </c>
      <c r="AX14" s="8" t="s">
        <v>826</v>
      </c>
    </row>
    <row r="15" spans="1:68" ht="15" customHeight="1" x14ac:dyDescent="0.35">
      <c r="B15" s="30">
        <v>42956.697222222225</v>
      </c>
      <c r="C15" t="s">
        <v>812</v>
      </c>
      <c r="D15" t="s">
        <v>738</v>
      </c>
      <c r="E15" t="s">
        <v>489</v>
      </c>
      <c r="F15" t="s">
        <v>523</v>
      </c>
      <c r="G15" s="8" t="s">
        <v>739</v>
      </c>
      <c r="H15" s="8" t="s">
        <v>740</v>
      </c>
      <c r="I15" s="8" t="s">
        <v>892</v>
      </c>
      <c r="J15" t="s">
        <v>741</v>
      </c>
      <c r="K15" t="s">
        <v>813</v>
      </c>
      <c r="L15" s="22">
        <v>43076.608877314815</v>
      </c>
      <c r="M15" s="107">
        <f xml:space="preserve"> M14+(ckAwdQTable[ILN]&lt;"M")</f>
        <v>14</v>
      </c>
      <c r="N15" t="s">
        <v>745</v>
      </c>
      <c r="O15" t="s">
        <v>714</v>
      </c>
      <c r="P15" s="15" t="str">
        <f>HYPERLINK("https://www.ejacket.nsf.gov/ej/showProposal.do?ID="&amp;ckAwdQTable[[#This Row],[prop_id]],"eJ")</f>
        <v>eJ</v>
      </c>
      <c r="Q15" s="8" t="s">
        <v>746</v>
      </c>
      <c r="R15" t="s">
        <v>714</v>
      </c>
      <c r="S15" t="s">
        <v>715</v>
      </c>
      <c r="T15" t="s">
        <v>828</v>
      </c>
      <c r="U15" s="8" t="s">
        <v>829</v>
      </c>
      <c r="V15" t="s">
        <v>790</v>
      </c>
      <c r="W15" s="111" t="str">
        <f>HYPERLINK("mailto:"&amp; ckAwdQTable[[#This Row],[email]]&amp;"&amp;subject=Your NSF Proposal:  "&amp;ckAwdQTable[[#This Row],[prop_id]], ckAwdQTable[[#This Row],[email]])</f>
        <v>shima.hm@tamu.edu</v>
      </c>
      <c r="X15" s="30">
        <v>43252</v>
      </c>
      <c r="Y15">
        <v>24</v>
      </c>
      <c r="AA15" s="21" t="s">
        <v>532</v>
      </c>
      <c r="AB15" s="21" t="s">
        <v>893</v>
      </c>
      <c r="AC15"/>
      <c r="AD15" s="21" t="s">
        <v>532</v>
      </c>
      <c r="AF15" s="13">
        <v>175000</v>
      </c>
      <c r="AG15" s="121">
        <v>0</v>
      </c>
      <c r="AH15" s="1">
        <v>175000</v>
      </c>
      <c r="AI15" s="1"/>
      <c r="AJ15" s="1"/>
      <c r="AM15" s="21">
        <v>4</v>
      </c>
      <c r="AN15" s="21"/>
      <c r="AO15" s="21"/>
      <c r="AP15" s="21"/>
      <c r="AQ15" s="21"/>
      <c r="AR15" s="123" t="s">
        <v>750</v>
      </c>
      <c r="AS15" s="21" t="s">
        <v>894</v>
      </c>
      <c r="AT15" s="21" t="str">
        <f>SummarizeQuestMarks(ckAwdQTable[[#This Row],[abst_narr_txt]])</f>
        <v xml:space="preserve"> </v>
      </c>
      <c r="AU15" s="124"/>
      <c r="AV15" t="s">
        <v>831</v>
      </c>
      <c r="AW15" t="b">
        <f>AND(ckAwdQTable[[#This Row],[ILN]]&gt;"M", SUBSTITUTE(ckAwdQTable[[#This Row],[prop_titl_txt]]," ","")&lt;&gt;SUBSTITUTE(AV14," ",""))</f>
        <v>0</v>
      </c>
      <c r="AX15" s="8" t="s">
        <v>832</v>
      </c>
    </row>
    <row r="16" spans="1:68" ht="15" customHeight="1" x14ac:dyDescent="0.35">
      <c r="B16" s="30">
        <v>42956.717361111114</v>
      </c>
      <c r="C16" t="s">
        <v>812</v>
      </c>
      <c r="D16" t="s">
        <v>738</v>
      </c>
      <c r="E16" t="s">
        <v>489</v>
      </c>
      <c r="F16" t="s">
        <v>523</v>
      </c>
      <c r="G16" s="8" t="s">
        <v>739</v>
      </c>
      <c r="H16" s="8" t="s">
        <v>740</v>
      </c>
      <c r="I16" s="8" t="s">
        <v>892</v>
      </c>
      <c r="J16" t="s">
        <v>741</v>
      </c>
      <c r="K16" t="s">
        <v>813</v>
      </c>
      <c r="L16" s="22">
        <v>43076.608923611115</v>
      </c>
      <c r="M16" s="107">
        <f xml:space="preserve"> M15+(ckAwdQTable[ILN]&lt;"M")</f>
        <v>15</v>
      </c>
      <c r="N16" t="s">
        <v>745</v>
      </c>
      <c r="O16" t="s">
        <v>726</v>
      </c>
      <c r="P16" s="15" t="str">
        <f>HYPERLINK("https://www.ejacket.nsf.gov/ej/showProposal.do?ID="&amp;ckAwdQTable[[#This Row],[prop_id]],"eJ")</f>
        <v>eJ</v>
      </c>
      <c r="Q16" s="8" t="s">
        <v>746</v>
      </c>
      <c r="R16" t="s">
        <v>726</v>
      </c>
      <c r="S16" t="s">
        <v>727</v>
      </c>
      <c r="T16" t="s">
        <v>833</v>
      </c>
      <c r="U16" s="8" t="s">
        <v>834</v>
      </c>
      <c r="V16" t="s">
        <v>790</v>
      </c>
      <c r="W16" s="111" t="str">
        <f>HYPERLINK("mailto:"&amp; ckAwdQTable[[#This Row],[email]]&amp;"&amp;subject=Your NSF Proposal:  "&amp;ckAwdQTable[[#This Row],[prop_id]], ckAwdQTable[[#This Row],[email]])</f>
        <v>harsha@smu.edu</v>
      </c>
      <c r="X16" s="30">
        <v>43101</v>
      </c>
      <c r="Y16">
        <v>24</v>
      </c>
      <c r="AA16" s="21" t="s">
        <v>532</v>
      </c>
      <c r="AB16" s="21" t="s">
        <v>893</v>
      </c>
      <c r="AC16"/>
      <c r="AD16" s="21" t="s">
        <v>532</v>
      </c>
      <c r="AF16" s="13">
        <v>175000</v>
      </c>
      <c r="AG16" s="121">
        <v>0</v>
      </c>
      <c r="AH16" s="1">
        <v>175000</v>
      </c>
      <c r="AI16" s="1"/>
      <c r="AJ16" s="1"/>
      <c r="AM16" s="21">
        <v>4</v>
      </c>
      <c r="AN16" s="21"/>
      <c r="AO16" s="21"/>
      <c r="AP16" s="21"/>
      <c r="AQ16" s="21"/>
      <c r="AR16" s="123" t="s">
        <v>750</v>
      </c>
      <c r="AS16" s="21" t="s">
        <v>894</v>
      </c>
      <c r="AT16" s="21" t="str">
        <f>SummarizeQuestMarks(ckAwdQTable[[#This Row],[abst_narr_txt]])</f>
        <v xml:space="preserve"> </v>
      </c>
      <c r="AU16" s="124"/>
      <c r="AV16" t="s">
        <v>836</v>
      </c>
      <c r="AW16" t="b">
        <f>AND(ckAwdQTable[[#This Row],[ILN]]&gt;"M", SUBSTITUTE(ckAwdQTable[[#This Row],[prop_titl_txt]]," ","")&lt;&gt;SUBSTITUTE(AV15," ",""))</f>
        <v>0</v>
      </c>
      <c r="AX16" s="8" t="s">
        <v>837</v>
      </c>
    </row>
    <row r="17" spans="2:50" ht="15" customHeight="1" x14ac:dyDescent="0.35">
      <c r="B17" s="30">
        <v>43035.652777777781</v>
      </c>
      <c r="C17" t="s">
        <v>838</v>
      </c>
      <c r="D17" t="s">
        <v>738</v>
      </c>
      <c r="E17" t="s">
        <v>491</v>
      </c>
      <c r="F17" t="s">
        <v>523</v>
      </c>
      <c r="G17" s="8" t="s">
        <v>739</v>
      </c>
      <c r="H17" s="8" t="s">
        <v>740</v>
      </c>
      <c r="I17" s="8" t="s">
        <v>892</v>
      </c>
      <c r="J17" t="s">
        <v>741</v>
      </c>
      <c r="L17" s="22"/>
      <c r="M17" s="107">
        <f xml:space="preserve"> M16+(ckAwdQTable[ILN]&lt;"M")</f>
        <v>16</v>
      </c>
      <c r="N17" t="s">
        <v>745</v>
      </c>
      <c r="O17" t="s">
        <v>734</v>
      </c>
      <c r="P17" s="15" t="str">
        <f>HYPERLINK("https://www.ejacket.nsf.gov/ej/showProposal.do?ID="&amp;ckAwdQTable[[#This Row],[prop_id]],"eJ")</f>
        <v>eJ</v>
      </c>
      <c r="Q17" s="8" t="s">
        <v>746</v>
      </c>
      <c r="R17" t="s">
        <v>734</v>
      </c>
      <c r="S17" t="s">
        <v>735</v>
      </c>
      <c r="T17" t="s">
        <v>839</v>
      </c>
      <c r="U17" s="8" t="s">
        <v>840</v>
      </c>
      <c r="V17" t="s">
        <v>772</v>
      </c>
      <c r="W17" s="111" t="str">
        <f>HYPERLINK("mailto:"&amp; ckAwdQTable[[#This Row],[email]]&amp;"&amp;subject=Your NSF Proposal:  "&amp;ckAwdQTable[[#This Row],[prop_id]], ckAwdQTable[[#This Row],[email]])</f>
        <v>cliff@ieor.columbia.edu</v>
      </c>
      <c r="X17" s="30">
        <v>43040</v>
      </c>
      <c r="Y17">
        <v>12</v>
      </c>
      <c r="AA17" s="21" t="s">
        <v>532</v>
      </c>
      <c r="AB17" s="21" t="s">
        <v>893</v>
      </c>
      <c r="AC17"/>
      <c r="AD17" s="21" t="s">
        <v>532</v>
      </c>
      <c r="AF17" s="13">
        <v>15000</v>
      </c>
      <c r="AG17" s="121">
        <v>0</v>
      </c>
      <c r="AH17" s="1">
        <v>15000</v>
      </c>
      <c r="AI17" s="1"/>
      <c r="AJ17" s="1"/>
      <c r="AL17" s="1">
        <v>15000</v>
      </c>
      <c r="AM17" s="21"/>
      <c r="AN17" s="21"/>
      <c r="AO17" s="21"/>
      <c r="AP17" s="21"/>
      <c r="AQ17" s="21"/>
      <c r="AR17" s="123" t="s">
        <v>841</v>
      </c>
      <c r="AS17" s="21" t="s">
        <v>894</v>
      </c>
      <c r="AT17" s="21" t="str">
        <f>SummarizeQuestMarks(ckAwdQTable[[#This Row],[abst_narr_txt]])</f>
        <v xml:space="preserve"> </v>
      </c>
      <c r="AU17" s="124"/>
      <c r="AV17" t="s">
        <v>842</v>
      </c>
      <c r="AW17" t="b">
        <f>AND(ckAwdQTable[[#This Row],[ILN]]&gt;"M", SUBSTITUTE(ckAwdQTable[[#This Row],[prop_titl_txt]]," ","")&lt;&gt;SUBSTITUTE(AV16," ",""))</f>
        <v>0</v>
      </c>
      <c r="AX17" s="8" t="s">
        <v>843</v>
      </c>
    </row>
  </sheetData>
  <conditionalFormatting sqref="A2:AX17">
    <cfRule type="expression" dxfId="31" priority="4">
      <formula>MOD($M2,2)</formula>
    </cfRule>
  </conditionalFormatting>
  <conditionalFormatting sqref="C2:K17">
    <cfRule type="expression" dxfId="30" priority="3">
      <formula>AND($N2="N",C2&lt;&gt;C1)</formula>
    </cfRule>
  </conditionalFormatting>
  <conditionalFormatting sqref="X2:AE17">
    <cfRule type="expression" dxfId="29" priority="2">
      <formula>AND($N2="N",TRIM(X2)&lt;&gt;TRIM(X1))</formula>
    </cfRule>
  </conditionalFormatting>
  <conditionalFormatting sqref="AV2:AV17">
    <cfRule type="expression" dxfId="28"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83"/>
  <sheetViews>
    <sheetView topLeftCell="E1" workbookViewId="0">
      <selection activeCell="M7" sqref="M7"/>
    </sheetView>
  </sheetViews>
  <sheetFormatPr defaultRowHeight="14.5" x14ac:dyDescent="0.35"/>
  <cols>
    <col min="1" max="1" width="6.453125" style="6" hidden="1" customWidth="1"/>
    <col min="2" max="2" width="1.7265625" hidden="1" customWidth="1"/>
    <col min="3" max="3" width="2.81640625" hidden="1" customWidth="1"/>
    <col min="4" max="4" width="2.1796875" hidden="1" customWidth="1"/>
    <col min="5" max="5" width="9.26953125" customWidth="1"/>
    <col min="6" max="6" width="11.81640625" customWidth="1"/>
    <col min="7" max="7" width="9" style="30" customWidth="1"/>
    <col min="8" max="8" width="5.81640625" customWidth="1"/>
    <col min="9" max="9" width="6.7265625" customWidth="1"/>
    <col min="10" max="10" width="5.81640625" hidden="1" customWidth="1"/>
    <col min="11" max="11" width="8.453125" customWidth="1"/>
    <col min="12" max="12" width="8.7265625" customWidth="1"/>
    <col min="13" max="13" width="7.81640625" customWidth="1"/>
    <col min="14" max="14" width="7.26953125" customWidth="1"/>
    <col min="15" max="15" width="4.7265625" customWidth="1"/>
    <col min="16" max="16" width="3.26953125" customWidth="1"/>
    <col min="17" max="17" width="2.453125" customWidth="1"/>
    <col min="18" max="18" width="10.26953125" style="13" customWidth="1"/>
    <col min="19" max="20" width="10.26953125" customWidth="1"/>
    <col min="21" max="21" width="10.54296875" customWidth="1"/>
    <col min="22" max="22" width="3.7265625" customWidth="1"/>
    <col min="23" max="23" width="3.7265625" style="6" customWidth="1"/>
    <col min="24" max="24" width="4.26953125" customWidth="1"/>
    <col min="25" max="25" width="11.1796875" customWidth="1"/>
    <col min="26" max="26" width="9.1796875" customWidth="1"/>
    <col min="27" max="27" width="6.1796875" customWidth="1"/>
    <col min="28" max="28" width="6.453125" customWidth="1"/>
    <col min="29" max="29" width="19.54296875" customWidth="1"/>
  </cols>
  <sheetData>
    <row r="1" spans="1:29" x14ac:dyDescent="0.35">
      <c r="A1" s="6" t="s">
        <v>125</v>
      </c>
      <c r="P1" s="3"/>
    </row>
    <row r="2" spans="1:29" s="98" customFormat="1" x14ac:dyDescent="0.35">
      <c r="A2" s="97"/>
      <c r="F2" s="99" t="s">
        <v>13</v>
      </c>
      <c r="G2" s="99"/>
      <c r="I2" s="100"/>
      <c r="K2" s="100" t="s">
        <v>12</v>
      </c>
      <c r="L2" s="98">
        <f ca="1">YEAR(NOW())+(MONTH(NOW())&gt;9)-2000</f>
        <v>18</v>
      </c>
      <c r="P2" s="99" t="s">
        <v>123</v>
      </c>
      <c r="Q2" s="99"/>
      <c r="R2" s="101"/>
      <c r="T2" s="98" t="s">
        <v>124</v>
      </c>
      <c r="X2" s="98" t="s">
        <v>358</v>
      </c>
    </row>
    <row r="3" spans="1:29" ht="33" customHeight="1" x14ac:dyDescent="0.35">
      <c r="A3" s="6" t="s">
        <v>0</v>
      </c>
      <c r="B3" t="s">
        <v>86</v>
      </c>
      <c r="C3" t="s">
        <v>285</v>
      </c>
      <c r="D3" t="s">
        <v>97</v>
      </c>
      <c r="E3" s="30" t="s">
        <v>6</v>
      </c>
      <c r="F3" t="s">
        <v>7</v>
      </c>
      <c r="G3" t="s">
        <v>4</v>
      </c>
      <c r="H3" t="s">
        <v>3</v>
      </c>
      <c r="I3" t="s">
        <v>89</v>
      </c>
      <c r="J3" t="s">
        <v>309</v>
      </c>
      <c r="K3" t="s">
        <v>8</v>
      </c>
      <c r="L3" t="s">
        <v>1</v>
      </c>
      <c r="M3" t="s">
        <v>9</v>
      </c>
      <c r="N3" s="14" t="s">
        <v>338</v>
      </c>
      <c r="O3" t="s">
        <v>10</v>
      </c>
      <c r="P3" t="s">
        <v>286</v>
      </c>
      <c r="Q3" t="s">
        <v>287</v>
      </c>
      <c r="R3" s="13" t="s">
        <v>288</v>
      </c>
      <c r="S3" t="s">
        <v>289</v>
      </c>
      <c r="T3" t="s">
        <v>290</v>
      </c>
      <c r="U3" s="6" t="s">
        <v>291</v>
      </c>
      <c r="V3" t="s">
        <v>292</v>
      </c>
      <c r="W3" t="s">
        <v>293</v>
      </c>
      <c r="X3" t="s">
        <v>5</v>
      </c>
      <c r="Y3" t="s">
        <v>294</v>
      </c>
      <c r="Z3" t="s">
        <v>295</v>
      </c>
      <c r="AA3" t="s">
        <v>296</v>
      </c>
      <c r="AB3" t="s">
        <v>367</v>
      </c>
      <c r="AC3" t="s">
        <v>11</v>
      </c>
    </row>
    <row r="4" spans="1:29" x14ac:dyDescent="0.35">
      <c r="A4" s="10" t="s">
        <v>520</v>
      </c>
      <c r="B4" s="76" t="s">
        <v>745</v>
      </c>
      <c r="C4" s="76">
        <f>C3+(BudgetsQTable[[#This Row],[lead]]&lt;&gt;K3)</f>
        <v>11</v>
      </c>
      <c r="D4" s="76">
        <f>D3*(BudgetsQTable[[#This Row],[lead]]=K3)+(BudgetsQTable[[#This Row],[prop_id]]&lt;&gt;A3)</f>
        <v>1</v>
      </c>
      <c r="E4" s="77">
        <v>42930.554166666669</v>
      </c>
      <c r="F4" s="78" t="s">
        <v>737</v>
      </c>
      <c r="G4" s="78" t="s">
        <v>738</v>
      </c>
      <c r="H4" s="78" t="s">
        <v>491</v>
      </c>
      <c r="I4" s="76" t="s">
        <v>523</v>
      </c>
      <c r="J4" s="76" t="s">
        <v>752</v>
      </c>
      <c r="K4" s="78" t="s">
        <v>520</v>
      </c>
      <c r="L4" s="7" t="str">
        <f>IF(BudgetsQTable[[#This Row],[pi_last_name]]=" ","",HYPERLINK("https://www.ejacket.nsf.gov/ej/showProposal.do?Continue=Y&amp;ID="&amp;BudgetsQTable[[#This Row],[prop_id]],BudgetsQTable[[#This Row],[prop_id]]))</f>
        <v>1749173</v>
      </c>
      <c r="M4" s="78" t="s">
        <v>521</v>
      </c>
      <c r="N4" s="7" t="str">
        <f>IF(BudgetsQTable[[#This Row],[pi_last_name]]=" ","",HYPERLINK("mailto:"&amp;BudgetsQTable[[#This Row],[pi_email]]&amp;"&amp;subject=Your NSF Proposal:  "&amp;BudgetsQTable[[#This Row],[prop_id]],BudgetsQTable[[#This Row],[pi_email]]))</f>
        <v>steffen.borgwardt@ucdenver.edu</v>
      </c>
      <c r="O4" s="78" t="s">
        <v>748</v>
      </c>
      <c r="P4" s="78"/>
      <c r="Q4" s="78"/>
      <c r="R4" s="79"/>
      <c r="S4" s="79"/>
      <c r="T4" s="79"/>
      <c r="U4" s="80"/>
      <c r="V4" s="78">
        <v>0</v>
      </c>
      <c r="W4" s="78"/>
      <c r="X4" s="11" t="str">
        <f ca="1">IF(ISBLANK(BudgetsQTable[[#This Row],[budg_seq_yr]]),"FY"&amp;fiscalyear,"FY"&amp;fiscalyear-1+BudgetsQTable[[#This Row],[budg_seq_yr]])</f>
        <v>FY18</v>
      </c>
      <c r="Y4" s="79">
        <v>470400</v>
      </c>
      <c r="Z4" s="78" t="s">
        <v>738</v>
      </c>
      <c r="AA4" s="78" t="s">
        <v>491</v>
      </c>
      <c r="AB4" s="102" t="s">
        <v>741</v>
      </c>
      <c r="AC4" s="78" t="s">
        <v>743</v>
      </c>
    </row>
    <row r="5" spans="1:29" x14ac:dyDescent="0.35">
      <c r="A5" s="10" t="s">
        <v>520</v>
      </c>
      <c r="B5" s="76" t="s">
        <v>745</v>
      </c>
      <c r="C5" s="76">
        <f>C4+(BudgetsQTable[[#This Row],[lead]]&lt;&gt;K4)</f>
        <v>11</v>
      </c>
      <c r="D5" s="76">
        <f>D4*(BudgetsQTable[[#This Row],[lead]]=K4)+(BudgetsQTable[[#This Row],[prop_id]]&lt;&gt;A4)</f>
        <v>1</v>
      </c>
      <c r="E5" s="77">
        <v>42930.554166666669</v>
      </c>
      <c r="F5" s="78" t="s">
        <v>737</v>
      </c>
      <c r="G5" s="78" t="s">
        <v>738</v>
      </c>
      <c r="H5" s="78" t="s">
        <v>491</v>
      </c>
      <c r="I5" s="76" t="s">
        <v>523</v>
      </c>
      <c r="J5" s="76" t="s">
        <v>532</v>
      </c>
      <c r="K5" s="78" t="s">
        <v>520</v>
      </c>
      <c r="L5" s="7" t="str">
        <f>IF(BudgetsQTable[[#This Row],[pi_last_name]]=" ","",HYPERLINK("https://www.ejacket.nsf.gov/ej/showProposal.do?Continue=Y&amp;ID="&amp;BudgetsQTable[[#This Row],[prop_id]],BudgetsQTable[[#This Row],[prop_id]]))</f>
        <v/>
      </c>
      <c r="M5" s="78" t="s">
        <v>532</v>
      </c>
      <c r="N5" s="7" t="str">
        <f>IF(BudgetsQTable[[#This Row],[pi_last_name]]=" ","",HYPERLINK("mailto:"&amp;BudgetsQTable[[#This Row],[pi_email]]&amp;"&amp;subject=Your NSF Proposal:  "&amp;BudgetsQTable[[#This Row],[prop_id]],BudgetsQTable[[#This Row],[pi_email]]))</f>
        <v/>
      </c>
      <c r="O5" s="78" t="s">
        <v>532</v>
      </c>
      <c r="P5" s="78">
        <v>1</v>
      </c>
      <c r="Q5" s="78">
        <v>1.5</v>
      </c>
      <c r="R5" s="79">
        <v>0</v>
      </c>
      <c r="S5" s="79">
        <v>1920</v>
      </c>
      <c r="T5" s="79">
        <v>0</v>
      </c>
      <c r="U5" s="80">
        <v>87855</v>
      </c>
      <c r="V5" s="78">
        <v>0</v>
      </c>
      <c r="W5" s="78">
        <v>1</v>
      </c>
      <c r="X5" s="11" t="str">
        <f ca="1">IF(ISBLANK(BudgetsQTable[[#This Row],[budg_seq_yr]]),"FY"&amp;fiscalyear,"FY"&amp;fiscalyear-1+BudgetsQTable[[#This Row],[budg_seq_yr]])</f>
        <v>FY18</v>
      </c>
      <c r="Y5" s="79">
        <v>87855</v>
      </c>
      <c r="Z5" s="78" t="s">
        <v>738</v>
      </c>
      <c r="AA5" s="78" t="s">
        <v>491</v>
      </c>
      <c r="AB5" s="76" t="s">
        <v>741</v>
      </c>
      <c r="AC5" s="78" t="s">
        <v>743</v>
      </c>
    </row>
    <row r="6" spans="1:29" x14ac:dyDescent="0.35">
      <c r="A6" s="10" t="s">
        <v>520</v>
      </c>
      <c r="B6" s="76" t="s">
        <v>745</v>
      </c>
      <c r="C6" s="76">
        <f>C5+(BudgetsQTable[[#This Row],[lead]]&lt;&gt;K5)</f>
        <v>11</v>
      </c>
      <c r="D6" s="76">
        <f>D5*(BudgetsQTable[[#This Row],[lead]]=K5)+(BudgetsQTable[[#This Row],[prop_id]]&lt;&gt;A5)</f>
        <v>1</v>
      </c>
      <c r="E6" s="77">
        <v>42930.554166666669</v>
      </c>
      <c r="F6" s="78" t="s">
        <v>737</v>
      </c>
      <c r="G6" s="78" t="s">
        <v>738</v>
      </c>
      <c r="H6" s="78" t="s">
        <v>491</v>
      </c>
      <c r="I6" s="76" t="s">
        <v>523</v>
      </c>
      <c r="J6" s="76" t="s">
        <v>532</v>
      </c>
      <c r="K6" s="78" t="s">
        <v>520</v>
      </c>
      <c r="L6" s="7" t="str">
        <f>IF(BudgetsQTable[[#This Row],[pi_last_name]]=" ","",HYPERLINK("https://www.ejacket.nsf.gov/ej/showProposal.do?Continue=Y&amp;ID="&amp;BudgetsQTable[[#This Row],[prop_id]],BudgetsQTable[[#This Row],[prop_id]]))</f>
        <v/>
      </c>
      <c r="M6" s="78" t="s">
        <v>532</v>
      </c>
      <c r="N6" s="7" t="str">
        <f>IF(BudgetsQTable[[#This Row],[pi_last_name]]=" ","",HYPERLINK("mailto:"&amp;BudgetsQTable[[#This Row],[pi_email]]&amp;"&amp;subject=Your NSF Proposal:  "&amp;BudgetsQTable[[#This Row],[prop_id]],BudgetsQTable[[#This Row],[pi_email]]))</f>
        <v/>
      </c>
      <c r="O6" s="78" t="s">
        <v>532</v>
      </c>
      <c r="P6" s="78">
        <v>1</v>
      </c>
      <c r="Q6" s="78">
        <v>1.5</v>
      </c>
      <c r="R6" s="79">
        <v>0</v>
      </c>
      <c r="S6" s="79">
        <v>1920</v>
      </c>
      <c r="T6" s="79">
        <v>0</v>
      </c>
      <c r="U6" s="80">
        <v>90367</v>
      </c>
      <c r="V6" s="78">
        <v>0</v>
      </c>
      <c r="W6" s="78">
        <v>2</v>
      </c>
      <c r="X6" s="11" t="str">
        <f ca="1">IF(ISBLANK(BudgetsQTable[[#This Row],[budg_seq_yr]]),"FY"&amp;fiscalyear,"FY"&amp;fiscalyear-1+BudgetsQTable[[#This Row],[budg_seq_yr]])</f>
        <v>FY19</v>
      </c>
      <c r="Y6" s="79">
        <v>90367</v>
      </c>
      <c r="Z6" s="78" t="s">
        <v>738</v>
      </c>
      <c r="AA6" s="78" t="s">
        <v>491</v>
      </c>
      <c r="AB6" s="76" t="s">
        <v>741</v>
      </c>
      <c r="AC6" s="78" t="s">
        <v>743</v>
      </c>
    </row>
    <row r="7" spans="1:29" x14ac:dyDescent="0.35">
      <c r="A7" s="10" t="s">
        <v>520</v>
      </c>
      <c r="B7" s="76" t="s">
        <v>745</v>
      </c>
      <c r="C7" s="76">
        <f>C6+(BudgetsQTable[[#This Row],[lead]]&lt;&gt;K6)</f>
        <v>11</v>
      </c>
      <c r="D7" s="76">
        <f>D6*(BudgetsQTable[[#This Row],[lead]]=K6)+(BudgetsQTable[[#This Row],[prop_id]]&lt;&gt;A6)</f>
        <v>1</v>
      </c>
      <c r="E7" s="77">
        <v>42930.554166666669</v>
      </c>
      <c r="F7" s="78" t="s">
        <v>737</v>
      </c>
      <c r="G7" s="78" t="s">
        <v>738</v>
      </c>
      <c r="H7" s="78" t="s">
        <v>491</v>
      </c>
      <c r="I7" s="76" t="s">
        <v>523</v>
      </c>
      <c r="J7" s="76" t="s">
        <v>532</v>
      </c>
      <c r="K7" s="78" t="s">
        <v>520</v>
      </c>
      <c r="L7" s="7" t="str">
        <f>IF(BudgetsQTable[[#This Row],[pi_last_name]]=" ","",HYPERLINK("https://www.ejacket.nsf.gov/ej/showProposal.do?Continue=Y&amp;ID="&amp;BudgetsQTable[[#This Row],[prop_id]],BudgetsQTable[[#This Row],[prop_id]]))</f>
        <v/>
      </c>
      <c r="M7" s="78" t="s">
        <v>532</v>
      </c>
      <c r="N7" s="7" t="str">
        <f>IF(BudgetsQTable[[#This Row],[pi_last_name]]=" ","",HYPERLINK("mailto:"&amp;BudgetsQTable[[#This Row],[pi_email]]&amp;"&amp;subject=Your NSF Proposal:  "&amp;BudgetsQTable[[#This Row],[prop_id]],BudgetsQTable[[#This Row],[pi_email]]))</f>
        <v/>
      </c>
      <c r="O7" s="78" t="s">
        <v>532</v>
      </c>
      <c r="P7" s="78">
        <v>1</v>
      </c>
      <c r="Q7" s="78">
        <v>1.5</v>
      </c>
      <c r="R7" s="79">
        <v>0</v>
      </c>
      <c r="S7" s="79">
        <v>1920</v>
      </c>
      <c r="T7" s="79">
        <v>0</v>
      </c>
      <c r="U7" s="80">
        <v>94608</v>
      </c>
      <c r="V7" s="78">
        <v>0</v>
      </c>
      <c r="W7" s="78">
        <v>3</v>
      </c>
      <c r="X7" s="11" t="str">
        <f ca="1">IF(ISBLANK(BudgetsQTable[[#This Row],[budg_seq_yr]]),"FY"&amp;fiscalyear,"FY"&amp;fiscalyear-1+BudgetsQTable[[#This Row],[budg_seq_yr]])</f>
        <v>FY20</v>
      </c>
      <c r="Y7" s="79">
        <v>94608</v>
      </c>
      <c r="Z7" s="78" t="s">
        <v>738</v>
      </c>
      <c r="AA7" s="78" t="s">
        <v>491</v>
      </c>
      <c r="AB7" s="76" t="s">
        <v>741</v>
      </c>
      <c r="AC7" s="78" t="s">
        <v>743</v>
      </c>
    </row>
    <row r="8" spans="1:29" x14ac:dyDescent="0.35">
      <c r="A8" s="10" t="s">
        <v>520</v>
      </c>
      <c r="B8" s="76" t="s">
        <v>745</v>
      </c>
      <c r="C8" s="76">
        <f>C7+(BudgetsQTable[[#This Row],[lead]]&lt;&gt;K7)</f>
        <v>11</v>
      </c>
      <c r="D8" s="76">
        <f>D7*(BudgetsQTable[[#This Row],[lead]]=K7)+(BudgetsQTable[[#This Row],[prop_id]]&lt;&gt;A7)</f>
        <v>1</v>
      </c>
      <c r="E8" s="77">
        <v>42930.554166666669</v>
      </c>
      <c r="F8" s="78" t="s">
        <v>737</v>
      </c>
      <c r="G8" s="78" t="s">
        <v>738</v>
      </c>
      <c r="H8" s="78" t="s">
        <v>491</v>
      </c>
      <c r="I8" s="76" t="s">
        <v>523</v>
      </c>
      <c r="J8" s="76" t="s">
        <v>532</v>
      </c>
      <c r="K8" s="78" t="s">
        <v>520</v>
      </c>
      <c r="L8" s="7" t="str">
        <f>IF(BudgetsQTable[[#This Row],[pi_last_name]]=" ","",HYPERLINK("https://www.ejacket.nsf.gov/ej/showProposal.do?Continue=Y&amp;ID="&amp;BudgetsQTable[[#This Row],[prop_id]],BudgetsQTable[[#This Row],[prop_id]]))</f>
        <v/>
      </c>
      <c r="M8" s="78" t="s">
        <v>532</v>
      </c>
      <c r="N8" s="7" t="str">
        <f>IF(BudgetsQTable[[#This Row],[pi_last_name]]=" ","",HYPERLINK("mailto:"&amp;BudgetsQTable[[#This Row],[pi_email]]&amp;"&amp;subject=Your NSF Proposal:  "&amp;BudgetsQTable[[#This Row],[prop_id]],BudgetsQTable[[#This Row],[pi_email]]))</f>
        <v/>
      </c>
      <c r="O8" s="78" t="s">
        <v>532</v>
      </c>
      <c r="P8" s="78">
        <v>1</v>
      </c>
      <c r="Q8" s="78">
        <v>1.5</v>
      </c>
      <c r="R8" s="79">
        <v>0</v>
      </c>
      <c r="S8" s="79">
        <v>1920</v>
      </c>
      <c r="T8" s="79">
        <v>0</v>
      </c>
      <c r="U8" s="80">
        <v>97358</v>
      </c>
      <c r="V8" s="78">
        <v>0</v>
      </c>
      <c r="W8" s="78">
        <v>4</v>
      </c>
      <c r="X8" s="11" t="str">
        <f ca="1">IF(ISBLANK(BudgetsQTable[[#This Row],[budg_seq_yr]]),"FY"&amp;fiscalyear,"FY"&amp;fiscalyear-1+BudgetsQTable[[#This Row],[budg_seq_yr]])</f>
        <v>FY21</v>
      </c>
      <c r="Y8" s="79">
        <v>97358</v>
      </c>
      <c r="Z8" s="78" t="s">
        <v>738</v>
      </c>
      <c r="AA8" s="78" t="s">
        <v>491</v>
      </c>
      <c r="AB8" s="76" t="s">
        <v>741</v>
      </c>
      <c r="AC8" s="78" t="s">
        <v>743</v>
      </c>
    </row>
    <row r="9" spans="1:29" x14ac:dyDescent="0.35">
      <c r="A9" s="10" t="s">
        <v>520</v>
      </c>
      <c r="B9" s="76" t="s">
        <v>745</v>
      </c>
      <c r="C9" s="76">
        <f>C8+(BudgetsQTable[[#This Row],[lead]]&lt;&gt;K8)</f>
        <v>11</v>
      </c>
      <c r="D9" s="76">
        <f>D8*(BudgetsQTable[[#This Row],[lead]]=K8)+(BudgetsQTable[[#This Row],[prop_id]]&lt;&gt;A8)</f>
        <v>1</v>
      </c>
      <c r="E9" s="77">
        <v>42930.554166666669</v>
      </c>
      <c r="F9" s="78" t="s">
        <v>737</v>
      </c>
      <c r="G9" s="78" t="s">
        <v>738</v>
      </c>
      <c r="H9" s="78" t="s">
        <v>491</v>
      </c>
      <c r="I9" s="76" t="s">
        <v>523</v>
      </c>
      <c r="J9" s="76" t="s">
        <v>532</v>
      </c>
      <c r="K9" s="78" t="s">
        <v>520</v>
      </c>
      <c r="L9" s="7" t="str">
        <f>IF(BudgetsQTable[[#This Row],[pi_last_name]]=" ","",HYPERLINK("https://www.ejacket.nsf.gov/ej/showProposal.do?Continue=Y&amp;ID="&amp;BudgetsQTable[[#This Row],[prop_id]],BudgetsQTable[[#This Row],[prop_id]]))</f>
        <v/>
      </c>
      <c r="M9" s="78" t="s">
        <v>532</v>
      </c>
      <c r="N9" s="7" t="str">
        <f>IF(BudgetsQTable[[#This Row],[pi_last_name]]=" ","",HYPERLINK("mailto:"&amp;BudgetsQTable[[#This Row],[pi_email]]&amp;"&amp;subject=Your NSF Proposal:  "&amp;BudgetsQTable[[#This Row],[prop_id]],BudgetsQTable[[#This Row],[pi_email]]))</f>
        <v/>
      </c>
      <c r="O9" s="78" t="s">
        <v>532</v>
      </c>
      <c r="P9" s="78">
        <v>1</v>
      </c>
      <c r="Q9" s="78">
        <v>1.5</v>
      </c>
      <c r="R9" s="79">
        <v>0</v>
      </c>
      <c r="S9" s="79">
        <v>1920</v>
      </c>
      <c r="T9" s="79">
        <v>0</v>
      </c>
      <c r="U9" s="80">
        <v>100212</v>
      </c>
      <c r="V9" s="78">
        <v>0</v>
      </c>
      <c r="W9" s="78">
        <v>5</v>
      </c>
      <c r="X9" s="11" t="str">
        <f ca="1">IF(ISBLANK(BudgetsQTable[[#This Row],[budg_seq_yr]]),"FY"&amp;fiscalyear,"FY"&amp;fiscalyear-1+BudgetsQTable[[#This Row],[budg_seq_yr]])</f>
        <v>FY22</v>
      </c>
      <c r="Y9" s="79">
        <v>100212</v>
      </c>
      <c r="Z9" s="78" t="s">
        <v>738</v>
      </c>
      <c r="AA9" s="78" t="s">
        <v>491</v>
      </c>
      <c r="AB9" s="76" t="s">
        <v>741</v>
      </c>
      <c r="AC9" s="78" t="s">
        <v>743</v>
      </c>
    </row>
    <row r="10" spans="1:29" x14ac:dyDescent="0.35">
      <c r="A10" s="10" t="s">
        <v>560</v>
      </c>
      <c r="B10" s="76" t="s">
        <v>745</v>
      </c>
      <c r="C10" s="76">
        <f>C9+(BudgetsQTable[[#This Row],[lead]]&lt;&gt;K9)</f>
        <v>12</v>
      </c>
      <c r="D10" s="76">
        <f>D9*(BudgetsQTable[[#This Row],[lead]]=K9)+(BudgetsQTable[[#This Row],[prop_id]]&lt;&gt;A9)</f>
        <v>1</v>
      </c>
      <c r="E10" s="77">
        <v>42933.547222222223</v>
      </c>
      <c r="F10" s="78" t="s">
        <v>737</v>
      </c>
      <c r="G10" s="78" t="s">
        <v>738</v>
      </c>
      <c r="H10" s="78" t="s">
        <v>491</v>
      </c>
      <c r="I10" s="76" t="s">
        <v>523</v>
      </c>
      <c r="J10" s="76" t="s">
        <v>759</v>
      </c>
      <c r="K10" s="78" t="s">
        <v>560</v>
      </c>
      <c r="L10" s="7" t="str">
        <f>IF(BudgetsQTable[[#This Row],[pi_last_name]]=" ","",HYPERLINK("https://www.ejacket.nsf.gov/ej/showProposal.do?Continue=Y&amp;ID="&amp;BudgetsQTable[[#This Row],[prop_id]],BudgetsQTable[[#This Row],[prop_id]]))</f>
        <v>1749385</v>
      </c>
      <c r="M10" s="78" t="s">
        <v>561</v>
      </c>
      <c r="N10" s="7" t="str">
        <f>IF(BudgetsQTable[[#This Row],[pi_last_name]]=" ","",HYPERLINK("mailto:"&amp;BudgetsQTable[[#This Row],[pi_email]]&amp;"&amp;subject=Your NSF Proposal:  "&amp;BudgetsQTable[[#This Row],[prop_id]],BudgetsQTable[[#This Row],[pi_email]]))</f>
        <v>haitao.wang@usu.edu</v>
      </c>
      <c r="O10" s="78" t="s">
        <v>756</v>
      </c>
      <c r="P10" s="78"/>
      <c r="Q10" s="78"/>
      <c r="R10" s="79"/>
      <c r="S10" s="79"/>
      <c r="T10" s="79"/>
      <c r="U10" s="80"/>
      <c r="V10" s="78">
        <v>0</v>
      </c>
      <c r="W10" s="78"/>
      <c r="X10" s="11" t="str">
        <f ca="1">IF(ISBLANK(BudgetsQTable[[#This Row],[budg_seq_yr]]),"FY"&amp;fiscalyear,"FY"&amp;fiscalyear-1+BudgetsQTable[[#This Row],[budg_seq_yr]])</f>
        <v>FY18</v>
      </c>
      <c r="Y10" s="79">
        <v>524898</v>
      </c>
      <c r="Z10" s="78" t="s">
        <v>738</v>
      </c>
      <c r="AA10" s="78" t="s">
        <v>491</v>
      </c>
      <c r="AB10" s="76" t="s">
        <v>741</v>
      </c>
      <c r="AC10" s="78" t="s">
        <v>753</v>
      </c>
    </row>
    <row r="11" spans="1:29" x14ac:dyDescent="0.35">
      <c r="A11" s="10" t="s">
        <v>560</v>
      </c>
      <c r="B11" s="76" t="s">
        <v>745</v>
      </c>
      <c r="C11" s="76">
        <f>C10+(BudgetsQTable[[#This Row],[lead]]&lt;&gt;K10)</f>
        <v>12</v>
      </c>
      <c r="D11" s="76">
        <f>D10*(BudgetsQTable[[#This Row],[lead]]=K10)+(BudgetsQTable[[#This Row],[prop_id]]&lt;&gt;A10)</f>
        <v>1</v>
      </c>
      <c r="E11" s="77">
        <v>42933.547222222223</v>
      </c>
      <c r="F11" s="78" t="s">
        <v>737</v>
      </c>
      <c r="G11" s="78" t="s">
        <v>738</v>
      </c>
      <c r="H11" s="78" t="s">
        <v>491</v>
      </c>
      <c r="I11" s="76" t="s">
        <v>523</v>
      </c>
      <c r="J11" s="76" t="s">
        <v>532</v>
      </c>
      <c r="K11" s="78" t="s">
        <v>560</v>
      </c>
      <c r="L11" s="7" t="str">
        <f>IF(BudgetsQTable[[#This Row],[pi_last_name]]=" ","",HYPERLINK("https://www.ejacket.nsf.gov/ej/showProposal.do?Continue=Y&amp;ID="&amp;BudgetsQTable[[#This Row],[prop_id]],BudgetsQTable[[#This Row],[prop_id]]))</f>
        <v/>
      </c>
      <c r="M11" s="78" t="s">
        <v>532</v>
      </c>
      <c r="N11" s="7" t="str">
        <f>IF(BudgetsQTable[[#This Row],[pi_last_name]]=" ","",HYPERLINK("mailto:"&amp;BudgetsQTable[[#This Row],[pi_email]]&amp;"&amp;subject=Your NSF Proposal:  "&amp;BudgetsQTable[[#This Row],[prop_id]],BudgetsQTable[[#This Row],[pi_email]]))</f>
        <v/>
      </c>
      <c r="O11" s="78" t="s">
        <v>532</v>
      </c>
      <c r="P11" s="78">
        <v>1</v>
      </c>
      <c r="Q11" s="78">
        <v>1</v>
      </c>
      <c r="R11" s="79">
        <v>0</v>
      </c>
      <c r="S11" s="79">
        <v>3000</v>
      </c>
      <c r="T11" s="79">
        <v>0</v>
      </c>
      <c r="U11" s="80">
        <v>101597</v>
      </c>
      <c r="V11" s="78">
        <v>0</v>
      </c>
      <c r="W11" s="78">
        <v>1</v>
      </c>
      <c r="X11" s="11" t="str">
        <f ca="1">IF(ISBLANK(BudgetsQTable[[#This Row],[budg_seq_yr]]),"FY"&amp;fiscalyear,"FY"&amp;fiscalyear-1+BudgetsQTable[[#This Row],[budg_seq_yr]])</f>
        <v>FY18</v>
      </c>
      <c r="Y11" s="79">
        <v>101597</v>
      </c>
      <c r="Z11" s="78" t="s">
        <v>738</v>
      </c>
      <c r="AA11" s="78" t="s">
        <v>491</v>
      </c>
      <c r="AB11" s="76" t="s">
        <v>741</v>
      </c>
      <c r="AC11" s="78" t="s">
        <v>753</v>
      </c>
    </row>
    <row r="12" spans="1:29" x14ac:dyDescent="0.35">
      <c r="A12" s="10" t="s">
        <v>560</v>
      </c>
      <c r="B12" s="76" t="s">
        <v>745</v>
      </c>
      <c r="C12" s="76">
        <f>C11+(BudgetsQTable[[#This Row],[lead]]&lt;&gt;K11)</f>
        <v>12</v>
      </c>
      <c r="D12" s="76">
        <f>D11*(BudgetsQTable[[#This Row],[lead]]=K11)+(BudgetsQTable[[#This Row],[prop_id]]&lt;&gt;A11)</f>
        <v>1</v>
      </c>
      <c r="E12" s="77">
        <v>42933.547222222223</v>
      </c>
      <c r="F12" s="78" t="s">
        <v>737</v>
      </c>
      <c r="G12" s="78" t="s">
        <v>738</v>
      </c>
      <c r="H12" s="78" t="s">
        <v>491</v>
      </c>
      <c r="I12" s="76" t="s">
        <v>523</v>
      </c>
      <c r="J12" s="76" t="s">
        <v>532</v>
      </c>
      <c r="K12" s="78" t="s">
        <v>560</v>
      </c>
      <c r="L12" s="7" t="str">
        <f>IF(BudgetsQTable[[#This Row],[pi_last_name]]=" ","",HYPERLINK("https://www.ejacket.nsf.gov/ej/showProposal.do?Continue=Y&amp;ID="&amp;BudgetsQTable[[#This Row],[prop_id]],BudgetsQTable[[#This Row],[prop_id]]))</f>
        <v/>
      </c>
      <c r="M12" s="78" t="s">
        <v>532</v>
      </c>
      <c r="N12" s="7" t="str">
        <f>IF(BudgetsQTable[[#This Row],[pi_last_name]]=" ","",HYPERLINK("mailto:"&amp;BudgetsQTable[[#This Row],[pi_email]]&amp;"&amp;subject=Your NSF Proposal:  "&amp;BudgetsQTable[[#This Row],[prop_id]],BudgetsQTable[[#This Row],[pi_email]]))</f>
        <v/>
      </c>
      <c r="O12" s="78" t="s">
        <v>532</v>
      </c>
      <c r="P12" s="78">
        <v>1</v>
      </c>
      <c r="Q12" s="78">
        <v>1</v>
      </c>
      <c r="R12" s="79">
        <v>0</v>
      </c>
      <c r="S12" s="79">
        <v>3000</v>
      </c>
      <c r="T12" s="79">
        <v>0</v>
      </c>
      <c r="U12" s="80">
        <v>103235</v>
      </c>
      <c r="V12" s="78">
        <v>0</v>
      </c>
      <c r="W12" s="78">
        <v>2</v>
      </c>
      <c r="X12" s="11" t="str">
        <f ca="1">IF(ISBLANK(BudgetsQTable[[#This Row],[budg_seq_yr]]),"FY"&amp;fiscalyear,"FY"&amp;fiscalyear-1+BudgetsQTable[[#This Row],[budg_seq_yr]])</f>
        <v>FY19</v>
      </c>
      <c r="Y12" s="79">
        <v>103235</v>
      </c>
      <c r="Z12" s="78" t="s">
        <v>738</v>
      </c>
      <c r="AA12" s="78" t="s">
        <v>491</v>
      </c>
      <c r="AB12" s="76" t="s">
        <v>741</v>
      </c>
      <c r="AC12" s="78" t="s">
        <v>753</v>
      </c>
    </row>
    <row r="13" spans="1:29" x14ac:dyDescent="0.35">
      <c r="A13" s="10" t="s">
        <v>560</v>
      </c>
      <c r="B13" s="76" t="s">
        <v>745</v>
      </c>
      <c r="C13" s="76">
        <f>C12+(BudgetsQTable[[#This Row],[lead]]&lt;&gt;K12)</f>
        <v>12</v>
      </c>
      <c r="D13" s="76">
        <f>D12*(BudgetsQTable[[#This Row],[lead]]=K12)+(BudgetsQTable[[#This Row],[prop_id]]&lt;&gt;A12)</f>
        <v>1</v>
      </c>
      <c r="E13" s="77">
        <v>42933.547222222223</v>
      </c>
      <c r="F13" s="78" t="s">
        <v>737</v>
      </c>
      <c r="G13" s="78" t="s">
        <v>738</v>
      </c>
      <c r="H13" s="78" t="s">
        <v>491</v>
      </c>
      <c r="I13" s="76" t="s">
        <v>523</v>
      </c>
      <c r="J13" s="76" t="s">
        <v>532</v>
      </c>
      <c r="K13" s="78" t="s">
        <v>560</v>
      </c>
      <c r="L13" s="7" t="str">
        <f>IF(BudgetsQTable[[#This Row],[pi_last_name]]=" ","",HYPERLINK("https://www.ejacket.nsf.gov/ej/showProposal.do?Continue=Y&amp;ID="&amp;BudgetsQTable[[#This Row],[prop_id]],BudgetsQTable[[#This Row],[prop_id]]))</f>
        <v/>
      </c>
      <c r="M13" s="78" t="s">
        <v>532</v>
      </c>
      <c r="N13" s="7" t="str">
        <f>IF(BudgetsQTable[[#This Row],[pi_last_name]]=" ","",HYPERLINK("mailto:"&amp;BudgetsQTable[[#This Row],[pi_email]]&amp;"&amp;subject=Your NSF Proposal:  "&amp;BudgetsQTable[[#This Row],[prop_id]],BudgetsQTable[[#This Row],[pi_email]]))</f>
        <v/>
      </c>
      <c r="O13" s="78" t="s">
        <v>532</v>
      </c>
      <c r="P13" s="78">
        <v>1</v>
      </c>
      <c r="Q13" s="78">
        <v>1</v>
      </c>
      <c r="R13" s="79">
        <v>0</v>
      </c>
      <c r="S13" s="79">
        <v>3000</v>
      </c>
      <c r="T13" s="79">
        <v>0</v>
      </c>
      <c r="U13" s="80">
        <v>104944</v>
      </c>
      <c r="V13" s="78">
        <v>0</v>
      </c>
      <c r="W13" s="78">
        <v>3</v>
      </c>
      <c r="X13" s="11" t="str">
        <f ca="1">IF(ISBLANK(BudgetsQTable[[#This Row],[budg_seq_yr]]),"FY"&amp;fiscalyear,"FY"&amp;fiscalyear-1+BudgetsQTable[[#This Row],[budg_seq_yr]])</f>
        <v>FY20</v>
      </c>
      <c r="Y13" s="79">
        <v>104944</v>
      </c>
      <c r="Z13" s="78" t="s">
        <v>738</v>
      </c>
      <c r="AA13" s="78" t="s">
        <v>491</v>
      </c>
      <c r="AB13" s="76" t="s">
        <v>741</v>
      </c>
      <c r="AC13" s="78" t="s">
        <v>753</v>
      </c>
    </row>
    <row r="14" spans="1:29" x14ac:dyDescent="0.35">
      <c r="A14" s="10" t="s">
        <v>560</v>
      </c>
      <c r="B14" s="76" t="s">
        <v>745</v>
      </c>
      <c r="C14" s="76">
        <f>C13+(BudgetsQTable[[#This Row],[lead]]&lt;&gt;K13)</f>
        <v>12</v>
      </c>
      <c r="D14" s="76">
        <f>D13*(BudgetsQTable[[#This Row],[lead]]=K13)+(BudgetsQTable[[#This Row],[prop_id]]&lt;&gt;A13)</f>
        <v>1</v>
      </c>
      <c r="E14" s="77">
        <v>42933.547222222223</v>
      </c>
      <c r="F14" s="78" t="s">
        <v>737</v>
      </c>
      <c r="G14" s="78" t="s">
        <v>738</v>
      </c>
      <c r="H14" s="78" t="s">
        <v>491</v>
      </c>
      <c r="I14" s="76" t="s">
        <v>523</v>
      </c>
      <c r="J14" s="76" t="s">
        <v>532</v>
      </c>
      <c r="K14" s="78" t="s">
        <v>560</v>
      </c>
      <c r="L14" s="7" t="str">
        <f>IF(BudgetsQTable[[#This Row],[pi_last_name]]=" ","",HYPERLINK("https://www.ejacket.nsf.gov/ej/showProposal.do?Continue=Y&amp;ID="&amp;BudgetsQTable[[#This Row],[prop_id]],BudgetsQTable[[#This Row],[prop_id]]))</f>
        <v/>
      </c>
      <c r="M14" s="78" t="s">
        <v>532</v>
      </c>
      <c r="N14" s="7" t="str">
        <f>IF(BudgetsQTable[[#This Row],[pi_last_name]]=" ","",HYPERLINK("mailto:"&amp;BudgetsQTable[[#This Row],[pi_email]]&amp;"&amp;subject=Your NSF Proposal:  "&amp;BudgetsQTable[[#This Row],[prop_id]],BudgetsQTable[[#This Row],[pi_email]]))</f>
        <v/>
      </c>
      <c r="O14" s="78" t="s">
        <v>532</v>
      </c>
      <c r="P14" s="78">
        <v>1</v>
      </c>
      <c r="Q14" s="78">
        <v>1</v>
      </c>
      <c r="R14" s="79">
        <v>0</v>
      </c>
      <c r="S14" s="79">
        <v>3000</v>
      </c>
      <c r="T14" s="79">
        <v>0</v>
      </c>
      <c r="U14" s="80">
        <v>106666</v>
      </c>
      <c r="V14" s="78">
        <v>0</v>
      </c>
      <c r="W14" s="78">
        <v>4</v>
      </c>
      <c r="X14" s="11" t="str">
        <f ca="1">IF(ISBLANK(BudgetsQTable[[#This Row],[budg_seq_yr]]),"FY"&amp;fiscalyear,"FY"&amp;fiscalyear-1+BudgetsQTable[[#This Row],[budg_seq_yr]])</f>
        <v>FY21</v>
      </c>
      <c r="Y14" s="79">
        <v>106666</v>
      </c>
      <c r="Z14" s="78" t="s">
        <v>738</v>
      </c>
      <c r="AA14" s="78" t="s">
        <v>491</v>
      </c>
      <c r="AB14" s="76" t="s">
        <v>741</v>
      </c>
      <c r="AC14" s="78" t="s">
        <v>753</v>
      </c>
    </row>
    <row r="15" spans="1:29" x14ac:dyDescent="0.35">
      <c r="A15" s="10" t="s">
        <v>560</v>
      </c>
      <c r="B15" s="76" t="s">
        <v>745</v>
      </c>
      <c r="C15" s="76">
        <f>C14+(BudgetsQTable[[#This Row],[lead]]&lt;&gt;K14)</f>
        <v>12</v>
      </c>
      <c r="D15" s="76">
        <f>D14*(BudgetsQTable[[#This Row],[lead]]=K14)+(BudgetsQTable[[#This Row],[prop_id]]&lt;&gt;A14)</f>
        <v>1</v>
      </c>
      <c r="E15" s="77">
        <v>42933.547222222223</v>
      </c>
      <c r="F15" s="78" t="s">
        <v>737</v>
      </c>
      <c r="G15" s="78" t="s">
        <v>738</v>
      </c>
      <c r="H15" s="78" t="s">
        <v>491</v>
      </c>
      <c r="I15" s="76" t="s">
        <v>523</v>
      </c>
      <c r="J15" s="76" t="s">
        <v>532</v>
      </c>
      <c r="K15" s="78" t="s">
        <v>560</v>
      </c>
      <c r="L15" s="7" t="str">
        <f>IF(BudgetsQTable[[#This Row],[pi_last_name]]=" ","",HYPERLINK("https://www.ejacket.nsf.gov/ej/showProposal.do?Continue=Y&amp;ID="&amp;BudgetsQTable[[#This Row],[prop_id]],BudgetsQTable[[#This Row],[prop_id]]))</f>
        <v/>
      </c>
      <c r="M15" s="78" t="s">
        <v>532</v>
      </c>
      <c r="N15" s="7" t="str">
        <f>IF(BudgetsQTable[[#This Row],[pi_last_name]]=" ","",HYPERLINK("mailto:"&amp;BudgetsQTable[[#This Row],[pi_email]]&amp;"&amp;subject=Your NSF Proposal:  "&amp;BudgetsQTable[[#This Row],[prop_id]],BudgetsQTable[[#This Row],[pi_email]]))</f>
        <v/>
      </c>
      <c r="O15" s="78" t="s">
        <v>532</v>
      </c>
      <c r="P15" s="78">
        <v>1</v>
      </c>
      <c r="Q15" s="78">
        <v>1</v>
      </c>
      <c r="R15" s="79">
        <v>0</v>
      </c>
      <c r="S15" s="79">
        <v>3000</v>
      </c>
      <c r="T15" s="79">
        <v>0</v>
      </c>
      <c r="U15" s="80">
        <v>108456</v>
      </c>
      <c r="V15" s="78">
        <v>0</v>
      </c>
      <c r="W15" s="78">
        <v>5</v>
      </c>
      <c r="X15" s="11" t="str">
        <f ca="1">IF(ISBLANK(BudgetsQTable[[#This Row],[budg_seq_yr]]),"FY"&amp;fiscalyear,"FY"&amp;fiscalyear-1+BudgetsQTable[[#This Row],[budg_seq_yr]])</f>
        <v>FY22</v>
      </c>
      <c r="Y15" s="79">
        <v>108456</v>
      </c>
      <c r="Z15" s="78" t="s">
        <v>738</v>
      </c>
      <c r="AA15" s="78" t="s">
        <v>491</v>
      </c>
      <c r="AB15" s="76" t="s">
        <v>741</v>
      </c>
      <c r="AC15" s="78" t="s">
        <v>753</v>
      </c>
    </row>
    <row r="16" spans="1:29" x14ac:dyDescent="0.35">
      <c r="A16" s="10" t="s">
        <v>586</v>
      </c>
      <c r="B16" s="76" t="s">
        <v>745</v>
      </c>
      <c r="C16" s="76">
        <f>C15+(BudgetsQTable[[#This Row],[lead]]&lt;&gt;K15)</f>
        <v>13</v>
      </c>
      <c r="D16" s="76">
        <f>D15*(BudgetsQTable[[#This Row],[lead]]=K15)+(BudgetsQTable[[#This Row],[prop_id]]&lt;&gt;A15)</f>
        <v>1</v>
      </c>
      <c r="E16" s="77">
        <v>42933.713888888888</v>
      </c>
      <c r="F16" s="78" t="s">
        <v>737</v>
      </c>
      <c r="G16" s="78" t="s">
        <v>738</v>
      </c>
      <c r="H16" s="78" t="s">
        <v>491</v>
      </c>
      <c r="I16" s="76" t="s">
        <v>523</v>
      </c>
      <c r="J16" s="76" t="s">
        <v>765</v>
      </c>
      <c r="K16" s="78" t="s">
        <v>586</v>
      </c>
      <c r="L16" s="7" t="str">
        <f>IF(BudgetsQTable[[#This Row],[pi_last_name]]=" ","",HYPERLINK("https://www.ejacket.nsf.gov/ej/showProposal.do?Continue=Y&amp;ID="&amp;BudgetsQTable[[#This Row],[prop_id]],BudgetsQTable[[#This Row],[prop_id]]))</f>
        <v>1749563</v>
      </c>
      <c r="M16" s="78" t="s">
        <v>587</v>
      </c>
      <c r="N16" s="7" t="str">
        <f>IF(BudgetsQTable[[#This Row],[pi_last_name]]=" ","",HYPERLINK("mailto:"&amp;BudgetsQTable[[#This Row],[pi_email]]&amp;"&amp;subject=Your NSF Proposal:  "&amp;BudgetsQTable[[#This Row],[prop_id]],BudgetsQTable[[#This Row],[pi_email]]))</f>
        <v>delpia@wisc.edu</v>
      </c>
      <c r="O16" s="78" t="s">
        <v>762</v>
      </c>
      <c r="P16" s="78"/>
      <c r="Q16" s="78"/>
      <c r="R16" s="79"/>
      <c r="S16" s="79"/>
      <c r="T16" s="79"/>
      <c r="U16" s="80"/>
      <c r="V16" s="78">
        <v>0</v>
      </c>
      <c r="W16" s="78"/>
      <c r="X16" s="11" t="str">
        <f ca="1">IF(ISBLANK(BudgetsQTable[[#This Row],[budg_seq_yr]]),"FY"&amp;fiscalyear,"FY"&amp;fiscalyear-1+BudgetsQTable[[#This Row],[budg_seq_yr]])</f>
        <v>FY18</v>
      </c>
      <c r="Y16" s="79">
        <v>500000</v>
      </c>
      <c r="Z16" s="78" t="s">
        <v>738</v>
      </c>
      <c r="AA16" s="78" t="s">
        <v>491</v>
      </c>
      <c r="AB16" s="76" t="s">
        <v>741</v>
      </c>
      <c r="AC16" s="78" t="s">
        <v>743</v>
      </c>
    </row>
    <row r="17" spans="1:29" x14ac:dyDescent="0.35">
      <c r="A17" s="10" t="s">
        <v>586</v>
      </c>
      <c r="B17" s="76" t="s">
        <v>745</v>
      </c>
      <c r="C17" s="76">
        <f>C16+(BudgetsQTable[[#This Row],[lead]]&lt;&gt;K16)</f>
        <v>13</v>
      </c>
      <c r="D17" s="76">
        <f>D16*(BudgetsQTable[[#This Row],[lead]]=K16)+(BudgetsQTable[[#This Row],[prop_id]]&lt;&gt;A16)</f>
        <v>1</v>
      </c>
      <c r="E17" s="77">
        <v>42933.713888888888</v>
      </c>
      <c r="F17" s="78" t="s">
        <v>737</v>
      </c>
      <c r="G17" s="78" t="s">
        <v>738</v>
      </c>
      <c r="H17" s="78" t="s">
        <v>491</v>
      </c>
      <c r="I17" s="76" t="s">
        <v>523</v>
      </c>
      <c r="J17" s="76" t="s">
        <v>532</v>
      </c>
      <c r="K17" s="78" t="s">
        <v>586</v>
      </c>
      <c r="L17" s="7" t="str">
        <f>IF(BudgetsQTable[[#This Row],[pi_last_name]]=" ","",HYPERLINK("https://www.ejacket.nsf.gov/ej/showProposal.do?Continue=Y&amp;ID="&amp;BudgetsQTable[[#This Row],[prop_id]],BudgetsQTable[[#This Row],[prop_id]]))</f>
        <v/>
      </c>
      <c r="M17" s="78" t="s">
        <v>532</v>
      </c>
      <c r="N17" s="7" t="str">
        <f>IF(BudgetsQTable[[#This Row],[pi_last_name]]=" ","",HYPERLINK("mailto:"&amp;BudgetsQTable[[#This Row],[pi_email]]&amp;"&amp;subject=Your NSF Proposal:  "&amp;BudgetsQTable[[#This Row],[prop_id]],BudgetsQTable[[#This Row],[pi_email]]))</f>
        <v/>
      </c>
      <c r="O17" s="78" t="s">
        <v>532</v>
      </c>
      <c r="P17" s="78">
        <v>1</v>
      </c>
      <c r="Q17" s="78">
        <v>1</v>
      </c>
      <c r="R17" s="79">
        <v>0</v>
      </c>
      <c r="S17" s="79">
        <v>2483</v>
      </c>
      <c r="T17" s="79">
        <v>0</v>
      </c>
      <c r="U17" s="80">
        <v>103953</v>
      </c>
      <c r="V17" s="78">
        <v>0</v>
      </c>
      <c r="W17" s="78">
        <v>1</v>
      </c>
      <c r="X17" s="11" t="str">
        <f ca="1">IF(ISBLANK(BudgetsQTable[[#This Row],[budg_seq_yr]]),"FY"&amp;fiscalyear,"FY"&amp;fiscalyear-1+BudgetsQTable[[#This Row],[budg_seq_yr]])</f>
        <v>FY18</v>
      </c>
      <c r="Y17" s="79">
        <v>103953</v>
      </c>
      <c r="Z17" s="78" t="s">
        <v>738</v>
      </c>
      <c r="AA17" s="78" t="s">
        <v>491</v>
      </c>
      <c r="AB17" s="76" t="s">
        <v>741</v>
      </c>
      <c r="AC17" s="78" t="s">
        <v>743</v>
      </c>
    </row>
    <row r="18" spans="1:29" x14ac:dyDescent="0.35">
      <c r="A18" s="10" t="s">
        <v>586</v>
      </c>
      <c r="B18" s="76" t="s">
        <v>745</v>
      </c>
      <c r="C18" s="76">
        <f>C17+(BudgetsQTable[[#This Row],[lead]]&lt;&gt;K17)</f>
        <v>13</v>
      </c>
      <c r="D18" s="76">
        <f>D17*(BudgetsQTable[[#This Row],[lead]]=K17)+(BudgetsQTable[[#This Row],[prop_id]]&lt;&gt;A17)</f>
        <v>1</v>
      </c>
      <c r="E18" s="77">
        <v>42933.713888888888</v>
      </c>
      <c r="F18" s="78" t="s">
        <v>737</v>
      </c>
      <c r="G18" s="78" t="s">
        <v>738</v>
      </c>
      <c r="H18" s="78" t="s">
        <v>491</v>
      </c>
      <c r="I18" s="76" t="s">
        <v>523</v>
      </c>
      <c r="J18" s="76" t="s">
        <v>532</v>
      </c>
      <c r="K18" s="78" t="s">
        <v>586</v>
      </c>
      <c r="L18" s="7" t="str">
        <f>IF(BudgetsQTable[[#This Row],[pi_last_name]]=" ","",HYPERLINK("https://www.ejacket.nsf.gov/ej/showProposal.do?Continue=Y&amp;ID="&amp;BudgetsQTable[[#This Row],[prop_id]],BudgetsQTable[[#This Row],[prop_id]]))</f>
        <v/>
      </c>
      <c r="M18" s="78" t="s">
        <v>532</v>
      </c>
      <c r="N18" s="7" t="str">
        <f>IF(BudgetsQTable[[#This Row],[pi_last_name]]=" ","",HYPERLINK("mailto:"&amp;BudgetsQTable[[#This Row],[pi_email]]&amp;"&amp;subject=Your NSF Proposal:  "&amp;BudgetsQTable[[#This Row],[prop_id]],BudgetsQTable[[#This Row],[pi_email]]))</f>
        <v/>
      </c>
      <c r="O18" s="78" t="s">
        <v>532</v>
      </c>
      <c r="P18" s="78">
        <v>1</v>
      </c>
      <c r="Q18" s="78">
        <v>1</v>
      </c>
      <c r="R18" s="79">
        <v>0</v>
      </c>
      <c r="S18" s="79">
        <v>2483</v>
      </c>
      <c r="T18" s="79">
        <v>0</v>
      </c>
      <c r="U18" s="80">
        <v>95986</v>
      </c>
      <c r="V18" s="78">
        <v>0</v>
      </c>
      <c r="W18" s="78">
        <v>2</v>
      </c>
      <c r="X18" s="11" t="str">
        <f ca="1">IF(ISBLANK(BudgetsQTable[[#This Row],[budg_seq_yr]]),"FY"&amp;fiscalyear,"FY"&amp;fiscalyear-1+BudgetsQTable[[#This Row],[budg_seq_yr]])</f>
        <v>FY19</v>
      </c>
      <c r="Y18" s="79">
        <v>95986</v>
      </c>
      <c r="Z18" s="78" t="s">
        <v>738</v>
      </c>
      <c r="AA18" s="78" t="s">
        <v>491</v>
      </c>
      <c r="AB18" s="76" t="s">
        <v>741</v>
      </c>
      <c r="AC18" s="78" t="s">
        <v>743</v>
      </c>
    </row>
    <row r="19" spans="1:29" x14ac:dyDescent="0.35">
      <c r="A19" s="10" t="s">
        <v>586</v>
      </c>
      <c r="B19" s="76" t="s">
        <v>745</v>
      </c>
      <c r="C19" s="76">
        <f>C18+(BudgetsQTable[[#This Row],[lead]]&lt;&gt;K18)</f>
        <v>13</v>
      </c>
      <c r="D19" s="76">
        <f>D18*(BudgetsQTable[[#This Row],[lead]]=K18)+(BudgetsQTable[[#This Row],[prop_id]]&lt;&gt;A18)</f>
        <v>1</v>
      </c>
      <c r="E19" s="77">
        <v>42933.713888888888</v>
      </c>
      <c r="F19" s="78" t="s">
        <v>737</v>
      </c>
      <c r="G19" s="78" t="s">
        <v>738</v>
      </c>
      <c r="H19" s="78" t="s">
        <v>491</v>
      </c>
      <c r="I19" s="76" t="s">
        <v>523</v>
      </c>
      <c r="J19" s="76" t="s">
        <v>532</v>
      </c>
      <c r="K19" s="78" t="s">
        <v>586</v>
      </c>
      <c r="L19" s="7" t="str">
        <f>IF(BudgetsQTable[[#This Row],[pi_last_name]]=" ","",HYPERLINK("https://www.ejacket.nsf.gov/ej/showProposal.do?Continue=Y&amp;ID="&amp;BudgetsQTable[[#This Row],[prop_id]],BudgetsQTable[[#This Row],[prop_id]]))</f>
        <v/>
      </c>
      <c r="M19" s="78" t="s">
        <v>532</v>
      </c>
      <c r="N19" s="7" t="str">
        <f>IF(BudgetsQTable[[#This Row],[pi_last_name]]=" ","",HYPERLINK("mailto:"&amp;BudgetsQTable[[#This Row],[pi_email]]&amp;"&amp;subject=Your NSF Proposal:  "&amp;BudgetsQTable[[#This Row],[prop_id]],BudgetsQTable[[#This Row],[pi_email]]))</f>
        <v/>
      </c>
      <c r="O19" s="78" t="s">
        <v>532</v>
      </c>
      <c r="P19" s="78">
        <v>1</v>
      </c>
      <c r="Q19" s="78">
        <v>1</v>
      </c>
      <c r="R19" s="79">
        <v>0</v>
      </c>
      <c r="S19" s="79">
        <v>2483</v>
      </c>
      <c r="T19" s="79">
        <v>0</v>
      </c>
      <c r="U19" s="80">
        <v>97655</v>
      </c>
      <c r="V19" s="78">
        <v>0</v>
      </c>
      <c r="W19" s="78">
        <v>3</v>
      </c>
      <c r="X19" s="11" t="str">
        <f ca="1">IF(ISBLANK(BudgetsQTable[[#This Row],[budg_seq_yr]]),"FY"&amp;fiscalyear,"FY"&amp;fiscalyear-1+BudgetsQTable[[#This Row],[budg_seq_yr]])</f>
        <v>FY20</v>
      </c>
      <c r="Y19" s="79">
        <v>97655</v>
      </c>
      <c r="Z19" s="78" t="s">
        <v>738</v>
      </c>
      <c r="AA19" s="78" t="s">
        <v>491</v>
      </c>
      <c r="AB19" s="76" t="s">
        <v>741</v>
      </c>
      <c r="AC19" s="78" t="s">
        <v>743</v>
      </c>
    </row>
    <row r="20" spans="1:29" x14ac:dyDescent="0.35">
      <c r="A20" s="10" t="s">
        <v>586</v>
      </c>
      <c r="B20" s="76" t="s">
        <v>745</v>
      </c>
      <c r="C20" s="76">
        <f>C19+(BudgetsQTable[[#This Row],[lead]]&lt;&gt;K19)</f>
        <v>13</v>
      </c>
      <c r="D20" s="76">
        <f>D19*(BudgetsQTable[[#This Row],[lead]]=K19)+(BudgetsQTable[[#This Row],[prop_id]]&lt;&gt;A19)</f>
        <v>1</v>
      </c>
      <c r="E20" s="77">
        <v>42933.713888888888</v>
      </c>
      <c r="F20" s="78" t="s">
        <v>737</v>
      </c>
      <c r="G20" s="78" t="s">
        <v>738</v>
      </c>
      <c r="H20" s="78" t="s">
        <v>491</v>
      </c>
      <c r="I20" s="76" t="s">
        <v>523</v>
      </c>
      <c r="J20" s="76" t="s">
        <v>532</v>
      </c>
      <c r="K20" s="78" t="s">
        <v>586</v>
      </c>
      <c r="L20" s="7" t="str">
        <f>IF(BudgetsQTable[[#This Row],[pi_last_name]]=" ","",HYPERLINK("https://www.ejacket.nsf.gov/ej/showProposal.do?Continue=Y&amp;ID="&amp;BudgetsQTable[[#This Row],[prop_id]],BudgetsQTable[[#This Row],[prop_id]]))</f>
        <v/>
      </c>
      <c r="M20" s="78" t="s">
        <v>532</v>
      </c>
      <c r="N20" s="7" t="str">
        <f>IF(BudgetsQTable[[#This Row],[pi_last_name]]=" ","",HYPERLINK("mailto:"&amp;BudgetsQTable[[#This Row],[pi_email]]&amp;"&amp;subject=Your NSF Proposal:  "&amp;BudgetsQTable[[#This Row],[prop_id]],BudgetsQTable[[#This Row],[pi_email]]))</f>
        <v/>
      </c>
      <c r="O20" s="78" t="s">
        <v>532</v>
      </c>
      <c r="P20" s="78">
        <v>1</v>
      </c>
      <c r="Q20" s="78">
        <v>1</v>
      </c>
      <c r="R20" s="79">
        <v>0</v>
      </c>
      <c r="S20" s="79">
        <v>2483</v>
      </c>
      <c r="T20" s="79">
        <v>0</v>
      </c>
      <c r="U20" s="80">
        <v>99915</v>
      </c>
      <c r="V20" s="78">
        <v>0</v>
      </c>
      <c r="W20" s="78">
        <v>4</v>
      </c>
      <c r="X20" s="11" t="str">
        <f ca="1">IF(ISBLANK(BudgetsQTable[[#This Row],[budg_seq_yr]]),"FY"&amp;fiscalyear,"FY"&amp;fiscalyear-1+BudgetsQTable[[#This Row],[budg_seq_yr]])</f>
        <v>FY21</v>
      </c>
      <c r="Y20" s="79">
        <v>99915</v>
      </c>
      <c r="Z20" s="78" t="s">
        <v>738</v>
      </c>
      <c r="AA20" s="78" t="s">
        <v>491</v>
      </c>
      <c r="AB20" s="76" t="s">
        <v>741</v>
      </c>
      <c r="AC20" s="78" t="s">
        <v>743</v>
      </c>
    </row>
    <row r="21" spans="1:29" x14ac:dyDescent="0.35">
      <c r="A21" s="10" t="s">
        <v>586</v>
      </c>
      <c r="B21" s="76" t="s">
        <v>745</v>
      </c>
      <c r="C21" s="76">
        <f>C20+(BudgetsQTable[[#This Row],[lead]]&lt;&gt;K20)</f>
        <v>13</v>
      </c>
      <c r="D21" s="76">
        <f>D20*(BudgetsQTable[[#This Row],[lead]]=K20)+(BudgetsQTable[[#This Row],[prop_id]]&lt;&gt;A20)</f>
        <v>1</v>
      </c>
      <c r="E21" s="77">
        <v>42933.713888888888</v>
      </c>
      <c r="F21" s="78" t="s">
        <v>737</v>
      </c>
      <c r="G21" s="78" t="s">
        <v>738</v>
      </c>
      <c r="H21" s="78" t="s">
        <v>491</v>
      </c>
      <c r="I21" s="76" t="s">
        <v>523</v>
      </c>
      <c r="J21" s="76" t="s">
        <v>532</v>
      </c>
      <c r="K21" s="78" t="s">
        <v>586</v>
      </c>
      <c r="L21" s="7" t="str">
        <f>IF(BudgetsQTable[[#This Row],[pi_last_name]]=" ","",HYPERLINK("https://www.ejacket.nsf.gov/ej/showProposal.do?Continue=Y&amp;ID="&amp;BudgetsQTable[[#This Row],[prop_id]],BudgetsQTable[[#This Row],[prop_id]]))</f>
        <v/>
      </c>
      <c r="M21" s="78" t="s">
        <v>532</v>
      </c>
      <c r="N21" s="7" t="str">
        <f>IF(BudgetsQTable[[#This Row],[pi_last_name]]=" ","",HYPERLINK("mailto:"&amp;BudgetsQTable[[#This Row],[pi_email]]&amp;"&amp;subject=Your NSF Proposal:  "&amp;BudgetsQTable[[#This Row],[prop_id]],BudgetsQTable[[#This Row],[pi_email]]))</f>
        <v/>
      </c>
      <c r="O21" s="78" t="s">
        <v>532</v>
      </c>
      <c r="P21" s="78">
        <v>1</v>
      </c>
      <c r="Q21" s="78">
        <v>1</v>
      </c>
      <c r="R21" s="79">
        <v>0</v>
      </c>
      <c r="S21" s="79">
        <v>2484</v>
      </c>
      <c r="T21" s="79">
        <v>0</v>
      </c>
      <c r="U21" s="80">
        <v>102491</v>
      </c>
      <c r="V21" s="78">
        <v>0</v>
      </c>
      <c r="W21" s="78">
        <v>5</v>
      </c>
      <c r="X21" s="11" t="str">
        <f ca="1">IF(ISBLANK(BudgetsQTable[[#This Row],[budg_seq_yr]]),"FY"&amp;fiscalyear,"FY"&amp;fiscalyear-1+BudgetsQTable[[#This Row],[budg_seq_yr]])</f>
        <v>FY22</v>
      </c>
      <c r="Y21" s="79">
        <v>102491</v>
      </c>
      <c r="Z21" s="78" t="s">
        <v>738</v>
      </c>
      <c r="AA21" s="78" t="s">
        <v>491</v>
      </c>
      <c r="AB21" s="76" t="s">
        <v>741</v>
      </c>
      <c r="AC21" s="78" t="s">
        <v>743</v>
      </c>
    </row>
    <row r="22" spans="1:29" x14ac:dyDescent="0.35">
      <c r="A22" s="10" t="s">
        <v>601</v>
      </c>
      <c r="B22" s="76" t="s">
        <v>745</v>
      </c>
      <c r="C22" s="76">
        <f>C21+(BudgetsQTable[[#This Row],[lead]]&lt;&gt;K21)</f>
        <v>14</v>
      </c>
      <c r="D22" s="76">
        <f>D21*(BudgetsQTable[[#This Row],[lead]]=K21)+(BudgetsQTable[[#This Row],[prop_id]]&lt;&gt;A21)</f>
        <v>1</v>
      </c>
      <c r="E22" s="77">
        <v>42933.820138888892</v>
      </c>
      <c r="F22" s="78" t="s">
        <v>737</v>
      </c>
      <c r="G22" s="78" t="s">
        <v>738</v>
      </c>
      <c r="H22" s="78" t="s">
        <v>491</v>
      </c>
      <c r="I22" s="76" t="s">
        <v>523</v>
      </c>
      <c r="J22" s="76" t="s">
        <v>771</v>
      </c>
      <c r="K22" s="78" t="s">
        <v>601</v>
      </c>
      <c r="L22" s="7" t="str">
        <f>IF(BudgetsQTable[[#This Row],[pi_last_name]]=" ","",HYPERLINK("https://www.ejacket.nsf.gov/ej/showProposal.do?Continue=Y&amp;ID="&amp;BudgetsQTable[[#This Row],[prop_id]],BudgetsQTable[[#This Row],[prop_id]]))</f>
        <v>1749609</v>
      </c>
      <c r="M22" s="78" t="s">
        <v>602</v>
      </c>
      <c r="N22" s="7" t="str">
        <f>IF(BudgetsQTable[[#This Row],[pi_last_name]]=" ","",HYPERLINK("mailto:"&amp;BudgetsQTable[[#This Row],[pi_email]]&amp;"&amp;subject=Your NSF Proposal:  "&amp;BudgetsQTable[[#This Row],[prop_id]],BudgetsQTable[[#This Row],[pi_email]]))</f>
        <v>yintat@uw.edu</v>
      </c>
      <c r="O22" s="78" t="s">
        <v>768</v>
      </c>
      <c r="P22" s="78"/>
      <c r="Q22" s="78"/>
      <c r="R22" s="79"/>
      <c r="S22" s="79"/>
      <c r="T22" s="79"/>
      <c r="U22" s="80"/>
      <c r="V22" s="78">
        <v>0</v>
      </c>
      <c r="W22" s="78"/>
      <c r="X22" s="11" t="str">
        <f ca="1">IF(ISBLANK(BudgetsQTable[[#This Row],[budg_seq_yr]]),"FY"&amp;fiscalyear,"FY"&amp;fiscalyear-1+BudgetsQTable[[#This Row],[budg_seq_yr]])</f>
        <v>FY18</v>
      </c>
      <c r="Y22" s="79">
        <v>549841</v>
      </c>
      <c r="Z22" s="78" t="s">
        <v>738</v>
      </c>
      <c r="AA22" s="78" t="s">
        <v>491</v>
      </c>
      <c r="AB22" s="76" t="s">
        <v>741</v>
      </c>
      <c r="AC22" s="78" t="s">
        <v>743</v>
      </c>
    </row>
    <row r="23" spans="1:29" x14ac:dyDescent="0.35">
      <c r="A23" s="10" t="s">
        <v>601</v>
      </c>
      <c r="B23" s="76" t="s">
        <v>745</v>
      </c>
      <c r="C23" s="76">
        <f>C22+(BudgetsQTable[[#This Row],[lead]]&lt;&gt;K22)</f>
        <v>14</v>
      </c>
      <c r="D23" s="76">
        <f>D22*(BudgetsQTable[[#This Row],[lead]]=K22)+(BudgetsQTable[[#This Row],[prop_id]]&lt;&gt;A22)</f>
        <v>1</v>
      </c>
      <c r="E23" s="77">
        <v>42933.820138888892</v>
      </c>
      <c r="F23" s="78" t="s">
        <v>737</v>
      </c>
      <c r="G23" s="78" t="s">
        <v>738</v>
      </c>
      <c r="H23" s="78" t="s">
        <v>491</v>
      </c>
      <c r="I23" s="76" t="s">
        <v>523</v>
      </c>
      <c r="J23" s="76" t="s">
        <v>532</v>
      </c>
      <c r="K23" s="78" t="s">
        <v>601</v>
      </c>
      <c r="L23" s="7" t="str">
        <f>IF(BudgetsQTable[[#This Row],[pi_last_name]]=" ","",HYPERLINK("https://www.ejacket.nsf.gov/ej/showProposal.do?Continue=Y&amp;ID="&amp;BudgetsQTable[[#This Row],[prop_id]],BudgetsQTable[[#This Row],[prop_id]]))</f>
        <v/>
      </c>
      <c r="M23" s="78" t="s">
        <v>532</v>
      </c>
      <c r="N23" s="7" t="str">
        <f>IF(BudgetsQTable[[#This Row],[pi_last_name]]=" ","",HYPERLINK("mailto:"&amp;BudgetsQTable[[#This Row],[pi_email]]&amp;"&amp;subject=Your NSF Proposal:  "&amp;BudgetsQTable[[#This Row],[prop_id]],BudgetsQTable[[#This Row],[pi_email]]))</f>
        <v/>
      </c>
      <c r="O23" s="78" t="s">
        <v>532</v>
      </c>
      <c r="P23" s="78">
        <v>1</v>
      </c>
      <c r="Q23" s="78">
        <v>0.5</v>
      </c>
      <c r="R23" s="79">
        <v>0</v>
      </c>
      <c r="S23" s="79">
        <v>0</v>
      </c>
      <c r="T23" s="79">
        <v>0</v>
      </c>
      <c r="U23" s="80">
        <v>105589</v>
      </c>
      <c r="V23" s="78">
        <v>0</v>
      </c>
      <c r="W23" s="78">
        <v>1</v>
      </c>
      <c r="X23" s="11" t="str">
        <f ca="1">IF(ISBLANK(BudgetsQTable[[#This Row],[budg_seq_yr]]),"FY"&amp;fiscalyear,"FY"&amp;fiscalyear-1+BudgetsQTable[[#This Row],[budg_seq_yr]])</f>
        <v>FY18</v>
      </c>
      <c r="Y23" s="79">
        <v>105589</v>
      </c>
      <c r="Z23" s="78" t="s">
        <v>738</v>
      </c>
      <c r="AA23" s="78" t="s">
        <v>491</v>
      </c>
      <c r="AB23" s="76" t="s">
        <v>741</v>
      </c>
      <c r="AC23" s="78" t="s">
        <v>743</v>
      </c>
    </row>
    <row r="24" spans="1:29" x14ac:dyDescent="0.35">
      <c r="A24" s="10" t="s">
        <v>601</v>
      </c>
      <c r="B24" s="76" t="s">
        <v>745</v>
      </c>
      <c r="C24" s="76">
        <f>C23+(BudgetsQTable[[#This Row],[lead]]&lt;&gt;K23)</f>
        <v>14</v>
      </c>
      <c r="D24" s="76">
        <f>D23*(BudgetsQTable[[#This Row],[lead]]=K23)+(BudgetsQTable[[#This Row],[prop_id]]&lt;&gt;A23)</f>
        <v>1</v>
      </c>
      <c r="E24" s="77">
        <v>42933.820138888892</v>
      </c>
      <c r="F24" s="78" t="s">
        <v>737</v>
      </c>
      <c r="G24" s="78" t="s">
        <v>738</v>
      </c>
      <c r="H24" s="78" t="s">
        <v>491</v>
      </c>
      <c r="I24" s="76" t="s">
        <v>523</v>
      </c>
      <c r="J24" s="76" t="s">
        <v>532</v>
      </c>
      <c r="K24" s="78" t="s">
        <v>601</v>
      </c>
      <c r="L24" s="7" t="str">
        <f>IF(BudgetsQTable[[#This Row],[pi_last_name]]=" ","",HYPERLINK("https://www.ejacket.nsf.gov/ej/showProposal.do?Continue=Y&amp;ID="&amp;BudgetsQTable[[#This Row],[prop_id]],BudgetsQTable[[#This Row],[prop_id]]))</f>
        <v/>
      </c>
      <c r="M24" s="78" t="s">
        <v>532</v>
      </c>
      <c r="N24" s="7" t="str">
        <f>IF(BudgetsQTable[[#This Row],[pi_last_name]]=" ","",HYPERLINK("mailto:"&amp;BudgetsQTable[[#This Row],[pi_email]]&amp;"&amp;subject=Your NSF Proposal:  "&amp;BudgetsQTable[[#This Row],[prop_id]],BudgetsQTable[[#This Row],[pi_email]]))</f>
        <v/>
      </c>
      <c r="O24" s="78" t="s">
        <v>532</v>
      </c>
      <c r="P24" s="78">
        <v>1</v>
      </c>
      <c r="Q24" s="78">
        <v>0.5</v>
      </c>
      <c r="R24" s="79">
        <v>0</v>
      </c>
      <c r="S24" s="79">
        <v>0</v>
      </c>
      <c r="T24" s="79">
        <v>0</v>
      </c>
      <c r="U24" s="80">
        <v>110067</v>
      </c>
      <c r="V24" s="78">
        <v>0</v>
      </c>
      <c r="W24" s="78">
        <v>2</v>
      </c>
      <c r="X24" s="11" t="str">
        <f ca="1">IF(ISBLANK(BudgetsQTable[[#This Row],[budg_seq_yr]]),"FY"&amp;fiscalyear,"FY"&amp;fiscalyear-1+BudgetsQTable[[#This Row],[budg_seq_yr]])</f>
        <v>FY19</v>
      </c>
      <c r="Y24" s="79">
        <v>110067</v>
      </c>
      <c r="Z24" s="78" t="s">
        <v>738</v>
      </c>
      <c r="AA24" s="78" t="s">
        <v>491</v>
      </c>
      <c r="AB24" s="76" t="s">
        <v>741</v>
      </c>
      <c r="AC24" s="78" t="s">
        <v>743</v>
      </c>
    </row>
    <row r="25" spans="1:29" x14ac:dyDescent="0.35">
      <c r="A25" s="10" t="s">
        <v>601</v>
      </c>
      <c r="B25" s="76" t="s">
        <v>745</v>
      </c>
      <c r="C25" s="76">
        <f>C24+(BudgetsQTable[[#This Row],[lead]]&lt;&gt;K24)</f>
        <v>14</v>
      </c>
      <c r="D25" s="76">
        <f>D24*(BudgetsQTable[[#This Row],[lead]]=K24)+(BudgetsQTable[[#This Row],[prop_id]]&lt;&gt;A24)</f>
        <v>1</v>
      </c>
      <c r="E25" s="77">
        <v>42933.820138888892</v>
      </c>
      <c r="F25" s="78" t="s">
        <v>737</v>
      </c>
      <c r="G25" s="78" t="s">
        <v>738</v>
      </c>
      <c r="H25" s="78" t="s">
        <v>491</v>
      </c>
      <c r="I25" s="76" t="s">
        <v>523</v>
      </c>
      <c r="J25" s="76" t="s">
        <v>532</v>
      </c>
      <c r="K25" s="78" t="s">
        <v>601</v>
      </c>
      <c r="L25" s="7" t="str">
        <f>IF(BudgetsQTable[[#This Row],[pi_last_name]]=" ","",HYPERLINK("https://www.ejacket.nsf.gov/ej/showProposal.do?Continue=Y&amp;ID="&amp;BudgetsQTable[[#This Row],[prop_id]],BudgetsQTable[[#This Row],[prop_id]]))</f>
        <v/>
      </c>
      <c r="M25" s="78" t="s">
        <v>532</v>
      </c>
      <c r="N25" s="7" t="str">
        <f>IF(BudgetsQTable[[#This Row],[pi_last_name]]=" ","",HYPERLINK("mailto:"&amp;BudgetsQTable[[#This Row],[pi_email]]&amp;"&amp;subject=Your NSF Proposal:  "&amp;BudgetsQTable[[#This Row],[prop_id]],BudgetsQTable[[#This Row],[pi_email]]))</f>
        <v/>
      </c>
      <c r="O25" s="78" t="s">
        <v>532</v>
      </c>
      <c r="P25" s="78">
        <v>1</v>
      </c>
      <c r="Q25" s="78">
        <v>0.5</v>
      </c>
      <c r="R25" s="79">
        <v>0</v>
      </c>
      <c r="S25" s="79">
        <v>0</v>
      </c>
      <c r="T25" s="79">
        <v>0</v>
      </c>
      <c r="U25" s="80">
        <v>114453</v>
      </c>
      <c r="V25" s="78">
        <v>0</v>
      </c>
      <c r="W25" s="78">
        <v>3</v>
      </c>
      <c r="X25" s="11" t="str">
        <f ca="1">IF(ISBLANK(BudgetsQTable[[#This Row],[budg_seq_yr]]),"FY"&amp;fiscalyear,"FY"&amp;fiscalyear-1+BudgetsQTable[[#This Row],[budg_seq_yr]])</f>
        <v>FY20</v>
      </c>
      <c r="Y25" s="79">
        <v>114453</v>
      </c>
      <c r="Z25" s="78" t="s">
        <v>738</v>
      </c>
      <c r="AA25" s="78" t="s">
        <v>491</v>
      </c>
      <c r="AB25" s="76" t="s">
        <v>741</v>
      </c>
      <c r="AC25" s="78" t="s">
        <v>743</v>
      </c>
    </row>
    <row r="26" spans="1:29" x14ac:dyDescent="0.35">
      <c r="A26" s="10" t="s">
        <v>601</v>
      </c>
      <c r="B26" s="76" t="s">
        <v>745</v>
      </c>
      <c r="C26" s="76">
        <f>C25+(BudgetsQTable[[#This Row],[lead]]&lt;&gt;K25)</f>
        <v>14</v>
      </c>
      <c r="D26" s="76">
        <f>D25*(BudgetsQTable[[#This Row],[lead]]=K25)+(BudgetsQTable[[#This Row],[prop_id]]&lt;&gt;A25)</f>
        <v>1</v>
      </c>
      <c r="E26" s="77">
        <v>42933.820138888892</v>
      </c>
      <c r="F26" s="78" t="s">
        <v>737</v>
      </c>
      <c r="G26" s="78" t="s">
        <v>738</v>
      </c>
      <c r="H26" s="78" t="s">
        <v>491</v>
      </c>
      <c r="I26" s="76" t="s">
        <v>523</v>
      </c>
      <c r="J26" s="76" t="s">
        <v>532</v>
      </c>
      <c r="K26" s="78" t="s">
        <v>601</v>
      </c>
      <c r="L26" s="7" t="str">
        <f>IF(BudgetsQTable[[#This Row],[pi_last_name]]=" ","",HYPERLINK("https://www.ejacket.nsf.gov/ej/showProposal.do?Continue=Y&amp;ID="&amp;BudgetsQTable[[#This Row],[prop_id]],BudgetsQTable[[#This Row],[prop_id]]))</f>
        <v/>
      </c>
      <c r="M26" s="78" t="s">
        <v>532</v>
      </c>
      <c r="N26" s="7" t="str">
        <f>IF(BudgetsQTable[[#This Row],[pi_last_name]]=" ","",HYPERLINK("mailto:"&amp;BudgetsQTable[[#This Row],[pi_email]]&amp;"&amp;subject=Your NSF Proposal:  "&amp;BudgetsQTable[[#This Row],[prop_id]],BudgetsQTable[[#This Row],[pi_email]]))</f>
        <v/>
      </c>
      <c r="O26" s="78" t="s">
        <v>532</v>
      </c>
      <c r="P26" s="78">
        <v>1</v>
      </c>
      <c r="Q26" s="78">
        <v>0.5</v>
      </c>
      <c r="R26" s="79">
        <v>0</v>
      </c>
      <c r="S26" s="79">
        <v>0</v>
      </c>
      <c r="T26" s="79">
        <v>0</v>
      </c>
      <c r="U26" s="80">
        <v>119025</v>
      </c>
      <c r="V26" s="78">
        <v>0</v>
      </c>
      <c r="W26" s="78">
        <v>4</v>
      </c>
      <c r="X26" s="11" t="str">
        <f ca="1">IF(ISBLANK(BudgetsQTable[[#This Row],[budg_seq_yr]]),"FY"&amp;fiscalyear,"FY"&amp;fiscalyear-1+BudgetsQTable[[#This Row],[budg_seq_yr]])</f>
        <v>FY21</v>
      </c>
      <c r="Y26" s="79">
        <v>119025</v>
      </c>
      <c r="Z26" s="78" t="s">
        <v>738</v>
      </c>
      <c r="AA26" s="78" t="s">
        <v>491</v>
      </c>
      <c r="AB26" s="76" t="s">
        <v>741</v>
      </c>
      <c r="AC26" s="78" t="s">
        <v>743</v>
      </c>
    </row>
    <row r="27" spans="1:29" x14ac:dyDescent="0.35">
      <c r="A27" s="10" t="s">
        <v>601</v>
      </c>
      <c r="B27" s="76" t="s">
        <v>745</v>
      </c>
      <c r="C27" s="76">
        <f>C26+(BudgetsQTable[[#This Row],[lead]]&lt;&gt;K26)</f>
        <v>14</v>
      </c>
      <c r="D27" s="76">
        <f>D26*(BudgetsQTable[[#This Row],[lead]]=K26)+(BudgetsQTable[[#This Row],[prop_id]]&lt;&gt;A26)</f>
        <v>1</v>
      </c>
      <c r="E27" s="77">
        <v>42933.820138888892</v>
      </c>
      <c r="F27" s="78" t="s">
        <v>737</v>
      </c>
      <c r="G27" s="78" t="s">
        <v>738</v>
      </c>
      <c r="H27" s="78" t="s">
        <v>491</v>
      </c>
      <c r="I27" s="76" t="s">
        <v>523</v>
      </c>
      <c r="J27" s="76" t="s">
        <v>532</v>
      </c>
      <c r="K27" s="78" t="s">
        <v>601</v>
      </c>
      <c r="L27" s="7" t="str">
        <f>IF(BudgetsQTable[[#This Row],[pi_last_name]]=" ","",HYPERLINK("https://www.ejacket.nsf.gov/ej/showProposal.do?Continue=Y&amp;ID="&amp;BudgetsQTable[[#This Row],[prop_id]],BudgetsQTable[[#This Row],[prop_id]]))</f>
        <v/>
      </c>
      <c r="M27" s="78" t="s">
        <v>532</v>
      </c>
      <c r="N27" s="7" t="str">
        <f>IF(BudgetsQTable[[#This Row],[pi_last_name]]=" ","",HYPERLINK("mailto:"&amp;BudgetsQTable[[#This Row],[pi_email]]&amp;"&amp;subject=Your NSF Proposal:  "&amp;BudgetsQTable[[#This Row],[prop_id]],BudgetsQTable[[#This Row],[pi_email]]))</f>
        <v/>
      </c>
      <c r="O27" s="78" t="s">
        <v>532</v>
      </c>
      <c r="P27" s="78">
        <v>1</v>
      </c>
      <c r="Q27" s="78">
        <v>0.5</v>
      </c>
      <c r="R27" s="79">
        <v>0</v>
      </c>
      <c r="S27" s="79">
        <v>0</v>
      </c>
      <c r="T27" s="79">
        <v>0</v>
      </c>
      <c r="U27" s="80">
        <v>100707</v>
      </c>
      <c r="V27" s="78">
        <v>0</v>
      </c>
      <c r="W27" s="78">
        <v>5</v>
      </c>
      <c r="X27" s="11" t="str">
        <f ca="1">IF(ISBLANK(BudgetsQTable[[#This Row],[budg_seq_yr]]),"FY"&amp;fiscalyear,"FY"&amp;fiscalyear-1+BudgetsQTable[[#This Row],[budg_seq_yr]])</f>
        <v>FY22</v>
      </c>
      <c r="Y27" s="79">
        <v>100707</v>
      </c>
      <c r="Z27" s="78" t="s">
        <v>738</v>
      </c>
      <c r="AA27" s="78" t="s">
        <v>491</v>
      </c>
      <c r="AB27" s="76" t="s">
        <v>741</v>
      </c>
      <c r="AC27" s="78" t="s">
        <v>743</v>
      </c>
    </row>
    <row r="28" spans="1:29" x14ac:dyDescent="0.35">
      <c r="A28" s="10" t="s">
        <v>612</v>
      </c>
      <c r="B28" s="76" t="s">
        <v>745</v>
      </c>
      <c r="C28" s="76">
        <f>C27+(BudgetsQTable[[#This Row],[lead]]&lt;&gt;K27)</f>
        <v>15</v>
      </c>
      <c r="D28" s="76">
        <f>D27*(BudgetsQTable[[#This Row],[lead]]=K27)+(BudgetsQTable[[#This Row],[prop_id]]&lt;&gt;A27)</f>
        <v>1</v>
      </c>
      <c r="E28" s="77">
        <v>42934.625694444447</v>
      </c>
      <c r="F28" s="78" t="s">
        <v>737</v>
      </c>
      <c r="G28" s="78" t="s">
        <v>738</v>
      </c>
      <c r="H28" s="78" t="s">
        <v>491</v>
      </c>
      <c r="I28" s="76" t="s">
        <v>523</v>
      </c>
      <c r="J28" s="76" t="s">
        <v>777</v>
      </c>
      <c r="K28" s="78" t="s">
        <v>612</v>
      </c>
      <c r="L28" s="7" t="str">
        <f>IF(BudgetsQTable[[#This Row],[pi_last_name]]=" ","",HYPERLINK("https://www.ejacket.nsf.gov/ej/showProposal.do?Continue=Y&amp;ID="&amp;BudgetsQTable[[#This Row],[prop_id]],BudgetsQTable[[#This Row],[prop_id]]))</f>
        <v>1749855</v>
      </c>
      <c r="M28" s="78" t="s">
        <v>613</v>
      </c>
      <c r="N28" s="7" t="str">
        <f>IF(BudgetsQTable[[#This Row],[pi_last_name]]=" ","",HYPERLINK("mailto:"&amp;BudgetsQTable[[#This Row],[pi_email]]&amp;"&amp;subject=Your NSF Proposal:  "&amp;BudgetsQTable[[#This Row],[prop_id]],BudgetsQTable[[#This Row],[pi_email]]))</f>
        <v>francesco@cs.stonybrook.edu</v>
      </c>
      <c r="O28" s="78" t="s">
        <v>774</v>
      </c>
      <c r="P28" s="78"/>
      <c r="Q28" s="78"/>
      <c r="R28" s="79"/>
      <c r="S28" s="79"/>
      <c r="T28" s="79"/>
      <c r="U28" s="80"/>
      <c r="V28" s="78">
        <v>0</v>
      </c>
      <c r="W28" s="78"/>
      <c r="X28" s="11" t="str">
        <f ca="1">IF(ISBLANK(BudgetsQTable[[#This Row],[budg_seq_yr]]),"FY"&amp;fiscalyear,"FY"&amp;fiscalyear-1+BudgetsQTable[[#This Row],[budg_seq_yr]])</f>
        <v>FY18</v>
      </c>
      <c r="Y28" s="79">
        <v>516750</v>
      </c>
      <c r="Z28" s="78" t="s">
        <v>738</v>
      </c>
      <c r="AA28" s="78" t="s">
        <v>491</v>
      </c>
      <c r="AB28" s="76" t="s">
        <v>741</v>
      </c>
      <c r="AC28" s="78" t="s">
        <v>743</v>
      </c>
    </row>
    <row r="29" spans="1:29" x14ac:dyDescent="0.35">
      <c r="A29" s="10" t="s">
        <v>612</v>
      </c>
      <c r="B29" s="76" t="s">
        <v>745</v>
      </c>
      <c r="C29" s="76">
        <f>C28+(BudgetsQTable[[#This Row],[lead]]&lt;&gt;K28)</f>
        <v>15</v>
      </c>
      <c r="D29" s="76">
        <f>D28*(BudgetsQTable[[#This Row],[lead]]=K28)+(BudgetsQTable[[#This Row],[prop_id]]&lt;&gt;A28)</f>
        <v>1</v>
      </c>
      <c r="E29" s="77">
        <v>42934.625694444447</v>
      </c>
      <c r="F29" s="78" t="s">
        <v>737</v>
      </c>
      <c r="G29" s="78" t="s">
        <v>738</v>
      </c>
      <c r="H29" s="78" t="s">
        <v>491</v>
      </c>
      <c r="I29" s="76" t="s">
        <v>523</v>
      </c>
      <c r="J29" s="76" t="s">
        <v>532</v>
      </c>
      <c r="K29" s="78" t="s">
        <v>612</v>
      </c>
      <c r="L29" s="7" t="str">
        <f>IF(BudgetsQTable[[#This Row],[pi_last_name]]=" ","",HYPERLINK("https://www.ejacket.nsf.gov/ej/showProposal.do?Continue=Y&amp;ID="&amp;BudgetsQTable[[#This Row],[prop_id]],BudgetsQTable[[#This Row],[prop_id]]))</f>
        <v/>
      </c>
      <c r="M29" s="78" t="s">
        <v>532</v>
      </c>
      <c r="N29" s="7" t="str">
        <f>IF(BudgetsQTable[[#This Row],[pi_last_name]]=" ","",HYPERLINK("mailto:"&amp;BudgetsQTable[[#This Row],[pi_email]]&amp;"&amp;subject=Your NSF Proposal:  "&amp;BudgetsQTable[[#This Row],[prop_id]],BudgetsQTable[[#This Row],[pi_email]]))</f>
        <v/>
      </c>
      <c r="O29" s="78" t="s">
        <v>532</v>
      </c>
      <c r="P29" s="78">
        <v>1</v>
      </c>
      <c r="Q29" s="78">
        <v>1</v>
      </c>
      <c r="R29" s="79">
        <v>0</v>
      </c>
      <c r="S29" s="79">
        <v>2000</v>
      </c>
      <c r="T29" s="79">
        <v>0</v>
      </c>
      <c r="U29" s="80">
        <v>93299</v>
      </c>
      <c r="V29" s="78">
        <v>0</v>
      </c>
      <c r="W29" s="78">
        <v>1</v>
      </c>
      <c r="X29" s="11" t="str">
        <f ca="1">IF(ISBLANK(BudgetsQTable[[#This Row],[budg_seq_yr]]),"FY"&amp;fiscalyear,"FY"&amp;fiscalyear-1+BudgetsQTable[[#This Row],[budg_seq_yr]])</f>
        <v>FY18</v>
      </c>
      <c r="Y29" s="79">
        <v>93299</v>
      </c>
      <c r="Z29" s="78" t="s">
        <v>738</v>
      </c>
      <c r="AA29" s="78" t="s">
        <v>491</v>
      </c>
      <c r="AB29" s="76" t="s">
        <v>741</v>
      </c>
      <c r="AC29" s="78" t="s">
        <v>743</v>
      </c>
    </row>
    <row r="30" spans="1:29" x14ac:dyDescent="0.35">
      <c r="A30" s="10" t="s">
        <v>612</v>
      </c>
      <c r="B30" s="76" t="s">
        <v>745</v>
      </c>
      <c r="C30" s="76">
        <f>C29+(BudgetsQTable[[#This Row],[lead]]&lt;&gt;K29)</f>
        <v>15</v>
      </c>
      <c r="D30" s="76">
        <f>D29*(BudgetsQTable[[#This Row],[lead]]=K29)+(BudgetsQTable[[#This Row],[prop_id]]&lt;&gt;A29)</f>
        <v>1</v>
      </c>
      <c r="E30" s="77">
        <v>42934.625694444447</v>
      </c>
      <c r="F30" s="78" t="s">
        <v>737</v>
      </c>
      <c r="G30" s="78" t="s">
        <v>738</v>
      </c>
      <c r="H30" s="78" t="s">
        <v>491</v>
      </c>
      <c r="I30" s="76" t="s">
        <v>523</v>
      </c>
      <c r="J30" s="76" t="s">
        <v>532</v>
      </c>
      <c r="K30" s="78" t="s">
        <v>612</v>
      </c>
      <c r="L30" s="7" t="str">
        <f>IF(BudgetsQTable[[#This Row],[pi_last_name]]=" ","",HYPERLINK("https://www.ejacket.nsf.gov/ej/showProposal.do?Continue=Y&amp;ID="&amp;BudgetsQTable[[#This Row],[prop_id]],BudgetsQTable[[#This Row],[prop_id]]))</f>
        <v/>
      </c>
      <c r="M30" s="78" t="s">
        <v>532</v>
      </c>
      <c r="N30" s="7" t="str">
        <f>IF(BudgetsQTable[[#This Row],[pi_last_name]]=" ","",HYPERLINK("mailto:"&amp;BudgetsQTable[[#This Row],[pi_email]]&amp;"&amp;subject=Your NSF Proposal:  "&amp;BudgetsQTable[[#This Row],[prop_id]],BudgetsQTable[[#This Row],[pi_email]]))</f>
        <v/>
      </c>
      <c r="O30" s="78" t="s">
        <v>532</v>
      </c>
      <c r="P30" s="78">
        <v>1</v>
      </c>
      <c r="Q30" s="78">
        <v>1</v>
      </c>
      <c r="R30" s="79">
        <v>0</v>
      </c>
      <c r="S30" s="79">
        <v>2000</v>
      </c>
      <c r="T30" s="79">
        <v>0</v>
      </c>
      <c r="U30" s="80">
        <v>101945</v>
      </c>
      <c r="V30" s="78">
        <v>0</v>
      </c>
      <c r="W30" s="78">
        <v>2</v>
      </c>
      <c r="X30" s="11" t="str">
        <f ca="1">IF(ISBLANK(BudgetsQTable[[#This Row],[budg_seq_yr]]),"FY"&amp;fiscalyear,"FY"&amp;fiscalyear-1+BudgetsQTable[[#This Row],[budg_seq_yr]])</f>
        <v>FY19</v>
      </c>
      <c r="Y30" s="79">
        <v>101945</v>
      </c>
      <c r="Z30" s="78" t="s">
        <v>738</v>
      </c>
      <c r="AA30" s="78" t="s">
        <v>491</v>
      </c>
      <c r="AB30" s="76" t="s">
        <v>741</v>
      </c>
      <c r="AC30" s="78" t="s">
        <v>743</v>
      </c>
    </row>
    <row r="31" spans="1:29" x14ac:dyDescent="0.35">
      <c r="A31" s="10" t="s">
        <v>612</v>
      </c>
      <c r="B31" s="76" t="s">
        <v>745</v>
      </c>
      <c r="C31" s="76">
        <f>C30+(BudgetsQTable[[#This Row],[lead]]&lt;&gt;K30)</f>
        <v>15</v>
      </c>
      <c r="D31" s="76">
        <f>D30*(BudgetsQTable[[#This Row],[lead]]=K30)+(BudgetsQTable[[#This Row],[prop_id]]&lt;&gt;A30)</f>
        <v>1</v>
      </c>
      <c r="E31" s="77">
        <v>42934.625694444447</v>
      </c>
      <c r="F31" s="78" t="s">
        <v>737</v>
      </c>
      <c r="G31" s="78" t="s">
        <v>738</v>
      </c>
      <c r="H31" s="78" t="s">
        <v>491</v>
      </c>
      <c r="I31" s="76" t="s">
        <v>523</v>
      </c>
      <c r="J31" s="76" t="s">
        <v>532</v>
      </c>
      <c r="K31" s="78" t="s">
        <v>612</v>
      </c>
      <c r="L31" s="7" t="str">
        <f>IF(BudgetsQTable[[#This Row],[pi_last_name]]=" ","",HYPERLINK("https://www.ejacket.nsf.gov/ej/showProposal.do?Continue=Y&amp;ID="&amp;BudgetsQTable[[#This Row],[prop_id]],BudgetsQTable[[#This Row],[prop_id]]))</f>
        <v/>
      </c>
      <c r="M31" s="78" t="s">
        <v>532</v>
      </c>
      <c r="N31" s="7" t="str">
        <f>IF(BudgetsQTable[[#This Row],[pi_last_name]]=" ","",HYPERLINK("mailto:"&amp;BudgetsQTable[[#This Row],[pi_email]]&amp;"&amp;subject=Your NSF Proposal:  "&amp;BudgetsQTable[[#This Row],[prop_id]],BudgetsQTable[[#This Row],[pi_email]]))</f>
        <v/>
      </c>
      <c r="O31" s="78" t="s">
        <v>532</v>
      </c>
      <c r="P31" s="78">
        <v>1</v>
      </c>
      <c r="Q31" s="78">
        <v>1</v>
      </c>
      <c r="R31" s="79">
        <v>0</v>
      </c>
      <c r="S31" s="79">
        <v>2000</v>
      </c>
      <c r="T31" s="79">
        <v>0</v>
      </c>
      <c r="U31" s="80">
        <v>104505</v>
      </c>
      <c r="V31" s="78">
        <v>0</v>
      </c>
      <c r="W31" s="78">
        <v>3</v>
      </c>
      <c r="X31" s="11" t="str">
        <f ca="1">IF(ISBLANK(BudgetsQTable[[#This Row],[budg_seq_yr]]),"FY"&amp;fiscalyear,"FY"&amp;fiscalyear-1+BudgetsQTable[[#This Row],[budg_seq_yr]])</f>
        <v>FY20</v>
      </c>
      <c r="Y31" s="79">
        <v>104505</v>
      </c>
      <c r="Z31" s="78" t="s">
        <v>738</v>
      </c>
      <c r="AA31" s="78" t="s">
        <v>491</v>
      </c>
      <c r="AB31" s="76" t="s">
        <v>741</v>
      </c>
      <c r="AC31" s="78" t="s">
        <v>743</v>
      </c>
    </row>
    <row r="32" spans="1:29" x14ac:dyDescent="0.35">
      <c r="A32" s="10" t="s">
        <v>612</v>
      </c>
      <c r="B32" s="76" t="s">
        <v>745</v>
      </c>
      <c r="C32" s="76">
        <f>C31+(BudgetsQTable[[#This Row],[lead]]&lt;&gt;K31)</f>
        <v>15</v>
      </c>
      <c r="D32" s="76">
        <f>D31*(BudgetsQTable[[#This Row],[lead]]=K31)+(BudgetsQTable[[#This Row],[prop_id]]&lt;&gt;A31)</f>
        <v>1</v>
      </c>
      <c r="E32" s="77">
        <v>42934.625694444447</v>
      </c>
      <c r="F32" s="78" t="s">
        <v>737</v>
      </c>
      <c r="G32" s="78" t="s">
        <v>738</v>
      </c>
      <c r="H32" s="78" t="s">
        <v>491</v>
      </c>
      <c r="I32" s="76" t="s">
        <v>523</v>
      </c>
      <c r="J32" s="76" t="s">
        <v>532</v>
      </c>
      <c r="K32" s="78" t="s">
        <v>612</v>
      </c>
      <c r="L32" s="7" t="str">
        <f>IF(BudgetsQTable[[#This Row],[pi_last_name]]=" ","",HYPERLINK("https://www.ejacket.nsf.gov/ej/showProposal.do?Continue=Y&amp;ID="&amp;BudgetsQTable[[#This Row],[prop_id]],BudgetsQTable[[#This Row],[prop_id]]))</f>
        <v/>
      </c>
      <c r="M32" s="78" t="s">
        <v>532</v>
      </c>
      <c r="N32" s="7" t="str">
        <f>IF(BudgetsQTable[[#This Row],[pi_last_name]]=" ","",HYPERLINK("mailto:"&amp;BudgetsQTable[[#This Row],[pi_email]]&amp;"&amp;subject=Your NSF Proposal:  "&amp;BudgetsQTable[[#This Row],[prop_id]],BudgetsQTable[[#This Row],[pi_email]]))</f>
        <v/>
      </c>
      <c r="O32" s="78" t="s">
        <v>532</v>
      </c>
      <c r="P32" s="78">
        <v>1</v>
      </c>
      <c r="Q32" s="78">
        <v>1</v>
      </c>
      <c r="R32" s="79">
        <v>0</v>
      </c>
      <c r="S32" s="79">
        <v>2000</v>
      </c>
      <c r="T32" s="79">
        <v>0</v>
      </c>
      <c r="U32" s="80">
        <v>107143</v>
      </c>
      <c r="V32" s="78">
        <v>0</v>
      </c>
      <c r="W32" s="78">
        <v>4</v>
      </c>
      <c r="X32" s="11" t="str">
        <f ca="1">IF(ISBLANK(BudgetsQTable[[#This Row],[budg_seq_yr]]),"FY"&amp;fiscalyear,"FY"&amp;fiscalyear-1+BudgetsQTable[[#This Row],[budg_seq_yr]])</f>
        <v>FY21</v>
      </c>
      <c r="Y32" s="79">
        <v>107143</v>
      </c>
      <c r="Z32" s="78" t="s">
        <v>738</v>
      </c>
      <c r="AA32" s="78" t="s">
        <v>491</v>
      </c>
      <c r="AB32" s="76" t="s">
        <v>741</v>
      </c>
      <c r="AC32" s="78" t="s">
        <v>743</v>
      </c>
    </row>
    <row r="33" spans="1:29" x14ac:dyDescent="0.35">
      <c r="A33" s="10" t="s">
        <v>612</v>
      </c>
      <c r="B33" s="76" t="s">
        <v>745</v>
      </c>
      <c r="C33" s="76">
        <f>C32+(BudgetsQTable[[#This Row],[lead]]&lt;&gt;K32)</f>
        <v>15</v>
      </c>
      <c r="D33" s="76">
        <f>D32*(BudgetsQTable[[#This Row],[lead]]=K32)+(BudgetsQTable[[#This Row],[prop_id]]&lt;&gt;A32)</f>
        <v>1</v>
      </c>
      <c r="E33" s="77">
        <v>42934.625694444447</v>
      </c>
      <c r="F33" s="78" t="s">
        <v>737</v>
      </c>
      <c r="G33" s="78" t="s">
        <v>738</v>
      </c>
      <c r="H33" s="78" t="s">
        <v>491</v>
      </c>
      <c r="I33" s="76" t="s">
        <v>523</v>
      </c>
      <c r="J33" s="76" t="s">
        <v>532</v>
      </c>
      <c r="K33" s="78" t="s">
        <v>612</v>
      </c>
      <c r="L33" s="7" t="str">
        <f>IF(BudgetsQTable[[#This Row],[pi_last_name]]=" ","",HYPERLINK("https://www.ejacket.nsf.gov/ej/showProposal.do?Continue=Y&amp;ID="&amp;BudgetsQTable[[#This Row],[prop_id]],BudgetsQTable[[#This Row],[prop_id]]))</f>
        <v/>
      </c>
      <c r="M33" s="78" t="s">
        <v>532</v>
      </c>
      <c r="N33" s="7" t="str">
        <f>IF(BudgetsQTable[[#This Row],[pi_last_name]]=" ","",HYPERLINK("mailto:"&amp;BudgetsQTable[[#This Row],[pi_email]]&amp;"&amp;subject=Your NSF Proposal:  "&amp;BudgetsQTable[[#This Row],[prop_id]],BudgetsQTable[[#This Row],[pi_email]]))</f>
        <v/>
      </c>
      <c r="O33" s="78" t="s">
        <v>532</v>
      </c>
      <c r="P33" s="78">
        <v>1</v>
      </c>
      <c r="Q33" s="78">
        <v>1</v>
      </c>
      <c r="R33" s="79">
        <v>0</v>
      </c>
      <c r="S33" s="79">
        <v>2000</v>
      </c>
      <c r="T33" s="79">
        <v>0</v>
      </c>
      <c r="U33" s="80">
        <v>109858</v>
      </c>
      <c r="V33" s="78">
        <v>0</v>
      </c>
      <c r="W33" s="78">
        <v>5</v>
      </c>
      <c r="X33" s="11" t="str">
        <f ca="1">IF(ISBLANK(BudgetsQTable[[#This Row],[budg_seq_yr]]),"FY"&amp;fiscalyear,"FY"&amp;fiscalyear-1+BudgetsQTable[[#This Row],[budg_seq_yr]])</f>
        <v>FY22</v>
      </c>
      <c r="Y33" s="79">
        <v>109858</v>
      </c>
      <c r="Z33" s="78" t="s">
        <v>738</v>
      </c>
      <c r="AA33" s="78" t="s">
        <v>491</v>
      </c>
      <c r="AB33" s="76" t="s">
        <v>741</v>
      </c>
      <c r="AC33" s="78" t="s">
        <v>743</v>
      </c>
    </row>
    <row r="34" spans="1:29" x14ac:dyDescent="0.35">
      <c r="A34" s="10" t="s">
        <v>634</v>
      </c>
      <c r="B34" s="76" t="s">
        <v>745</v>
      </c>
      <c r="C34" s="76">
        <f>C33+(BudgetsQTable[[#This Row],[lead]]&lt;&gt;K33)</f>
        <v>16</v>
      </c>
      <c r="D34" s="76">
        <f>D33*(BudgetsQTable[[#This Row],[lead]]=K33)+(BudgetsQTable[[#This Row],[prop_id]]&lt;&gt;A33)</f>
        <v>1</v>
      </c>
      <c r="E34" s="77">
        <v>42934.695138888892</v>
      </c>
      <c r="F34" s="78" t="s">
        <v>737</v>
      </c>
      <c r="G34" s="78" t="s">
        <v>738</v>
      </c>
      <c r="H34" s="78" t="s">
        <v>491</v>
      </c>
      <c r="I34" s="76" t="s">
        <v>523</v>
      </c>
      <c r="J34" s="76" t="s">
        <v>782</v>
      </c>
      <c r="K34" s="78" t="s">
        <v>634</v>
      </c>
      <c r="L34" s="7" t="str">
        <f>IF(BudgetsQTable[[#This Row],[pi_last_name]]=" ","",HYPERLINK("https://www.ejacket.nsf.gov/ej/showProposal.do?Continue=Y&amp;ID="&amp;BudgetsQTable[[#This Row],[prop_id]],BudgetsQTable[[#This Row],[prop_id]]))</f>
        <v>1749977</v>
      </c>
      <c r="M34" s="78" t="s">
        <v>635</v>
      </c>
      <c r="N34" s="7" t="str">
        <f>IF(BudgetsQTable[[#This Row],[pi_last_name]]=" ","",HYPERLINK("mailto:"&amp;BudgetsQTable[[#This Row],[pi_email]]&amp;"&amp;subject=Your NSF Proposal:  "&amp;BudgetsQTable[[#This Row],[prop_id]],BudgetsQTable[[#This Row],[pi_email]]))</f>
        <v>jsolomon@mit.edu</v>
      </c>
      <c r="O34" s="78" t="s">
        <v>509</v>
      </c>
      <c r="P34" s="78"/>
      <c r="Q34" s="78"/>
      <c r="R34" s="79"/>
      <c r="S34" s="79"/>
      <c r="T34" s="79"/>
      <c r="U34" s="80"/>
      <c r="V34" s="78">
        <v>0</v>
      </c>
      <c r="W34" s="78"/>
      <c r="X34" s="11" t="str">
        <f ca="1">IF(ISBLANK(BudgetsQTable[[#This Row],[budg_seq_yr]]),"FY"&amp;fiscalyear,"FY"&amp;fiscalyear-1+BudgetsQTable[[#This Row],[budg_seq_yr]])</f>
        <v>FY18</v>
      </c>
      <c r="Y34" s="79">
        <v>550000</v>
      </c>
      <c r="Z34" s="78" t="s">
        <v>738</v>
      </c>
      <c r="AA34" s="78" t="s">
        <v>491</v>
      </c>
      <c r="AB34" s="76" t="s">
        <v>741</v>
      </c>
      <c r="AC34" s="78" t="s">
        <v>753</v>
      </c>
    </row>
    <row r="35" spans="1:29" x14ac:dyDescent="0.35">
      <c r="A35" s="10" t="s">
        <v>634</v>
      </c>
      <c r="B35" s="76" t="s">
        <v>745</v>
      </c>
      <c r="C35" s="76">
        <f>C34+(BudgetsQTable[[#This Row],[lead]]&lt;&gt;K34)</f>
        <v>16</v>
      </c>
      <c r="D35" s="76">
        <f>D34*(BudgetsQTable[[#This Row],[lead]]=K34)+(BudgetsQTable[[#This Row],[prop_id]]&lt;&gt;A34)</f>
        <v>1</v>
      </c>
      <c r="E35" s="77">
        <v>42934.695138888892</v>
      </c>
      <c r="F35" s="78" t="s">
        <v>737</v>
      </c>
      <c r="G35" s="78" t="s">
        <v>738</v>
      </c>
      <c r="H35" s="78" t="s">
        <v>491</v>
      </c>
      <c r="I35" s="76" t="s">
        <v>523</v>
      </c>
      <c r="J35" s="76" t="s">
        <v>532</v>
      </c>
      <c r="K35" s="78" t="s">
        <v>634</v>
      </c>
      <c r="L35" s="7" t="str">
        <f>IF(BudgetsQTable[[#This Row],[pi_last_name]]=" ","",HYPERLINK("https://www.ejacket.nsf.gov/ej/showProposal.do?Continue=Y&amp;ID="&amp;BudgetsQTable[[#This Row],[prop_id]],BudgetsQTable[[#This Row],[prop_id]]))</f>
        <v/>
      </c>
      <c r="M35" s="78" t="s">
        <v>532</v>
      </c>
      <c r="N35" s="7" t="str">
        <f>IF(BudgetsQTable[[#This Row],[pi_last_name]]=" ","",HYPERLINK("mailto:"&amp;BudgetsQTable[[#This Row],[pi_email]]&amp;"&amp;subject=Your NSF Proposal:  "&amp;BudgetsQTable[[#This Row],[prop_id]],BudgetsQTable[[#This Row],[pi_email]]))</f>
        <v/>
      </c>
      <c r="O35" s="78" t="s">
        <v>532</v>
      </c>
      <c r="P35" s="78">
        <v>1</v>
      </c>
      <c r="Q35" s="78">
        <v>0.5</v>
      </c>
      <c r="R35" s="79">
        <v>0</v>
      </c>
      <c r="S35" s="79">
        <v>0</v>
      </c>
      <c r="T35" s="79">
        <v>0</v>
      </c>
      <c r="U35" s="80">
        <v>103625</v>
      </c>
      <c r="V35" s="78">
        <v>0</v>
      </c>
      <c r="W35" s="78">
        <v>1</v>
      </c>
      <c r="X35" s="11" t="str">
        <f ca="1">IF(ISBLANK(BudgetsQTable[[#This Row],[budg_seq_yr]]),"FY"&amp;fiscalyear,"FY"&amp;fiscalyear-1+BudgetsQTable[[#This Row],[budg_seq_yr]])</f>
        <v>FY18</v>
      </c>
      <c r="Y35" s="79">
        <v>103625</v>
      </c>
      <c r="Z35" s="78" t="s">
        <v>738</v>
      </c>
      <c r="AA35" s="78" t="s">
        <v>491</v>
      </c>
      <c r="AB35" s="76" t="s">
        <v>741</v>
      </c>
      <c r="AC35" s="78" t="s">
        <v>753</v>
      </c>
    </row>
    <row r="36" spans="1:29" x14ac:dyDescent="0.35">
      <c r="A36" s="10" t="s">
        <v>634</v>
      </c>
      <c r="B36" s="76" t="s">
        <v>745</v>
      </c>
      <c r="C36" s="76">
        <f>C35+(BudgetsQTable[[#This Row],[lead]]&lt;&gt;K35)</f>
        <v>16</v>
      </c>
      <c r="D36" s="76">
        <f>D35*(BudgetsQTable[[#This Row],[lead]]=K35)+(BudgetsQTable[[#This Row],[prop_id]]&lt;&gt;A35)</f>
        <v>1</v>
      </c>
      <c r="E36" s="77">
        <v>42934.695138888892</v>
      </c>
      <c r="F36" s="78" t="s">
        <v>737</v>
      </c>
      <c r="G36" s="78" t="s">
        <v>738</v>
      </c>
      <c r="H36" s="78" t="s">
        <v>491</v>
      </c>
      <c r="I36" s="76" t="s">
        <v>523</v>
      </c>
      <c r="J36" s="76" t="s">
        <v>532</v>
      </c>
      <c r="K36" s="78" t="s">
        <v>634</v>
      </c>
      <c r="L36" s="7" t="str">
        <f>IF(BudgetsQTable[[#This Row],[pi_last_name]]=" ","",HYPERLINK("https://www.ejacket.nsf.gov/ej/showProposal.do?Continue=Y&amp;ID="&amp;BudgetsQTable[[#This Row],[prop_id]],BudgetsQTable[[#This Row],[prop_id]]))</f>
        <v/>
      </c>
      <c r="M36" s="78" t="s">
        <v>532</v>
      </c>
      <c r="N36" s="7" t="str">
        <f>IF(BudgetsQTable[[#This Row],[pi_last_name]]=" ","",HYPERLINK("mailto:"&amp;BudgetsQTable[[#This Row],[pi_email]]&amp;"&amp;subject=Your NSF Proposal:  "&amp;BudgetsQTable[[#This Row],[prop_id]],BudgetsQTable[[#This Row],[pi_email]]))</f>
        <v/>
      </c>
      <c r="O36" s="78" t="s">
        <v>532</v>
      </c>
      <c r="P36" s="78">
        <v>1</v>
      </c>
      <c r="Q36" s="78">
        <v>0.5</v>
      </c>
      <c r="R36" s="79">
        <v>0</v>
      </c>
      <c r="S36" s="79">
        <v>0</v>
      </c>
      <c r="T36" s="79">
        <v>0</v>
      </c>
      <c r="U36" s="80">
        <v>106592</v>
      </c>
      <c r="V36" s="78">
        <v>0</v>
      </c>
      <c r="W36" s="78">
        <v>2</v>
      </c>
      <c r="X36" s="11" t="str">
        <f ca="1">IF(ISBLANK(BudgetsQTable[[#This Row],[budg_seq_yr]]),"FY"&amp;fiscalyear,"FY"&amp;fiscalyear-1+BudgetsQTable[[#This Row],[budg_seq_yr]])</f>
        <v>FY19</v>
      </c>
      <c r="Y36" s="79">
        <v>106592</v>
      </c>
      <c r="Z36" s="78" t="s">
        <v>738</v>
      </c>
      <c r="AA36" s="78" t="s">
        <v>491</v>
      </c>
      <c r="AB36" s="76" t="s">
        <v>741</v>
      </c>
      <c r="AC36" s="78" t="s">
        <v>753</v>
      </c>
    </row>
    <row r="37" spans="1:29" x14ac:dyDescent="0.35">
      <c r="A37" s="10" t="s">
        <v>634</v>
      </c>
      <c r="B37" s="76" t="s">
        <v>745</v>
      </c>
      <c r="C37" s="76">
        <f>C36+(BudgetsQTable[[#This Row],[lead]]&lt;&gt;K36)</f>
        <v>16</v>
      </c>
      <c r="D37" s="76">
        <f>D36*(BudgetsQTable[[#This Row],[lead]]=K36)+(BudgetsQTable[[#This Row],[prop_id]]&lt;&gt;A36)</f>
        <v>1</v>
      </c>
      <c r="E37" s="77">
        <v>42934.695138888892</v>
      </c>
      <c r="F37" s="78" t="s">
        <v>737</v>
      </c>
      <c r="G37" s="78" t="s">
        <v>738</v>
      </c>
      <c r="H37" s="78" t="s">
        <v>491</v>
      </c>
      <c r="I37" s="76" t="s">
        <v>523</v>
      </c>
      <c r="J37" s="76" t="s">
        <v>532</v>
      </c>
      <c r="K37" s="78" t="s">
        <v>634</v>
      </c>
      <c r="L37" s="7" t="str">
        <f>IF(BudgetsQTable[[#This Row],[pi_last_name]]=" ","",HYPERLINK("https://www.ejacket.nsf.gov/ej/showProposal.do?Continue=Y&amp;ID="&amp;BudgetsQTable[[#This Row],[prop_id]],BudgetsQTable[[#This Row],[prop_id]]))</f>
        <v/>
      </c>
      <c r="M37" s="78" t="s">
        <v>532</v>
      </c>
      <c r="N37" s="7" t="str">
        <f>IF(BudgetsQTable[[#This Row],[pi_last_name]]=" ","",HYPERLINK("mailto:"&amp;BudgetsQTable[[#This Row],[pi_email]]&amp;"&amp;subject=Your NSF Proposal:  "&amp;BudgetsQTable[[#This Row],[prop_id]],BudgetsQTable[[#This Row],[pi_email]]))</f>
        <v/>
      </c>
      <c r="O37" s="78" t="s">
        <v>532</v>
      </c>
      <c r="P37" s="78">
        <v>1</v>
      </c>
      <c r="Q37" s="78">
        <v>0.5</v>
      </c>
      <c r="R37" s="79">
        <v>0</v>
      </c>
      <c r="S37" s="79">
        <v>0</v>
      </c>
      <c r="T37" s="79">
        <v>0</v>
      </c>
      <c r="U37" s="80">
        <v>109530</v>
      </c>
      <c r="V37" s="78">
        <v>0</v>
      </c>
      <c r="W37" s="78">
        <v>3</v>
      </c>
      <c r="X37" s="11" t="str">
        <f ca="1">IF(ISBLANK(BudgetsQTable[[#This Row],[budg_seq_yr]]),"FY"&amp;fiscalyear,"FY"&amp;fiscalyear-1+BudgetsQTable[[#This Row],[budg_seq_yr]])</f>
        <v>FY20</v>
      </c>
      <c r="Y37" s="79">
        <v>109530</v>
      </c>
      <c r="Z37" s="78" t="s">
        <v>738</v>
      </c>
      <c r="AA37" s="78" t="s">
        <v>491</v>
      </c>
      <c r="AB37" s="76" t="s">
        <v>741</v>
      </c>
      <c r="AC37" s="78" t="s">
        <v>753</v>
      </c>
    </row>
    <row r="38" spans="1:29" x14ac:dyDescent="0.35">
      <c r="A38" s="10" t="s">
        <v>634</v>
      </c>
      <c r="B38" s="76" t="s">
        <v>745</v>
      </c>
      <c r="C38" s="76">
        <f>C37+(BudgetsQTable[[#This Row],[lead]]&lt;&gt;K37)</f>
        <v>16</v>
      </c>
      <c r="D38" s="76">
        <f>D37*(BudgetsQTable[[#This Row],[lead]]=K37)+(BudgetsQTable[[#This Row],[prop_id]]&lt;&gt;A37)</f>
        <v>1</v>
      </c>
      <c r="E38" s="77">
        <v>42934.695138888892</v>
      </c>
      <c r="F38" s="78" t="s">
        <v>737</v>
      </c>
      <c r="G38" s="78" t="s">
        <v>738</v>
      </c>
      <c r="H38" s="78" t="s">
        <v>491</v>
      </c>
      <c r="I38" s="76" t="s">
        <v>523</v>
      </c>
      <c r="J38" s="76" t="s">
        <v>532</v>
      </c>
      <c r="K38" s="78" t="s">
        <v>634</v>
      </c>
      <c r="L38" s="7" t="str">
        <f>IF(BudgetsQTable[[#This Row],[pi_last_name]]=" ","",HYPERLINK("https://www.ejacket.nsf.gov/ej/showProposal.do?Continue=Y&amp;ID="&amp;BudgetsQTable[[#This Row],[prop_id]],BudgetsQTable[[#This Row],[prop_id]]))</f>
        <v/>
      </c>
      <c r="M38" s="78" t="s">
        <v>532</v>
      </c>
      <c r="N38" s="7" t="str">
        <f>IF(BudgetsQTable[[#This Row],[pi_last_name]]=" ","",HYPERLINK("mailto:"&amp;BudgetsQTable[[#This Row],[pi_email]]&amp;"&amp;subject=Your NSF Proposal:  "&amp;BudgetsQTable[[#This Row],[prop_id]],BudgetsQTable[[#This Row],[pi_email]]))</f>
        <v/>
      </c>
      <c r="O38" s="78" t="s">
        <v>532</v>
      </c>
      <c r="P38" s="78">
        <v>1</v>
      </c>
      <c r="Q38" s="78">
        <v>0.5</v>
      </c>
      <c r="R38" s="79">
        <v>0</v>
      </c>
      <c r="S38" s="79">
        <v>0</v>
      </c>
      <c r="T38" s="79">
        <v>0</v>
      </c>
      <c r="U38" s="80">
        <v>113216</v>
      </c>
      <c r="V38" s="78">
        <v>0</v>
      </c>
      <c r="W38" s="78">
        <v>4</v>
      </c>
      <c r="X38" s="11" t="str">
        <f ca="1">IF(ISBLANK(BudgetsQTable[[#This Row],[budg_seq_yr]]),"FY"&amp;fiscalyear,"FY"&amp;fiscalyear-1+BudgetsQTable[[#This Row],[budg_seq_yr]])</f>
        <v>FY21</v>
      </c>
      <c r="Y38" s="79">
        <v>113216</v>
      </c>
      <c r="Z38" s="78" t="s">
        <v>738</v>
      </c>
      <c r="AA38" s="78" t="s">
        <v>491</v>
      </c>
      <c r="AB38" s="76" t="s">
        <v>741</v>
      </c>
      <c r="AC38" s="78" t="s">
        <v>753</v>
      </c>
    </row>
    <row r="39" spans="1:29" x14ac:dyDescent="0.35">
      <c r="A39" s="10" t="s">
        <v>634</v>
      </c>
      <c r="B39" s="76" t="s">
        <v>745</v>
      </c>
      <c r="C39" s="76">
        <f>C38+(BudgetsQTable[[#This Row],[lead]]&lt;&gt;K38)</f>
        <v>16</v>
      </c>
      <c r="D39" s="76">
        <f>D38*(BudgetsQTable[[#This Row],[lead]]=K38)+(BudgetsQTable[[#This Row],[prop_id]]&lt;&gt;A38)</f>
        <v>1</v>
      </c>
      <c r="E39" s="77">
        <v>42934.695138888892</v>
      </c>
      <c r="F39" s="78" t="s">
        <v>737</v>
      </c>
      <c r="G39" s="78" t="s">
        <v>738</v>
      </c>
      <c r="H39" s="78" t="s">
        <v>491</v>
      </c>
      <c r="I39" s="76" t="s">
        <v>523</v>
      </c>
      <c r="J39" s="76" t="s">
        <v>532</v>
      </c>
      <c r="K39" s="78" t="s">
        <v>634</v>
      </c>
      <c r="L39" s="7" t="str">
        <f>IF(BudgetsQTable[[#This Row],[pi_last_name]]=" ","",HYPERLINK("https://www.ejacket.nsf.gov/ej/showProposal.do?Continue=Y&amp;ID="&amp;BudgetsQTable[[#This Row],[prop_id]],BudgetsQTable[[#This Row],[prop_id]]))</f>
        <v/>
      </c>
      <c r="M39" s="78" t="s">
        <v>532</v>
      </c>
      <c r="N39" s="7" t="str">
        <f>IF(BudgetsQTable[[#This Row],[pi_last_name]]=" ","",HYPERLINK("mailto:"&amp;BudgetsQTable[[#This Row],[pi_email]]&amp;"&amp;subject=Your NSF Proposal:  "&amp;BudgetsQTable[[#This Row],[prop_id]],BudgetsQTable[[#This Row],[pi_email]]))</f>
        <v/>
      </c>
      <c r="O39" s="78" t="s">
        <v>532</v>
      </c>
      <c r="P39" s="78">
        <v>1</v>
      </c>
      <c r="Q39" s="78">
        <v>0.5</v>
      </c>
      <c r="R39" s="79">
        <v>0</v>
      </c>
      <c r="S39" s="79">
        <v>0</v>
      </c>
      <c r="T39" s="79">
        <v>0</v>
      </c>
      <c r="U39" s="80">
        <v>117037</v>
      </c>
      <c r="V39" s="78">
        <v>0</v>
      </c>
      <c r="W39" s="78">
        <v>5</v>
      </c>
      <c r="X39" s="11" t="str">
        <f ca="1">IF(ISBLANK(BudgetsQTable[[#This Row],[budg_seq_yr]]),"FY"&amp;fiscalyear,"FY"&amp;fiscalyear-1+BudgetsQTable[[#This Row],[budg_seq_yr]])</f>
        <v>FY22</v>
      </c>
      <c r="Y39" s="79">
        <v>117037</v>
      </c>
      <c r="Z39" s="78" t="s">
        <v>738</v>
      </c>
      <c r="AA39" s="78" t="s">
        <v>491</v>
      </c>
      <c r="AB39" s="76" t="s">
        <v>741</v>
      </c>
      <c r="AC39" s="78" t="s">
        <v>753</v>
      </c>
    </row>
    <row r="40" spans="1:29" x14ac:dyDescent="0.35">
      <c r="A40" s="10" t="s">
        <v>643</v>
      </c>
      <c r="B40" s="76" t="s">
        <v>745</v>
      </c>
      <c r="C40" s="76">
        <f>C39+(BudgetsQTable[[#This Row],[lead]]&lt;&gt;K39)</f>
        <v>17</v>
      </c>
      <c r="D40" s="76">
        <f>D39*(BudgetsQTable[[#This Row],[lead]]=K39)+(BudgetsQTable[[#This Row],[prop_id]]&lt;&gt;A39)</f>
        <v>1</v>
      </c>
      <c r="E40" s="77">
        <v>42934.808333333334</v>
      </c>
      <c r="F40" s="78" t="s">
        <v>737</v>
      </c>
      <c r="G40" s="78" t="s">
        <v>738</v>
      </c>
      <c r="H40" s="78" t="s">
        <v>491</v>
      </c>
      <c r="I40" s="76" t="s">
        <v>523</v>
      </c>
      <c r="J40" s="76" t="s">
        <v>789</v>
      </c>
      <c r="K40" s="78" t="s">
        <v>643</v>
      </c>
      <c r="L40" s="7" t="str">
        <f>IF(BudgetsQTable[[#This Row],[pi_last_name]]=" ","",HYPERLINK("https://www.ejacket.nsf.gov/ej/showProposal.do?Continue=Y&amp;ID="&amp;BudgetsQTable[[#This Row],[prop_id]],BudgetsQTable[[#This Row],[prop_id]]))</f>
        <v>1750076</v>
      </c>
      <c r="M40" s="78" t="s">
        <v>644</v>
      </c>
      <c r="N40" s="7" t="str">
        <f>IF(BudgetsQTable[[#This Row],[pi_last_name]]=" ","",HYPERLINK("mailto:"&amp;BudgetsQTable[[#This Row],[pi_email]]&amp;"&amp;subject=Your NSF Proposal:  "&amp;BudgetsQTable[[#This Row],[prop_id]],BudgetsQTable[[#This Row],[pi_email]]))</f>
        <v>craig@ucr.edu</v>
      </c>
      <c r="O40" s="78" t="s">
        <v>786</v>
      </c>
      <c r="P40" s="78"/>
      <c r="Q40" s="78"/>
      <c r="R40" s="79"/>
      <c r="S40" s="79"/>
      <c r="T40" s="79"/>
      <c r="U40" s="80"/>
      <c r="V40" s="78">
        <v>0</v>
      </c>
      <c r="W40" s="78"/>
      <c r="X40" s="11" t="str">
        <f ca="1">IF(ISBLANK(BudgetsQTable[[#This Row],[budg_seq_yr]]),"FY"&amp;fiscalyear,"FY"&amp;fiscalyear-1+BudgetsQTable[[#This Row],[budg_seq_yr]])</f>
        <v>FY18</v>
      </c>
      <c r="Y40" s="79">
        <v>440331</v>
      </c>
      <c r="Z40" s="78" t="s">
        <v>738</v>
      </c>
      <c r="AA40" s="78" t="s">
        <v>491</v>
      </c>
      <c r="AB40" s="76" t="s">
        <v>741</v>
      </c>
      <c r="AC40" s="78" t="s">
        <v>783</v>
      </c>
    </row>
    <row r="41" spans="1:29" x14ac:dyDescent="0.35">
      <c r="A41" s="10" t="s">
        <v>643</v>
      </c>
      <c r="B41" s="76" t="s">
        <v>745</v>
      </c>
      <c r="C41" s="76">
        <f>C40+(BudgetsQTable[[#This Row],[lead]]&lt;&gt;K40)</f>
        <v>17</v>
      </c>
      <c r="D41" s="76">
        <f>D40*(BudgetsQTable[[#This Row],[lead]]=K40)+(BudgetsQTable[[#This Row],[prop_id]]&lt;&gt;A40)</f>
        <v>1</v>
      </c>
      <c r="E41" s="77">
        <v>42934.808333333334</v>
      </c>
      <c r="F41" s="78" t="s">
        <v>737</v>
      </c>
      <c r="G41" s="78" t="s">
        <v>738</v>
      </c>
      <c r="H41" s="78" t="s">
        <v>491</v>
      </c>
      <c r="I41" s="76" t="s">
        <v>523</v>
      </c>
      <c r="J41" s="76" t="s">
        <v>532</v>
      </c>
      <c r="K41" s="78" t="s">
        <v>643</v>
      </c>
      <c r="L41" s="7" t="str">
        <f>IF(BudgetsQTable[[#This Row],[pi_last_name]]=" ","",HYPERLINK("https://www.ejacket.nsf.gov/ej/showProposal.do?Continue=Y&amp;ID="&amp;BudgetsQTable[[#This Row],[prop_id]],BudgetsQTable[[#This Row],[prop_id]]))</f>
        <v/>
      </c>
      <c r="M41" s="78" t="s">
        <v>532</v>
      </c>
      <c r="N41" s="7" t="str">
        <f>IF(BudgetsQTable[[#This Row],[pi_last_name]]=" ","",HYPERLINK("mailto:"&amp;BudgetsQTable[[#This Row],[pi_email]]&amp;"&amp;subject=Your NSF Proposal:  "&amp;BudgetsQTable[[#This Row],[prop_id]],BudgetsQTable[[#This Row],[pi_email]]))</f>
        <v/>
      </c>
      <c r="O41" s="78" t="s">
        <v>532</v>
      </c>
      <c r="P41" s="78">
        <v>1</v>
      </c>
      <c r="Q41" s="78">
        <v>1</v>
      </c>
      <c r="R41" s="79">
        <v>0</v>
      </c>
      <c r="S41" s="79">
        <v>0</v>
      </c>
      <c r="T41" s="79">
        <v>0</v>
      </c>
      <c r="U41" s="80">
        <v>92028</v>
      </c>
      <c r="V41" s="78">
        <v>0</v>
      </c>
      <c r="W41" s="78">
        <v>1</v>
      </c>
      <c r="X41" s="11" t="str">
        <f ca="1">IF(ISBLANK(BudgetsQTable[[#This Row],[budg_seq_yr]]),"FY"&amp;fiscalyear,"FY"&amp;fiscalyear-1+BudgetsQTable[[#This Row],[budg_seq_yr]])</f>
        <v>FY18</v>
      </c>
      <c r="Y41" s="79">
        <v>92028</v>
      </c>
      <c r="Z41" s="78" t="s">
        <v>738</v>
      </c>
      <c r="AA41" s="78" t="s">
        <v>491</v>
      </c>
      <c r="AB41" s="76" t="s">
        <v>741</v>
      </c>
      <c r="AC41" s="78" t="s">
        <v>783</v>
      </c>
    </row>
    <row r="42" spans="1:29" x14ac:dyDescent="0.35">
      <c r="A42" s="10" t="s">
        <v>643</v>
      </c>
      <c r="B42" s="76" t="s">
        <v>745</v>
      </c>
      <c r="C42" s="76">
        <f>C41+(BudgetsQTable[[#This Row],[lead]]&lt;&gt;K41)</f>
        <v>17</v>
      </c>
      <c r="D42" s="76">
        <f>D41*(BudgetsQTable[[#This Row],[lead]]=K41)+(BudgetsQTable[[#This Row],[prop_id]]&lt;&gt;A41)</f>
        <v>1</v>
      </c>
      <c r="E42" s="77">
        <v>42934.808333333334</v>
      </c>
      <c r="F42" s="78" t="s">
        <v>737</v>
      </c>
      <c r="G42" s="78" t="s">
        <v>738</v>
      </c>
      <c r="H42" s="78" t="s">
        <v>491</v>
      </c>
      <c r="I42" s="76" t="s">
        <v>523</v>
      </c>
      <c r="J42" s="76" t="s">
        <v>532</v>
      </c>
      <c r="K42" s="78" t="s">
        <v>643</v>
      </c>
      <c r="L42" s="7" t="str">
        <f>IF(BudgetsQTable[[#This Row],[pi_last_name]]=" ","",HYPERLINK("https://www.ejacket.nsf.gov/ej/showProposal.do?Continue=Y&amp;ID="&amp;BudgetsQTable[[#This Row],[prop_id]],BudgetsQTable[[#This Row],[prop_id]]))</f>
        <v/>
      </c>
      <c r="M42" s="78" t="s">
        <v>532</v>
      </c>
      <c r="N42" s="7" t="str">
        <f>IF(BudgetsQTable[[#This Row],[pi_last_name]]=" ","",HYPERLINK("mailto:"&amp;BudgetsQTable[[#This Row],[pi_email]]&amp;"&amp;subject=Your NSF Proposal:  "&amp;BudgetsQTable[[#This Row],[prop_id]],BudgetsQTable[[#This Row],[pi_email]]))</f>
        <v/>
      </c>
      <c r="O42" s="78" t="s">
        <v>532</v>
      </c>
      <c r="P42" s="78">
        <v>1</v>
      </c>
      <c r="Q42" s="78">
        <v>1</v>
      </c>
      <c r="R42" s="79">
        <v>0</v>
      </c>
      <c r="S42" s="79">
        <v>0</v>
      </c>
      <c r="T42" s="79">
        <v>0</v>
      </c>
      <c r="U42" s="80">
        <v>84050</v>
      </c>
      <c r="V42" s="78">
        <v>0</v>
      </c>
      <c r="W42" s="78">
        <v>2</v>
      </c>
      <c r="X42" s="11" t="str">
        <f ca="1">IF(ISBLANK(BudgetsQTable[[#This Row],[budg_seq_yr]]),"FY"&amp;fiscalyear,"FY"&amp;fiscalyear-1+BudgetsQTable[[#This Row],[budg_seq_yr]])</f>
        <v>FY19</v>
      </c>
      <c r="Y42" s="79">
        <v>84050</v>
      </c>
      <c r="Z42" s="78" t="s">
        <v>738</v>
      </c>
      <c r="AA42" s="78" t="s">
        <v>491</v>
      </c>
      <c r="AB42" s="76" t="s">
        <v>741</v>
      </c>
      <c r="AC42" s="78" t="s">
        <v>783</v>
      </c>
    </row>
    <row r="43" spans="1:29" x14ac:dyDescent="0.35">
      <c r="A43" s="10" t="s">
        <v>643</v>
      </c>
      <c r="B43" s="76" t="s">
        <v>745</v>
      </c>
      <c r="C43" s="76">
        <f>C42+(BudgetsQTable[[#This Row],[lead]]&lt;&gt;K42)</f>
        <v>17</v>
      </c>
      <c r="D43" s="76">
        <f>D42*(BudgetsQTable[[#This Row],[lead]]=K42)+(BudgetsQTable[[#This Row],[prop_id]]&lt;&gt;A42)</f>
        <v>1</v>
      </c>
      <c r="E43" s="77">
        <v>42934.808333333334</v>
      </c>
      <c r="F43" s="78" t="s">
        <v>737</v>
      </c>
      <c r="G43" s="78" t="s">
        <v>738</v>
      </c>
      <c r="H43" s="78" t="s">
        <v>491</v>
      </c>
      <c r="I43" s="76" t="s">
        <v>523</v>
      </c>
      <c r="J43" s="76" t="s">
        <v>532</v>
      </c>
      <c r="K43" s="78" t="s">
        <v>643</v>
      </c>
      <c r="L43" s="7" t="str">
        <f>IF(BudgetsQTable[[#This Row],[pi_last_name]]=" ","",HYPERLINK("https://www.ejacket.nsf.gov/ej/showProposal.do?Continue=Y&amp;ID="&amp;BudgetsQTable[[#This Row],[prop_id]],BudgetsQTable[[#This Row],[prop_id]]))</f>
        <v/>
      </c>
      <c r="M43" s="78" t="s">
        <v>532</v>
      </c>
      <c r="N43" s="7" t="str">
        <f>IF(BudgetsQTable[[#This Row],[pi_last_name]]=" ","",HYPERLINK("mailto:"&amp;BudgetsQTable[[#This Row],[pi_email]]&amp;"&amp;subject=Your NSF Proposal:  "&amp;BudgetsQTable[[#This Row],[prop_id]],BudgetsQTable[[#This Row],[pi_email]]))</f>
        <v/>
      </c>
      <c r="O43" s="78" t="s">
        <v>532</v>
      </c>
      <c r="P43" s="78">
        <v>1</v>
      </c>
      <c r="Q43" s="78">
        <v>1</v>
      </c>
      <c r="R43" s="79">
        <v>0</v>
      </c>
      <c r="S43" s="79">
        <v>0</v>
      </c>
      <c r="T43" s="79">
        <v>0</v>
      </c>
      <c r="U43" s="80">
        <v>86026</v>
      </c>
      <c r="V43" s="78">
        <v>0</v>
      </c>
      <c r="W43" s="78">
        <v>3</v>
      </c>
      <c r="X43" s="11" t="str">
        <f ca="1">IF(ISBLANK(BudgetsQTable[[#This Row],[budg_seq_yr]]),"FY"&amp;fiscalyear,"FY"&amp;fiscalyear-1+BudgetsQTable[[#This Row],[budg_seq_yr]])</f>
        <v>FY20</v>
      </c>
      <c r="Y43" s="79">
        <v>86026</v>
      </c>
      <c r="Z43" s="78" t="s">
        <v>738</v>
      </c>
      <c r="AA43" s="78" t="s">
        <v>491</v>
      </c>
      <c r="AB43" s="76" t="s">
        <v>741</v>
      </c>
      <c r="AC43" s="78" t="s">
        <v>783</v>
      </c>
    </row>
    <row r="44" spans="1:29" x14ac:dyDescent="0.35">
      <c r="A44" s="10" t="s">
        <v>643</v>
      </c>
      <c r="B44" s="76" t="s">
        <v>745</v>
      </c>
      <c r="C44" s="76">
        <f>C43+(BudgetsQTable[[#This Row],[lead]]&lt;&gt;K43)</f>
        <v>17</v>
      </c>
      <c r="D44" s="76">
        <f>D43*(BudgetsQTable[[#This Row],[lead]]=K43)+(BudgetsQTable[[#This Row],[prop_id]]&lt;&gt;A43)</f>
        <v>1</v>
      </c>
      <c r="E44" s="77">
        <v>42934.808333333334</v>
      </c>
      <c r="F44" s="78" t="s">
        <v>737</v>
      </c>
      <c r="G44" s="78" t="s">
        <v>738</v>
      </c>
      <c r="H44" s="78" t="s">
        <v>491</v>
      </c>
      <c r="I44" s="76" t="s">
        <v>523</v>
      </c>
      <c r="J44" s="76" t="s">
        <v>532</v>
      </c>
      <c r="K44" s="78" t="s">
        <v>643</v>
      </c>
      <c r="L44" s="7" t="str">
        <f>IF(BudgetsQTable[[#This Row],[pi_last_name]]=" ","",HYPERLINK("https://www.ejacket.nsf.gov/ej/showProposal.do?Continue=Y&amp;ID="&amp;BudgetsQTable[[#This Row],[prop_id]],BudgetsQTable[[#This Row],[prop_id]]))</f>
        <v/>
      </c>
      <c r="M44" s="78" t="s">
        <v>532</v>
      </c>
      <c r="N44" s="7" t="str">
        <f>IF(BudgetsQTable[[#This Row],[pi_last_name]]=" ","",HYPERLINK("mailto:"&amp;BudgetsQTable[[#This Row],[pi_email]]&amp;"&amp;subject=Your NSF Proposal:  "&amp;BudgetsQTable[[#This Row],[prop_id]],BudgetsQTable[[#This Row],[pi_email]]))</f>
        <v/>
      </c>
      <c r="O44" s="78" t="s">
        <v>532</v>
      </c>
      <c r="P44" s="78">
        <v>1</v>
      </c>
      <c r="Q44" s="78">
        <v>1</v>
      </c>
      <c r="R44" s="79">
        <v>0</v>
      </c>
      <c r="S44" s="79">
        <v>0</v>
      </c>
      <c r="T44" s="79">
        <v>0</v>
      </c>
      <c r="U44" s="80">
        <v>88064</v>
      </c>
      <c r="V44" s="78">
        <v>0</v>
      </c>
      <c r="W44" s="78">
        <v>4</v>
      </c>
      <c r="X44" s="11" t="str">
        <f ca="1">IF(ISBLANK(BudgetsQTable[[#This Row],[budg_seq_yr]]),"FY"&amp;fiscalyear,"FY"&amp;fiscalyear-1+BudgetsQTable[[#This Row],[budg_seq_yr]])</f>
        <v>FY21</v>
      </c>
      <c r="Y44" s="79">
        <v>88064</v>
      </c>
      <c r="Z44" s="78" t="s">
        <v>738</v>
      </c>
      <c r="AA44" s="78" t="s">
        <v>491</v>
      </c>
      <c r="AB44" s="76" t="s">
        <v>741</v>
      </c>
      <c r="AC44" s="78" t="s">
        <v>783</v>
      </c>
    </row>
    <row r="45" spans="1:29" x14ac:dyDescent="0.35">
      <c r="A45" s="10" t="s">
        <v>643</v>
      </c>
      <c r="B45" s="76" t="s">
        <v>745</v>
      </c>
      <c r="C45" s="76">
        <f>C44+(BudgetsQTable[[#This Row],[lead]]&lt;&gt;K44)</f>
        <v>17</v>
      </c>
      <c r="D45" s="76">
        <f>D44*(BudgetsQTable[[#This Row],[lead]]=K44)+(BudgetsQTable[[#This Row],[prop_id]]&lt;&gt;A44)</f>
        <v>1</v>
      </c>
      <c r="E45" s="77">
        <v>42934.808333333334</v>
      </c>
      <c r="F45" s="78" t="s">
        <v>737</v>
      </c>
      <c r="G45" s="78" t="s">
        <v>738</v>
      </c>
      <c r="H45" s="78" t="s">
        <v>491</v>
      </c>
      <c r="I45" s="76" t="s">
        <v>523</v>
      </c>
      <c r="J45" s="76" t="s">
        <v>532</v>
      </c>
      <c r="K45" s="78" t="s">
        <v>643</v>
      </c>
      <c r="L45" s="7" t="str">
        <f>IF(BudgetsQTable[[#This Row],[pi_last_name]]=" ","",HYPERLINK("https://www.ejacket.nsf.gov/ej/showProposal.do?Continue=Y&amp;ID="&amp;BudgetsQTable[[#This Row],[prop_id]],BudgetsQTable[[#This Row],[prop_id]]))</f>
        <v/>
      </c>
      <c r="M45" s="78" t="s">
        <v>532</v>
      </c>
      <c r="N45" s="7" t="str">
        <f>IF(BudgetsQTable[[#This Row],[pi_last_name]]=" ","",HYPERLINK("mailto:"&amp;BudgetsQTable[[#This Row],[pi_email]]&amp;"&amp;subject=Your NSF Proposal:  "&amp;BudgetsQTable[[#This Row],[prop_id]],BudgetsQTable[[#This Row],[pi_email]]))</f>
        <v/>
      </c>
      <c r="O45" s="78" t="s">
        <v>532</v>
      </c>
      <c r="P45" s="78">
        <v>1</v>
      </c>
      <c r="Q45" s="78">
        <v>1</v>
      </c>
      <c r="R45" s="79">
        <v>0</v>
      </c>
      <c r="S45" s="79">
        <v>0</v>
      </c>
      <c r="T45" s="79">
        <v>0</v>
      </c>
      <c r="U45" s="80">
        <v>90163</v>
      </c>
      <c r="V45" s="78">
        <v>0</v>
      </c>
      <c r="W45" s="78">
        <v>5</v>
      </c>
      <c r="X45" s="11" t="str">
        <f ca="1">IF(ISBLANK(BudgetsQTable[[#This Row],[budg_seq_yr]]),"FY"&amp;fiscalyear,"FY"&amp;fiscalyear-1+BudgetsQTable[[#This Row],[budg_seq_yr]])</f>
        <v>FY22</v>
      </c>
      <c r="Y45" s="79">
        <v>90163</v>
      </c>
      <c r="Z45" s="78" t="s">
        <v>738</v>
      </c>
      <c r="AA45" s="78" t="s">
        <v>491</v>
      </c>
      <c r="AB45" s="76" t="s">
        <v>741</v>
      </c>
      <c r="AC45" s="78" t="s">
        <v>783</v>
      </c>
    </row>
    <row r="46" spans="1:29" x14ac:dyDescent="0.35">
      <c r="A46" s="10" t="s">
        <v>659</v>
      </c>
      <c r="B46" s="76" t="s">
        <v>745</v>
      </c>
      <c r="C46" s="76">
        <f>C45+(BudgetsQTable[[#This Row],[lead]]&lt;&gt;K45)</f>
        <v>18</v>
      </c>
      <c r="D46" s="76">
        <f>D45*(BudgetsQTable[[#This Row],[lead]]=K45)+(BudgetsQTable[[#This Row],[prop_id]]&lt;&gt;A45)</f>
        <v>1</v>
      </c>
      <c r="E46" s="77">
        <v>42935.633333333331</v>
      </c>
      <c r="F46" s="78" t="s">
        <v>737</v>
      </c>
      <c r="G46" s="78" t="s">
        <v>738</v>
      </c>
      <c r="H46" s="78" t="s">
        <v>491</v>
      </c>
      <c r="I46" s="76" t="s">
        <v>523</v>
      </c>
      <c r="J46" s="76" t="s">
        <v>795</v>
      </c>
      <c r="K46" s="78" t="s">
        <v>659</v>
      </c>
      <c r="L46" s="7" t="str">
        <f>IF(BudgetsQTable[[#This Row],[pi_last_name]]=" ","",HYPERLINK("https://www.ejacket.nsf.gov/ej/showProposal.do?Continue=Y&amp;ID="&amp;BudgetsQTable[[#This Row],[prop_id]],BudgetsQTable[[#This Row],[prop_id]]))</f>
        <v>1750780</v>
      </c>
      <c r="M46" s="78" t="s">
        <v>660</v>
      </c>
      <c r="N46" s="7" t="str">
        <f>IF(BudgetsQTable[[#This Row],[pi_last_name]]=" ","",HYPERLINK("mailto:"&amp;BudgetsQTable[[#This Row],[pi_email]]&amp;"&amp;subject=Your NSF Proposal:  "&amp;BudgetsQTable[[#This Row],[prop_id]],BudgetsQTable[[#This Row],[pi_email]]))</f>
        <v>Benjamin.Raichel@utdallas.edu</v>
      </c>
      <c r="O46" s="78" t="s">
        <v>792</v>
      </c>
      <c r="P46" s="78"/>
      <c r="Q46" s="78"/>
      <c r="R46" s="79"/>
      <c r="S46" s="79"/>
      <c r="T46" s="79"/>
      <c r="U46" s="80"/>
      <c r="V46" s="78">
        <v>0</v>
      </c>
      <c r="W46" s="78"/>
      <c r="X46" s="11" t="str">
        <f ca="1">IF(ISBLANK(BudgetsQTable[[#This Row],[budg_seq_yr]]),"FY"&amp;fiscalyear,"FY"&amp;fiscalyear-1+BudgetsQTable[[#This Row],[budg_seq_yr]])</f>
        <v>FY18</v>
      </c>
      <c r="Y46" s="79">
        <v>582785</v>
      </c>
      <c r="Z46" s="78" t="s">
        <v>738</v>
      </c>
      <c r="AA46" s="78" t="s">
        <v>491</v>
      </c>
      <c r="AB46" s="76" t="s">
        <v>741</v>
      </c>
      <c r="AC46" s="78" t="s">
        <v>753</v>
      </c>
    </row>
    <row r="47" spans="1:29" x14ac:dyDescent="0.35">
      <c r="A47" s="10" t="s">
        <v>659</v>
      </c>
      <c r="B47" s="76" t="s">
        <v>745</v>
      </c>
      <c r="C47" s="76">
        <f>C46+(BudgetsQTable[[#This Row],[lead]]&lt;&gt;K46)</f>
        <v>18</v>
      </c>
      <c r="D47" s="76">
        <f>D46*(BudgetsQTable[[#This Row],[lead]]=K46)+(BudgetsQTable[[#This Row],[prop_id]]&lt;&gt;A46)</f>
        <v>1</v>
      </c>
      <c r="E47" s="77">
        <v>42935.633333333331</v>
      </c>
      <c r="F47" s="78" t="s">
        <v>737</v>
      </c>
      <c r="G47" s="78" t="s">
        <v>738</v>
      </c>
      <c r="H47" s="78" t="s">
        <v>491</v>
      </c>
      <c r="I47" s="76" t="s">
        <v>523</v>
      </c>
      <c r="J47" s="76" t="s">
        <v>532</v>
      </c>
      <c r="K47" s="78" t="s">
        <v>659</v>
      </c>
      <c r="L47" s="7" t="str">
        <f>IF(BudgetsQTable[[#This Row],[pi_last_name]]=" ","",HYPERLINK("https://www.ejacket.nsf.gov/ej/showProposal.do?Continue=Y&amp;ID="&amp;BudgetsQTable[[#This Row],[prop_id]],BudgetsQTable[[#This Row],[prop_id]]))</f>
        <v/>
      </c>
      <c r="M47" s="78" t="s">
        <v>532</v>
      </c>
      <c r="N47" s="7" t="str">
        <f>IF(BudgetsQTable[[#This Row],[pi_last_name]]=" ","",HYPERLINK("mailto:"&amp;BudgetsQTable[[#This Row],[pi_email]]&amp;"&amp;subject=Your NSF Proposal:  "&amp;BudgetsQTable[[#This Row],[prop_id]],BudgetsQTable[[#This Row],[pi_email]]))</f>
        <v/>
      </c>
      <c r="O47" s="78" t="s">
        <v>532</v>
      </c>
      <c r="P47" s="78">
        <v>1</v>
      </c>
      <c r="Q47" s="78">
        <v>1</v>
      </c>
      <c r="R47" s="79">
        <v>0</v>
      </c>
      <c r="S47" s="79">
        <v>2500</v>
      </c>
      <c r="T47" s="79">
        <v>0</v>
      </c>
      <c r="U47" s="80">
        <v>113134</v>
      </c>
      <c r="V47" s="78">
        <v>0</v>
      </c>
      <c r="W47" s="78">
        <v>1</v>
      </c>
      <c r="X47" s="11" t="str">
        <f ca="1">IF(ISBLANK(BudgetsQTable[[#This Row],[budg_seq_yr]]),"FY"&amp;fiscalyear,"FY"&amp;fiscalyear-1+BudgetsQTable[[#This Row],[budg_seq_yr]])</f>
        <v>FY18</v>
      </c>
      <c r="Y47" s="79">
        <v>113134</v>
      </c>
      <c r="Z47" s="78" t="s">
        <v>738</v>
      </c>
      <c r="AA47" s="78" t="s">
        <v>491</v>
      </c>
      <c r="AB47" s="76" t="s">
        <v>741</v>
      </c>
      <c r="AC47" s="78" t="s">
        <v>753</v>
      </c>
    </row>
    <row r="48" spans="1:29" x14ac:dyDescent="0.35">
      <c r="A48" s="10" t="s">
        <v>659</v>
      </c>
      <c r="B48" s="76" t="s">
        <v>745</v>
      </c>
      <c r="C48" s="76">
        <f>C47+(BudgetsQTable[[#This Row],[lead]]&lt;&gt;K47)</f>
        <v>18</v>
      </c>
      <c r="D48" s="76">
        <f>D47*(BudgetsQTable[[#This Row],[lead]]=K47)+(BudgetsQTable[[#This Row],[prop_id]]&lt;&gt;A47)</f>
        <v>1</v>
      </c>
      <c r="E48" s="77">
        <v>42935.633333333331</v>
      </c>
      <c r="F48" s="78" t="s">
        <v>737</v>
      </c>
      <c r="G48" s="78" t="s">
        <v>738</v>
      </c>
      <c r="H48" s="78" t="s">
        <v>491</v>
      </c>
      <c r="I48" s="76" t="s">
        <v>523</v>
      </c>
      <c r="J48" s="76" t="s">
        <v>532</v>
      </c>
      <c r="K48" s="78" t="s">
        <v>659</v>
      </c>
      <c r="L48" s="7" t="str">
        <f>IF(BudgetsQTable[[#This Row],[pi_last_name]]=" ","",HYPERLINK("https://www.ejacket.nsf.gov/ej/showProposal.do?Continue=Y&amp;ID="&amp;BudgetsQTable[[#This Row],[prop_id]],BudgetsQTable[[#This Row],[prop_id]]))</f>
        <v/>
      </c>
      <c r="M48" s="78" t="s">
        <v>532</v>
      </c>
      <c r="N48" s="7" t="str">
        <f>IF(BudgetsQTable[[#This Row],[pi_last_name]]=" ","",HYPERLINK("mailto:"&amp;BudgetsQTable[[#This Row],[pi_email]]&amp;"&amp;subject=Your NSF Proposal:  "&amp;BudgetsQTable[[#This Row],[prop_id]],BudgetsQTable[[#This Row],[pi_email]]))</f>
        <v/>
      </c>
      <c r="O48" s="78" t="s">
        <v>532</v>
      </c>
      <c r="P48" s="78">
        <v>1</v>
      </c>
      <c r="Q48" s="78">
        <v>1</v>
      </c>
      <c r="R48" s="79">
        <v>0</v>
      </c>
      <c r="S48" s="79">
        <v>0</v>
      </c>
      <c r="T48" s="79">
        <v>0</v>
      </c>
      <c r="U48" s="80">
        <v>113214</v>
      </c>
      <c r="V48" s="78">
        <v>0</v>
      </c>
      <c r="W48" s="78">
        <v>2</v>
      </c>
      <c r="X48" s="11" t="str">
        <f ca="1">IF(ISBLANK(BudgetsQTable[[#This Row],[budg_seq_yr]]),"FY"&amp;fiscalyear,"FY"&amp;fiscalyear-1+BudgetsQTable[[#This Row],[budg_seq_yr]])</f>
        <v>FY19</v>
      </c>
      <c r="Y48" s="79">
        <v>113214</v>
      </c>
      <c r="Z48" s="78" t="s">
        <v>738</v>
      </c>
      <c r="AA48" s="78" t="s">
        <v>491</v>
      </c>
      <c r="AB48" s="76" t="s">
        <v>741</v>
      </c>
      <c r="AC48" s="78" t="s">
        <v>753</v>
      </c>
    </row>
    <row r="49" spans="1:29" x14ac:dyDescent="0.35">
      <c r="A49" s="10" t="s">
        <v>659</v>
      </c>
      <c r="B49" s="76" t="s">
        <v>745</v>
      </c>
      <c r="C49" s="76">
        <f>C48+(BudgetsQTable[[#This Row],[lead]]&lt;&gt;K48)</f>
        <v>18</v>
      </c>
      <c r="D49" s="76">
        <f>D48*(BudgetsQTable[[#This Row],[lead]]=K48)+(BudgetsQTable[[#This Row],[prop_id]]&lt;&gt;A48)</f>
        <v>1</v>
      </c>
      <c r="E49" s="77">
        <v>42935.633333333331</v>
      </c>
      <c r="F49" s="78" t="s">
        <v>737</v>
      </c>
      <c r="G49" s="78" t="s">
        <v>738</v>
      </c>
      <c r="H49" s="78" t="s">
        <v>491</v>
      </c>
      <c r="I49" s="76" t="s">
        <v>523</v>
      </c>
      <c r="J49" s="76" t="s">
        <v>532</v>
      </c>
      <c r="K49" s="78" t="s">
        <v>659</v>
      </c>
      <c r="L49" s="7" t="str">
        <f>IF(BudgetsQTable[[#This Row],[pi_last_name]]=" ","",HYPERLINK("https://www.ejacket.nsf.gov/ej/showProposal.do?Continue=Y&amp;ID="&amp;BudgetsQTable[[#This Row],[prop_id]],BudgetsQTable[[#This Row],[prop_id]]))</f>
        <v/>
      </c>
      <c r="M49" s="78" t="s">
        <v>532</v>
      </c>
      <c r="N49" s="7" t="str">
        <f>IF(BudgetsQTable[[#This Row],[pi_last_name]]=" ","",HYPERLINK("mailto:"&amp;BudgetsQTable[[#This Row],[pi_email]]&amp;"&amp;subject=Your NSF Proposal:  "&amp;BudgetsQTable[[#This Row],[prop_id]],BudgetsQTable[[#This Row],[pi_email]]))</f>
        <v/>
      </c>
      <c r="O49" s="78" t="s">
        <v>532</v>
      </c>
      <c r="P49" s="78">
        <v>1</v>
      </c>
      <c r="Q49" s="78">
        <v>1</v>
      </c>
      <c r="R49" s="79">
        <v>0</v>
      </c>
      <c r="S49" s="79">
        <v>2500</v>
      </c>
      <c r="T49" s="79">
        <v>0</v>
      </c>
      <c r="U49" s="80">
        <v>117310</v>
      </c>
      <c r="V49" s="78">
        <v>0</v>
      </c>
      <c r="W49" s="78">
        <v>3</v>
      </c>
      <c r="X49" s="11" t="str">
        <f ca="1">IF(ISBLANK(BudgetsQTable[[#This Row],[budg_seq_yr]]),"FY"&amp;fiscalyear,"FY"&amp;fiscalyear-1+BudgetsQTable[[#This Row],[budg_seq_yr]])</f>
        <v>FY20</v>
      </c>
      <c r="Y49" s="79">
        <v>117310</v>
      </c>
      <c r="Z49" s="78" t="s">
        <v>738</v>
      </c>
      <c r="AA49" s="78" t="s">
        <v>491</v>
      </c>
      <c r="AB49" s="76" t="s">
        <v>741</v>
      </c>
      <c r="AC49" s="78" t="s">
        <v>753</v>
      </c>
    </row>
    <row r="50" spans="1:29" x14ac:dyDescent="0.35">
      <c r="A50" s="10" t="s">
        <v>659</v>
      </c>
      <c r="B50" s="76" t="s">
        <v>745</v>
      </c>
      <c r="C50" s="76">
        <f>C49+(BudgetsQTable[[#This Row],[lead]]&lt;&gt;K49)</f>
        <v>18</v>
      </c>
      <c r="D50" s="76">
        <f>D49*(BudgetsQTable[[#This Row],[lead]]=K49)+(BudgetsQTable[[#This Row],[prop_id]]&lt;&gt;A49)</f>
        <v>1</v>
      </c>
      <c r="E50" s="77">
        <v>42935.633333333331</v>
      </c>
      <c r="F50" s="78" t="s">
        <v>737</v>
      </c>
      <c r="G50" s="78" t="s">
        <v>738</v>
      </c>
      <c r="H50" s="78" t="s">
        <v>491</v>
      </c>
      <c r="I50" s="76" t="s">
        <v>523</v>
      </c>
      <c r="J50" s="76" t="s">
        <v>532</v>
      </c>
      <c r="K50" s="78" t="s">
        <v>659</v>
      </c>
      <c r="L50" s="7" t="str">
        <f>IF(BudgetsQTable[[#This Row],[pi_last_name]]=" ","",HYPERLINK("https://www.ejacket.nsf.gov/ej/showProposal.do?Continue=Y&amp;ID="&amp;BudgetsQTable[[#This Row],[prop_id]],BudgetsQTable[[#This Row],[prop_id]]))</f>
        <v/>
      </c>
      <c r="M50" s="78" t="s">
        <v>532</v>
      </c>
      <c r="N50" s="7" t="str">
        <f>IF(BudgetsQTable[[#This Row],[pi_last_name]]=" ","",HYPERLINK("mailto:"&amp;BudgetsQTable[[#This Row],[pi_email]]&amp;"&amp;subject=Your NSF Proposal:  "&amp;BudgetsQTable[[#This Row],[prop_id]],BudgetsQTable[[#This Row],[pi_email]]))</f>
        <v/>
      </c>
      <c r="O50" s="78" t="s">
        <v>532</v>
      </c>
      <c r="P50" s="78">
        <v>1</v>
      </c>
      <c r="Q50" s="78">
        <v>1</v>
      </c>
      <c r="R50" s="79">
        <v>0</v>
      </c>
      <c r="S50" s="79">
        <v>0</v>
      </c>
      <c r="T50" s="79">
        <v>0</v>
      </c>
      <c r="U50" s="80">
        <v>117472</v>
      </c>
      <c r="V50" s="78">
        <v>0</v>
      </c>
      <c r="W50" s="78">
        <v>4</v>
      </c>
      <c r="X50" s="11" t="str">
        <f ca="1">IF(ISBLANK(BudgetsQTable[[#This Row],[budg_seq_yr]]),"FY"&amp;fiscalyear,"FY"&amp;fiscalyear-1+BudgetsQTable[[#This Row],[budg_seq_yr]])</f>
        <v>FY21</v>
      </c>
      <c r="Y50" s="79">
        <v>117472</v>
      </c>
      <c r="Z50" s="78" t="s">
        <v>738</v>
      </c>
      <c r="AA50" s="78" t="s">
        <v>491</v>
      </c>
      <c r="AB50" s="76" t="s">
        <v>741</v>
      </c>
      <c r="AC50" s="78" t="s">
        <v>753</v>
      </c>
    </row>
    <row r="51" spans="1:29" x14ac:dyDescent="0.35">
      <c r="A51" s="10" t="s">
        <v>659</v>
      </c>
      <c r="B51" s="76" t="s">
        <v>745</v>
      </c>
      <c r="C51" s="76">
        <f>C50+(BudgetsQTable[[#This Row],[lead]]&lt;&gt;K50)</f>
        <v>18</v>
      </c>
      <c r="D51" s="76">
        <f>D50*(BudgetsQTable[[#This Row],[lead]]=K50)+(BudgetsQTable[[#This Row],[prop_id]]&lt;&gt;A50)</f>
        <v>1</v>
      </c>
      <c r="E51" s="77">
        <v>42935.633333333331</v>
      </c>
      <c r="F51" s="78" t="s">
        <v>737</v>
      </c>
      <c r="G51" s="78" t="s">
        <v>738</v>
      </c>
      <c r="H51" s="78" t="s">
        <v>491</v>
      </c>
      <c r="I51" s="76" t="s">
        <v>523</v>
      </c>
      <c r="J51" s="76" t="s">
        <v>532</v>
      </c>
      <c r="K51" s="78" t="s">
        <v>659</v>
      </c>
      <c r="L51" s="7" t="str">
        <f>IF(BudgetsQTable[[#This Row],[pi_last_name]]=" ","",HYPERLINK("https://www.ejacket.nsf.gov/ej/showProposal.do?Continue=Y&amp;ID="&amp;BudgetsQTable[[#This Row],[prop_id]],BudgetsQTable[[#This Row],[prop_id]]))</f>
        <v/>
      </c>
      <c r="M51" s="78" t="s">
        <v>532</v>
      </c>
      <c r="N51" s="7" t="str">
        <f>IF(BudgetsQTable[[#This Row],[pi_last_name]]=" ","",HYPERLINK("mailto:"&amp;BudgetsQTable[[#This Row],[pi_email]]&amp;"&amp;subject=Your NSF Proposal:  "&amp;BudgetsQTable[[#This Row],[prop_id]],BudgetsQTable[[#This Row],[pi_email]]))</f>
        <v/>
      </c>
      <c r="O51" s="78" t="s">
        <v>532</v>
      </c>
      <c r="P51" s="78">
        <v>1</v>
      </c>
      <c r="Q51" s="78">
        <v>1</v>
      </c>
      <c r="R51" s="79">
        <v>0</v>
      </c>
      <c r="S51" s="79">
        <v>2500</v>
      </c>
      <c r="T51" s="79">
        <v>0</v>
      </c>
      <c r="U51" s="80">
        <v>121655</v>
      </c>
      <c r="V51" s="78">
        <v>0</v>
      </c>
      <c r="W51" s="78">
        <v>5</v>
      </c>
      <c r="X51" s="11" t="str">
        <f ca="1">IF(ISBLANK(BudgetsQTable[[#This Row],[budg_seq_yr]]),"FY"&amp;fiscalyear,"FY"&amp;fiscalyear-1+BudgetsQTable[[#This Row],[budg_seq_yr]])</f>
        <v>FY22</v>
      </c>
      <c r="Y51" s="79">
        <v>121655</v>
      </c>
      <c r="Z51" s="78" t="s">
        <v>738</v>
      </c>
      <c r="AA51" s="78" t="s">
        <v>491</v>
      </c>
      <c r="AB51" s="76" t="s">
        <v>741</v>
      </c>
      <c r="AC51" s="78" t="s">
        <v>753</v>
      </c>
    </row>
    <row r="52" spans="1:29" x14ac:dyDescent="0.35">
      <c r="A52" s="10" t="s">
        <v>671</v>
      </c>
      <c r="B52" s="76" t="s">
        <v>745</v>
      </c>
      <c r="C52" s="76">
        <f>C51+(BudgetsQTable[[#This Row],[lead]]&lt;&gt;K51)</f>
        <v>19</v>
      </c>
      <c r="D52" s="76">
        <f>D51*(BudgetsQTable[[#This Row],[lead]]=K51)+(BudgetsQTable[[#This Row],[prop_id]]&lt;&gt;A51)</f>
        <v>1</v>
      </c>
      <c r="E52" s="77">
        <v>42935.680555555555</v>
      </c>
      <c r="F52" s="78" t="s">
        <v>737</v>
      </c>
      <c r="G52" s="78" t="s">
        <v>738</v>
      </c>
      <c r="H52" s="78" t="s">
        <v>491</v>
      </c>
      <c r="I52" s="76" t="s">
        <v>523</v>
      </c>
      <c r="J52" s="76" t="s">
        <v>800</v>
      </c>
      <c r="K52" s="78" t="s">
        <v>671</v>
      </c>
      <c r="L52" s="7" t="str">
        <f>IF(BudgetsQTable[[#This Row],[pi_last_name]]=" ","",HYPERLINK("https://www.ejacket.nsf.gov/ej/showProposal.do?Continue=Y&amp;ID="&amp;BudgetsQTable[[#This Row],[prop_id]],BudgetsQTable[[#This Row],[prop_id]]))</f>
        <v>1751047</v>
      </c>
      <c r="M52" s="78" t="s">
        <v>672</v>
      </c>
      <c r="N52" s="7" t="str">
        <f>IF(BudgetsQTable[[#This Row],[pi_last_name]]=" ","",HYPERLINK("mailto:"&amp;BudgetsQTable[[#This Row],[pi_email]]&amp;"&amp;subject=Your NSF Proposal:  "&amp;BudgetsQTable[[#This Row],[prop_id]],BudgetsQTable[[#This Row],[pi_email]]))</f>
        <v>MATTHEW.GIBSON@UTSA.EDU</v>
      </c>
      <c r="O52" s="78" t="s">
        <v>797</v>
      </c>
      <c r="P52" s="78"/>
      <c r="Q52" s="78"/>
      <c r="R52" s="79"/>
      <c r="S52" s="79"/>
      <c r="T52" s="79"/>
      <c r="U52" s="80"/>
      <c r="V52" s="78">
        <v>0</v>
      </c>
      <c r="W52" s="78"/>
      <c r="X52" s="11" t="str">
        <f ca="1">IF(ISBLANK(BudgetsQTable[[#This Row],[budg_seq_yr]]),"FY"&amp;fiscalyear,"FY"&amp;fiscalyear-1+BudgetsQTable[[#This Row],[budg_seq_yr]])</f>
        <v>FY18</v>
      </c>
      <c r="Y52" s="79">
        <v>415497</v>
      </c>
      <c r="Z52" s="78" t="s">
        <v>738</v>
      </c>
      <c r="AA52" s="78" t="s">
        <v>491</v>
      </c>
      <c r="AB52" s="76" t="s">
        <v>741</v>
      </c>
      <c r="AC52" s="78" t="s">
        <v>753</v>
      </c>
    </row>
    <row r="53" spans="1:29" x14ac:dyDescent="0.35">
      <c r="A53" s="10" t="s">
        <v>671</v>
      </c>
      <c r="B53" s="76" t="s">
        <v>745</v>
      </c>
      <c r="C53" s="76">
        <f>C52+(BudgetsQTable[[#This Row],[lead]]&lt;&gt;K52)</f>
        <v>19</v>
      </c>
      <c r="D53" s="76">
        <f>D52*(BudgetsQTable[[#This Row],[lead]]=K52)+(BudgetsQTable[[#This Row],[prop_id]]&lt;&gt;A52)</f>
        <v>1</v>
      </c>
      <c r="E53" s="77">
        <v>42935.680555555555</v>
      </c>
      <c r="F53" s="78" t="s">
        <v>737</v>
      </c>
      <c r="G53" s="78" t="s">
        <v>738</v>
      </c>
      <c r="H53" s="78" t="s">
        <v>491</v>
      </c>
      <c r="I53" s="76" t="s">
        <v>523</v>
      </c>
      <c r="J53" s="76" t="s">
        <v>532</v>
      </c>
      <c r="K53" s="78" t="s">
        <v>671</v>
      </c>
      <c r="L53" s="7" t="str">
        <f>IF(BudgetsQTable[[#This Row],[pi_last_name]]=" ","",HYPERLINK("https://www.ejacket.nsf.gov/ej/showProposal.do?Continue=Y&amp;ID="&amp;BudgetsQTable[[#This Row],[prop_id]],BudgetsQTable[[#This Row],[prop_id]]))</f>
        <v/>
      </c>
      <c r="M53" s="78" t="s">
        <v>532</v>
      </c>
      <c r="N53" s="7" t="str">
        <f>IF(BudgetsQTable[[#This Row],[pi_last_name]]=" ","",HYPERLINK("mailto:"&amp;BudgetsQTable[[#This Row],[pi_email]]&amp;"&amp;subject=Your NSF Proposal:  "&amp;BudgetsQTable[[#This Row],[prop_id]],BudgetsQTable[[#This Row],[pi_email]]))</f>
        <v/>
      </c>
      <c r="O53" s="78" t="s">
        <v>532</v>
      </c>
      <c r="P53" s="78">
        <v>1</v>
      </c>
      <c r="Q53" s="78">
        <v>1</v>
      </c>
      <c r="R53" s="79">
        <v>0</v>
      </c>
      <c r="S53" s="79">
        <v>2450</v>
      </c>
      <c r="T53" s="79">
        <v>16000</v>
      </c>
      <c r="U53" s="80">
        <v>92539</v>
      </c>
      <c r="V53" s="78">
        <v>0</v>
      </c>
      <c r="W53" s="78">
        <v>1</v>
      </c>
      <c r="X53" s="11" t="str">
        <f ca="1">IF(ISBLANK(BudgetsQTable[[#This Row],[budg_seq_yr]]),"FY"&amp;fiscalyear,"FY"&amp;fiscalyear-1+BudgetsQTable[[#This Row],[budg_seq_yr]])</f>
        <v>FY18</v>
      </c>
      <c r="Y53" s="79">
        <v>92539</v>
      </c>
      <c r="Z53" s="78" t="s">
        <v>738</v>
      </c>
      <c r="AA53" s="78" t="s">
        <v>491</v>
      </c>
      <c r="AB53" s="76" t="s">
        <v>741</v>
      </c>
      <c r="AC53" s="78" t="s">
        <v>753</v>
      </c>
    </row>
    <row r="54" spans="1:29" x14ac:dyDescent="0.35">
      <c r="A54" s="10" t="s">
        <v>671</v>
      </c>
      <c r="B54" s="76" t="s">
        <v>745</v>
      </c>
      <c r="C54" s="76">
        <f>C53+(BudgetsQTable[[#This Row],[lead]]&lt;&gt;K53)</f>
        <v>19</v>
      </c>
      <c r="D54" s="76">
        <f>D53*(BudgetsQTable[[#This Row],[lead]]=K53)+(BudgetsQTable[[#This Row],[prop_id]]&lt;&gt;A53)</f>
        <v>1</v>
      </c>
      <c r="E54" s="77">
        <v>42935.680555555555</v>
      </c>
      <c r="F54" s="78" t="s">
        <v>737</v>
      </c>
      <c r="G54" s="78" t="s">
        <v>738</v>
      </c>
      <c r="H54" s="78" t="s">
        <v>491</v>
      </c>
      <c r="I54" s="76" t="s">
        <v>523</v>
      </c>
      <c r="J54" s="76" t="s">
        <v>532</v>
      </c>
      <c r="K54" s="78" t="s">
        <v>671</v>
      </c>
      <c r="L54" s="7" t="str">
        <f>IF(BudgetsQTable[[#This Row],[pi_last_name]]=" ","",HYPERLINK("https://www.ejacket.nsf.gov/ej/showProposal.do?Continue=Y&amp;ID="&amp;BudgetsQTable[[#This Row],[prop_id]],BudgetsQTable[[#This Row],[prop_id]]))</f>
        <v/>
      </c>
      <c r="M54" s="78" t="s">
        <v>532</v>
      </c>
      <c r="N54" s="7" t="str">
        <f>IF(BudgetsQTable[[#This Row],[pi_last_name]]=" ","",HYPERLINK("mailto:"&amp;BudgetsQTable[[#This Row],[pi_email]]&amp;"&amp;subject=Your NSF Proposal:  "&amp;BudgetsQTable[[#This Row],[prop_id]],BudgetsQTable[[#This Row],[pi_email]]))</f>
        <v/>
      </c>
      <c r="O54" s="78" t="s">
        <v>532</v>
      </c>
      <c r="P54" s="78">
        <v>1</v>
      </c>
      <c r="Q54" s="78">
        <v>1</v>
      </c>
      <c r="R54" s="79">
        <v>0</v>
      </c>
      <c r="S54" s="79">
        <v>2450</v>
      </c>
      <c r="T54" s="79">
        <v>0</v>
      </c>
      <c r="U54" s="80">
        <v>78169</v>
      </c>
      <c r="V54" s="78">
        <v>0</v>
      </c>
      <c r="W54" s="78">
        <v>2</v>
      </c>
      <c r="X54" s="11" t="str">
        <f ca="1">IF(ISBLANK(BudgetsQTable[[#This Row],[budg_seq_yr]]),"FY"&amp;fiscalyear,"FY"&amp;fiscalyear-1+BudgetsQTable[[#This Row],[budg_seq_yr]])</f>
        <v>FY19</v>
      </c>
      <c r="Y54" s="79">
        <v>78169</v>
      </c>
      <c r="Z54" s="78" t="s">
        <v>738</v>
      </c>
      <c r="AA54" s="78" t="s">
        <v>491</v>
      </c>
      <c r="AB54" s="76" t="s">
        <v>741</v>
      </c>
      <c r="AC54" s="78" t="s">
        <v>753</v>
      </c>
    </row>
    <row r="55" spans="1:29" x14ac:dyDescent="0.35">
      <c r="A55" s="10" t="s">
        <v>671</v>
      </c>
      <c r="B55" s="76" t="s">
        <v>745</v>
      </c>
      <c r="C55" s="76">
        <f>C54+(BudgetsQTable[[#This Row],[lead]]&lt;&gt;K54)</f>
        <v>19</v>
      </c>
      <c r="D55" s="76">
        <f>D54*(BudgetsQTable[[#This Row],[lead]]=K54)+(BudgetsQTable[[#This Row],[prop_id]]&lt;&gt;A54)</f>
        <v>1</v>
      </c>
      <c r="E55" s="77">
        <v>42935.680555555555</v>
      </c>
      <c r="F55" s="78" t="s">
        <v>737</v>
      </c>
      <c r="G55" s="78" t="s">
        <v>738</v>
      </c>
      <c r="H55" s="78" t="s">
        <v>491</v>
      </c>
      <c r="I55" s="76" t="s">
        <v>523</v>
      </c>
      <c r="J55" s="76" t="s">
        <v>532</v>
      </c>
      <c r="K55" s="78" t="s">
        <v>671</v>
      </c>
      <c r="L55" s="7" t="str">
        <f>IF(BudgetsQTable[[#This Row],[pi_last_name]]=" ","",HYPERLINK("https://www.ejacket.nsf.gov/ej/showProposal.do?Continue=Y&amp;ID="&amp;BudgetsQTable[[#This Row],[prop_id]],BudgetsQTable[[#This Row],[prop_id]]))</f>
        <v/>
      </c>
      <c r="M55" s="78" t="s">
        <v>532</v>
      </c>
      <c r="N55" s="7" t="str">
        <f>IF(BudgetsQTable[[#This Row],[pi_last_name]]=" ","",HYPERLINK("mailto:"&amp;BudgetsQTable[[#This Row],[pi_email]]&amp;"&amp;subject=Your NSF Proposal:  "&amp;BudgetsQTable[[#This Row],[prop_id]],BudgetsQTable[[#This Row],[pi_email]]))</f>
        <v/>
      </c>
      <c r="O55" s="78" t="s">
        <v>532</v>
      </c>
      <c r="P55" s="78">
        <v>1</v>
      </c>
      <c r="Q55" s="78">
        <v>1</v>
      </c>
      <c r="R55" s="79">
        <v>0</v>
      </c>
      <c r="S55" s="79">
        <v>2450</v>
      </c>
      <c r="T55" s="79">
        <v>0</v>
      </c>
      <c r="U55" s="80">
        <v>79849</v>
      </c>
      <c r="V55" s="78">
        <v>0</v>
      </c>
      <c r="W55" s="78">
        <v>3</v>
      </c>
      <c r="X55" s="11" t="str">
        <f ca="1">IF(ISBLANK(BudgetsQTable[[#This Row],[budg_seq_yr]]),"FY"&amp;fiscalyear,"FY"&amp;fiscalyear-1+BudgetsQTable[[#This Row],[budg_seq_yr]])</f>
        <v>FY20</v>
      </c>
      <c r="Y55" s="79">
        <v>79849</v>
      </c>
      <c r="Z55" s="78" t="s">
        <v>738</v>
      </c>
      <c r="AA55" s="78" t="s">
        <v>491</v>
      </c>
      <c r="AB55" s="76" t="s">
        <v>741</v>
      </c>
      <c r="AC55" s="78" t="s">
        <v>753</v>
      </c>
    </row>
    <row r="56" spans="1:29" x14ac:dyDescent="0.35">
      <c r="A56" s="10" t="s">
        <v>671</v>
      </c>
      <c r="B56" s="76" t="s">
        <v>745</v>
      </c>
      <c r="C56" s="76">
        <f>C55+(BudgetsQTable[[#This Row],[lead]]&lt;&gt;K55)</f>
        <v>19</v>
      </c>
      <c r="D56" s="76">
        <f>D55*(BudgetsQTable[[#This Row],[lead]]=K55)+(BudgetsQTable[[#This Row],[prop_id]]&lt;&gt;A55)</f>
        <v>1</v>
      </c>
      <c r="E56" s="77">
        <v>42935.680555555555</v>
      </c>
      <c r="F56" s="78" t="s">
        <v>737</v>
      </c>
      <c r="G56" s="78" t="s">
        <v>738</v>
      </c>
      <c r="H56" s="78" t="s">
        <v>491</v>
      </c>
      <c r="I56" s="76" t="s">
        <v>523</v>
      </c>
      <c r="J56" s="76" t="s">
        <v>532</v>
      </c>
      <c r="K56" s="78" t="s">
        <v>671</v>
      </c>
      <c r="L56" s="7" t="str">
        <f>IF(BudgetsQTable[[#This Row],[pi_last_name]]=" ","",HYPERLINK("https://www.ejacket.nsf.gov/ej/showProposal.do?Continue=Y&amp;ID="&amp;BudgetsQTable[[#This Row],[prop_id]],BudgetsQTable[[#This Row],[prop_id]]))</f>
        <v/>
      </c>
      <c r="M56" s="78" t="s">
        <v>532</v>
      </c>
      <c r="N56" s="7" t="str">
        <f>IF(BudgetsQTable[[#This Row],[pi_last_name]]=" ","",HYPERLINK("mailto:"&amp;BudgetsQTable[[#This Row],[pi_email]]&amp;"&amp;subject=Your NSF Proposal:  "&amp;BudgetsQTable[[#This Row],[prop_id]],BudgetsQTable[[#This Row],[pi_email]]))</f>
        <v/>
      </c>
      <c r="O56" s="78" t="s">
        <v>532</v>
      </c>
      <c r="P56" s="78">
        <v>1</v>
      </c>
      <c r="Q56" s="78">
        <v>1</v>
      </c>
      <c r="R56" s="79">
        <v>0</v>
      </c>
      <c r="S56" s="79">
        <v>2450</v>
      </c>
      <c r="T56" s="79">
        <v>0</v>
      </c>
      <c r="U56" s="80">
        <v>81580</v>
      </c>
      <c r="V56" s="78">
        <v>0</v>
      </c>
      <c r="W56" s="78">
        <v>4</v>
      </c>
      <c r="X56" s="11" t="str">
        <f ca="1">IF(ISBLANK(BudgetsQTable[[#This Row],[budg_seq_yr]]),"FY"&amp;fiscalyear,"FY"&amp;fiscalyear-1+BudgetsQTable[[#This Row],[budg_seq_yr]])</f>
        <v>FY21</v>
      </c>
      <c r="Y56" s="79">
        <v>81580</v>
      </c>
      <c r="Z56" s="78" t="s">
        <v>738</v>
      </c>
      <c r="AA56" s="78" t="s">
        <v>491</v>
      </c>
      <c r="AB56" s="76" t="s">
        <v>741</v>
      </c>
      <c r="AC56" s="78" t="s">
        <v>753</v>
      </c>
    </row>
    <row r="57" spans="1:29" x14ac:dyDescent="0.35">
      <c r="A57" s="10" t="s">
        <v>671</v>
      </c>
      <c r="B57" s="76" t="s">
        <v>745</v>
      </c>
      <c r="C57" s="76">
        <f>C56+(BudgetsQTable[[#This Row],[lead]]&lt;&gt;K56)</f>
        <v>19</v>
      </c>
      <c r="D57" s="76">
        <f>D56*(BudgetsQTable[[#This Row],[lead]]=K56)+(BudgetsQTable[[#This Row],[prop_id]]&lt;&gt;A56)</f>
        <v>1</v>
      </c>
      <c r="E57" s="77">
        <v>42935.680555555555</v>
      </c>
      <c r="F57" s="78" t="s">
        <v>737</v>
      </c>
      <c r="G57" s="78" t="s">
        <v>738</v>
      </c>
      <c r="H57" s="78" t="s">
        <v>491</v>
      </c>
      <c r="I57" s="76" t="s">
        <v>523</v>
      </c>
      <c r="J57" s="76" t="s">
        <v>532</v>
      </c>
      <c r="K57" s="78" t="s">
        <v>671</v>
      </c>
      <c r="L57" s="7" t="str">
        <f>IF(BudgetsQTable[[#This Row],[pi_last_name]]=" ","",HYPERLINK("https://www.ejacket.nsf.gov/ej/showProposal.do?Continue=Y&amp;ID="&amp;BudgetsQTable[[#This Row],[prop_id]],BudgetsQTable[[#This Row],[prop_id]]))</f>
        <v/>
      </c>
      <c r="M57" s="78" t="s">
        <v>532</v>
      </c>
      <c r="N57" s="7" t="str">
        <f>IF(BudgetsQTable[[#This Row],[pi_last_name]]=" ","",HYPERLINK("mailto:"&amp;BudgetsQTable[[#This Row],[pi_email]]&amp;"&amp;subject=Your NSF Proposal:  "&amp;BudgetsQTable[[#This Row],[prop_id]],BudgetsQTable[[#This Row],[pi_email]]))</f>
        <v/>
      </c>
      <c r="O57" s="78" t="s">
        <v>532</v>
      </c>
      <c r="P57" s="78">
        <v>1</v>
      </c>
      <c r="Q57" s="78">
        <v>1</v>
      </c>
      <c r="R57" s="79">
        <v>0</v>
      </c>
      <c r="S57" s="79">
        <v>2450</v>
      </c>
      <c r="T57" s="79">
        <v>0</v>
      </c>
      <c r="U57" s="80">
        <v>83360</v>
      </c>
      <c r="V57" s="78">
        <v>0</v>
      </c>
      <c r="W57" s="78">
        <v>5</v>
      </c>
      <c r="X57" s="11" t="str">
        <f ca="1">IF(ISBLANK(BudgetsQTable[[#This Row],[budg_seq_yr]]),"FY"&amp;fiscalyear,"FY"&amp;fiscalyear-1+BudgetsQTable[[#This Row],[budg_seq_yr]])</f>
        <v>FY22</v>
      </c>
      <c r="Y57" s="79">
        <v>83360</v>
      </c>
      <c r="Z57" s="78" t="s">
        <v>738</v>
      </c>
      <c r="AA57" s="78" t="s">
        <v>491</v>
      </c>
      <c r="AB57" s="76" t="s">
        <v>741</v>
      </c>
      <c r="AC57" s="78" t="s">
        <v>753</v>
      </c>
    </row>
    <row r="58" spans="1:29" x14ac:dyDescent="0.35">
      <c r="A58" s="10" t="s">
        <v>680</v>
      </c>
      <c r="B58" s="76" t="s">
        <v>745</v>
      </c>
      <c r="C58" s="76">
        <f>C57+(BudgetsQTable[[#This Row],[lead]]&lt;&gt;K57)</f>
        <v>20</v>
      </c>
      <c r="D58" s="76">
        <f>D57*(BudgetsQTable[[#This Row],[lead]]=K57)+(BudgetsQTable[[#This Row],[prop_id]]&lt;&gt;A57)</f>
        <v>1</v>
      </c>
      <c r="E58" s="77">
        <v>42935.69027777778</v>
      </c>
      <c r="F58" s="78" t="s">
        <v>737</v>
      </c>
      <c r="G58" s="78" t="s">
        <v>738</v>
      </c>
      <c r="H58" s="78" t="s">
        <v>491</v>
      </c>
      <c r="I58" s="76" t="s">
        <v>523</v>
      </c>
      <c r="J58" s="76" t="s">
        <v>805</v>
      </c>
      <c r="K58" s="78" t="s">
        <v>680</v>
      </c>
      <c r="L58" s="7" t="str">
        <f>IF(BudgetsQTable[[#This Row],[pi_last_name]]=" ","",HYPERLINK("https://www.ejacket.nsf.gov/ej/showProposal.do?Continue=Y&amp;ID="&amp;BudgetsQTable[[#This Row],[prop_id]],BudgetsQTable[[#This Row],[prop_id]]))</f>
        <v>1751102</v>
      </c>
      <c r="M58" s="78" t="s">
        <v>681</v>
      </c>
      <c r="N58" s="7" t="str">
        <f>IF(BudgetsQTable[[#This Row],[pi_last_name]]=" ","",HYPERLINK("mailto:"&amp;BudgetsQTable[[#This Row],[pi_email]]&amp;"&amp;subject=Your NSF Proposal:  "&amp;BudgetsQTable[[#This Row],[prop_id]],BudgetsQTable[[#This Row],[pi_email]]))</f>
        <v>evouga@cs.utexas.edu</v>
      </c>
      <c r="O58" s="78" t="s">
        <v>802</v>
      </c>
      <c r="P58" s="78"/>
      <c r="Q58" s="78"/>
      <c r="R58" s="79"/>
      <c r="S58" s="79"/>
      <c r="T58" s="79"/>
      <c r="U58" s="80"/>
      <c r="V58" s="78">
        <v>0</v>
      </c>
      <c r="W58" s="78"/>
      <c r="X58" s="11" t="str">
        <f ca="1">IF(ISBLANK(BudgetsQTable[[#This Row],[budg_seq_yr]]),"FY"&amp;fiscalyear,"FY"&amp;fiscalyear-1+BudgetsQTable[[#This Row],[budg_seq_yr]])</f>
        <v>FY18</v>
      </c>
      <c r="Y58" s="79">
        <v>523537</v>
      </c>
      <c r="Z58" s="78" t="s">
        <v>738</v>
      </c>
      <c r="AA58" s="78" t="s">
        <v>491</v>
      </c>
      <c r="AB58" s="76" t="s">
        <v>741</v>
      </c>
      <c r="AC58" s="78" t="s">
        <v>753</v>
      </c>
    </row>
    <row r="59" spans="1:29" x14ac:dyDescent="0.35">
      <c r="A59" s="10" t="s">
        <v>680</v>
      </c>
      <c r="B59" s="76" t="s">
        <v>745</v>
      </c>
      <c r="C59" s="76">
        <f>C58+(BudgetsQTable[[#This Row],[lead]]&lt;&gt;K58)</f>
        <v>20</v>
      </c>
      <c r="D59" s="76">
        <f>D58*(BudgetsQTable[[#This Row],[lead]]=K58)+(BudgetsQTable[[#This Row],[prop_id]]&lt;&gt;A58)</f>
        <v>1</v>
      </c>
      <c r="E59" s="77">
        <v>42935.69027777778</v>
      </c>
      <c r="F59" s="78" t="s">
        <v>737</v>
      </c>
      <c r="G59" s="78" t="s">
        <v>738</v>
      </c>
      <c r="H59" s="78" t="s">
        <v>491</v>
      </c>
      <c r="I59" s="76" t="s">
        <v>523</v>
      </c>
      <c r="J59" s="76" t="s">
        <v>532</v>
      </c>
      <c r="K59" s="78" t="s">
        <v>680</v>
      </c>
      <c r="L59" s="7" t="str">
        <f>IF(BudgetsQTable[[#This Row],[pi_last_name]]=" ","",HYPERLINK("https://www.ejacket.nsf.gov/ej/showProposal.do?Continue=Y&amp;ID="&amp;BudgetsQTable[[#This Row],[prop_id]],BudgetsQTable[[#This Row],[prop_id]]))</f>
        <v/>
      </c>
      <c r="M59" s="78" t="s">
        <v>532</v>
      </c>
      <c r="N59" s="7" t="str">
        <f>IF(BudgetsQTable[[#This Row],[pi_last_name]]=" ","",HYPERLINK("mailto:"&amp;BudgetsQTable[[#This Row],[pi_email]]&amp;"&amp;subject=Your NSF Proposal:  "&amp;BudgetsQTable[[#This Row],[prop_id]],BudgetsQTable[[#This Row],[pi_email]]))</f>
        <v/>
      </c>
      <c r="O59" s="78" t="s">
        <v>532</v>
      </c>
      <c r="P59" s="78">
        <v>1</v>
      </c>
      <c r="Q59" s="78">
        <v>0.4</v>
      </c>
      <c r="R59" s="79">
        <v>0</v>
      </c>
      <c r="S59" s="79">
        <v>3000</v>
      </c>
      <c r="T59" s="79">
        <v>0</v>
      </c>
      <c r="U59" s="80">
        <v>150440</v>
      </c>
      <c r="V59" s="78">
        <v>0</v>
      </c>
      <c r="W59" s="78">
        <v>1</v>
      </c>
      <c r="X59" s="11" t="str">
        <f ca="1">IF(ISBLANK(BudgetsQTable[[#This Row],[budg_seq_yr]]),"FY"&amp;fiscalyear,"FY"&amp;fiscalyear-1+BudgetsQTable[[#This Row],[budg_seq_yr]])</f>
        <v>FY18</v>
      </c>
      <c r="Y59" s="79">
        <v>150440</v>
      </c>
      <c r="Z59" s="78" t="s">
        <v>738</v>
      </c>
      <c r="AA59" s="78" t="s">
        <v>491</v>
      </c>
      <c r="AB59" s="76" t="s">
        <v>741</v>
      </c>
      <c r="AC59" s="78" t="s">
        <v>753</v>
      </c>
    </row>
    <row r="60" spans="1:29" x14ac:dyDescent="0.35">
      <c r="A60" s="10" t="s">
        <v>680</v>
      </c>
      <c r="B60" s="76" t="s">
        <v>745</v>
      </c>
      <c r="C60" s="76">
        <f>C59+(BudgetsQTable[[#This Row],[lead]]&lt;&gt;K59)</f>
        <v>20</v>
      </c>
      <c r="D60" s="76">
        <f>D59*(BudgetsQTable[[#This Row],[lead]]=K59)+(BudgetsQTable[[#This Row],[prop_id]]&lt;&gt;A59)</f>
        <v>1</v>
      </c>
      <c r="E60" s="77">
        <v>42935.69027777778</v>
      </c>
      <c r="F60" s="78" t="s">
        <v>737</v>
      </c>
      <c r="G60" s="78" t="s">
        <v>738</v>
      </c>
      <c r="H60" s="78" t="s">
        <v>491</v>
      </c>
      <c r="I60" s="76" t="s">
        <v>523</v>
      </c>
      <c r="J60" s="76" t="s">
        <v>532</v>
      </c>
      <c r="K60" s="78" t="s">
        <v>680</v>
      </c>
      <c r="L60" s="7" t="str">
        <f>IF(BudgetsQTable[[#This Row],[pi_last_name]]=" ","",HYPERLINK("https://www.ejacket.nsf.gov/ej/showProposal.do?Continue=Y&amp;ID="&amp;BudgetsQTable[[#This Row],[prop_id]],BudgetsQTable[[#This Row],[prop_id]]))</f>
        <v/>
      </c>
      <c r="M60" s="78" t="s">
        <v>532</v>
      </c>
      <c r="N60" s="7" t="str">
        <f>IF(BudgetsQTable[[#This Row],[pi_last_name]]=" ","",HYPERLINK("mailto:"&amp;BudgetsQTable[[#This Row],[pi_email]]&amp;"&amp;subject=Your NSF Proposal:  "&amp;BudgetsQTable[[#This Row],[prop_id]],BudgetsQTable[[#This Row],[pi_email]]))</f>
        <v/>
      </c>
      <c r="O60" s="78" t="s">
        <v>532</v>
      </c>
      <c r="P60" s="78">
        <v>1</v>
      </c>
      <c r="Q60" s="78">
        <v>0.4</v>
      </c>
      <c r="R60" s="79">
        <v>0</v>
      </c>
      <c r="S60" s="79">
        <v>3000</v>
      </c>
      <c r="T60" s="79">
        <v>0</v>
      </c>
      <c r="U60" s="80">
        <v>148480</v>
      </c>
      <c r="V60" s="78">
        <v>0</v>
      </c>
      <c r="W60" s="78">
        <v>2</v>
      </c>
      <c r="X60" s="11" t="str">
        <f ca="1">IF(ISBLANK(BudgetsQTable[[#This Row],[budg_seq_yr]]),"FY"&amp;fiscalyear,"FY"&amp;fiscalyear-1+BudgetsQTable[[#This Row],[budg_seq_yr]])</f>
        <v>FY19</v>
      </c>
      <c r="Y60" s="79">
        <v>148480</v>
      </c>
      <c r="Z60" s="78" t="s">
        <v>738</v>
      </c>
      <c r="AA60" s="78" t="s">
        <v>491</v>
      </c>
      <c r="AB60" s="76" t="s">
        <v>741</v>
      </c>
      <c r="AC60" s="78" t="s">
        <v>753</v>
      </c>
    </row>
    <row r="61" spans="1:29" x14ac:dyDescent="0.35">
      <c r="A61" s="10" t="s">
        <v>680</v>
      </c>
      <c r="B61" s="76" t="s">
        <v>745</v>
      </c>
      <c r="C61" s="76">
        <f>C60+(BudgetsQTable[[#This Row],[lead]]&lt;&gt;K60)</f>
        <v>20</v>
      </c>
      <c r="D61" s="76">
        <f>D60*(BudgetsQTable[[#This Row],[lead]]=K60)+(BudgetsQTable[[#This Row],[prop_id]]&lt;&gt;A60)</f>
        <v>1</v>
      </c>
      <c r="E61" s="77">
        <v>42935.69027777778</v>
      </c>
      <c r="F61" s="78" t="s">
        <v>737</v>
      </c>
      <c r="G61" s="78" t="s">
        <v>738</v>
      </c>
      <c r="H61" s="78" t="s">
        <v>491</v>
      </c>
      <c r="I61" s="76" t="s">
        <v>523</v>
      </c>
      <c r="J61" s="76" t="s">
        <v>532</v>
      </c>
      <c r="K61" s="78" t="s">
        <v>680</v>
      </c>
      <c r="L61" s="7" t="str">
        <f>IF(BudgetsQTable[[#This Row],[pi_last_name]]=" ","",HYPERLINK("https://www.ejacket.nsf.gov/ej/showProposal.do?Continue=Y&amp;ID="&amp;BudgetsQTable[[#This Row],[prop_id]],BudgetsQTable[[#This Row],[prop_id]]))</f>
        <v/>
      </c>
      <c r="M61" s="78" t="s">
        <v>532</v>
      </c>
      <c r="N61" s="7" t="str">
        <f>IF(BudgetsQTable[[#This Row],[pi_last_name]]=" ","",HYPERLINK("mailto:"&amp;BudgetsQTable[[#This Row],[pi_email]]&amp;"&amp;subject=Your NSF Proposal:  "&amp;BudgetsQTable[[#This Row],[prop_id]],BudgetsQTable[[#This Row],[pi_email]]))</f>
        <v/>
      </c>
      <c r="O61" s="78" t="s">
        <v>532</v>
      </c>
      <c r="P61" s="78">
        <v>1</v>
      </c>
      <c r="Q61" s="78">
        <v>0.4</v>
      </c>
      <c r="R61" s="79">
        <v>0</v>
      </c>
      <c r="S61" s="79">
        <v>3000</v>
      </c>
      <c r="T61" s="79">
        <v>0</v>
      </c>
      <c r="U61" s="80">
        <v>74290</v>
      </c>
      <c r="V61" s="78">
        <v>0</v>
      </c>
      <c r="W61" s="78">
        <v>3</v>
      </c>
      <c r="X61" s="11" t="str">
        <f ca="1">IF(ISBLANK(BudgetsQTable[[#This Row],[budg_seq_yr]]),"FY"&amp;fiscalyear,"FY"&amp;fiscalyear-1+BudgetsQTable[[#This Row],[budg_seq_yr]])</f>
        <v>FY20</v>
      </c>
      <c r="Y61" s="79">
        <v>74290</v>
      </c>
      <c r="Z61" s="78" t="s">
        <v>738</v>
      </c>
      <c r="AA61" s="78" t="s">
        <v>491</v>
      </c>
      <c r="AB61" s="76" t="s">
        <v>741</v>
      </c>
      <c r="AC61" s="78" t="s">
        <v>753</v>
      </c>
    </row>
    <row r="62" spans="1:29" x14ac:dyDescent="0.35">
      <c r="A62" s="10" t="s">
        <v>680</v>
      </c>
      <c r="B62" s="76" t="s">
        <v>745</v>
      </c>
      <c r="C62" s="76">
        <f>C61+(BudgetsQTable[[#This Row],[lead]]&lt;&gt;K61)</f>
        <v>20</v>
      </c>
      <c r="D62" s="76">
        <f>D61*(BudgetsQTable[[#This Row],[lead]]=K61)+(BudgetsQTable[[#This Row],[prop_id]]&lt;&gt;A61)</f>
        <v>1</v>
      </c>
      <c r="E62" s="77">
        <v>42935.69027777778</v>
      </c>
      <c r="F62" s="78" t="s">
        <v>737</v>
      </c>
      <c r="G62" s="78" t="s">
        <v>738</v>
      </c>
      <c r="H62" s="78" t="s">
        <v>491</v>
      </c>
      <c r="I62" s="76" t="s">
        <v>523</v>
      </c>
      <c r="J62" s="76" t="s">
        <v>532</v>
      </c>
      <c r="K62" s="78" t="s">
        <v>680</v>
      </c>
      <c r="L62" s="7" t="str">
        <f>IF(BudgetsQTable[[#This Row],[pi_last_name]]=" ","",HYPERLINK("https://www.ejacket.nsf.gov/ej/showProposal.do?Continue=Y&amp;ID="&amp;BudgetsQTable[[#This Row],[prop_id]],BudgetsQTable[[#This Row],[prop_id]]))</f>
        <v/>
      </c>
      <c r="M62" s="78" t="s">
        <v>532</v>
      </c>
      <c r="N62" s="7" t="str">
        <f>IF(BudgetsQTable[[#This Row],[pi_last_name]]=" ","",HYPERLINK("mailto:"&amp;BudgetsQTable[[#This Row],[pi_email]]&amp;"&amp;subject=Your NSF Proposal:  "&amp;BudgetsQTable[[#This Row],[prop_id]],BudgetsQTable[[#This Row],[pi_email]]))</f>
        <v/>
      </c>
      <c r="O62" s="78" t="s">
        <v>532</v>
      </c>
      <c r="P62" s="78">
        <v>1</v>
      </c>
      <c r="Q62" s="78">
        <v>0.4</v>
      </c>
      <c r="R62" s="79">
        <v>0</v>
      </c>
      <c r="S62" s="79">
        <v>3000</v>
      </c>
      <c r="T62" s="79">
        <v>0</v>
      </c>
      <c r="U62" s="80">
        <v>74335</v>
      </c>
      <c r="V62" s="78">
        <v>0</v>
      </c>
      <c r="W62" s="78">
        <v>4</v>
      </c>
      <c r="X62" s="11" t="str">
        <f ca="1">IF(ISBLANK(BudgetsQTable[[#This Row],[budg_seq_yr]]),"FY"&amp;fiscalyear,"FY"&amp;fiscalyear-1+BudgetsQTable[[#This Row],[budg_seq_yr]])</f>
        <v>FY21</v>
      </c>
      <c r="Y62" s="79">
        <v>74335</v>
      </c>
      <c r="Z62" s="78" t="s">
        <v>738</v>
      </c>
      <c r="AA62" s="78" t="s">
        <v>491</v>
      </c>
      <c r="AB62" s="76" t="s">
        <v>741</v>
      </c>
      <c r="AC62" s="78" t="s">
        <v>753</v>
      </c>
    </row>
    <row r="63" spans="1:29" x14ac:dyDescent="0.35">
      <c r="A63" s="10" t="s">
        <v>680</v>
      </c>
      <c r="B63" s="76" t="s">
        <v>745</v>
      </c>
      <c r="C63" s="76">
        <f>C62+(BudgetsQTable[[#This Row],[lead]]&lt;&gt;K62)</f>
        <v>20</v>
      </c>
      <c r="D63" s="76">
        <f>D62*(BudgetsQTable[[#This Row],[lead]]=K62)+(BudgetsQTable[[#This Row],[prop_id]]&lt;&gt;A62)</f>
        <v>1</v>
      </c>
      <c r="E63" s="77">
        <v>42935.69027777778</v>
      </c>
      <c r="F63" s="78" t="s">
        <v>737</v>
      </c>
      <c r="G63" s="78" t="s">
        <v>738</v>
      </c>
      <c r="H63" s="78" t="s">
        <v>491</v>
      </c>
      <c r="I63" s="76" t="s">
        <v>523</v>
      </c>
      <c r="J63" s="76" t="s">
        <v>532</v>
      </c>
      <c r="K63" s="78" t="s">
        <v>680</v>
      </c>
      <c r="L63" s="7" t="str">
        <f>IF(BudgetsQTable[[#This Row],[pi_last_name]]=" ","",HYPERLINK("https://www.ejacket.nsf.gov/ej/showProposal.do?Continue=Y&amp;ID="&amp;BudgetsQTable[[#This Row],[prop_id]],BudgetsQTable[[#This Row],[prop_id]]))</f>
        <v/>
      </c>
      <c r="M63" s="78" t="s">
        <v>532</v>
      </c>
      <c r="N63" s="7" t="str">
        <f>IF(BudgetsQTable[[#This Row],[pi_last_name]]=" ","",HYPERLINK("mailto:"&amp;BudgetsQTable[[#This Row],[pi_email]]&amp;"&amp;subject=Your NSF Proposal:  "&amp;BudgetsQTable[[#This Row],[prop_id]],BudgetsQTable[[#This Row],[pi_email]]))</f>
        <v/>
      </c>
      <c r="O63" s="78" t="s">
        <v>532</v>
      </c>
      <c r="P63" s="78">
        <v>1</v>
      </c>
      <c r="Q63" s="78">
        <v>0.4</v>
      </c>
      <c r="R63" s="79">
        <v>0</v>
      </c>
      <c r="S63" s="79">
        <v>3000</v>
      </c>
      <c r="T63" s="79">
        <v>0</v>
      </c>
      <c r="U63" s="80">
        <v>75992</v>
      </c>
      <c r="V63" s="78">
        <v>0</v>
      </c>
      <c r="W63" s="78">
        <v>5</v>
      </c>
      <c r="X63" s="11" t="str">
        <f ca="1">IF(ISBLANK(BudgetsQTable[[#This Row],[budg_seq_yr]]),"FY"&amp;fiscalyear,"FY"&amp;fiscalyear-1+BudgetsQTable[[#This Row],[budg_seq_yr]])</f>
        <v>FY22</v>
      </c>
      <c r="Y63" s="79">
        <v>75992</v>
      </c>
      <c r="Z63" s="78" t="s">
        <v>738</v>
      </c>
      <c r="AA63" s="78" t="s">
        <v>491</v>
      </c>
      <c r="AB63" s="76" t="s">
        <v>741</v>
      </c>
      <c r="AC63" s="78" t="s">
        <v>753</v>
      </c>
    </row>
    <row r="64" spans="1:29" x14ac:dyDescent="0.35">
      <c r="A64" s="10" t="s">
        <v>689</v>
      </c>
      <c r="B64" s="76" t="s">
        <v>745</v>
      </c>
      <c r="C64" s="76">
        <f>C63+(BudgetsQTable[[#This Row],[lead]]&lt;&gt;K63)</f>
        <v>21</v>
      </c>
      <c r="D64" s="76">
        <f>D63*(BudgetsQTable[[#This Row],[lead]]=K63)+(BudgetsQTable[[#This Row],[prop_id]]&lt;&gt;A63)</f>
        <v>1</v>
      </c>
      <c r="E64" s="77">
        <v>42935.696527777778</v>
      </c>
      <c r="F64" s="78" t="s">
        <v>737</v>
      </c>
      <c r="G64" s="78" t="s">
        <v>738</v>
      </c>
      <c r="H64" s="78" t="s">
        <v>491</v>
      </c>
      <c r="I64" s="76" t="s">
        <v>523</v>
      </c>
      <c r="J64" s="76" t="s">
        <v>811</v>
      </c>
      <c r="K64" s="78" t="s">
        <v>689</v>
      </c>
      <c r="L64" s="7" t="str">
        <f>IF(BudgetsQTable[[#This Row],[pi_last_name]]=" ","",HYPERLINK("https://www.ejacket.nsf.gov/ej/showProposal.do?Continue=Y&amp;ID="&amp;BudgetsQTable[[#This Row],[prop_id]],BudgetsQTable[[#This Row],[prop_id]]))</f>
        <v>1751135</v>
      </c>
      <c r="M64" s="78" t="s">
        <v>690</v>
      </c>
      <c r="N64" s="7" t="str">
        <f>IF(BudgetsQTable[[#This Row],[pi_last_name]]=" ","",HYPERLINK("mailto:"&amp;BudgetsQTable[[#This Row],[pi_email]]&amp;"&amp;subject=Your NSF Proposal:  "&amp;BudgetsQTable[[#This Row],[prop_id]],BudgetsQTable[[#This Row],[pi_email]]))</f>
        <v>nayyeria@eecs.oregonstate.edu</v>
      </c>
      <c r="O64" s="78" t="s">
        <v>808</v>
      </c>
      <c r="P64" s="78"/>
      <c r="Q64" s="78"/>
      <c r="R64" s="79"/>
      <c r="S64" s="79"/>
      <c r="T64" s="79"/>
      <c r="U64" s="80"/>
      <c r="V64" s="78">
        <v>0</v>
      </c>
      <c r="W64" s="78"/>
      <c r="X64" s="11" t="str">
        <f ca="1">IF(ISBLANK(BudgetsQTable[[#This Row],[budg_seq_yr]]),"FY"&amp;fiscalyear,"FY"&amp;fiscalyear-1+BudgetsQTable[[#This Row],[budg_seq_yr]])</f>
        <v>FY18</v>
      </c>
      <c r="Y64" s="79">
        <v>607459</v>
      </c>
      <c r="Z64" s="78" t="s">
        <v>738</v>
      </c>
      <c r="AA64" s="78" t="s">
        <v>491</v>
      </c>
      <c r="AB64" s="76" t="s">
        <v>741</v>
      </c>
      <c r="AC64" s="78" t="s">
        <v>753</v>
      </c>
    </row>
    <row r="65" spans="1:29" x14ac:dyDescent="0.35">
      <c r="A65" s="10" t="s">
        <v>689</v>
      </c>
      <c r="B65" s="76" t="s">
        <v>745</v>
      </c>
      <c r="C65" s="76">
        <f>C64+(BudgetsQTable[[#This Row],[lead]]&lt;&gt;K64)</f>
        <v>21</v>
      </c>
      <c r="D65" s="76">
        <f>D64*(BudgetsQTable[[#This Row],[lead]]=K64)+(BudgetsQTable[[#This Row],[prop_id]]&lt;&gt;A64)</f>
        <v>1</v>
      </c>
      <c r="E65" s="77">
        <v>42935.696527777778</v>
      </c>
      <c r="F65" s="78" t="s">
        <v>737</v>
      </c>
      <c r="G65" s="78" t="s">
        <v>738</v>
      </c>
      <c r="H65" s="78" t="s">
        <v>491</v>
      </c>
      <c r="I65" s="76" t="s">
        <v>523</v>
      </c>
      <c r="J65" s="76" t="s">
        <v>532</v>
      </c>
      <c r="K65" s="78" t="s">
        <v>689</v>
      </c>
      <c r="L65" s="7" t="str">
        <f>IF(BudgetsQTable[[#This Row],[pi_last_name]]=" ","",HYPERLINK("https://www.ejacket.nsf.gov/ej/showProposal.do?Continue=Y&amp;ID="&amp;BudgetsQTable[[#This Row],[prop_id]],BudgetsQTable[[#This Row],[prop_id]]))</f>
        <v/>
      </c>
      <c r="M65" s="78" t="s">
        <v>532</v>
      </c>
      <c r="N65" s="7" t="str">
        <f>IF(BudgetsQTable[[#This Row],[pi_last_name]]=" ","",HYPERLINK("mailto:"&amp;BudgetsQTable[[#This Row],[pi_email]]&amp;"&amp;subject=Your NSF Proposal:  "&amp;BudgetsQTable[[#This Row],[prop_id]],BudgetsQTable[[#This Row],[pi_email]]))</f>
        <v/>
      </c>
      <c r="O65" s="78" t="s">
        <v>532</v>
      </c>
      <c r="P65" s="78">
        <v>1</v>
      </c>
      <c r="Q65" s="78">
        <v>0.5</v>
      </c>
      <c r="R65" s="79">
        <v>0</v>
      </c>
      <c r="S65" s="79">
        <v>0</v>
      </c>
      <c r="T65" s="79">
        <v>1100</v>
      </c>
      <c r="U65" s="80">
        <v>94905</v>
      </c>
      <c r="V65" s="78">
        <v>0</v>
      </c>
      <c r="W65" s="78">
        <v>1</v>
      </c>
      <c r="X65" s="11" t="str">
        <f ca="1">IF(ISBLANK(BudgetsQTable[[#This Row],[budg_seq_yr]]),"FY"&amp;fiscalyear,"FY"&amp;fiscalyear-1+BudgetsQTable[[#This Row],[budg_seq_yr]])</f>
        <v>FY18</v>
      </c>
      <c r="Y65" s="79">
        <v>94905</v>
      </c>
      <c r="Z65" s="78" t="s">
        <v>738</v>
      </c>
      <c r="AA65" s="78" t="s">
        <v>491</v>
      </c>
      <c r="AB65" s="76" t="s">
        <v>741</v>
      </c>
      <c r="AC65" s="78" t="s">
        <v>753</v>
      </c>
    </row>
    <row r="66" spans="1:29" x14ac:dyDescent="0.35">
      <c r="A66" s="10" t="s">
        <v>689</v>
      </c>
      <c r="B66" s="76" t="s">
        <v>745</v>
      </c>
      <c r="C66" s="76">
        <f>C65+(BudgetsQTable[[#This Row],[lead]]&lt;&gt;K65)</f>
        <v>21</v>
      </c>
      <c r="D66" s="76">
        <f>D65*(BudgetsQTable[[#This Row],[lead]]=K65)+(BudgetsQTable[[#This Row],[prop_id]]&lt;&gt;A65)</f>
        <v>1</v>
      </c>
      <c r="E66" s="77">
        <v>42935.696527777778</v>
      </c>
      <c r="F66" s="78" t="s">
        <v>737</v>
      </c>
      <c r="G66" s="78" t="s">
        <v>738</v>
      </c>
      <c r="H66" s="78" t="s">
        <v>491</v>
      </c>
      <c r="I66" s="76" t="s">
        <v>523</v>
      </c>
      <c r="J66" s="76" t="s">
        <v>532</v>
      </c>
      <c r="K66" s="78" t="s">
        <v>689</v>
      </c>
      <c r="L66" s="7" t="str">
        <f>IF(BudgetsQTable[[#This Row],[pi_last_name]]=" ","",HYPERLINK("https://www.ejacket.nsf.gov/ej/showProposal.do?Continue=Y&amp;ID="&amp;BudgetsQTable[[#This Row],[prop_id]],BudgetsQTable[[#This Row],[prop_id]]))</f>
        <v/>
      </c>
      <c r="M66" s="78" t="s">
        <v>532</v>
      </c>
      <c r="N66" s="7" t="str">
        <f>IF(BudgetsQTable[[#This Row],[pi_last_name]]=" ","",HYPERLINK("mailto:"&amp;BudgetsQTable[[#This Row],[pi_email]]&amp;"&amp;subject=Your NSF Proposal:  "&amp;BudgetsQTable[[#This Row],[prop_id]],BudgetsQTable[[#This Row],[pi_email]]))</f>
        <v/>
      </c>
      <c r="O66" s="78" t="s">
        <v>532</v>
      </c>
      <c r="P66" s="78">
        <v>1</v>
      </c>
      <c r="Q66" s="78">
        <v>1</v>
      </c>
      <c r="R66" s="79">
        <v>0</v>
      </c>
      <c r="S66" s="79">
        <v>7485</v>
      </c>
      <c r="T66" s="79">
        <v>1100</v>
      </c>
      <c r="U66" s="80">
        <v>121969</v>
      </c>
      <c r="V66" s="78">
        <v>0</v>
      </c>
      <c r="W66" s="78">
        <v>2</v>
      </c>
      <c r="X66" s="11" t="str">
        <f ca="1">IF(ISBLANK(BudgetsQTable[[#This Row],[budg_seq_yr]]),"FY"&amp;fiscalyear,"FY"&amp;fiscalyear-1+BudgetsQTable[[#This Row],[budg_seq_yr]])</f>
        <v>FY19</v>
      </c>
      <c r="Y66" s="79">
        <v>121969</v>
      </c>
      <c r="Z66" s="78" t="s">
        <v>738</v>
      </c>
      <c r="AA66" s="78" t="s">
        <v>491</v>
      </c>
      <c r="AB66" s="76" t="s">
        <v>741</v>
      </c>
      <c r="AC66" s="78" t="s">
        <v>753</v>
      </c>
    </row>
    <row r="67" spans="1:29" x14ac:dyDescent="0.35">
      <c r="A67" s="10" t="s">
        <v>689</v>
      </c>
      <c r="B67" s="76" t="s">
        <v>745</v>
      </c>
      <c r="C67" s="76">
        <f>C66+(BudgetsQTable[[#This Row],[lead]]&lt;&gt;K66)</f>
        <v>21</v>
      </c>
      <c r="D67" s="76">
        <f>D66*(BudgetsQTable[[#This Row],[lead]]=K66)+(BudgetsQTable[[#This Row],[prop_id]]&lt;&gt;A66)</f>
        <v>1</v>
      </c>
      <c r="E67" s="77">
        <v>42935.696527777778</v>
      </c>
      <c r="F67" s="78" t="s">
        <v>737</v>
      </c>
      <c r="G67" s="78" t="s">
        <v>738</v>
      </c>
      <c r="H67" s="78" t="s">
        <v>491</v>
      </c>
      <c r="I67" s="76" t="s">
        <v>523</v>
      </c>
      <c r="J67" s="76" t="s">
        <v>532</v>
      </c>
      <c r="K67" s="78" t="s">
        <v>689</v>
      </c>
      <c r="L67" s="7" t="str">
        <f>IF(BudgetsQTable[[#This Row],[pi_last_name]]=" ","",HYPERLINK("https://www.ejacket.nsf.gov/ej/showProposal.do?Continue=Y&amp;ID="&amp;BudgetsQTable[[#This Row],[prop_id]],BudgetsQTable[[#This Row],[prop_id]]))</f>
        <v/>
      </c>
      <c r="M67" s="78" t="s">
        <v>532</v>
      </c>
      <c r="N67" s="7" t="str">
        <f>IF(BudgetsQTable[[#This Row],[pi_last_name]]=" ","",HYPERLINK("mailto:"&amp;BudgetsQTable[[#This Row],[pi_email]]&amp;"&amp;subject=Your NSF Proposal:  "&amp;BudgetsQTable[[#This Row],[prop_id]],BudgetsQTable[[#This Row],[pi_email]]))</f>
        <v/>
      </c>
      <c r="O67" s="78" t="s">
        <v>532</v>
      </c>
      <c r="P67" s="78">
        <v>1</v>
      </c>
      <c r="Q67" s="78">
        <v>1</v>
      </c>
      <c r="R67" s="79">
        <v>0</v>
      </c>
      <c r="S67" s="79">
        <v>7709</v>
      </c>
      <c r="T67" s="79">
        <v>1100</v>
      </c>
      <c r="U67" s="80">
        <v>128760</v>
      </c>
      <c r="V67" s="78">
        <v>0</v>
      </c>
      <c r="W67" s="78">
        <v>3</v>
      </c>
      <c r="X67" s="11" t="str">
        <f ca="1">IF(ISBLANK(BudgetsQTable[[#This Row],[budg_seq_yr]]),"FY"&amp;fiscalyear,"FY"&amp;fiscalyear-1+BudgetsQTable[[#This Row],[budg_seq_yr]])</f>
        <v>FY20</v>
      </c>
      <c r="Y67" s="79">
        <v>128760</v>
      </c>
      <c r="Z67" s="78" t="s">
        <v>738</v>
      </c>
      <c r="AA67" s="78" t="s">
        <v>491</v>
      </c>
      <c r="AB67" s="76" t="s">
        <v>741</v>
      </c>
      <c r="AC67" s="78" t="s">
        <v>753</v>
      </c>
    </row>
    <row r="68" spans="1:29" x14ac:dyDescent="0.35">
      <c r="A68" s="10" t="s">
        <v>689</v>
      </c>
      <c r="B68" s="76" t="s">
        <v>745</v>
      </c>
      <c r="C68" s="76">
        <f>C67+(BudgetsQTable[[#This Row],[lead]]&lt;&gt;K67)</f>
        <v>21</v>
      </c>
      <c r="D68" s="76">
        <f>D67*(BudgetsQTable[[#This Row],[lead]]=K67)+(BudgetsQTable[[#This Row],[prop_id]]&lt;&gt;A67)</f>
        <v>1</v>
      </c>
      <c r="E68" s="77">
        <v>42935.696527777778</v>
      </c>
      <c r="F68" s="78" t="s">
        <v>737</v>
      </c>
      <c r="G68" s="78" t="s">
        <v>738</v>
      </c>
      <c r="H68" s="78" t="s">
        <v>491</v>
      </c>
      <c r="I68" s="76" t="s">
        <v>523</v>
      </c>
      <c r="J68" s="76" t="s">
        <v>532</v>
      </c>
      <c r="K68" s="78" t="s">
        <v>689</v>
      </c>
      <c r="L68" s="7" t="str">
        <f>IF(BudgetsQTable[[#This Row],[pi_last_name]]=" ","",HYPERLINK("https://www.ejacket.nsf.gov/ej/showProposal.do?Continue=Y&amp;ID="&amp;BudgetsQTable[[#This Row],[prop_id]],BudgetsQTable[[#This Row],[prop_id]]))</f>
        <v/>
      </c>
      <c r="M68" s="78" t="s">
        <v>532</v>
      </c>
      <c r="N68" s="7" t="str">
        <f>IF(BudgetsQTable[[#This Row],[pi_last_name]]=" ","",HYPERLINK("mailto:"&amp;BudgetsQTable[[#This Row],[pi_email]]&amp;"&amp;subject=Your NSF Proposal:  "&amp;BudgetsQTable[[#This Row],[prop_id]],BudgetsQTable[[#This Row],[pi_email]]))</f>
        <v/>
      </c>
      <c r="O68" s="78" t="s">
        <v>532</v>
      </c>
      <c r="P68" s="78">
        <v>1</v>
      </c>
      <c r="Q68" s="78">
        <v>1</v>
      </c>
      <c r="R68" s="79">
        <v>0</v>
      </c>
      <c r="S68" s="79">
        <v>7939</v>
      </c>
      <c r="T68" s="79">
        <v>1100</v>
      </c>
      <c r="U68" s="80">
        <v>134130</v>
      </c>
      <c r="V68" s="78">
        <v>0</v>
      </c>
      <c r="W68" s="78">
        <v>4</v>
      </c>
      <c r="X68" s="11" t="str">
        <f ca="1">IF(ISBLANK(BudgetsQTable[[#This Row],[budg_seq_yr]]),"FY"&amp;fiscalyear,"FY"&amp;fiscalyear-1+BudgetsQTable[[#This Row],[budg_seq_yr]])</f>
        <v>FY21</v>
      </c>
      <c r="Y68" s="79">
        <v>134130</v>
      </c>
      <c r="Z68" s="78" t="s">
        <v>738</v>
      </c>
      <c r="AA68" s="78" t="s">
        <v>491</v>
      </c>
      <c r="AB68" s="76" t="s">
        <v>741</v>
      </c>
      <c r="AC68" s="78" t="s">
        <v>753</v>
      </c>
    </row>
    <row r="69" spans="1:29" x14ac:dyDescent="0.35">
      <c r="A69" s="10" t="s">
        <v>689</v>
      </c>
      <c r="B69" s="76" t="s">
        <v>745</v>
      </c>
      <c r="C69" s="76">
        <f>C68+(BudgetsQTable[[#This Row],[lead]]&lt;&gt;K68)</f>
        <v>21</v>
      </c>
      <c r="D69" s="76">
        <f>D68*(BudgetsQTable[[#This Row],[lead]]=K68)+(BudgetsQTable[[#This Row],[prop_id]]&lt;&gt;A68)</f>
        <v>1</v>
      </c>
      <c r="E69" s="77">
        <v>42935.696527777778</v>
      </c>
      <c r="F69" s="78" t="s">
        <v>737</v>
      </c>
      <c r="G69" s="78" t="s">
        <v>738</v>
      </c>
      <c r="H69" s="78" t="s">
        <v>491</v>
      </c>
      <c r="I69" s="76" t="s">
        <v>523</v>
      </c>
      <c r="J69" s="76" t="s">
        <v>532</v>
      </c>
      <c r="K69" s="78" t="s">
        <v>689</v>
      </c>
      <c r="L69" s="7" t="str">
        <f>IF(BudgetsQTable[[#This Row],[pi_last_name]]=" ","",HYPERLINK("https://www.ejacket.nsf.gov/ej/showProposal.do?Continue=Y&amp;ID="&amp;BudgetsQTable[[#This Row],[prop_id]],BudgetsQTable[[#This Row],[prop_id]]))</f>
        <v/>
      </c>
      <c r="M69" s="78" t="s">
        <v>532</v>
      </c>
      <c r="N69" s="7" t="str">
        <f>IF(BudgetsQTable[[#This Row],[pi_last_name]]=" ","",HYPERLINK("mailto:"&amp;BudgetsQTable[[#This Row],[pi_email]]&amp;"&amp;subject=Your NSF Proposal:  "&amp;BudgetsQTable[[#This Row],[prop_id]],BudgetsQTable[[#This Row],[pi_email]]))</f>
        <v/>
      </c>
      <c r="O69" s="78" t="s">
        <v>532</v>
      </c>
      <c r="P69" s="78">
        <v>1</v>
      </c>
      <c r="Q69" s="78">
        <v>1</v>
      </c>
      <c r="R69" s="79">
        <v>0</v>
      </c>
      <c r="S69" s="79">
        <v>0</v>
      </c>
      <c r="T69" s="79">
        <v>1100</v>
      </c>
      <c r="U69" s="80">
        <v>127695</v>
      </c>
      <c r="V69" s="78">
        <v>0</v>
      </c>
      <c r="W69" s="78">
        <v>5</v>
      </c>
      <c r="X69" s="11" t="str">
        <f ca="1">IF(ISBLANK(BudgetsQTable[[#This Row],[budg_seq_yr]]),"FY"&amp;fiscalyear,"FY"&amp;fiscalyear-1+BudgetsQTable[[#This Row],[budg_seq_yr]])</f>
        <v>FY22</v>
      </c>
      <c r="Y69" s="79">
        <v>127695</v>
      </c>
      <c r="Z69" s="78" t="s">
        <v>738</v>
      </c>
      <c r="AA69" s="78" t="s">
        <v>491</v>
      </c>
      <c r="AB69" s="76" t="s">
        <v>741</v>
      </c>
      <c r="AC69" s="78" t="s">
        <v>753</v>
      </c>
    </row>
    <row r="70" spans="1:29" x14ac:dyDescent="0.35">
      <c r="A70" s="10" t="s">
        <v>697</v>
      </c>
      <c r="B70" s="76" t="s">
        <v>745</v>
      </c>
      <c r="C70" s="76">
        <f>C69+(BudgetsQTable[[#This Row],[lead]]&lt;&gt;K69)</f>
        <v>22</v>
      </c>
      <c r="D70" s="76">
        <f>D69*(BudgetsQTable[[#This Row],[lead]]=K69)+(BudgetsQTable[[#This Row],[prop_id]]&lt;&gt;A69)</f>
        <v>1</v>
      </c>
      <c r="E70" s="77">
        <v>42956.472222222219</v>
      </c>
      <c r="F70" s="78" t="s">
        <v>812</v>
      </c>
      <c r="G70" s="78" t="s">
        <v>738</v>
      </c>
      <c r="H70" s="78" t="s">
        <v>489</v>
      </c>
      <c r="I70" s="76" t="s">
        <v>523</v>
      </c>
      <c r="J70" s="76" t="s">
        <v>820</v>
      </c>
      <c r="K70" s="78" t="s">
        <v>697</v>
      </c>
      <c r="L70" s="7" t="str">
        <f>IF(BudgetsQTable[[#This Row],[pi_last_name]]=" ","",HYPERLINK("https://www.ejacket.nsf.gov/ej/showProposal.do?Continue=Y&amp;ID="&amp;BudgetsQTable[[#This Row],[prop_id]],BudgetsQTable[[#This Row],[prop_id]]))</f>
        <v>1755702</v>
      </c>
      <c r="M70" s="78" t="s">
        <v>698</v>
      </c>
      <c r="N70" s="7" t="str">
        <f>IF(BudgetsQTable[[#This Row],[pi_last_name]]=" ","",HYPERLINK("mailto:"&amp;BudgetsQTable[[#This Row],[pi_email]]&amp;"&amp;subject=Your NSF Proposal:  "&amp;BudgetsQTable[[#This Row],[prop_id]],BudgetsQTable[[#This Row],[pi_email]]))</f>
        <v>hcharkhgard@usf.edu</v>
      </c>
      <c r="O70" s="78" t="s">
        <v>817</v>
      </c>
      <c r="P70" s="78"/>
      <c r="Q70" s="78"/>
      <c r="R70" s="79"/>
      <c r="S70" s="79"/>
      <c r="T70" s="79"/>
      <c r="U70" s="80"/>
      <c r="V70" s="78">
        <v>0</v>
      </c>
      <c r="W70" s="78"/>
      <c r="X70" s="11" t="str">
        <f ca="1">IF(ISBLANK(BudgetsQTable[[#This Row],[budg_seq_yr]]),"FY"&amp;fiscalyear,"FY"&amp;fiscalyear-1+BudgetsQTable[[#This Row],[budg_seq_yr]])</f>
        <v>FY18</v>
      </c>
      <c r="Y70" s="79">
        <v>172682</v>
      </c>
      <c r="Z70" s="78" t="s">
        <v>738</v>
      </c>
      <c r="AA70" s="78" t="s">
        <v>489</v>
      </c>
      <c r="AB70" s="76" t="s">
        <v>741</v>
      </c>
      <c r="AC70" s="78" t="s">
        <v>814</v>
      </c>
    </row>
    <row r="71" spans="1:29" x14ac:dyDescent="0.35">
      <c r="A71" s="10" t="s">
        <v>697</v>
      </c>
      <c r="B71" s="76" t="s">
        <v>745</v>
      </c>
      <c r="C71" s="76">
        <f>C70+(BudgetsQTable[[#This Row],[lead]]&lt;&gt;K70)</f>
        <v>22</v>
      </c>
      <c r="D71" s="76">
        <f>D70*(BudgetsQTable[[#This Row],[lead]]=K70)+(BudgetsQTable[[#This Row],[prop_id]]&lt;&gt;A70)</f>
        <v>1</v>
      </c>
      <c r="E71" s="77">
        <v>42956.472222222219</v>
      </c>
      <c r="F71" s="78" t="s">
        <v>812</v>
      </c>
      <c r="G71" s="78" t="s">
        <v>738</v>
      </c>
      <c r="H71" s="78" t="s">
        <v>489</v>
      </c>
      <c r="I71" s="76" t="s">
        <v>523</v>
      </c>
      <c r="J71" s="76" t="s">
        <v>532</v>
      </c>
      <c r="K71" s="78" t="s">
        <v>697</v>
      </c>
      <c r="L71" s="7" t="str">
        <f>IF(BudgetsQTable[[#This Row],[pi_last_name]]=" ","",HYPERLINK("https://www.ejacket.nsf.gov/ej/showProposal.do?Continue=Y&amp;ID="&amp;BudgetsQTable[[#This Row],[prop_id]],BudgetsQTable[[#This Row],[prop_id]]))</f>
        <v/>
      </c>
      <c r="M71" s="78" t="s">
        <v>532</v>
      </c>
      <c r="N71" s="7" t="str">
        <f>IF(BudgetsQTable[[#This Row],[pi_last_name]]=" ","",HYPERLINK("mailto:"&amp;BudgetsQTable[[#This Row],[pi_email]]&amp;"&amp;subject=Your NSF Proposal:  "&amp;BudgetsQTable[[#This Row],[prop_id]],BudgetsQTable[[#This Row],[pi_email]]))</f>
        <v/>
      </c>
      <c r="O71" s="78" t="s">
        <v>532</v>
      </c>
      <c r="P71" s="78">
        <v>0</v>
      </c>
      <c r="Q71" s="78">
        <v>0</v>
      </c>
      <c r="R71" s="79">
        <v>0</v>
      </c>
      <c r="S71" s="79">
        <v>0</v>
      </c>
      <c r="T71" s="79">
        <v>0</v>
      </c>
      <c r="U71" s="80">
        <v>86673</v>
      </c>
      <c r="V71" s="78">
        <v>0</v>
      </c>
      <c r="W71" s="78">
        <v>1</v>
      </c>
      <c r="X71" s="11" t="str">
        <f ca="1">IF(ISBLANK(BudgetsQTable[[#This Row],[budg_seq_yr]]),"FY"&amp;fiscalyear,"FY"&amp;fiscalyear-1+BudgetsQTable[[#This Row],[budg_seq_yr]])</f>
        <v>FY18</v>
      </c>
      <c r="Y71" s="79">
        <v>86673</v>
      </c>
      <c r="Z71" s="78" t="s">
        <v>738</v>
      </c>
      <c r="AA71" s="78" t="s">
        <v>489</v>
      </c>
      <c r="AB71" s="76" t="s">
        <v>741</v>
      </c>
      <c r="AC71" s="78" t="s">
        <v>814</v>
      </c>
    </row>
    <row r="72" spans="1:29" x14ac:dyDescent="0.35">
      <c r="A72" s="10" t="s">
        <v>697</v>
      </c>
      <c r="B72" s="76" t="s">
        <v>745</v>
      </c>
      <c r="C72" s="76">
        <f>C71+(BudgetsQTable[[#This Row],[lead]]&lt;&gt;K71)</f>
        <v>22</v>
      </c>
      <c r="D72" s="76">
        <f>D71*(BudgetsQTable[[#This Row],[lead]]=K71)+(BudgetsQTable[[#This Row],[prop_id]]&lt;&gt;A71)</f>
        <v>1</v>
      </c>
      <c r="E72" s="77">
        <v>42956.472222222219</v>
      </c>
      <c r="F72" s="78" t="s">
        <v>812</v>
      </c>
      <c r="G72" s="78" t="s">
        <v>738</v>
      </c>
      <c r="H72" s="78" t="s">
        <v>489</v>
      </c>
      <c r="I72" s="76" t="s">
        <v>523</v>
      </c>
      <c r="J72" s="76" t="s">
        <v>532</v>
      </c>
      <c r="K72" s="78" t="s">
        <v>697</v>
      </c>
      <c r="L72" s="7" t="str">
        <f>IF(BudgetsQTable[[#This Row],[pi_last_name]]=" ","",HYPERLINK("https://www.ejacket.nsf.gov/ej/showProposal.do?Continue=Y&amp;ID="&amp;BudgetsQTable[[#This Row],[prop_id]],BudgetsQTable[[#This Row],[prop_id]]))</f>
        <v/>
      </c>
      <c r="M72" s="78" t="s">
        <v>532</v>
      </c>
      <c r="N72" s="7" t="str">
        <f>IF(BudgetsQTable[[#This Row],[pi_last_name]]=" ","",HYPERLINK("mailto:"&amp;BudgetsQTable[[#This Row],[pi_email]]&amp;"&amp;subject=Your NSF Proposal:  "&amp;BudgetsQTable[[#This Row],[prop_id]],BudgetsQTable[[#This Row],[pi_email]]))</f>
        <v/>
      </c>
      <c r="O72" s="78" t="s">
        <v>532</v>
      </c>
      <c r="P72" s="78">
        <v>0</v>
      </c>
      <c r="Q72" s="78">
        <v>0</v>
      </c>
      <c r="R72" s="79">
        <v>0</v>
      </c>
      <c r="S72" s="79">
        <v>0</v>
      </c>
      <c r="T72" s="79">
        <v>0</v>
      </c>
      <c r="U72" s="80">
        <v>86009</v>
      </c>
      <c r="V72" s="78">
        <v>0</v>
      </c>
      <c r="W72" s="78">
        <v>2</v>
      </c>
      <c r="X72" s="11" t="str">
        <f ca="1">IF(ISBLANK(BudgetsQTable[[#This Row],[budg_seq_yr]]),"FY"&amp;fiscalyear,"FY"&amp;fiscalyear-1+BudgetsQTable[[#This Row],[budg_seq_yr]])</f>
        <v>FY19</v>
      </c>
      <c r="Y72" s="79">
        <v>86009</v>
      </c>
      <c r="Z72" s="78" t="s">
        <v>738</v>
      </c>
      <c r="AA72" s="78" t="s">
        <v>489</v>
      </c>
      <c r="AB72" s="76" t="s">
        <v>741</v>
      </c>
      <c r="AC72" s="78" t="s">
        <v>814</v>
      </c>
    </row>
    <row r="73" spans="1:29" x14ac:dyDescent="0.35">
      <c r="A73" s="10" t="s">
        <v>705</v>
      </c>
      <c r="B73" s="76" t="s">
        <v>745</v>
      </c>
      <c r="C73" s="76">
        <f>C72+(BudgetsQTable[[#This Row],[lead]]&lt;&gt;K72)</f>
        <v>23</v>
      </c>
      <c r="D73" s="76">
        <f>D72*(BudgetsQTable[[#This Row],[lead]]=K72)+(BudgetsQTable[[#This Row],[prop_id]]&lt;&gt;A72)</f>
        <v>1</v>
      </c>
      <c r="E73" s="77">
        <v>42956.647916666669</v>
      </c>
      <c r="F73" s="78" t="s">
        <v>812</v>
      </c>
      <c r="G73" s="78" t="s">
        <v>738</v>
      </c>
      <c r="H73" s="78" t="s">
        <v>489</v>
      </c>
      <c r="I73" s="76" t="s">
        <v>523</v>
      </c>
      <c r="J73" s="76" t="s">
        <v>826</v>
      </c>
      <c r="K73" s="78" t="s">
        <v>705</v>
      </c>
      <c r="L73" s="7" t="str">
        <f>IF(BudgetsQTable[[#This Row],[pi_last_name]]=" ","",HYPERLINK("https://www.ejacket.nsf.gov/ej/showProposal.do?Continue=Y&amp;ID="&amp;BudgetsQTable[[#This Row],[prop_id]],BudgetsQTable[[#This Row],[prop_id]]))</f>
        <v>1755881</v>
      </c>
      <c r="M73" s="78" t="s">
        <v>706</v>
      </c>
      <c r="N73" s="7" t="str">
        <f>IF(BudgetsQTable[[#This Row],[pi_last_name]]=" ","",HYPERLINK("mailto:"&amp;BudgetsQTable[[#This Row],[pi_email]]&amp;"&amp;subject=Your NSF Proposal:  "&amp;BudgetsQTable[[#This Row],[prop_id]],BudgetsQTable[[#This Row],[pi_email]]))</f>
        <v>osan@okstate.edu</v>
      </c>
      <c r="O73" s="78" t="s">
        <v>823</v>
      </c>
      <c r="P73" s="78"/>
      <c r="Q73" s="78"/>
      <c r="R73" s="79"/>
      <c r="S73" s="79"/>
      <c r="T73" s="79"/>
      <c r="U73" s="80"/>
      <c r="V73" s="78">
        <v>0</v>
      </c>
      <c r="W73" s="78"/>
      <c r="X73" s="11" t="str">
        <f ca="1">IF(ISBLANK(BudgetsQTable[[#This Row],[budg_seq_yr]]),"FY"&amp;fiscalyear,"FY"&amp;fiscalyear-1+BudgetsQTable[[#This Row],[budg_seq_yr]])</f>
        <v>FY18</v>
      </c>
      <c r="Y73" s="79">
        <v>170144</v>
      </c>
      <c r="Z73" s="78" t="s">
        <v>738</v>
      </c>
      <c r="AA73" s="78" t="s">
        <v>489</v>
      </c>
      <c r="AB73" s="76" t="s">
        <v>741</v>
      </c>
      <c r="AC73" s="78" t="s">
        <v>821</v>
      </c>
    </row>
    <row r="74" spans="1:29" x14ac:dyDescent="0.35">
      <c r="A74" s="10" t="s">
        <v>705</v>
      </c>
      <c r="B74" s="76" t="s">
        <v>745</v>
      </c>
      <c r="C74" s="76">
        <f>C73+(BudgetsQTable[[#This Row],[lead]]&lt;&gt;K73)</f>
        <v>23</v>
      </c>
      <c r="D74" s="76">
        <f>D73*(BudgetsQTable[[#This Row],[lead]]=K73)+(BudgetsQTable[[#This Row],[prop_id]]&lt;&gt;A73)</f>
        <v>1</v>
      </c>
      <c r="E74" s="77">
        <v>42956.647916666669</v>
      </c>
      <c r="F74" s="78" t="s">
        <v>812</v>
      </c>
      <c r="G74" s="78" t="s">
        <v>738</v>
      </c>
      <c r="H74" s="78" t="s">
        <v>489</v>
      </c>
      <c r="I74" s="76" t="s">
        <v>523</v>
      </c>
      <c r="J74" s="76" t="s">
        <v>532</v>
      </c>
      <c r="K74" s="78" t="s">
        <v>705</v>
      </c>
      <c r="L74" s="7" t="str">
        <f>IF(BudgetsQTable[[#This Row],[pi_last_name]]=" ","",HYPERLINK("https://www.ejacket.nsf.gov/ej/showProposal.do?Continue=Y&amp;ID="&amp;BudgetsQTable[[#This Row],[prop_id]],BudgetsQTable[[#This Row],[prop_id]]))</f>
        <v/>
      </c>
      <c r="M74" s="78" t="s">
        <v>532</v>
      </c>
      <c r="N74" s="7" t="str">
        <f>IF(BudgetsQTable[[#This Row],[pi_last_name]]=" ","",HYPERLINK("mailto:"&amp;BudgetsQTable[[#This Row],[pi_email]]&amp;"&amp;subject=Your NSF Proposal:  "&amp;BudgetsQTable[[#This Row],[prop_id]],BudgetsQTable[[#This Row],[pi_email]]))</f>
        <v/>
      </c>
      <c r="O74" s="78" t="s">
        <v>532</v>
      </c>
      <c r="P74" s="78">
        <v>0</v>
      </c>
      <c r="Q74" s="78">
        <v>0</v>
      </c>
      <c r="R74" s="79">
        <v>0</v>
      </c>
      <c r="S74" s="79">
        <v>0</v>
      </c>
      <c r="T74" s="79">
        <v>0</v>
      </c>
      <c r="U74" s="80">
        <v>83724</v>
      </c>
      <c r="V74" s="78">
        <v>0</v>
      </c>
      <c r="W74" s="78">
        <v>1</v>
      </c>
      <c r="X74" s="11" t="str">
        <f ca="1">IF(ISBLANK(BudgetsQTable[[#This Row],[budg_seq_yr]]),"FY"&amp;fiscalyear,"FY"&amp;fiscalyear-1+BudgetsQTable[[#This Row],[budg_seq_yr]])</f>
        <v>FY18</v>
      </c>
      <c r="Y74" s="79">
        <v>83724</v>
      </c>
      <c r="Z74" s="78" t="s">
        <v>738</v>
      </c>
      <c r="AA74" s="78" t="s">
        <v>489</v>
      </c>
      <c r="AB74" s="76" t="s">
        <v>741</v>
      </c>
      <c r="AC74" s="78" t="s">
        <v>821</v>
      </c>
    </row>
    <row r="75" spans="1:29" x14ac:dyDescent="0.35">
      <c r="A75" s="10" t="s">
        <v>705</v>
      </c>
      <c r="B75" s="76" t="s">
        <v>745</v>
      </c>
      <c r="C75" s="76">
        <f>C74+(BudgetsQTable[[#This Row],[lead]]&lt;&gt;K74)</f>
        <v>23</v>
      </c>
      <c r="D75" s="76">
        <f>D74*(BudgetsQTable[[#This Row],[lead]]=K74)+(BudgetsQTable[[#This Row],[prop_id]]&lt;&gt;A74)</f>
        <v>1</v>
      </c>
      <c r="E75" s="77">
        <v>42956.647916666669</v>
      </c>
      <c r="F75" s="78" t="s">
        <v>812</v>
      </c>
      <c r="G75" s="78" t="s">
        <v>738</v>
      </c>
      <c r="H75" s="78" t="s">
        <v>489</v>
      </c>
      <c r="I75" s="76" t="s">
        <v>523</v>
      </c>
      <c r="J75" s="76" t="s">
        <v>532</v>
      </c>
      <c r="K75" s="78" t="s">
        <v>705</v>
      </c>
      <c r="L75" s="7" t="str">
        <f>IF(BudgetsQTable[[#This Row],[pi_last_name]]=" ","",HYPERLINK("https://www.ejacket.nsf.gov/ej/showProposal.do?Continue=Y&amp;ID="&amp;BudgetsQTable[[#This Row],[prop_id]],BudgetsQTable[[#This Row],[prop_id]]))</f>
        <v/>
      </c>
      <c r="M75" s="78" t="s">
        <v>532</v>
      </c>
      <c r="N75" s="7" t="str">
        <f>IF(BudgetsQTable[[#This Row],[pi_last_name]]=" ","",HYPERLINK("mailto:"&amp;BudgetsQTable[[#This Row],[pi_email]]&amp;"&amp;subject=Your NSF Proposal:  "&amp;BudgetsQTable[[#This Row],[prop_id]],BudgetsQTable[[#This Row],[pi_email]]))</f>
        <v/>
      </c>
      <c r="O75" s="78" t="s">
        <v>532</v>
      </c>
      <c r="P75" s="78">
        <v>0</v>
      </c>
      <c r="Q75" s="78">
        <v>0</v>
      </c>
      <c r="R75" s="79">
        <v>0</v>
      </c>
      <c r="S75" s="79">
        <v>0</v>
      </c>
      <c r="T75" s="79">
        <v>0</v>
      </c>
      <c r="U75" s="80">
        <v>86420</v>
      </c>
      <c r="V75" s="78">
        <v>0</v>
      </c>
      <c r="W75" s="78">
        <v>2</v>
      </c>
      <c r="X75" s="11" t="str">
        <f ca="1">IF(ISBLANK(BudgetsQTable[[#This Row],[budg_seq_yr]]),"FY"&amp;fiscalyear,"FY"&amp;fiscalyear-1+BudgetsQTable[[#This Row],[budg_seq_yr]])</f>
        <v>FY19</v>
      </c>
      <c r="Y75" s="79">
        <v>86420</v>
      </c>
      <c r="Z75" s="78" t="s">
        <v>738</v>
      </c>
      <c r="AA75" s="78" t="s">
        <v>489</v>
      </c>
      <c r="AB75" s="76" t="s">
        <v>741</v>
      </c>
      <c r="AC75" s="78" t="s">
        <v>821</v>
      </c>
    </row>
    <row r="76" spans="1:29" x14ac:dyDescent="0.35">
      <c r="A76" s="10" t="s">
        <v>714</v>
      </c>
      <c r="B76" s="76" t="s">
        <v>745</v>
      </c>
      <c r="C76" s="76">
        <f>C75+(BudgetsQTable[[#This Row],[lead]]&lt;&gt;K75)</f>
        <v>24</v>
      </c>
      <c r="D76" s="76">
        <f>D75*(BudgetsQTable[[#This Row],[lead]]=K75)+(BudgetsQTable[[#This Row],[prop_id]]&lt;&gt;A75)</f>
        <v>1</v>
      </c>
      <c r="E76" s="77">
        <v>42956.697222222225</v>
      </c>
      <c r="F76" s="78" t="s">
        <v>812</v>
      </c>
      <c r="G76" s="78" t="s">
        <v>738</v>
      </c>
      <c r="H76" s="78" t="s">
        <v>489</v>
      </c>
      <c r="I76" s="76" t="s">
        <v>523</v>
      </c>
      <c r="J76" s="76" t="s">
        <v>832</v>
      </c>
      <c r="K76" s="78" t="s">
        <v>714</v>
      </c>
      <c r="L76" s="7" t="str">
        <f>IF(BudgetsQTable[[#This Row],[pi_last_name]]=" ","",HYPERLINK("https://www.ejacket.nsf.gov/ej/showProposal.do?Continue=Y&amp;ID="&amp;BudgetsQTable[[#This Row],[prop_id]],BudgetsQTable[[#This Row],[prop_id]]))</f>
        <v>1755954</v>
      </c>
      <c r="M76" s="78" t="s">
        <v>715</v>
      </c>
      <c r="N76" s="7" t="str">
        <f>IF(BudgetsQTable[[#This Row],[pi_last_name]]=" ","",HYPERLINK("mailto:"&amp;BudgetsQTable[[#This Row],[pi_email]]&amp;"&amp;subject=Your NSF Proposal:  "&amp;BudgetsQTable[[#This Row],[prop_id]],BudgetsQTable[[#This Row],[pi_email]]))</f>
        <v>shima.hm@tamu.edu</v>
      </c>
      <c r="O76" s="78" t="s">
        <v>829</v>
      </c>
      <c r="P76" s="78"/>
      <c r="Q76" s="78"/>
      <c r="R76" s="79"/>
      <c r="S76" s="79"/>
      <c r="T76" s="79"/>
      <c r="U76" s="80"/>
      <c r="V76" s="78">
        <v>0</v>
      </c>
      <c r="W76" s="78"/>
      <c r="X76" s="11" t="str">
        <f ca="1">IF(ISBLANK(BudgetsQTable[[#This Row],[budg_seq_yr]]),"FY"&amp;fiscalyear,"FY"&amp;fiscalyear-1+BudgetsQTable[[#This Row],[budg_seq_yr]])</f>
        <v>FY18</v>
      </c>
      <c r="Y76" s="79">
        <v>175000</v>
      </c>
      <c r="Z76" s="78" t="s">
        <v>738</v>
      </c>
      <c r="AA76" s="78" t="s">
        <v>489</v>
      </c>
      <c r="AB76" s="76" t="s">
        <v>741</v>
      </c>
      <c r="AC76" s="78" t="s">
        <v>827</v>
      </c>
    </row>
    <row r="77" spans="1:29" x14ac:dyDescent="0.35">
      <c r="A77" s="10" t="s">
        <v>714</v>
      </c>
      <c r="B77" s="76" t="s">
        <v>745</v>
      </c>
      <c r="C77" s="76">
        <f>C76+(BudgetsQTable[[#This Row],[lead]]&lt;&gt;K76)</f>
        <v>24</v>
      </c>
      <c r="D77" s="76">
        <f>D76*(BudgetsQTable[[#This Row],[lead]]=K76)+(BudgetsQTable[[#This Row],[prop_id]]&lt;&gt;A76)</f>
        <v>1</v>
      </c>
      <c r="E77" s="77">
        <v>42956.697222222225</v>
      </c>
      <c r="F77" s="78" t="s">
        <v>812</v>
      </c>
      <c r="G77" s="78" t="s">
        <v>738</v>
      </c>
      <c r="H77" s="78" t="s">
        <v>489</v>
      </c>
      <c r="I77" s="76" t="s">
        <v>523</v>
      </c>
      <c r="J77" s="76" t="s">
        <v>532</v>
      </c>
      <c r="K77" s="78" t="s">
        <v>714</v>
      </c>
      <c r="L77" s="7" t="str">
        <f>IF(BudgetsQTable[[#This Row],[pi_last_name]]=" ","",HYPERLINK("https://www.ejacket.nsf.gov/ej/showProposal.do?Continue=Y&amp;ID="&amp;BudgetsQTable[[#This Row],[prop_id]],BudgetsQTable[[#This Row],[prop_id]]))</f>
        <v/>
      </c>
      <c r="M77" s="78" t="s">
        <v>532</v>
      </c>
      <c r="N77" s="7" t="str">
        <f>IF(BudgetsQTable[[#This Row],[pi_last_name]]=" ","",HYPERLINK("mailto:"&amp;BudgetsQTable[[#This Row],[pi_email]]&amp;"&amp;subject=Your NSF Proposal:  "&amp;BudgetsQTable[[#This Row],[prop_id]],BudgetsQTable[[#This Row],[pi_email]]))</f>
        <v/>
      </c>
      <c r="O77" s="78" t="s">
        <v>532</v>
      </c>
      <c r="P77" s="78">
        <v>0</v>
      </c>
      <c r="Q77" s="78">
        <v>0</v>
      </c>
      <c r="R77" s="79">
        <v>0</v>
      </c>
      <c r="S77" s="79">
        <v>0</v>
      </c>
      <c r="T77" s="79">
        <v>0</v>
      </c>
      <c r="U77" s="80">
        <v>86245</v>
      </c>
      <c r="V77" s="78">
        <v>0</v>
      </c>
      <c r="W77" s="78">
        <v>1</v>
      </c>
      <c r="X77" s="11" t="str">
        <f ca="1">IF(ISBLANK(BudgetsQTable[[#This Row],[budg_seq_yr]]),"FY"&amp;fiscalyear,"FY"&amp;fiscalyear-1+BudgetsQTable[[#This Row],[budg_seq_yr]])</f>
        <v>FY18</v>
      </c>
      <c r="Y77" s="79">
        <v>86245</v>
      </c>
      <c r="Z77" s="78" t="s">
        <v>738</v>
      </c>
      <c r="AA77" s="78" t="s">
        <v>489</v>
      </c>
      <c r="AB77" s="76" t="s">
        <v>741</v>
      </c>
      <c r="AC77" s="78" t="s">
        <v>827</v>
      </c>
    </row>
    <row r="78" spans="1:29" x14ac:dyDescent="0.35">
      <c r="A78" s="10" t="s">
        <v>714</v>
      </c>
      <c r="B78" s="76" t="s">
        <v>745</v>
      </c>
      <c r="C78" s="76">
        <f>C77+(BudgetsQTable[[#This Row],[lead]]&lt;&gt;K77)</f>
        <v>24</v>
      </c>
      <c r="D78" s="76">
        <f>D77*(BudgetsQTable[[#This Row],[lead]]=K77)+(BudgetsQTable[[#This Row],[prop_id]]&lt;&gt;A77)</f>
        <v>1</v>
      </c>
      <c r="E78" s="77">
        <v>42956.697222222225</v>
      </c>
      <c r="F78" s="78" t="s">
        <v>812</v>
      </c>
      <c r="G78" s="78" t="s">
        <v>738</v>
      </c>
      <c r="H78" s="78" t="s">
        <v>489</v>
      </c>
      <c r="I78" s="76" t="s">
        <v>523</v>
      </c>
      <c r="J78" s="76" t="s">
        <v>532</v>
      </c>
      <c r="K78" s="78" t="s">
        <v>714</v>
      </c>
      <c r="L78" s="7" t="str">
        <f>IF(BudgetsQTable[[#This Row],[pi_last_name]]=" ","",HYPERLINK("https://www.ejacket.nsf.gov/ej/showProposal.do?Continue=Y&amp;ID="&amp;BudgetsQTable[[#This Row],[prop_id]],BudgetsQTable[[#This Row],[prop_id]]))</f>
        <v/>
      </c>
      <c r="M78" s="78" t="s">
        <v>532</v>
      </c>
      <c r="N78" s="7" t="str">
        <f>IF(BudgetsQTable[[#This Row],[pi_last_name]]=" ","",HYPERLINK("mailto:"&amp;BudgetsQTable[[#This Row],[pi_email]]&amp;"&amp;subject=Your NSF Proposal:  "&amp;BudgetsQTable[[#This Row],[prop_id]],BudgetsQTable[[#This Row],[pi_email]]))</f>
        <v/>
      </c>
      <c r="O78" s="78" t="s">
        <v>532</v>
      </c>
      <c r="P78" s="78">
        <v>0</v>
      </c>
      <c r="Q78" s="78">
        <v>0</v>
      </c>
      <c r="R78" s="79">
        <v>0</v>
      </c>
      <c r="S78" s="79">
        <v>0</v>
      </c>
      <c r="T78" s="79">
        <v>0</v>
      </c>
      <c r="U78" s="80">
        <v>88755</v>
      </c>
      <c r="V78" s="78">
        <v>0</v>
      </c>
      <c r="W78" s="78">
        <v>2</v>
      </c>
      <c r="X78" s="11" t="str">
        <f ca="1">IF(ISBLANK(BudgetsQTable[[#This Row],[budg_seq_yr]]),"FY"&amp;fiscalyear,"FY"&amp;fiscalyear-1+BudgetsQTable[[#This Row],[budg_seq_yr]])</f>
        <v>FY19</v>
      </c>
      <c r="Y78" s="79">
        <v>88755</v>
      </c>
      <c r="Z78" s="78" t="s">
        <v>738</v>
      </c>
      <c r="AA78" s="78" t="s">
        <v>489</v>
      </c>
      <c r="AB78" s="76" t="s">
        <v>741</v>
      </c>
      <c r="AC78" s="78" t="s">
        <v>827</v>
      </c>
    </row>
    <row r="79" spans="1:29" x14ac:dyDescent="0.35">
      <c r="A79" s="10" t="s">
        <v>726</v>
      </c>
      <c r="B79" s="76" t="s">
        <v>745</v>
      </c>
      <c r="C79" s="76">
        <f>C78+(BudgetsQTable[[#This Row],[lead]]&lt;&gt;K78)</f>
        <v>25</v>
      </c>
      <c r="D79" s="76">
        <f>D78*(BudgetsQTable[[#This Row],[lead]]=K78)+(BudgetsQTable[[#This Row],[prop_id]]&lt;&gt;A78)</f>
        <v>1</v>
      </c>
      <c r="E79" s="77">
        <v>42956.717361111114</v>
      </c>
      <c r="F79" s="78" t="s">
        <v>812</v>
      </c>
      <c r="G79" s="78" t="s">
        <v>738</v>
      </c>
      <c r="H79" s="78" t="s">
        <v>489</v>
      </c>
      <c r="I79" s="76" t="s">
        <v>523</v>
      </c>
      <c r="J79" s="76" t="s">
        <v>837</v>
      </c>
      <c r="K79" s="78" t="s">
        <v>726</v>
      </c>
      <c r="L79" s="7" t="str">
        <f>IF(BudgetsQTable[[#This Row],[pi_last_name]]=" ","",HYPERLINK("https://www.ejacket.nsf.gov/ej/showProposal.do?Continue=Y&amp;ID="&amp;BudgetsQTable[[#This Row],[prop_id]],BudgetsQTable[[#This Row],[prop_id]]))</f>
        <v>1755978</v>
      </c>
      <c r="M79" s="78" t="s">
        <v>727</v>
      </c>
      <c r="N79" s="7" t="str">
        <f>IF(BudgetsQTable[[#This Row],[pi_last_name]]=" ","",HYPERLINK("mailto:"&amp;BudgetsQTable[[#This Row],[pi_email]]&amp;"&amp;subject=Your NSF Proposal:  "&amp;BudgetsQTable[[#This Row],[prop_id]],BudgetsQTable[[#This Row],[pi_email]]))</f>
        <v>harsha@smu.edu</v>
      </c>
      <c r="O79" s="78" t="s">
        <v>834</v>
      </c>
      <c r="P79" s="78"/>
      <c r="Q79" s="78"/>
      <c r="R79" s="79"/>
      <c r="S79" s="79"/>
      <c r="T79" s="79"/>
      <c r="U79" s="80"/>
      <c r="V79" s="78">
        <v>0</v>
      </c>
      <c r="W79" s="78"/>
      <c r="X79" s="11" t="str">
        <f ca="1">IF(ISBLANK(BudgetsQTable[[#This Row],[budg_seq_yr]]),"FY"&amp;fiscalyear,"FY"&amp;fiscalyear-1+BudgetsQTable[[#This Row],[budg_seq_yr]])</f>
        <v>FY18</v>
      </c>
      <c r="Y79" s="79">
        <v>175000</v>
      </c>
      <c r="Z79" s="78" t="s">
        <v>738</v>
      </c>
      <c r="AA79" s="78" t="s">
        <v>489</v>
      </c>
      <c r="AB79" s="76" t="s">
        <v>741</v>
      </c>
      <c r="AC79" s="78" t="s">
        <v>501</v>
      </c>
    </row>
    <row r="80" spans="1:29" x14ac:dyDescent="0.35">
      <c r="A80" s="10" t="s">
        <v>726</v>
      </c>
      <c r="B80" s="76" t="s">
        <v>745</v>
      </c>
      <c r="C80" s="76">
        <f>C79+(BudgetsQTable[[#This Row],[lead]]&lt;&gt;K79)</f>
        <v>25</v>
      </c>
      <c r="D80" s="76">
        <f>D79*(BudgetsQTable[[#This Row],[lead]]=K79)+(BudgetsQTable[[#This Row],[prop_id]]&lt;&gt;A79)</f>
        <v>1</v>
      </c>
      <c r="E80" s="77">
        <v>42956.717361111114</v>
      </c>
      <c r="F80" s="78" t="s">
        <v>812</v>
      </c>
      <c r="G80" s="78" t="s">
        <v>738</v>
      </c>
      <c r="H80" s="78" t="s">
        <v>489</v>
      </c>
      <c r="I80" s="76" t="s">
        <v>523</v>
      </c>
      <c r="J80" s="76" t="s">
        <v>532</v>
      </c>
      <c r="K80" s="78" t="s">
        <v>726</v>
      </c>
      <c r="L80" s="7" t="str">
        <f>IF(BudgetsQTable[[#This Row],[pi_last_name]]=" ","",HYPERLINK("https://www.ejacket.nsf.gov/ej/showProposal.do?Continue=Y&amp;ID="&amp;BudgetsQTable[[#This Row],[prop_id]],BudgetsQTable[[#This Row],[prop_id]]))</f>
        <v/>
      </c>
      <c r="M80" s="78" t="s">
        <v>532</v>
      </c>
      <c r="N80" s="7" t="str">
        <f>IF(BudgetsQTable[[#This Row],[pi_last_name]]=" ","",HYPERLINK("mailto:"&amp;BudgetsQTable[[#This Row],[pi_email]]&amp;"&amp;subject=Your NSF Proposal:  "&amp;BudgetsQTable[[#This Row],[prop_id]],BudgetsQTable[[#This Row],[pi_email]]))</f>
        <v/>
      </c>
      <c r="O80" s="78" t="s">
        <v>532</v>
      </c>
      <c r="P80" s="78">
        <v>0</v>
      </c>
      <c r="Q80" s="78">
        <v>0</v>
      </c>
      <c r="R80" s="79">
        <v>0</v>
      </c>
      <c r="S80" s="79">
        <v>0</v>
      </c>
      <c r="T80" s="79">
        <v>0</v>
      </c>
      <c r="U80" s="80">
        <v>85200</v>
      </c>
      <c r="V80" s="78">
        <v>0</v>
      </c>
      <c r="W80" s="78">
        <v>1</v>
      </c>
      <c r="X80" s="11" t="str">
        <f ca="1">IF(ISBLANK(BudgetsQTable[[#This Row],[budg_seq_yr]]),"FY"&amp;fiscalyear,"FY"&amp;fiscalyear-1+BudgetsQTable[[#This Row],[budg_seq_yr]])</f>
        <v>FY18</v>
      </c>
      <c r="Y80" s="79">
        <v>85200</v>
      </c>
      <c r="Z80" s="78" t="s">
        <v>738</v>
      </c>
      <c r="AA80" s="78" t="s">
        <v>489</v>
      </c>
      <c r="AB80" s="76" t="s">
        <v>741</v>
      </c>
      <c r="AC80" s="78" t="s">
        <v>501</v>
      </c>
    </row>
    <row r="81" spans="1:29" x14ac:dyDescent="0.35">
      <c r="A81" s="10" t="s">
        <v>726</v>
      </c>
      <c r="B81" s="76" t="s">
        <v>745</v>
      </c>
      <c r="C81" s="76">
        <f>C80+(BudgetsQTable[[#This Row],[lead]]&lt;&gt;K80)</f>
        <v>25</v>
      </c>
      <c r="D81" s="76">
        <f>D80*(BudgetsQTable[[#This Row],[lead]]=K80)+(BudgetsQTable[[#This Row],[prop_id]]&lt;&gt;A80)</f>
        <v>1</v>
      </c>
      <c r="E81" s="77">
        <v>42956.717361111114</v>
      </c>
      <c r="F81" s="78" t="s">
        <v>812</v>
      </c>
      <c r="G81" s="78" t="s">
        <v>738</v>
      </c>
      <c r="H81" s="78" t="s">
        <v>489</v>
      </c>
      <c r="I81" s="76" t="s">
        <v>523</v>
      </c>
      <c r="J81" s="76" t="s">
        <v>532</v>
      </c>
      <c r="K81" s="78" t="s">
        <v>726</v>
      </c>
      <c r="L81" s="7" t="str">
        <f>IF(BudgetsQTable[[#This Row],[pi_last_name]]=" ","",HYPERLINK("https://www.ejacket.nsf.gov/ej/showProposal.do?Continue=Y&amp;ID="&amp;BudgetsQTable[[#This Row],[prop_id]],BudgetsQTable[[#This Row],[prop_id]]))</f>
        <v/>
      </c>
      <c r="M81" s="78" t="s">
        <v>532</v>
      </c>
      <c r="N81" s="7" t="str">
        <f>IF(BudgetsQTable[[#This Row],[pi_last_name]]=" ","",HYPERLINK("mailto:"&amp;BudgetsQTable[[#This Row],[pi_email]]&amp;"&amp;subject=Your NSF Proposal:  "&amp;BudgetsQTable[[#This Row],[prop_id]],BudgetsQTable[[#This Row],[pi_email]]))</f>
        <v/>
      </c>
      <c r="O81" s="78" t="s">
        <v>532</v>
      </c>
      <c r="P81" s="78">
        <v>0</v>
      </c>
      <c r="Q81" s="78">
        <v>0</v>
      </c>
      <c r="R81" s="79">
        <v>0</v>
      </c>
      <c r="S81" s="79">
        <v>0</v>
      </c>
      <c r="T81" s="79">
        <v>0</v>
      </c>
      <c r="U81" s="80">
        <v>89800</v>
      </c>
      <c r="V81" s="78">
        <v>0</v>
      </c>
      <c r="W81" s="78">
        <v>2</v>
      </c>
      <c r="X81" s="11" t="str">
        <f ca="1">IF(ISBLANK(BudgetsQTable[[#This Row],[budg_seq_yr]]),"FY"&amp;fiscalyear,"FY"&amp;fiscalyear-1+BudgetsQTable[[#This Row],[budg_seq_yr]])</f>
        <v>FY19</v>
      </c>
      <c r="Y81" s="79">
        <v>89800</v>
      </c>
      <c r="Z81" s="78" t="s">
        <v>738</v>
      </c>
      <c r="AA81" s="78" t="s">
        <v>489</v>
      </c>
      <c r="AB81" s="76" t="s">
        <v>741</v>
      </c>
      <c r="AC81" s="78" t="s">
        <v>501</v>
      </c>
    </row>
    <row r="82" spans="1:29" x14ac:dyDescent="0.35">
      <c r="A82" s="10" t="s">
        <v>734</v>
      </c>
      <c r="B82" s="76" t="s">
        <v>745</v>
      </c>
      <c r="C82" s="76">
        <f>C81+(BudgetsQTable[[#This Row],[lead]]&lt;&gt;K81)</f>
        <v>26</v>
      </c>
      <c r="D82" s="76">
        <f>D81*(BudgetsQTable[[#This Row],[lead]]=K81)+(BudgetsQTable[[#This Row],[prop_id]]&lt;&gt;A81)</f>
        <v>1</v>
      </c>
      <c r="E82" s="77">
        <v>43035.652777777781</v>
      </c>
      <c r="F82" s="78" t="s">
        <v>838</v>
      </c>
      <c r="G82" s="78" t="s">
        <v>738</v>
      </c>
      <c r="H82" s="78" t="s">
        <v>491</v>
      </c>
      <c r="I82" s="76" t="s">
        <v>523</v>
      </c>
      <c r="J82" s="76" t="s">
        <v>843</v>
      </c>
      <c r="K82" s="78" t="s">
        <v>734</v>
      </c>
      <c r="L82" s="7" t="str">
        <f>IF(BudgetsQTable[[#This Row],[pi_last_name]]=" ","",HYPERLINK("https://www.ejacket.nsf.gov/ej/showProposal.do?Continue=Y&amp;ID="&amp;BudgetsQTable[[#This Row],[prop_id]],BudgetsQTable[[#This Row],[prop_id]]))</f>
        <v>1807311</v>
      </c>
      <c r="M82" s="78" t="s">
        <v>735</v>
      </c>
      <c r="N82" s="7" t="str">
        <f>IF(BudgetsQTable[[#This Row],[pi_last_name]]=" ","",HYPERLINK("mailto:"&amp;BudgetsQTable[[#This Row],[pi_email]]&amp;"&amp;subject=Your NSF Proposal:  "&amp;BudgetsQTable[[#This Row],[prop_id]],BudgetsQTable[[#This Row],[pi_email]]))</f>
        <v>cliff@ieor.columbia.edu</v>
      </c>
      <c r="O82" s="78" t="s">
        <v>840</v>
      </c>
      <c r="P82" s="78"/>
      <c r="Q82" s="78"/>
      <c r="R82" s="79"/>
      <c r="S82" s="79"/>
      <c r="T82" s="79"/>
      <c r="U82" s="80"/>
      <c r="V82" s="78">
        <v>0</v>
      </c>
      <c r="W82" s="78"/>
      <c r="X82" s="11" t="str">
        <f ca="1">IF(ISBLANK(BudgetsQTable[[#This Row],[budg_seq_yr]]),"FY"&amp;fiscalyear,"FY"&amp;fiscalyear-1+BudgetsQTable[[#This Row],[budg_seq_yr]])</f>
        <v>FY18</v>
      </c>
      <c r="Y82" s="79">
        <v>15000</v>
      </c>
      <c r="Z82" s="78" t="s">
        <v>738</v>
      </c>
      <c r="AA82" s="78" t="s">
        <v>491</v>
      </c>
      <c r="AB82" s="76" t="s">
        <v>741</v>
      </c>
      <c r="AC82" s="78"/>
    </row>
    <row r="83" spans="1:29" x14ac:dyDescent="0.35">
      <c r="A83" s="10" t="s">
        <v>734</v>
      </c>
      <c r="B83" s="76" t="s">
        <v>745</v>
      </c>
      <c r="C83" s="76">
        <f>C82+(BudgetsQTable[[#This Row],[lead]]&lt;&gt;K82)</f>
        <v>26</v>
      </c>
      <c r="D83" s="76">
        <f>D82*(BudgetsQTable[[#This Row],[lead]]=K82)+(BudgetsQTable[[#This Row],[prop_id]]&lt;&gt;A82)</f>
        <v>1</v>
      </c>
      <c r="E83" s="77">
        <v>43035.652777777781</v>
      </c>
      <c r="F83" s="78" t="s">
        <v>838</v>
      </c>
      <c r="G83" s="78" t="s">
        <v>738</v>
      </c>
      <c r="H83" s="78" t="s">
        <v>491</v>
      </c>
      <c r="I83" s="76" t="s">
        <v>523</v>
      </c>
      <c r="J83" s="76" t="s">
        <v>532</v>
      </c>
      <c r="K83" s="78" t="s">
        <v>734</v>
      </c>
      <c r="L83" s="7" t="str">
        <f>IF(BudgetsQTable[[#This Row],[pi_last_name]]=" ","",HYPERLINK("https://www.ejacket.nsf.gov/ej/showProposal.do?Continue=Y&amp;ID="&amp;BudgetsQTable[[#This Row],[prop_id]],BudgetsQTable[[#This Row],[prop_id]]))</f>
        <v/>
      </c>
      <c r="M83" s="78" t="s">
        <v>532</v>
      </c>
      <c r="N83" s="7" t="str">
        <f>IF(BudgetsQTable[[#This Row],[pi_last_name]]=" ","",HYPERLINK("mailto:"&amp;BudgetsQTable[[#This Row],[pi_email]]&amp;"&amp;subject=Your NSF Proposal:  "&amp;BudgetsQTable[[#This Row],[prop_id]],BudgetsQTable[[#This Row],[pi_email]]))</f>
        <v/>
      </c>
      <c r="O83" s="78" t="s">
        <v>532</v>
      </c>
      <c r="P83" s="78">
        <v>0</v>
      </c>
      <c r="Q83" s="78">
        <v>0</v>
      </c>
      <c r="R83" s="79">
        <v>0</v>
      </c>
      <c r="S83" s="79">
        <v>0</v>
      </c>
      <c r="T83" s="79">
        <v>15000</v>
      </c>
      <c r="U83" s="80">
        <v>15000</v>
      </c>
      <c r="V83" s="78">
        <v>0</v>
      </c>
      <c r="W83" s="78">
        <v>1</v>
      </c>
      <c r="X83" s="11" t="str">
        <f ca="1">IF(ISBLANK(BudgetsQTable[[#This Row],[budg_seq_yr]]),"FY"&amp;fiscalyear,"FY"&amp;fiscalyear-1+BudgetsQTable[[#This Row],[budg_seq_yr]])</f>
        <v>FY18</v>
      </c>
      <c r="Y83" s="79">
        <v>15000</v>
      </c>
      <c r="Z83" s="78" t="s">
        <v>738</v>
      </c>
      <c r="AA83" s="78" t="s">
        <v>491</v>
      </c>
      <c r="AB83" s="76" t="s">
        <v>741</v>
      </c>
      <c r="AC83" s="78"/>
    </row>
  </sheetData>
  <conditionalFormatting sqref="A4:AC83">
    <cfRule type="expression" dxfId="75" priority="1684">
      <formula>MOD($C4,2)</formula>
    </cfRule>
  </conditionalFormatting>
  <conditionalFormatting sqref="L4:AC83">
    <cfRule type="expression" dxfId="74" priority="1689">
      <formula>MOD($D4+1,2)</formula>
    </cfRule>
    <cfRule type="expression" dxfId="73" priority="1690">
      <formula>ISBLANK($W4)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F18"/>
  <sheetViews>
    <sheetView topLeftCell="P1" zoomScale="95" workbookViewId="0">
      <selection activeCell="AA3" sqref="AA3:AA9"/>
    </sheetView>
  </sheetViews>
  <sheetFormatPr defaultRowHeight="14.5" x14ac:dyDescent="0.35"/>
  <cols>
    <col min="1" max="1" width="8.453125" customWidth="1"/>
    <col min="2" max="2" width="13.81640625" style="22" customWidth="1"/>
    <col min="3" max="3" width="11.453125" style="22" customWidth="1"/>
    <col min="4" max="4" width="8.54296875" customWidth="1"/>
    <col min="5" max="5" width="4.7265625" style="5" customWidth="1"/>
    <col min="6" max="6" width="4.54296875" customWidth="1"/>
    <col min="7" max="7" width="4.7265625" customWidth="1"/>
    <col min="8" max="8" width="4.81640625" customWidth="1"/>
    <col min="9" max="9" width="10.54296875" customWidth="1"/>
    <col min="10" max="10" width="9.26953125" bestFit="1" customWidth="1"/>
    <col min="11" max="11" width="15.54296875" style="22" customWidth="1"/>
    <col min="12" max="12" width="3.26953125" customWidth="1"/>
    <col min="13" max="13" width="6" style="26" customWidth="1"/>
    <col min="14" max="16" width="4.1796875" customWidth="1"/>
    <col min="17" max="17" width="19.453125" style="29" customWidth="1"/>
    <col min="18" max="18" width="20.54296875" style="29" customWidth="1"/>
    <col min="19" max="19" width="8.81640625" style="29" customWidth="1"/>
    <col min="20" max="22" width="7.26953125" style="29" customWidth="1"/>
    <col min="23" max="23" width="2.81640625" style="21" customWidth="1"/>
    <col min="24" max="24" width="7.26953125" style="21" customWidth="1"/>
    <col min="25" max="25" width="5.453125" style="21" customWidth="1"/>
    <col min="26" max="26" width="5.26953125" customWidth="1"/>
    <col min="27" max="27" width="7.81640625" bestFit="1" customWidth="1"/>
    <col min="28" max="29" width="3.54296875" customWidth="1"/>
    <col min="30" max="30" width="3.54296875" style="21" customWidth="1"/>
    <col min="31" max="31" width="2.453125" style="21" customWidth="1"/>
    <col min="32" max="32" width="3.26953125" style="26" customWidth="1"/>
    <col min="33" max="33" width="4.453125" customWidth="1"/>
    <col min="34" max="34" width="3.453125" customWidth="1"/>
    <col min="35" max="35" width="13.7265625" style="30" customWidth="1"/>
    <col min="36" max="36" width="9.26953125" customWidth="1"/>
    <col min="37" max="38" width="12.7265625" style="13" customWidth="1"/>
    <col min="39" max="39" width="4.54296875" style="5" customWidth="1"/>
    <col min="40" max="40" width="9.26953125" customWidth="1"/>
    <col min="41" max="41" width="4.453125" style="21" customWidth="1"/>
    <col min="42" max="42" width="72" style="21" bestFit="1" customWidth="1"/>
    <col min="43" max="43" width="3.26953125" customWidth="1"/>
    <col min="44" max="44" width="7.7265625" customWidth="1"/>
    <col min="45" max="45" width="8.7265625" style="26" bestFit="1" customWidth="1"/>
    <col min="46" max="46" width="9.1796875" customWidth="1"/>
    <col min="47" max="47" width="13.453125" style="21" customWidth="1"/>
    <col min="48" max="48" width="4.1796875" style="21" customWidth="1"/>
    <col min="49" max="49" width="17.54296875" style="21" customWidth="1"/>
    <col min="50" max="50" width="8.7265625" style="26" customWidth="1"/>
    <col min="51" max="51" width="11.54296875" style="21" customWidth="1"/>
    <col min="52" max="52" width="34.1796875" style="21" customWidth="1"/>
    <col min="53" max="53" width="4.453125" style="21" customWidth="1"/>
    <col min="54" max="54" width="3.54296875" style="21" customWidth="1"/>
    <col min="55" max="58" width="2.81640625" style="21" customWidth="1"/>
    <col min="59" max="59" width="2.81640625" customWidth="1"/>
    <col min="60" max="67" width="2.81640625" style="21" customWidth="1"/>
    <col min="68" max="68" width="2.81640625" style="27" customWidth="1"/>
    <col min="69" max="72" width="2.81640625" style="21" customWidth="1"/>
    <col min="73" max="73" width="10.54296875" bestFit="1" customWidth="1"/>
    <col min="74" max="74" width="14.453125" style="21" customWidth="1"/>
    <col min="75" max="75" width="11.453125" style="21" customWidth="1"/>
    <col min="76" max="76" width="24.54296875" style="21" bestFit="1" customWidth="1"/>
    <col min="77" max="77" width="12" bestFit="1" customWidth="1"/>
    <col min="78" max="78" width="12" customWidth="1"/>
    <col min="79" max="79" width="18.453125" customWidth="1"/>
    <col min="80" max="83" width="2.7265625" style="21" customWidth="1"/>
    <col min="84" max="86" width="2.7265625" customWidth="1"/>
    <col min="87" max="90" width="2.7265625" style="21" customWidth="1"/>
    <col min="91" max="93" width="2.7265625" customWidth="1"/>
    <col min="94" max="97" width="2.7265625" style="21" customWidth="1"/>
    <col min="98" max="100" width="2.7265625" customWidth="1"/>
    <col min="101" max="104" width="2.7265625" style="21" customWidth="1"/>
    <col min="105" max="107" width="2.7265625" customWidth="1"/>
    <col min="108" max="111" width="2.7265625" style="21" customWidth="1"/>
    <col min="112" max="114" width="2.7265625" customWidth="1"/>
    <col min="115" max="118" width="2.7265625" style="21" customWidth="1"/>
    <col min="119" max="121" width="2.7265625" customWidth="1"/>
    <col min="122" max="122" width="36.54296875" customWidth="1"/>
    <col min="123" max="123" width="45.7265625" customWidth="1"/>
    <col min="124" max="124" width="27.1796875" customWidth="1"/>
    <col min="125" max="125" width="15.26953125" customWidth="1"/>
    <col min="126" max="126" width="30" bestFit="1" customWidth="1"/>
    <col min="127" max="127" width="11.7265625" customWidth="1"/>
    <col min="128" max="128" width="27.26953125" bestFit="1" customWidth="1"/>
    <col min="129" max="129" width="5.453125" bestFit="1" customWidth="1"/>
    <col min="130" max="130" width="35.1796875" customWidth="1"/>
    <col min="131" max="131" width="13.453125" style="22" bestFit="1" customWidth="1"/>
    <col min="132" max="132" width="29.26953125" hidden="1" customWidth="1"/>
    <col min="133" max="133" width="72" hidden="1" customWidth="1"/>
    <col min="134" max="136" width="72" customWidth="1"/>
  </cols>
  <sheetData>
    <row r="1" spans="1:136" ht="41.65" customHeight="1" x14ac:dyDescent="0.35">
      <c r="A1" s="5" t="s">
        <v>85</v>
      </c>
      <c r="B1" s="22" t="s">
        <v>6</v>
      </c>
      <c r="C1" s="22" t="s">
        <v>7</v>
      </c>
      <c r="D1" s="30" t="s">
        <v>4</v>
      </c>
      <c r="E1" t="s">
        <v>3</v>
      </c>
      <c r="F1" t="s">
        <v>157</v>
      </c>
      <c r="G1" s="2" t="s">
        <v>159</v>
      </c>
      <c r="H1" t="s">
        <v>90</v>
      </c>
      <c r="I1" t="s">
        <v>15</v>
      </c>
      <c r="J1" t="s">
        <v>89</v>
      </c>
      <c r="K1" s="22" t="s">
        <v>14</v>
      </c>
      <c r="L1" t="s">
        <v>145</v>
      </c>
      <c r="M1" s="45" t="s">
        <v>164</v>
      </c>
      <c r="N1" t="s">
        <v>263</v>
      </c>
      <c r="O1" s="6" t="s">
        <v>264</v>
      </c>
      <c r="P1" s="6" t="s">
        <v>265</v>
      </c>
      <c r="Q1" s="91" t="s">
        <v>334</v>
      </c>
      <c r="R1" s="91" t="s">
        <v>335</v>
      </c>
      <c r="S1" s="91" t="s">
        <v>136</v>
      </c>
      <c r="T1" s="91" t="s">
        <v>368</v>
      </c>
      <c r="U1" s="91" t="s">
        <v>135</v>
      </c>
      <c r="V1" s="91" t="s">
        <v>336</v>
      </c>
      <c r="W1" s="92" t="s">
        <v>337</v>
      </c>
      <c r="X1" s="93" t="s">
        <v>179</v>
      </c>
      <c r="Y1" s="93" t="s">
        <v>339</v>
      </c>
      <c r="Z1" s="6" t="s">
        <v>137</v>
      </c>
      <c r="AA1" s="6" t="s">
        <v>8</v>
      </c>
      <c r="AB1" t="s">
        <v>133</v>
      </c>
      <c r="AC1" s="14" t="s">
        <v>140</v>
      </c>
      <c r="AD1" s="14" t="s">
        <v>249</v>
      </c>
      <c r="AE1" s="14" t="s">
        <v>369</v>
      </c>
      <c r="AF1" s="21" t="s">
        <v>266</v>
      </c>
      <c r="AG1" s="90" t="s">
        <v>21</v>
      </c>
      <c r="AH1" s="14" t="s">
        <v>267</v>
      </c>
      <c r="AI1" s="14" t="s">
        <v>248</v>
      </c>
      <c r="AJ1" s="94" t="s">
        <v>141</v>
      </c>
      <c r="AK1" s="95" t="s">
        <v>19</v>
      </c>
      <c r="AL1" s="13" t="s">
        <v>20</v>
      </c>
      <c r="AM1" t="s">
        <v>153</v>
      </c>
      <c r="AN1" s="94" t="s">
        <v>17</v>
      </c>
      <c r="AO1" s="21" t="s">
        <v>18</v>
      </c>
      <c r="AP1" s="21" t="s">
        <v>34</v>
      </c>
      <c r="AQ1" s="21" t="s">
        <v>142</v>
      </c>
      <c r="AR1" s="21" t="s">
        <v>143</v>
      </c>
      <c r="AS1" s="30" t="s">
        <v>144</v>
      </c>
      <c r="AT1" s="21" t="s">
        <v>22</v>
      </c>
      <c r="AU1" s="21" t="s">
        <v>25</v>
      </c>
      <c r="AV1" s="21" t="s">
        <v>23</v>
      </c>
      <c r="AW1" s="21" t="s">
        <v>24</v>
      </c>
      <c r="AX1" s="30" t="s">
        <v>147</v>
      </c>
      <c r="AY1" s="21" t="s">
        <v>148</v>
      </c>
      <c r="AZ1" s="21" t="s">
        <v>268</v>
      </c>
      <c r="BA1" s="96" t="s">
        <v>269</v>
      </c>
      <c r="BB1" s="21" t="s">
        <v>270</v>
      </c>
      <c r="BC1" s="21" t="s">
        <v>26</v>
      </c>
      <c r="BD1" s="21" t="s">
        <v>29</v>
      </c>
      <c r="BE1" s="21" t="s">
        <v>27</v>
      </c>
      <c r="BF1" s="21" t="s">
        <v>28</v>
      </c>
      <c r="BG1" s="27" t="s">
        <v>149</v>
      </c>
      <c r="BH1" s="21" t="s">
        <v>150</v>
      </c>
      <c r="BI1" s="21" t="s">
        <v>271</v>
      </c>
      <c r="BJ1" s="21" t="s">
        <v>272</v>
      </c>
      <c r="BK1" s="21" t="s">
        <v>273</v>
      </c>
      <c r="BL1" s="21" t="s">
        <v>30</v>
      </c>
      <c r="BM1" s="21" t="s">
        <v>33</v>
      </c>
      <c r="BN1" s="21" t="s">
        <v>31</v>
      </c>
      <c r="BO1" s="21" t="s">
        <v>32</v>
      </c>
      <c r="BP1" s="30" t="s">
        <v>151</v>
      </c>
      <c r="BQ1" s="21" t="s">
        <v>152</v>
      </c>
      <c r="BR1" s="21" t="s">
        <v>274</v>
      </c>
      <c r="BS1" s="21" t="s">
        <v>275</v>
      </c>
      <c r="BT1" s="21" t="s">
        <v>276</v>
      </c>
      <c r="BU1" t="s">
        <v>35</v>
      </c>
      <c r="BV1" s="21" t="s">
        <v>36</v>
      </c>
      <c r="BW1" s="21" t="s">
        <v>37</v>
      </c>
      <c r="BX1" s="21" t="s">
        <v>38</v>
      </c>
      <c r="BY1" s="13" t="s">
        <v>39</v>
      </c>
      <c r="BZ1" s="13" t="s">
        <v>40</v>
      </c>
      <c r="CA1" t="s">
        <v>41</v>
      </c>
      <c r="CB1" s="21" t="s">
        <v>42</v>
      </c>
      <c r="CC1" s="21" t="s">
        <v>43</v>
      </c>
      <c r="CD1" s="96" t="s">
        <v>44</v>
      </c>
      <c r="CE1" s="96" t="s">
        <v>45</v>
      </c>
      <c r="CF1" s="13" t="s">
        <v>46</v>
      </c>
      <c r="CG1" s="13" t="s">
        <v>47</v>
      </c>
      <c r="CH1" t="s">
        <v>48</v>
      </c>
      <c r="CI1" s="21" t="s">
        <v>49</v>
      </c>
      <c r="CJ1" s="21" t="s">
        <v>50</v>
      </c>
      <c r="CK1" s="96" t="s">
        <v>51</v>
      </c>
      <c r="CL1" s="96" t="s">
        <v>52</v>
      </c>
      <c r="CM1" s="13" t="s">
        <v>53</v>
      </c>
      <c r="CN1" s="13" t="s">
        <v>54</v>
      </c>
      <c r="CO1" t="s">
        <v>55</v>
      </c>
      <c r="CP1" s="21" t="s">
        <v>56</v>
      </c>
      <c r="CQ1" s="21" t="s">
        <v>57</v>
      </c>
      <c r="CR1" s="96" t="s">
        <v>58</v>
      </c>
      <c r="CS1" s="96" t="s">
        <v>59</v>
      </c>
      <c r="CT1" s="13" t="s">
        <v>60</v>
      </c>
      <c r="CU1" s="13" t="s">
        <v>61</v>
      </c>
      <c r="CV1" t="s">
        <v>62</v>
      </c>
      <c r="CW1" s="21" t="s">
        <v>63</v>
      </c>
      <c r="CX1" s="21" t="s">
        <v>64</v>
      </c>
      <c r="CY1" s="96" t="s">
        <v>65</v>
      </c>
      <c r="CZ1" s="96" t="s">
        <v>66</v>
      </c>
      <c r="DA1" s="13" t="s">
        <v>67</v>
      </c>
      <c r="DB1" s="13" t="s">
        <v>68</v>
      </c>
      <c r="DC1" t="s">
        <v>69</v>
      </c>
      <c r="DD1" s="21" t="s">
        <v>70</v>
      </c>
      <c r="DE1" s="21" t="s">
        <v>71</v>
      </c>
      <c r="DF1" s="96" t="s">
        <v>72</v>
      </c>
      <c r="DG1" s="96" t="s">
        <v>73</v>
      </c>
      <c r="DH1" s="13" t="s">
        <v>74</v>
      </c>
      <c r="DI1" s="13" t="s">
        <v>75</v>
      </c>
      <c r="DJ1" t="s">
        <v>76</v>
      </c>
      <c r="DK1" s="21" t="s">
        <v>77</v>
      </c>
      <c r="DL1" s="21" t="s">
        <v>78</v>
      </c>
      <c r="DM1" s="96" t="s">
        <v>79</v>
      </c>
      <c r="DN1" s="96" t="s">
        <v>80</v>
      </c>
      <c r="DO1" s="13" t="s">
        <v>81</v>
      </c>
      <c r="DP1" s="13" t="s">
        <v>82</v>
      </c>
      <c r="DQ1" t="s">
        <v>83</v>
      </c>
      <c r="DR1" t="s">
        <v>2</v>
      </c>
      <c r="DS1" t="s">
        <v>277</v>
      </c>
      <c r="DT1" t="s">
        <v>156</v>
      </c>
      <c r="DU1" t="s">
        <v>163</v>
      </c>
      <c r="DV1" t="s">
        <v>160</v>
      </c>
      <c r="DW1" t="s">
        <v>278</v>
      </c>
      <c r="DX1" t="s">
        <v>158</v>
      </c>
      <c r="DY1" t="s">
        <v>154</v>
      </c>
      <c r="DZ1" t="s">
        <v>155</v>
      </c>
      <c r="EA1" s="22" t="s">
        <v>138</v>
      </c>
      <c r="EB1" t="s">
        <v>139</v>
      </c>
      <c r="EC1" t="s">
        <v>84</v>
      </c>
      <c r="ED1" t="s">
        <v>459</v>
      </c>
      <c r="EE1" t="s">
        <v>460</v>
      </c>
      <c r="EF1" t="s">
        <v>461</v>
      </c>
    </row>
    <row r="2" spans="1:136" hidden="1" x14ac:dyDescent="0.35">
      <c r="A2" s="30">
        <v>36526</v>
      </c>
      <c r="B2" s="22">
        <v>36526</v>
      </c>
      <c r="C2" s="22" t="s">
        <v>408</v>
      </c>
      <c r="D2" s="30" t="s">
        <v>409</v>
      </c>
      <c r="E2" s="30" t="s">
        <v>410</v>
      </c>
      <c r="F2" s="30" t="s">
        <v>411</v>
      </c>
      <c r="G2" s="30" t="s">
        <v>412</v>
      </c>
      <c r="H2" t="s">
        <v>413</v>
      </c>
      <c r="I2" t="s">
        <v>414</v>
      </c>
      <c r="J2" t="s">
        <v>415</v>
      </c>
      <c r="K2" s="22">
        <v>36526</v>
      </c>
      <c r="L2">
        <v>0</v>
      </c>
      <c r="M2" s="26">
        <v>-0.99999998999999995</v>
      </c>
      <c r="N2" t="s">
        <v>416</v>
      </c>
      <c r="O2" t="s">
        <v>416</v>
      </c>
      <c r="P2" t="s">
        <v>416</v>
      </c>
      <c r="Q2" s="29" t="s">
        <v>417</v>
      </c>
      <c r="R2" s="29" t="str">
        <f>IFERROR(MID(RADataQTable[[#This Row],[RAtemplate]],1,LEN(RADataQTable[[#This Row],[RAtemplate]])-8),"RA") &amp; " " &amp; RADataQTable[[#This Row],[prop_id0]] &amp; " " &amp; RADataQTable[[#This Row],[last0]]</f>
        <v>zztemplateFname  1234567 PI last name for format.</v>
      </c>
      <c r="U2" s="21" t="str">
        <f>IF(signer1="PD",IF(ISBLANK(RADataQTable[[#This Row],[sign_blck_name]]),"",RADataQTable[[#This Row],[sign_blck_name]]),IF(ISBLANK(signer1),"",signer1))</f>
        <v>Name for PO signature</v>
      </c>
      <c r="V2" s="29" t="str">
        <f>signer2</f>
        <v>Cognizant Program Director</v>
      </c>
      <c r="W2" s="15" t="str">
        <f>HYPERLINK("https://www.ejacket.nsf.gov/ej/showProposal.do?Continue=Y&amp;ID="&amp;RADataQTable[[#This Row],[prop_id0]],"eJ")</f>
        <v>eJ</v>
      </c>
      <c r="X2" s="15" t="str">
        <f>HYPERLINK("mailto:"&amp;RADataQTable[[#This Row],[email]]&amp;"&amp;subject=Your NSF Proposal:  "&amp;RADataQTable[[#This Row],[Div]]&amp;" "&amp;RADataQTable[[#This Row],[prop_id0]], RADataQTable[[#This Row],[email]])</f>
        <v>Email of lead PI on the project</v>
      </c>
      <c r="Y2" s="15" t="str">
        <f>HYPERLINK("mailto:"&amp;RADataQTable[[#This Row],[allPIemail]]&amp;"&amp;subject=NSF Proposal:  "&amp;RADataQTable[[#This Row],[Div]]&amp;" "&amp;RADataQTable[[#This Row],[prop_id0]], "PIs@")</f>
        <v>PIs@</v>
      </c>
      <c r="Z2" t="s">
        <v>418</v>
      </c>
      <c r="AA2" t="s">
        <v>419</v>
      </c>
      <c r="AB2">
        <v>0</v>
      </c>
      <c r="AC2">
        <v>0</v>
      </c>
      <c r="AD2">
        <v>0</v>
      </c>
      <c r="AE2" t="str">
        <f>IF(RADataQTable[[#This Row],[maxScore]]-RADataQTable[[#This Row],[minScore]]&gt;4,"Y","")</f>
        <v>Y</v>
      </c>
      <c r="AF2" s="21">
        <v>1</v>
      </c>
      <c r="AG2" s="26">
        <v>4.5</v>
      </c>
      <c r="AH2">
        <v>9</v>
      </c>
      <c r="AI2" t="s">
        <v>420</v>
      </c>
      <c r="AJ2" s="30">
        <v>36526</v>
      </c>
      <c r="AK2" s="13">
        <v>99999999</v>
      </c>
      <c r="AL2" s="13">
        <v>99999999</v>
      </c>
      <c r="AM2">
        <v>0</v>
      </c>
      <c r="AN2" s="30">
        <v>36526</v>
      </c>
      <c r="AO2" s="21">
        <v>36</v>
      </c>
      <c r="AP2" s="21" t="s">
        <v>421</v>
      </c>
      <c r="AQ2">
        <v>0</v>
      </c>
      <c r="AR2" t="s">
        <v>422</v>
      </c>
      <c r="AS2" s="30">
        <v>36526</v>
      </c>
      <c r="AT2" t="s">
        <v>423</v>
      </c>
      <c r="AU2" s="21" t="s">
        <v>424</v>
      </c>
      <c r="AV2" s="21">
        <v>99</v>
      </c>
      <c r="AW2" s="21" t="s">
        <v>425</v>
      </c>
      <c r="AX2" s="30">
        <v>36526</v>
      </c>
      <c r="AY2" s="21" t="s">
        <v>420</v>
      </c>
      <c r="AZ2" s="21" t="s">
        <v>426</v>
      </c>
      <c r="BA2" s="21">
        <v>0</v>
      </c>
      <c r="BB2" s="21">
        <v>0</v>
      </c>
      <c r="BC2" s="21" t="s">
        <v>423</v>
      </c>
      <c r="BD2" s="21" t="s">
        <v>424</v>
      </c>
      <c r="BE2" s="21">
        <v>99</v>
      </c>
      <c r="BF2" s="21" t="s">
        <v>425</v>
      </c>
      <c r="BG2" s="30">
        <v>36526</v>
      </c>
      <c r="BH2" s="21" t="s">
        <v>420</v>
      </c>
      <c r="BI2" s="21" t="s">
        <v>426</v>
      </c>
      <c r="BJ2" s="21">
        <v>0</v>
      </c>
      <c r="BK2" s="21">
        <v>0</v>
      </c>
      <c r="BL2" s="21" t="s">
        <v>423</v>
      </c>
      <c r="BM2" s="21" t="s">
        <v>424</v>
      </c>
      <c r="BN2" s="21">
        <v>99</v>
      </c>
      <c r="BO2" s="21" t="s">
        <v>425</v>
      </c>
      <c r="BP2" s="30">
        <v>36526</v>
      </c>
      <c r="BQ2" s="21" t="s">
        <v>420</v>
      </c>
      <c r="BR2" s="21" t="s">
        <v>426</v>
      </c>
      <c r="BS2" s="21">
        <v>0</v>
      </c>
      <c r="BT2" s="21">
        <v>0</v>
      </c>
      <c r="BU2" t="s">
        <v>419</v>
      </c>
      <c r="BV2" s="21" t="s">
        <v>427</v>
      </c>
      <c r="BW2" s="21" t="s">
        <v>428</v>
      </c>
      <c r="BX2" s="21" t="s">
        <v>429</v>
      </c>
      <c r="BY2" s="31">
        <v>99999999</v>
      </c>
      <c r="BZ2" s="31">
        <v>99999999</v>
      </c>
      <c r="CA2" t="s">
        <v>430</v>
      </c>
      <c r="CB2" s="21" t="s">
        <v>419</v>
      </c>
      <c r="CC2" s="21" t="s">
        <v>427</v>
      </c>
      <c r="CD2" s="21" t="s">
        <v>428</v>
      </c>
      <c r="CE2" s="21" t="s">
        <v>429</v>
      </c>
      <c r="CF2" s="31">
        <v>99999999</v>
      </c>
      <c r="CG2" s="31">
        <v>99999999</v>
      </c>
      <c r="CH2" t="s">
        <v>430</v>
      </c>
      <c r="CI2" s="21" t="s">
        <v>419</v>
      </c>
      <c r="CJ2" s="21" t="s">
        <v>427</v>
      </c>
      <c r="CK2" s="21" t="s">
        <v>428</v>
      </c>
      <c r="CL2" s="21" t="s">
        <v>429</v>
      </c>
      <c r="CM2" s="31">
        <v>99999999</v>
      </c>
      <c r="CN2" s="31">
        <v>99999999</v>
      </c>
      <c r="CO2" t="s">
        <v>430</v>
      </c>
      <c r="CP2" s="21" t="s">
        <v>419</v>
      </c>
      <c r="CQ2" s="21" t="s">
        <v>427</v>
      </c>
      <c r="CR2" s="21" t="s">
        <v>428</v>
      </c>
      <c r="CS2" s="21" t="s">
        <v>429</v>
      </c>
      <c r="CT2" s="31">
        <v>99999999</v>
      </c>
      <c r="CU2" s="31">
        <v>99999999</v>
      </c>
      <c r="CV2" t="s">
        <v>430</v>
      </c>
      <c r="CW2" s="21" t="s">
        <v>419</v>
      </c>
      <c r="CX2" s="21" t="s">
        <v>427</v>
      </c>
      <c r="CY2" s="21" t="s">
        <v>428</v>
      </c>
      <c r="CZ2" s="21" t="s">
        <v>429</v>
      </c>
      <c r="DA2" s="31">
        <v>99999999</v>
      </c>
      <c r="DB2" s="31">
        <v>99999999</v>
      </c>
      <c r="DC2" t="s">
        <v>430</v>
      </c>
      <c r="DD2" s="21" t="s">
        <v>419</v>
      </c>
      <c r="DE2" s="21" t="s">
        <v>427</v>
      </c>
      <c r="DF2" s="21" t="s">
        <v>428</v>
      </c>
      <c r="DG2" s="21" t="s">
        <v>429</v>
      </c>
      <c r="DH2" s="31">
        <v>99999999</v>
      </c>
      <c r="DI2" s="31">
        <v>99999999</v>
      </c>
      <c r="DJ2" t="s">
        <v>430</v>
      </c>
      <c r="DK2" s="21" t="s">
        <v>419</v>
      </c>
      <c r="DL2" s="21" t="s">
        <v>427</v>
      </c>
      <c r="DM2" s="21" t="s">
        <v>428</v>
      </c>
      <c r="DN2" s="21" t="s">
        <v>429</v>
      </c>
      <c r="DO2" s="31">
        <v>99999999</v>
      </c>
      <c r="DP2" s="31">
        <v>99999999</v>
      </c>
      <c r="DQ2" t="s">
        <v>430</v>
      </c>
      <c r="DR2" t="s">
        <v>431</v>
      </c>
      <c r="DS2" t="s">
        <v>432</v>
      </c>
      <c r="DT2" t="s">
        <v>433</v>
      </c>
      <c r="DU2" s="29" t="s">
        <v>434</v>
      </c>
      <c r="DV2" t="s">
        <v>435</v>
      </c>
      <c r="DW2" t="s">
        <v>436</v>
      </c>
      <c r="DX2" t="s">
        <v>437</v>
      </c>
      <c r="DY2" t="s">
        <v>438</v>
      </c>
      <c r="DZ2" t="s">
        <v>439</v>
      </c>
      <c r="EA2" s="22">
        <v>36526</v>
      </c>
      <c r="EB2" t="s">
        <v>440</v>
      </c>
      <c r="EC2" t="s">
        <v>441</v>
      </c>
      <c r="ED2" t="s">
        <v>462</v>
      </c>
      <c r="EE2" t="s">
        <v>462</v>
      </c>
      <c r="EF2" t="s">
        <v>462</v>
      </c>
    </row>
    <row r="3" spans="1:136" x14ac:dyDescent="0.35">
      <c r="A3" s="30"/>
      <c r="B3" s="22">
        <v>42933.820138888892</v>
      </c>
      <c r="C3" s="22" t="s">
        <v>737</v>
      </c>
      <c r="D3" s="30" t="s">
        <v>738</v>
      </c>
      <c r="E3" s="30" t="s">
        <v>491</v>
      </c>
      <c r="F3" s="30" t="s">
        <v>740</v>
      </c>
      <c r="G3" s="30" t="s">
        <v>739</v>
      </c>
      <c r="H3" t="s">
        <v>741</v>
      </c>
      <c r="I3" t="s">
        <v>742</v>
      </c>
      <c r="J3" t="s">
        <v>523</v>
      </c>
      <c r="L3">
        <v>1</v>
      </c>
      <c r="M3" s="26">
        <v>1.01</v>
      </c>
      <c r="N3" t="s">
        <v>605</v>
      </c>
      <c r="Q3" s="29" t="s">
        <v>532</v>
      </c>
      <c r="R3" s="29" t="str">
        <f>IFERROR(MID(RADataQTable[[#This Row],[RAtemplate]],1,LEN(RADataQTable[[#This Row],[RAtemplate]])-8),"RA") &amp; " " &amp; RADataQTable[[#This Row],[prop_id0]] &amp; " " &amp; RADataQTable[[#This Row],[last0]]</f>
        <v>RA 1749609 Lee</v>
      </c>
      <c r="U3" s="21" t="str">
        <f>IF(signer1="PD",IF(ISBLANK(RADataQTable[[#This Row],[sign_blck_name]]),"",RADataQTable[[#This Row],[sign_blck_name]]),IF(ISBLANK(signer1),"",signer1))</f>
        <v>Jack Snoeyink</v>
      </c>
      <c r="V3" s="29" t="str">
        <f>signer2</f>
        <v>Cognizant Program Director</v>
      </c>
      <c r="W3" s="15" t="str">
        <f>HYPERLINK("https://www.ejacket.nsf.gov/ej/showProposal.do?Continue=Y&amp;ID="&amp;RADataQTable[[#This Row],[prop_id0]],"eJ")</f>
        <v>eJ</v>
      </c>
      <c r="X3" s="15" t="str">
        <f>HYPERLINK("mailto:"&amp;RADataQTable[[#This Row],[email]]&amp;"&amp;subject=Your NSF Proposal:  "&amp;RADataQTable[[#This Row],[Div]]&amp;" "&amp;RADataQTable[[#This Row],[prop_id0]], RADataQTable[[#This Row],[email]])</f>
        <v>yintat@uw.edu</v>
      </c>
      <c r="Y3" s="15" t="str">
        <f>HYPERLINK("mailto:"&amp;RADataQTable[[#This Row],[allPIemail]]&amp;"&amp;subject=NSF Proposal:  "&amp;RADataQTable[[#This Row],[Div]]&amp;" "&amp;RADataQTable[[#This Row],[prop_id0]], "PIs@")</f>
        <v>PIs@</v>
      </c>
      <c r="Z3" t="s">
        <v>746</v>
      </c>
      <c r="AA3" t="s">
        <v>601</v>
      </c>
      <c r="AB3">
        <v>4</v>
      </c>
      <c r="AC3">
        <v>4</v>
      </c>
      <c r="AD3"/>
      <c r="AE3" t="str">
        <f>IF(RADataQTable[[#This Row],[maxScore]]-RADataQTable[[#This Row],[minScore]]&gt;4,"Y","")</f>
        <v/>
      </c>
      <c r="AF3" s="21">
        <v>6</v>
      </c>
      <c r="AG3" s="26">
        <v>8</v>
      </c>
      <c r="AH3">
        <v>9</v>
      </c>
      <c r="AI3" t="s">
        <v>769</v>
      </c>
      <c r="AJ3" s="30">
        <v>43031.375694444447</v>
      </c>
      <c r="AK3" s="140">
        <v>549841</v>
      </c>
      <c r="AL3" s="140">
        <v>549841</v>
      </c>
      <c r="AM3">
        <v>0</v>
      </c>
      <c r="AN3" s="30">
        <v>43175</v>
      </c>
      <c r="AO3" s="21">
        <v>60</v>
      </c>
      <c r="AP3" s="21" t="s">
        <v>770</v>
      </c>
      <c r="AS3" s="30"/>
      <c r="AT3" t="s">
        <v>524</v>
      </c>
      <c r="AU3" s="21" t="s">
        <v>603</v>
      </c>
      <c r="AV3" s="21">
        <v>1</v>
      </c>
      <c r="AW3" s="21" t="s">
        <v>844</v>
      </c>
      <c r="AX3" s="30">
        <v>43032</v>
      </c>
      <c r="AY3" s="21" t="s">
        <v>859</v>
      </c>
      <c r="AZ3" s="21" t="s">
        <v>846</v>
      </c>
      <c r="BA3" s="21">
        <v>14</v>
      </c>
      <c r="BB3" s="21">
        <v>3</v>
      </c>
      <c r="BG3" s="30"/>
      <c r="BP3" s="30"/>
      <c r="BU3" t="s">
        <v>601</v>
      </c>
      <c r="BV3" s="21" t="s">
        <v>602</v>
      </c>
      <c r="BW3" s="21" t="s">
        <v>767</v>
      </c>
      <c r="BX3" s="21" t="s">
        <v>768</v>
      </c>
      <c r="BY3" s="31">
        <v>549841</v>
      </c>
      <c r="BZ3" s="31">
        <v>549841</v>
      </c>
      <c r="CA3" t="s">
        <v>743</v>
      </c>
      <c r="CF3" s="31"/>
      <c r="CG3" s="31"/>
      <c r="CM3" s="31"/>
      <c r="CN3" s="31"/>
      <c r="CT3" s="31"/>
      <c r="CU3" s="31"/>
      <c r="DA3" s="31"/>
      <c r="DB3" s="31"/>
      <c r="DH3" s="31"/>
      <c r="DI3" s="31"/>
      <c r="DO3" s="31"/>
      <c r="DP3" s="31"/>
      <c r="DR3" t="s">
        <v>847</v>
      </c>
      <c r="DS3" t="s">
        <v>848</v>
      </c>
      <c r="DT3" t="s">
        <v>492</v>
      </c>
      <c r="DU3" s="29" t="s">
        <v>849</v>
      </c>
      <c r="DV3" t="s">
        <v>750</v>
      </c>
      <c r="DW3" t="s">
        <v>850</v>
      </c>
      <c r="DX3" t="s">
        <v>851</v>
      </c>
      <c r="DY3" t="s">
        <v>852</v>
      </c>
      <c r="DZ3" t="s">
        <v>853</v>
      </c>
      <c r="EA3" s="22">
        <v>43091.273692129631</v>
      </c>
      <c r="EB3" t="s">
        <v>771</v>
      </c>
      <c r="EC3" t="s">
        <v>861</v>
      </c>
      <c r="ED3" t="s">
        <v>860</v>
      </c>
    </row>
    <row r="4" spans="1:136" x14ac:dyDescent="0.35">
      <c r="A4" s="30"/>
      <c r="B4" s="22">
        <v>42933.713888888888</v>
      </c>
      <c r="C4" s="22" t="s">
        <v>737</v>
      </c>
      <c r="D4" s="30" t="s">
        <v>738</v>
      </c>
      <c r="E4" s="30" t="s">
        <v>491</v>
      </c>
      <c r="F4" s="30" t="s">
        <v>740</v>
      </c>
      <c r="G4" s="30" t="s">
        <v>739</v>
      </c>
      <c r="H4" t="s">
        <v>741</v>
      </c>
      <c r="I4" t="s">
        <v>742</v>
      </c>
      <c r="J4" t="s">
        <v>523</v>
      </c>
      <c r="L4">
        <v>1</v>
      </c>
      <c r="M4" s="26">
        <v>2.0299999999999998</v>
      </c>
      <c r="N4" t="s">
        <v>590</v>
      </c>
      <c r="Q4" s="29" t="s">
        <v>532</v>
      </c>
      <c r="R4" s="29" t="str">
        <f>IFERROR(MID(RADataQTable[[#This Row],[RAtemplate]],1,LEN(RADataQTable[[#This Row],[RAtemplate]])-8),"RA") &amp; " " &amp; RADataQTable[[#This Row],[prop_id0]] &amp; " " &amp; RADataQTable[[#This Row],[last0]]</f>
        <v>RA 1749563 Del Pia</v>
      </c>
      <c r="U4" s="21" t="str">
        <f>IF(signer1="PD",IF(ISBLANK(RADataQTable[[#This Row],[sign_blck_name]]),"",RADataQTable[[#This Row],[sign_blck_name]]),IF(ISBLANK(signer1),"",signer1))</f>
        <v>Jack Snoeyink</v>
      </c>
      <c r="V4" s="29" t="str">
        <f>signer2</f>
        <v>Cognizant Program Director</v>
      </c>
      <c r="W4" s="15" t="str">
        <f>HYPERLINK("https://www.ejacket.nsf.gov/ej/showProposal.do?Continue=Y&amp;ID="&amp;RADataQTable[[#This Row],[prop_id0]],"eJ")</f>
        <v>eJ</v>
      </c>
      <c r="X4" s="15" t="str">
        <f>HYPERLINK("mailto:"&amp;RADataQTable[[#This Row],[email]]&amp;"&amp;subject=Your NSF Proposal:  "&amp;RADataQTable[[#This Row],[Div]]&amp;" "&amp;RADataQTable[[#This Row],[prop_id0]], RADataQTable[[#This Row],[email]])</f>
        <v>delpia@wisc.edu</v>
      </c>
      <c r="Y4" s="15" t="str">
        <f>HYPERLINK("mailto:"&amp;RADataQTable[[#This Row],[allPIemail]]&amp;"&amp;subject=NSF Proposal:  "&amp;RADataQTable[[#This Row],[Div]]&amp;" "&amp;RADataQTable[[#This Row],[prop_id0]], "PIs@")</f>
        <v>PIs@</v>
      </c>
      <c r="Z4" t="s">
        <v>746</v>
      </c>
      <c r="AA4" t="s">
        <v>586</v>
      </c>
      <c r="AB4">
        <v>4</v>
      </c>
      <c r="AC4">
        <v>4</v>
      </c>
      <c r="AD4"/>
      <c r="AE4" t="str">
        <f>IF(RADataQTable[[#This Row],[maxScore]]-RADataQTable[[#This Row],[minScore]]&gt;4,"Y","")</f>
        <v/>
      </c>
      <c r="AF4" s="21">
        <v>6</v>
      </c>
      <c r="AG4" s="26">
        <v>7</v>
      </c>
      <c r="AH4">
        <v>8</v>
      </c>
      <c r="AI4" t="s">
        <v>763</v>
      </c>
      <c r="AJ4" s="30">
        <v>43031.584027777775</v>
      </c>
      <c r="AK4" s="140">
        <v>500000</v>
      </c>
      <c r="AL4" s="140">
        <v>500000</v>
      </c>
      <c r="AM4">
        <v>0</v>
      </c>
      <c r="AN4" s="30">
        <v>43344</v>
      </c>
      <c r="AO4" s="21">
        <v>60</v>
      </c>
      <c r="AP4" s="21" t="s">
        <v>764</v>
      </c>
      <c r="AS4" s="30"/>
      <c r="AT4" t="s">
        <v>524</v>
      </c>
      <c r="AU4" s="21" t="s">
        <v>588</v>
      </c>
      <c r="AV4" s="21">
        <v>3</v>
      </c>
      <c r="AW4" s="21" t="s">
        <v>844</v>
      </c>
      <c r="AX4" s="30">
        <v>43032</v>
      </c>
      <c r="AY4" s="21" t="s">
        <v>857</v>
      </c>
      <c r="AZ4" s="21" t="s">
        <v>846</v>
      </c>
      <c r="BA4" s="21">
        <v>14</v>
      </c>
      <c r="BG4" s="30"/>
      <c r="BP4" s="30"/>
      <c r="BU4" t="s">
        <v>586</v>
      </c>
      <c r="BV4" s="21" t="s">
        <v>587</v>
      </c>
      <c r="BW4" s="21" t="s">
        <v>761</v>
      </c>
      <c r="BX4" s="21" t="s">
        <v>762</v>
      </c>
      <c r="BY4" s="31">
        <v>500000</v>
      </c>
      <c r="BZ4" s="31">
        <v>500000</v>
      </c>
      <c r="CA4" t="s">
        <v>743</v>
      </c>
      <c r="CF4" s="31"/>
      <c r="CG4" s="31"/>
      <c r="CM4" s="31"/>
      <c r="CN4" s="31"/>
      <c r="CT4" s="31"/>
      <c r="CU4" s="31"/>
      <c r="DA4" s="31"/>
      <c r="DB4" s="31"/>
      <c r="DH4" s="31"/>
      <c r="DI4" s="31"/>
      <c r="DO4" s="31"/>
      <c r="DP4" s="31"/>
      <c r="DR4" t="s">
        <v>847</v>
      </c>
      <c r="DS4" t="s">
        <v>848</v>
      </c>
      <c r="DT4" t="s">
        <v>492</v>
      </c>
      <c r="DU4" s="29" t="s">
        <v>849</v>
      </c>
      <c r="DV4" t="s">
        <v>750</v>
      </c>
      <c r="DW4" t="s">
        <v>850</v>
      </c>
      <c r="DX4" t="s">
        <v>851</v>
      </c>
      <c r="DY4" t="s">
        <v>852</v>
      </c>
      <c r="DZ4" t="s">
        <v>853</v>
      </c>
      <c r="EA4" s="22">
        <v>43091.273692129631</v>
      </c>
      <c r="EB4" t="s">
        <v>765</v>
      </c>
      <c r="EC4" t="s">
        <v>858</v>
      </c>
    </row>
    <row r="5" spans="1:136" x14ac:dyDescent="0.35">
      <c r="A5" s="30"/>
      <c r="B5" s="22">
        <v>42934.625694444447</v>
      </c>
      <c r="C5" s="22" t="s">
        <v>737</v>
      </c>
      <c r="D5" s="30" t="s">
        <v>738</v>
      </c>
      <c r="E5" s="30" t="s">
        <v>491</v>
      </c>
      <c r="F5" s="30" t="s">
        <v>740</v>
      </c>
      <c r="G5" s="30" t="s">
        <v>739</v>
      </c>
      <c r="H5" t="s">
        <v>741</v>
      </c>
      <c r="I5" t="s">
        <v>742</v>
      </c>
      <c r="J5" t="s">
        <v>523</v>
      </c>
      <c r="L5">
        <v>1</v>
      </c>
      <c r="M5" s="26">
        <v>2.04</v>
      </c>
      <c r="N5" t="s">
        <v>590</v>
      </c>
      <c r="Q5" s="29" t="s">
        <v>532</v>
      </c>
      <c r="R5" s="29" t="str">
        <f>IFERROR(MID(RADataQTable[[#This Row],[RAtemplate]],1,LEN(RADataQTable[[#This Row],[RAtemplate]])-8),"RA") &amp; " " &amp; RADataQTable[[#This Row],[prop_id0]] &amp; " " &amp; RADataQTable[[#This Row],[last0]]</f>
        <v>RA 1749855 Orabona</v>
      </c>
      <c r="U5" s="21" t="str">
        <f>IF(signer1="PD",IF(ISBLANK(RADataQTable[[#This Row],[sign_blck_name]]),"",RADataQTable[[#This Row],[sign_blck_name]]),IF(ISBLANK(signer1),"",signer1))</f>
        <v>Jack Snoeyink</v>
      </c>
      <c r="V5" s="29" t="str">
        <f>signer2</f>
        <v>Cognizant Program Director</v>
      </c>
      <c r="W5" s="15" t="str">
        <f>HYPERLINK("https://www.ejacket.nsf.gov/ej/showProposal.do?Continue=Y&amp;ID="&amp;RADataQTable[[#This Row],[prop_id0]],"eJ")</f>
        <v>eJ</v>
      </c>
      <c r="X5" s="15" t="str">
        <f>HYPERLINK("mailto:"&amp;RADataQTable[[#This Row],[email]]&amp;"&amp;subject=Your NSF Proposal:  "&amp;RADataQTable[[#This Row],[Div]]&amp;" "&amp;RADataQTable[[#This Row],[prop_id0]], RADataQTable[[#This Row],[email]])</f>
        <v>francesco@cs.stonybrook.edu</v>
      </c>
      <c r="Y5" s="15" t="str">
        <f>HYPERLINK("mailto:"&amp;RADataQTable[[#This Row],[allPIemail]]&amp;"&amp;subject=NSF Proposal:  "&amp;RADataQTable[[#This Row],[Div]]&amp;" "&amp;RADataQTable[[#This Row],[prop_id0]], "PIs@")</f>
        <v>PIs@</v>
      </c>
      <c r="Z5" t="s">
        <v>746</v>
      </c>
      <c r="AA5" t="s">
        <v>612</v>
      </c>
      <c r="AB5">
        <v>4</v>
      </c>
      <c r="AC5">
        <v>4</v>
      </c>
      <c r="AD5"/>
      <c r="AE5" t="str">
        <f>IF(RADataQTable[[#This Row],[maxScore]]-RADataQTable[[#This Row],[minScore]]&gt;4,"Y","")</f>
        <v/>
      </c>
      <c r="AF5" s="21">
        <v>7</v>
      </c>
      <c r="AG5" s="26">
        <v>8</v>
      </c>
      <c r="AH5">
        <v>9</v>
      </c>
      <c r="AI5" t="s">
        <v>775</v>
      </c>
      <c r="AJ5" s="30">
        <v>43059.663888888892</v>
      </c>
      <c r="AK5" s="140">
        <v>516750</v>
      </c>
      <c r="AL5" s="140">
        <v>516750</v>
      </c>
      <c r="AM5">
        <v>0</v>
      </c>
      <c r="AN5" s="30">
        <v>43101</v>
      </c>
      <c r="AO5" s="21">
        <v>60</v>
      </c>
      <c r="AP5" s="21" t="s">
        <v>776</v>
      </c>
      <c r="AS5" s="30"/>
      <c r="AT5" t="s">
        <v>614</v>
      </c>
      <c r="AU5" s="21" t="s">
        <v>588</v>
      </c>
      <c r="AV5" s="21">
        <v>4</v>
      </c>
      <c r="AW5" s="21" t="s">
        <v>862</v>
      </c>
      <c r="AX5" s="30">
        <v>43060</v>
      </c>
      <c r="AY5" s="21" t="s">
        <v>863</v>
      </c>
      <c r="AZ5" s="21" t="s">
        <v>864</v>
      </c>
      <c r="BA5" s="21">
        <v>12</v>
      </c>
      <c r="BG5" s="30"/>
      <c r="BP5" s="30"/>
      <c r="BU5" t="s">
        <v>612</v>
      </c>
      <c r="BV5" s="21" t="s">
        <v>613</v>
      </c>
      <c r="BW5" s="21" t="s">
        <v>773</v>
      </c>
      <c r="BX5" s="21" t="s">
        <v>774</v>
      </c>
      <c r="BY5" s="31">
        <v>516750</v>
      </c>
      <c r="BZ5" s="31">
        <v>516750</v>
      </c>
      <c r="CA5" t="s">
        <v>743</v>
      </c>
      <c r="CF5" s="31"/>
      <c r="CG5" s="31"/>
      <c r="CM5" s="31"/>
      <c r="CN5" s="31"/>
      <c r="CT5" s="31"/>
      <c r="CU5" s="31"/>
      <c r="DA5" s="31"/>
      <c r="DB5" s="31"/>
      <c r="DH5" s="31"/>
      <c r="DI5" s="31"/>
      <c r="DO5" s="31"/>
      <c r="DP5" s="31"/>
      <c r="DR5" t="s">
        <v>847</v>
      </c>
      <c r="DS5" t="s">
        <v>848</v>
      </c>
      <c r="DT5" t="s">
        <v>492</v>
      </c>
      <c r="DU5" s="29" t="s">
        <v>849</v>
      </c>
      <c r="DV5" t="s">
        <v>750</v>
      </c>
      <c r="DW5" t="s">
        <v>850</v>
      </c>
      <c r="DX5" t="s">
        <v>851</v>
      </c>
      <c r="DY5" t="s">
        <v>852</v>
      </c>
      <c r="DZ5" t="s">
        <v>853</v>
      </c>
      <c r="EA5" s="22">
        <v>43091.273692129631</v>
      </c>
      <c r="EB5" t="s">
        <v>777</v>
      </c>
      <c r="EC5" t="s">
        <v>865</v>
      </c>
    </row>
    <row r="6" spans="1:136" x14ac:dyDescent="0.35">
      <c r="A6" s="30"/>
      <c r="B6" s="22">
        <v>42935.633333333331</v>
      </c>
      <c r="C6" s="22" t="s">
        <v>737</v>
      </c>
      <c r="D6" s="30" t="s">
        <v>738</v>
      </c>
      <c r="E6" s="30" t="s">
        <v>491</v>
      </c>
      <c r="F6" s="30" t="s">
        <v>740</v>
      </c>
      <c r="G6" s="30" t="s">
        <v>739</v>
      </c>
      <c r="H6" t="s">
        <v>741</v>
      </c>
      <c r="I6" t="s">
        <v>742</v>
      </c>
      <c r="J6" t="s">
        <v>523</v>
      </c>
      <c r="L6">
        <v>1</v>
      </c>
      <c r="M6" s="26">
        <v>2.0699999999999998</v>
      </c>
      <c r="N6" t="s">
        <v>590</v>
      </c>
      <c r="Q6" s="29" t="s">
        <v>532</v>
      </c>
      <c r="R6" s="29" t="str">
        <f>IFERROR(MID(RADataQTable[[#This Row],[RAtemplate]],1,LEN(RADataQTable[[#This Row],[RAtemplate]])-8),"RA") &amp; " " &amp; RADataQTable[[#This Row],[prop_id0]] &amp; " " &amp; RADataQTable[[#This Row],[last0]]</f>
        <v>RA 1750780 Raichel</v>
      </c>
      <c r="U6" s="21" t="str">
        <f>IF(signer1="PD",IF(ISBLANK(RADataQTable[[#This Row],[sign_blck_name]]),"",RADataQTable[[#This Row],[sign_blck_name]]),IF(ISBLANK(signer1),"",signer1))</f>
        <v>Jack Snoeyink</v>
      </c>
      <c r="V6" s="29" t="str">
        <f>signer2</f>
        <v>Cognizant Program Director</v>
      </c>
      <c r="W6" s="15" t="str">
        <f>HYPERLINK("https://www.ejacket.nsf.gov/ej/showProposal.do?Continue=Y&amp;ID="&amp;RADataQTable[[#This Row],[prop_id0]],"eJ")</f>
        <v>eJ</v>
      </c>
      <c r="X6" s="15" t="str">
        <f>HYPERLINK("mailto:"&amp;RADataQTable[[#This Row],[email]]&amp;"&amp;subject=Your NSF Proposal:  "&amp;RADataQTable[[#This Row],[Div]]&amp;" "&amp;RADataQTable[[#This Row],[prop_id0]], RADataQTable[[#This Row],[email]])</f>
        <v>Benjamin.Raichel@utdallas.edu</v>
      </c>
      <c r="Y6" s="15" t="str">
        <f>HYPERLINK("mailto:"&amp;RADataQTable[[#This Row],[allPIemail]]&amp;"&amp;subject=NSF Proposal:  "&amp;RADataQTable[[#This Row],[Div]]&amp;" "&amp;RADataQTable[[#This Row],[prop_id0]], "PIs@")</f>
        <v>PIs@</v>
      </c>
      <c r="Z6" t="s">
        <v>746</v>
      </c>
      <c r="AA6" t="s">
        <v>659</v>
      </c>
      <c r="AB6">
        <v>4</v>
      </c>
      <c r="AC6">
        <v>4</v>
      </c>
      <c r="AD6"/>
      <c r="AE6" t="str">
        <f>IF(RADataQTable[[#This Row],[maxScore]]-RADataQTable[[#This Row],[minScore]]&gt;4,"Y","")</f>
        <v/>
      </c>
      <c r="AF6" s="21">
        <v>7</v>
      </c>
      <c r="AG6" s="26">
        <v>7.5</v>
      </c>
      <c r="AH6">
        <v>9</v>
      </c>
      <c r="AI6" t="s">
        <v>793</v>
      </c>
      <c r="AJ6" s="30">
        <v>43030.181250000001</v>
      </c>
      <c r="AK6" s="140">
        <v>582785</v>
      </c>
      <c r="AL6" s="140">
        <v>582785</v>
      </c>
      <c r="AM6">
        <v>0</v>
      </c>
      <c r="AN6" s="30">
        <v>43344</v>
      </c>
      <c r="AO6" s="21">
        <v>60</v>
      </c>
      <c r="AP6" s="21" t="s">
        <v>794</v>
      </c>
      <c r="AS6" s="30"/>
      <c r="AT6" t="s">
        <v>524</v>
      </c>
      <c r="AU6" s="21" t="s">
        <v>588</v>
      </c>
      <c r="AV6" s="21">
        <v>7</v>
      </c>
      <c r="AW6" s="21" t="s">
        <v>844</v>
      </c>
      <c r="AX6" s="30">
        <v>43032</v>
      </c>
      <c r="AY6" s="21" t="s">
        <v>871</v>
      </c>
      <c r="AZ6" s="21" t="s">
        <v>846</v>
      </c>
      <c r="BA6" s="21">
        <v>14</v>
      </c>
      <c r="BB6" s="21">
        <v>1</v>
      </c>
      <c r="BG6" s="30"/>
      <c r="BP6" s="30"/>
      <c r="BU6" t="s">
        <v>659</v>
      </c>
      <c r="BV6" s="21" t="s">
        <v>660</v>
      </c>
      <c r="BW6" s="21" t="s">
        <v>791</v>
      </c>
      <c r="BX6" s="21" t="s">
        <v>792</v>
      </c>
      <c r="BY6" s="31">
        <v>582785</v>
      </c>
      <c r="BZ6" s="31">
        <v>582785</v>
      </c>
      <c r="CA6" t="s">
        <v>753</v>
      </c>
      <c r="CF6" s="31"/>
      <c r="CG6" s="31"/>
      <c r="CM6" s="31"/>
      <c r="CN6" s="31"/>
      <c r="CT6" s="31"/>
      <c r="CU6" s="31"/>
      <c r="DA6" s="31"/>
      <c r="DB6" s="31"/>
      <c r="DH6" s="31"/>
      <c r="DI6" s="31"/>
      <c r="DO6" s="31"/>
      <c r="DP6" s="31"/>
      <c r="DR6" t="s">
        <v>847</v>
      </c>
      <c r="DS6" t="s">
        <v>848</v>
      </c>
      <c r="DT6" t="s">
        <v>492</v>
      </c>
      <c r="DU6" s="29" t="s">
        <v>849</v>
      </c>
      <c r="DV6" t="s">
        <v>750</v>
      </c>
      <c r="DW6" t="s">
        <v>850</v>
      </c>
      <c r="DX6" t="s">
        <v>851</v>
      </c>
      <c r="DY6" t="s">
        <v>852</v>
      </c>
      <c r="DZ6" t="s">
        <v>853</v>
      </c>
      <c r="EA6" s="22">
        <v>43091.273692129631</v>
      </c>
      <c r="EB6" t="s">
        <v>795</v>
      </c>
      <c r="EC6" t="s">
        <v>873</v>
      </c>
      <c r="ED6" t="s">
        <v>872</v>
      </c>
    </row>
    <row r="7" spans="1:136" x14ac:dyDescent="0.35">
      <c r="A7" s="30"/>
      <c r="B7" s="22">
        <v>42935.696527777778</v>
      </c>
      <c r="C7" s="22" t="s">
        <v>737</v>
      </c>
      <c r="D7" s="30" t="s">
        <v>738</v>
      </c>
      <c r="E7" s="30" t="s">
        <v>491</v>
      </c>
      <c r="F7" s="30" t="s">
        <v>740</v>
      </c>
      <c r="G7" s="30" t="s">
        <v>739</v>
      </c>
      <c r="H7" t="s">
        <v>741</v>
      </c>
      <c r="I7" t="s">
        <v>742</v>
      </c>
      <c r="J7" t="s">
        <v>523</v>
      </c>
      <c r="L7">
        <v>1</v>
      </c>
      <c r="M7" s="26">
        <v>2.1</v>
      </c>
      <c r="N7" t="s">
        <v>590</v>
      </c>
      <c r="Q7" s="29" t="s">
        <v>532</v>
      </c>
      <c r="R7" s="29" t="str">
        <f>IFERROR(MID(RADataQTable[[#This Row],[RAtemplate]],1,LEN(RADataQTable[[#This Row],[RAtemplate]])-8),"RA") &amp; " " &amp; RADataQTable[[#This Row],[prop_id0]] &amp; " " &amp; RADataQTable[[#This Row],[last0]]</f>
        <v>RA 1751135 Nayyeri</v>
      </c>
      <c r="U7" s="21" t="str">
        <f>IF(signer1="PD",IF(ISBLANK(RADataQTable[[#This Row],[sign_blck_name]]),"",RADataQTable[[#This Row],[sign_blck_name]]),IF(ISBLANK(signer1),"",signer1))</f>
        <v>Jack Snoeyink</v>
      </c>
      <c r="V7" s="29" t="str">
        <f>signer2</f>
        <v>Cognizant Program Director</v>
      </c>
      <c r="W7" s="15" t="str">
        <f>HYPERLINK("https://www.ejacket.nsf.gov/ej/showProposal.do?Continue=Y&amp;ID="&amp;RADataQTable[[#This Row],[prop_id0]],"eJ")</f>
        <v>eJ</v>
      </c>
      <c r="X7" s="15" t="str">
        <f>HYPERLINK("mailto:"&amp;RADataQTable[[#This Row],[email]]&amp;"&amp;subject=Your NSF Proposal:  "&amp;RADataQTable[[#This Row],[Div]]&amp;" "&amp;RADataQTable[[#This Row],[prop_id0]], RADataQTable[[#This Row],[email]])</f>
        <v>nayyeria@eecs.oregonstate.edu</v>
      </c>
      <c r="Y7" s="15" t="str">
        <f>HYPERLINK("mailto:"&amp;RADataQTable[[#This Row],[allPIemail]]&amp;"&amp;subject=NSF Proposal:  "&amp;RADataQTable[[#This Row],[Div]]&amp;" "&amp;RADataQTable[[#This Row],[prop_id0]], "PIs@")</f>
        <v>PIs@</v>
      </c>
      <c r="Z7" t="s">
        <v>746</v>
      </c>
      <c r="AA7" t="s">
        <v>689</v>
      </c>
      <c r="AB7">
        <v>4</v>
      </c>
      <c r="AC7">
        <v>4</v>
      </c>
      <c r="AD7"/>
      <c r="AE7" t="str">
        <f>IF(RADataQTable[[#This Row],[maxScore]]-RADataQTable[[#This Row],[minScore]]&gt;4,"Y","")</f>
        <v/>
      </c>
      <c r="AF7" s="21">
        <v>6</v>
      </c>
      <c r="AG7" s="26">
        <v>6.75</v>
      </c>
      <c r="AH7">
        <v>7</v>
      </c>
      <c r="AI7" t="s">
        <v>809</v>
      </c>
      <c r="AJ7" s="30">
        <v>43031.69027777778</v>
      </c>
      <c r="AK7" s="140">
        <v>607459</v>
      </c>
      <c r="AL7" s="140">
        <v>607459</v>
      </c>
      <c r="AM7">
        <v>0</v>
      </c>
      <c r="AN7" s="30">
        <v>43344</v>
      </c>
      <c r="AO7" s="21">
        <v>60</v>
      </c>
      <c r="AP7" s="21" t="s">
        <v>810</v>
      </c>
      <c r="AS7" s="30"/>
      <c r="AT7" t="s">
        <v>524</v>
      </c>
      <c r="AU7" s="21" t="s">
        <v>588</v>
      </c>
      <c r="AV7" s="21">
        <v>10</v>
      </c>
      <c r="AW7" s="21" t="s">
        <v>844</v>
      </c>
      <c r="AX7" s="30">
        <v>43032</v>
      </c>
      <c r="AY7" s="21" t="s">
        <v>878</v>
      </c>
      <c r="AZ7" s="21" t="s">
        <v>846</v>
      </c>
      <c r="BA7" s="21">
        <v>14</v>
      </c>
      <c r="BB7" s="21">
        <v>2</v>
      </c>
      <c r="BG7" s="30"/>
      <c r="BP7" s="30"/>
      <c r="BU7" t="s">
        <v>689</v>
      </c>
      <c r="BV7" s="21" t="s">
        <v>690</v>
      </c>
      <c r="BW7" s="21" t="s">
        <v>807</v>
      </c>
      <c r="BX7" s="21" t="s">
        <v>808</v>
      </c>
      <c r="BY7" s="31">
        <v>607459</v>
      </c>
      <c r="BZ7" s="31">
        <v>607459</v>
      </c>
      <c r="CA7" t="s">
        <v>753</v>
      </c>
      <c r="CF7" s="31"/>
      <c r="CG7" s="31"/>
      <c r="CM7" s="31"/>
      <c r="CN7" s="31"/>
      <c r="CT7" s="31"/>
      <c r="CU7" s="31"/>
      <c r="DA7" s="31"/>
      <c r="DB7" s="31"/>
      <c r="DH7" s="31"/>
      <c r="DI7" s="31"/>
      <c r="DO7" s="31"/>
      <c r="DP7" s="31"/>
      <c r="DR7" t="s">
        <v>847</v>
      </c>
      <c r="DS7" t="s">
        <v>848</v>
      </c>
      <c r="DT7" t="s">
        <v>492</v>
      </c>
      <c r="DU7" s="29" t="s">
        <v>849</v>
      </c>
      <c r="DV7" t="s">
        <v>750</v>
      </c>
      <c r="DW7" t="s">
        <v>850</v>
      </c>
      <c r="DX7" t="s">
        <v>851</v>
      </c>
      <c r="DY7" t="s">
        <v>852</v>
      </c>
      <c r="DZ7" t="s">
        <v>853</v>
      </c>
      <c r="EA7" s="22">
        <v>43091.273692129631</v>
      </c>
      <c r="EB7" t="s">
        <v>811</v>
      </c>
      <c r="EC7" t="s">
        <v>880</v>
      </c>
      <c r="ED7" t="s">
        <v>879</v>
      </c>
    </row>
    <row r="8" spans="1:136" x14ac:dyDescent="0.35">
      <c r="A8" s="30"/>
      <c r="B8" s="22">
        <v>42935.69027777778</v>
      </c>
      <c r="C8" s="22" t="s">
        <v>737</v>
      </c>
      <c r="D8" s="30" t="s">
        <v>738</v>
      </c>
      <c r="E8" s="30" t="s">
        <v>491</v>
      </c>
      <c r="F8" s="30" t="s">
        <v>740</v>
      </c>
      <c r="G8" s="30" t="s">
        <v>739</v>
      </c>
      <c r="H8" t="s">
        <v>741</v>
      </c>
      <c r="I8" t="s">
        <v>742</v>
      </c>
      <c r="J8" t="s">
        <v>523</v>
      </c>
      <c r="L8">
        <v>1</v>
      </c>
      <c r="M8" s="26">
        <v>2.12</v>
      </c>
      <c r="N8" t="s">
        <v>590</v>
      </c>
      <c r="Q8" s="29" t="s">
        <v>532</v>
      </c>
      <c r="R8" s="29" t="str">
        <f>IFERROR(MID(RADataQTable[[#This Row],[RAtemplate]],1,LEN(RADataQTable[[#This Row],[RAtemplate]])-8),"RA") &amp; " " &amp; RADataQTable[[#This Row],[prop_id0]] &amp; " " &amp; RADataQTable[[#This Row],[last0]]</f>
        <v>RA 1751102 Vouga</v>
      </c>
      <c r="U8" s="21" t="str">
        <f>IF(signer1="PD",IF(ISBLANK(RADataQTable[[#This Row],[sign_blck_name]]),"",RADataQTable[[#This Row],[sign_blck_name]]),IF(ISBLANK(signer1),"",signer1))</f>
        <v>Jack Snoeyink</v>
      </c>
      <c r="V8" s="29" t="str">
        <f>signer2</f>
        <v>Cognizant Program Director</v>
      </c>
      <c r="W8" s="15" t="str">
        <f>HYPERLINK("https://www.ejacket.nsf.gov/ej/showProposal.do?Continue=Y&amp;ID="&amp;RADataQTable[[#This Row],[prop_id0]],"eJ")</f>
        <v>eJ</v>
      </c>
      <c r="X8" s="15" t="str">
        <f>HYPERLINK("mailto:"&amp;RADataQTable[[#This Row],[email]]&amp;"&amp;subject=Your NSF Proposal:  "&amp;RADataQTable[[#This Row],[Div]]&amp;" "&amp;RADataQTable[[#This Row],[prop_id0]], RADataQTable[[#This Row],[email]])</f>
        <v>evouga@cs.utexas.edu</v>
      </c>
      <c r="Y8" s="15" t="str">
        <f>HYPERLINK("mailto:"&amp;RADataQTable[[#This Row],[allPIemail]]&amp;"&amp;subject=NSF Proposal:  "&amp;RADataQTable[[#This Row],[Div]]&amp;" "&amp;RADataQTable[[#This Row],[prop_id0]], "PIs@")</f>
        <v>PIs@</v>
      </c>
      <c r="Z8" t="s">
        <v>746</v>
      </c>
      <c r="AA8" t="s">
        <v>680</v>
      </c>
      <c r="AB8">
        <v>4</v>
      </c>
      <c r="AC8">
        <v>4</v>
      </c>
      <c r="AD8"/>
      <c r="AE8" t="str">
        <f>IF(RADataQTable[[#This Row],[maxScore]]-RADataQTable[[#This Row],[minScore]]&gt;4,"Y","")</f>
        <v/>
      </c>
      <c r="AF8" s="21">
        <v>5</v>
      </c>
      <c r="AG8" s="26">
        <v>6.5</v>
      </c>
      <c r="AH8">
        <v>7</v>
      </c>
      <c r="AI8" t="s">
        <v>803</v>
      </c>
      <c r="AJ8" s="30">
        <v>43031.392361111109</v>
      </c>
      <c r="AK8" s="140">
        <v>523537</v>
      </c>
      <c r="AL8" s="140">
        <v>523537</v>
      </c>
      <c r="AM8">
        <v>0</v>
      </c>
      <c r="AN8" s="30">
        <v>43344</v>
      </c>
      <c r="AO8" s="21">
        <v>60</v>
      </c>
      <c r="AP8" s="21" t="s">
        <v>804</v>
      </c>
      <c r="AS8" s="30"/>
      <c r="AT8" t="s">
        <v>524</v>
      </c>
      <c r="AU8" s="21" t="s">
        <v>588</v>
      </c>
      <c r="AV8" s="21">
        <v>12</v>
      </c>
      <c r="AW8" s="21" t="s">
        <v>844</v>
      </c>
      <c r="AX8" s="30">
        <v>43032</v>
      </c>
      <c r="AY8" s="21" t="s">
        <v>876</v>
      </c>
      <c r="AZ8" s="21" t="s">
        <v>846</v>
      </c>
      <c r="BA8" s="21">
        <v>14</v>
      </c>
      <c r="BG8" s="30"/>
      <c r="BP8" s="30"/>
      <c r="BU8" t="s">
        <v>680</v>
      </c>
      <c r="BV8" s="21" t="s">
        <v>681</v>
      </c>
      <c r="BW8" s="21" t="s">
        <v>801</v>
      </c>
      <c r="BX8" s="21" t="s">
        <v>802</v>
      </c>
      <c r="BY8" s="31">
        <v>523537</v>
      </c>
      <c r="BZ8" s="31">
        <v>523537</v>
      </c>
      <c r="CA8" t="s">
        <v>753</v>
      </c>
      <c r="CF8" s="31"/>
      <c r="CG8" s="31"/>
      <c r="CM8" s="31"/>
      <c r="CN8" s="31"/>
      <c r="CT8" s="31"/>
      <c r="CU8" s="31"/>
      <c r="DA8" s="31"/>
      <c r="DB8" s="31"/>
      <c r="DH8" s="31"/>
      <c r="DI8" s="31"/>
      <c r="DO8" s="31"/>
      <c r="DP8" s="31"/>
      <c r="DR8" t="s">
        <v>847</v>
      </c>
      <c r="DS8" t="s">
        <v>848</v>
      </c>
      <c r="DT8" t="s">
        <v>492</v>
      </c>
      <c r="DU8" s="29" t="s">
        <v>849</v>
      </c>
      <c r="DV8" t="s">
        <v>750</v>
      </c>
      <c r="DW8" t="s">
        <v>850</v>
      </c>
      <c r="DX8" t="s">
        <v>851</v>
      </c>
      <c r="DY8" t="s">
        <v>852</v>
      </c>
      <c r="DZ8" t="s">
        <v>853</v>
      </c>
      <c r="EA8" s="22">
        <v>43091.273692129631</v>
      </c>
      <c r="EB8" t="s">
        <v>805</v>
      </c>
      <c r="EC8" t="s">
        <v>877</v>
      </c>
    </row>
    <row r="9" spans="1:136" x14ac:dyDescent="0.35">
      <c r="A9" s="30"/>
      <c r="B9" s="22">
        <v>42956.472222222219</v>
      </c>
      <c r="C9" s="22" t="s">
        <v>812</v>
      </c>
      <c r="D9" s="30" t="s">
        <v>738</v>
      </c>
      <c r="E9" s="30" t="s">
        <v>489</v>
      </c>
      <c r="F9" s="30" t="s">
        <v>740</v>
      </c>
      <c r="G9" s="30" t="s">
        <v>739</v>
      </c>
      <c r="H9" t="s">
        <v>741</v>
      </c>
      <c r="I9" t="s">
        <v>813</v>
      </c>
      <c r="J9" t="s">
        <v>523</v>
      </c>
      <c r="K9" s="22">
        <v>43082.662800925929</v>
      </c>
      <c r="L9">
        <v>1</v>
      </c>
      <c r="M9" s="26">
        <v>3.04</v>
      </c>
      <c r="N9" t="s">
        <v>565</v>
      </c>
      <c r="Q9" s="29" t="s">
        <v>532</v>
      </c>
      <c r="R9" s="29" t="str">
        <f>IFERROR(MID(RADataQTable[[#This Row],[RAtemplate]],1,LEN(RADataQTable[[#This Row],[RAtemplate]])-8),"RA") &amp; " " &amp; RADataQTable[[#This Row],[prop_id0]] &amp; " " &amp; RADataQTable[[#This Row],[last0]]</f>
        <v>RA 1755702 Charkhgard</v>
      </c>
      <c r="U9" s="21" t="str">
        <f>IF(signer1="PD",IF(ISBLANK(RADataQTable[[#This Row],[sign_blck_name]]),"",RADataQTable[[#This Row],[sign_blck_name]]),IF(ISBLANK(signer1),"",signer1))</f>
        <v>Jack Snoeyink</v>
      </c>
      <c r="V9" s="29" t="str">
        <f>signer2</f>
        <v>Cognizant Program Director</v>
      </c>
      <c r="W9" s="15" t="str">
        <f>HYPERLINK("https://www.ejacket.nsf.gov/ej/showProposal.do?Continue=Y&amp;ID="&amp;RADataQTable[[#This Row],[prop_id0]],"eJ")</f>
        <v>eJ</v>
      </c>
      <c r="X9" s="15" t="str">
        <f>HYPERLINK("mailto:"&amp;RADataQTable[[#This Row],[email]]&amp;"&amp;subject=Your NSF Proposal:  "&amp;RADataQTable[[#This Row],[Div]]&amp;" "&amp;RADataQTable[[#This Row],[prop_id0]], RADataQTable[[#This Row],[email]])</f>
        <v>hcharkhgard@usf.edu</v>
      </c>
      <c r="Y9" s="15" t="str">
        <f>HYPERLINK("mailto:"&amp;RADataQTable[[#This Row],[allPIemail]]&amp;"&amp;subject=NSF Proposal:  "&amp;RADataQTable[[#This Row],[Div]]&amp;" "&amp;RADataQTable[[#This Row],[prop_id0]], "PIs@")</f>
        <v>PIs@</v>
      </c>
      <c r="Z9" t="s">
        <v>746</v>
      </c>
      <c r="AA9" t="s">
        <v>697</v>
      </c>
      <c r="AB9">
        <v>3</v>
      </c>
      <c r="AC9">
        <v>3</v>
      </c>
      <c r="AD9"/>
      <c r="AE9" t="str">
        <f>IF(RADataQTable[[#This Row],[maxScore]]-RADataQTable[[#This Row],[minScore]]&gt;4,"Y","")</f>
        <v/>
      </c>
      <c r="AF9" s="21">
        <v>5</v>
      </c>
      <c r="AG9" s="26">
        <v>5</v>
      </c>
      <c r="AH9">
        <v>5</v>
      </c>
      <c r="AI9" t="s">
        <v>818</v>
      </c>
      <c r="AJ9" s="30">
        <v>43031.770833333336</v>
      </c>
      <c r="AK9" s="140">
        <v>172682</v>
      </c>
      <c r="AL9" s="140">
        <v>172682</v>
      </c>
      <c r="AM9">
        <v>0</v>
      </c>
      <c r="AN9" s="30">
        <v>43221</v>
      </c>
      <c r="AO9" s="21">
        <v>24</v>
      </c>
      <c r="AP9" s="21" t="s">
        <v>819</v>
      </c>
      <c r="AS9" s="30"/>
      <c r="AT9" t="s">
        <v>524</v>
      </c>
      <c r="AU9" s="21" t="s">
        <v>562</v>
      </c>
      <c r="AV9" s="21">
        <v>4</v>
      </c>
      <c r="AW9" s="21" t="s">
        <v>844</v>
      </c>
      <c r="AX9" s="30">
        <v>43032</v>
      </c>
      <c r="AY9" s="21" t="s">
        <v>881</v>
      </c>
      <c r="AZ9" s="21" t="s">
        <v>846</v>
      </c>
      <c r="BA9" s="21">
        <v>14</v>
      </c>
      <c r="BG9" s="30"/>
      <c r="BP9" s="30"/>
      <c r="BU9" t="s">
        <v>697</v>
      </c>
      <c r="BV9" s="21" t="s">
        <v>698</v>
      </c>
      <c r="BW9" s="21" t="s">
        <v>816</v>
      </c>
      <c r="BX9" s="21" t="s">
        <v>817</v>
      </c>
      <c r="BY9" s="31">
        <v>172682</v>
      </c>
      <c r="BZ9" s="31">
        <v>172682</v>
      </c>
      <c r="CA9" t="s">
        <v>814</v>
      </c>
      <c r="CF9" s="31"/>
      <c r="CG9" s="31"/>
      <c r="CM9" s="31"/>
      <c r="CN9" s="31"/>
      <c r="CT9" s="31"/>
      <c r="CU9" s="31"/>
      <c r="DA9" s="31"/>
      <c r="DB9" s="31"/>
      <c r="DH9" s="31"/>
      <c r="DI9" s="31"/>
      <c r="DO9" s="31"/>
      <c r="DP9" s="31"/>
      <c r="DR9" t="s">
        <v>882</v>
      </c>
      <c r="DS9" t="s">
        <v>848</v>
      </c>
      <c r="DT9" t="s">
        <v>490</v>
      </c>
      <c r="DU9" s="29" t="s">
        <v>849</v>
      </c>
      <c r="DV9" t="s">
        <v>750</v>
      </c>
      <c r="DW9" t="s">
        <v>850</v>
      </c>
      <c r="DX9" t="s">
        <v>851</v>
      </c>
      <c r="DY9" t="s">
        <v>852</v>
      </c>
      <c r="DZ9" t="s">
        <v>853</v>
      </c>
      <c r="EA9" s="22">
        <v>43091.273692129631</v>
      </c>
      <c r="EB9" t="s">
        <v>820</v>
      </c>
      <c r="EC9" t="s">
        <v>883</v>
      </c>
    </row>
    <row r="10" spans="1:136" x14ac:dyDescent="0.35">
      <c r="A10" s="30"/>
      <c r="B10" s="22">
        <v>42933.547222222223</v>
      </c>
      <c r="C10" s="22" t="s">
        <v>737</v>
      </c>
      <c r="D10" s="30" t="s">
        <v>738</v>
      </c>
      <c r="E10" s="30" t="s">
        <v>491</v>
      </c>
      <c r="F10" s="30" t="s">
        <v>740</v>
      </c>
      <c r="G10" s="30" t="s">
        <v>739</v>
      </c>
      <c r="H10" t="s">
        <v>741</v>
      </c>
      <c r="I10" t="s">
        <v>742</v>
      </c>
      <c r="J10" t="s">
        <v>523</v>
      </c>
      <c r="K10" s="22">
        <v>43082.662557870368</v>
      </c>
      <c r="L10">
        <v>1</v>
      </c>
      <c r="M10" s="26">
        <v>3.13</v>
      </c>
      <c r="N10" t="s">
        <v>565</v>
      </c>
      <c r="Q10" s="29" t="s">
        <v>532</v>
      </c>
      <c r="R10" s="29" t="str">
        <f>IFERROR(MID(RADataQTable[[#This Row],[RAtemplate]],1,LEN(RADataQTable[[#This Row],[RAtemplate]])-8),"RA") &amp; " " &amp; RADataQTable[[#This Row],[prop_id0]] &amp; " " &amp; RADataQTable[[#This Row],[last0]]</f>
        <v>RA 1749385 Wang</v>
      </c>
      <c r="U10" s="21" t="str">
        <f>IF(signer1="PD",IF(ISBLANK(RADataQTable[[#This Row],[sign_blck_name]]),"",RADataQTable[[#This Row],[sign_blck_name]]),IF(ISBLANK(signer1),"",signer1))</f>
        <v>Jack Snoeyink</v>
      </c>
      <c r="V10" s="29" t="str">
        <f>signer2</f>
        <v>Cognizant Program Director</v>
      </c>
      <c r="W10" s="15" t="str">
        <f>HYPERLINK("https://www.ejacket.nsf.gov/ej/showProposal.do?Continue=Y&amp;ID="&amp;RADataQTable[[#This Row],[prop_id0]],"eJ")</f>
        <v>eJ</v>
      </c>
      <c r="X10" s="15" t="str">
        <f>HYPERLINK("mailto:"&amp;RADataQTable[[#This Row],[email]]&amp;"&amp;subject=Your NSF Proposal:  "&amp;RADataQTable[[#This Row],[Div]]&amp;" "&amp;RADataQTable[[#This Row],[prop_id0]], RADataQTable[[#This Row],[email]])</f>
        <v>haitao.wang@usu.edu</v>
      </c>
      <c r="Y10" s="15" t="str">
        <f>HYPERLINK("mailto:"&amp;RADataQTable[[#This Row],[allPIemail]]&amp;"&amp;subject=NSF Proposal:  "&amp;RADataQTable[[#This Row],[Div]]&amp;" "&amp;RADataQTable[[#This Row],[prop_id0]], "PIs@")</f>
        <v>PIs@</v>
      </c>
      <c r="Z10" t="s">
        <v>746</v>
      </c>
      <c r="AA10" t="s">
        <v>560</v>
      </c>
      <c r="AB10">
        <v>4</v>
      </c>
      <c r="AC10">
        <v>4</v>
      </c>
      <c r="AD10"/>
      <c r="AE10" t="str">
        <f>IF(RADataQTable[[#This Row],[maxScore]]-RADataQTable[[#This Row],[minScore]]&gt;4,"Y","")</f>
        <v>Y</v>
      </c>
      <c r="AF10" s="21">
        <v>4</v>
      </c>
      <c r="AG10" s="26">
        <v>6.25</v>
      </c>
      <c r="AH10">
        <v>9</v>
      </c>
      <c r="AI10" t="s">
        <v>757</v>
      </c>
      <c r="AJ10" s="30">
        <v>43030.179166666669</v>
      </c>
      <c r="AK10" s="140">
        <v>524898</v>
      </c>
      <c r="AL10" s="140">
        <v>524898</v>
      </c>
      <c r="AM10">
        <v>0</v>
      </c>
      <c r="AN10" s="30">
        <v>43221</v>
      </c>
      <c r="AO10" s="21">
        <v>60</v>
      </c>
      <c r="AP10" s="21" t="s">
        <v>758</v>
      </c>
      <c r="AS10" s="30"/>
      <c r="AT10" t="s">
        <v>524</v>
      </c>
      <c r="AU10" s="21" t="s">
        <v>562</v>
      </c>
      <c r="AV10" s="21">
        <v>13</v>
      </c>
      <c r="AW10" s="21" t="s">
        <v>844</v>
      </c>
      <c r="AX10" s="30">
        <v>43032</v>
      </c>
      <c r="AY10" s="21" t="s">
        <v>855</v>
      </c>
      <c r="AZ10" s="21" t="s">
        <v>846</v>
      </c>
      <c r="BA10" s="21">
        <v>14</v>
      </c>
      <c r="BG10" s="30"/>
      <c r="BP10" s="30"/>
      <c r="BU10" t="s">
        <v>560</v>
      </c>
      <c r="BV10" s="21" t="s">
        <v>561</v>
      </c>
      <c r="BW10" s="21" t="s">
        <v>755</v>
      </c>
      <c r="BX10" s="21" t="s">
        <v>756</v>
      </c>
      <c r="BY10" s="31">
        <v>524898</v>
      </c>
      <c r="BZ10" s="31">
        <v>524898</v>
      </c>
      <c r="CA10" t="s">
        <v>753</v>
      </c>
      <c r="CF10" s="31"/>
      <c r="CG10" s="31"/>
      <c r="CM10" s="31"/>
      <c r="CN10" s="31"/>
      <c r="CT10" s="31"/>
      <c r="CU10" s="31"/>
      <c r="DA10" s="31"/>
      <c r="DB10" s="31"/>
      <c r="DH10" s="31"/>
      <c r="DI10" s="31"/>
      <c r="DO10" s="31"/>
      <c r="DP10" s="31"/>
      <c r="DR10" t="s">
        <v>847</v>
      </c>
      <c r="DS10" t="s">
        <v>848</v>
      </c>
      <c r="DT10" t="s">
        <v>492</v>
      </c>
      <c r="DU10" s="29" t="s">
        <v>849</v>
      </c>
      <c r="DV10" t="s">
        <v>750</v>
      </c>
      <c r="DW10" t="s">
        <v>850</v>
      </c>
      <c r="DX10" t="s">
        <v>851</v>
      </c>
      <c r="DY10" t="s">
        <v>852</v>
      </c>
      <c r="DZ10" t="s">
        <v>853</v>
      </c>
      <c r="EA10" s="22">
        <v>43091.273692129631</v>
      </c>
      <c r="EB10" t="s">
        <v>759</v>
      </c>
      <c r="EC10" t="s">
        <v>856</v>
      </c>
    </row>
    <row r="11" spans="1:136" x14ac:dyDescent="0.35">
      <c r="A11" s="30"/>
      <c r="B11" s="22">
        <v>42934.695138888892</v>
      </c>
      <c r="C11" s="22" t="s">
        <v>737</v>
      </c>
      <c r="D11" s="30" t="s">
        <v>738</v>
      </c>
      <c r="E11" s="30" t="s">
        <v>491</v>
      </c>
      <c r="F11" s="30" t="s">
        <v>740</v>
      </c>
      <c r="G11" s="30" t="s">
        <v>739</v>
      </c>
      <c r="H11" t="s">
        <v>741</v>
      </c>
      <c r="I11" t="s">
        <v>742</v>
      </c>
      <c r="J11" t="s">
        <v>523</v>
      </c>
      <c r="K11" s="22">
        <v>43082.662685185183</v>
      </c>
      <c r="L11">
        <v>1</v>
      </c>
      <c r="M11" s="26">
        <v>3.13</v>
      </c>
      <c r="N11" t="s">
        <v>565</v>
      </c>
      <c r="Q11" s="29" t="s">
        <v>532</v>
      </c>
      <c r="R11" s="29" t="str">
        <f>IFERROR(MID(RADataQTable[[#This Row],[RAtemplate]],1,LEN(RADataQTable[[#This Row],[RAtemplate]])-8),"RA") &amp; " " &amp; RADataQTable[[#This Row],[prop_id0]] &amp; " " &amp; RADataQTable[[#This Row],[last0]]</f>
        <v>RA 1749977 Solomon</v>
      </c>
      <c r="U11" s="21" t="str">
        <f>IF(signer1="PD",IF(ISBLANK(RADataQTable[[#This Row],[sign_blck_name]]),"",RADataQTable[[#This Row],[sign_blck_name]]),IF(ISBLANK(signer1),"",signer1))</f>
        <v>Jack Snoeyink</v>
      </c>
      <c r="V11" s="29" t="str">
        <f>signer2</f>
        <v>Cognizant Program Director</v>
      </c>
      <c r="W11" s="15" t="str">
        <f>HYPERLINK("https://www.ejacket.nsf.gov/ej/showProposal.do?Continue=Y&amp;ID="&amp;RADataQTable[[#This Row],[prop_id0]],"eJ")</f>
        <v>eJ</v>
      </c>
      <c r="X11" s="15" t="str">
        <f>HYPERLINK("mailto:"&amp;RADataQTable[[#This Row],[email]]&amp;"&amp;subject=Your NSF Proposal:  "&amp;RADataQTable[[#This Row],[Div]]&amp;" "&amp;RADataQTable[[#This Row],[prop_id0]], RADataQTable[[#This Row],[email]])</f>
        <v>jsolomon@mit.edu</v>
      </c>
      <c r="Y11" s="15" t="str">
        <f>HYPERLINK("mailto:"&amp;RADataQTable[[#This Row],[allPIemail]]&amp;"&amp;subject=NSF Proposal:  "&amp;RADataQTable[[#This Row],[Div]]&amp;" "&amp;RADataQTable[[#This Row],[prop_id0]], "PIs@")</f>
        <v>PIs@</v>
      </c>
      <c r="Z11" t="s">
        <v>746</v>
      </c>
      <c r="AA11" t="s">
        <v>634</v>
      </c>
      <c r="AB11">
        <v>4</v>
      </c>
      <c r="AC11">
        <v>4</v>
      </c>
      <c r="AD11"/>
      <c r="AE11" t="str">
        <f>IF(RADataQTable[[#This Row],[maxScore]]-RADataQTable[[#This Row],[minScore]]&gt;4,"Y","")</f>
        <v>Y</v>
      </c>
      <c r="AF11" s="21">
        <v>3</v>
      </c>
      <c r="AG11" s="26">
        <v>6.25</v>
      </c>
      <c r="AH11">
        <v>9</v>
      </c>
      <c r="AI11" t="s">
        <v>780</v>
      </c>
      <c r="AJ11" s="30">
        <v>43030.972222222219</v>
      </c>
      <c r="AK11" s="140">
        <v>550000</v>
      </c>
      <c r="AL11" s="140">
        <v>550000</v>
      </c>
      <c r="AM11">
        <v>0</v>
      </c>
      <c r="AN11" s="30">
        <v>43101</v>
      </c>
      <c r="AO11" s="21">
        <v>60</v>
      </c>
      <c r="AP11" s="21" t="s">
        <v>781</v>
      </c>
      <c r="AS11" s="30"/>
      <c r="AT11" t="s">
        <v>524</v>
      </c>
      <c r="AU11" s="21" t="s">
        <v>562</v>
      </c>
      <c r="AV11" s="21">
        <v>13</v>
      </c>
      <c r="AW11" s="21" t="s">
        <v>844</v>
      </c>
      <c r="AX11" s="30">
        <v>43032</v>
      </c>
      <c r="AY11" s="21" t="s">
        <v>866</v>
      </c>
      <c r="AZ11" s="21" t="s">
        <v>846</v>
      </c>
      <c r="BA11" s="21">
        <v>14</v>
      </c>
      <c r="BB11" s="21">
        <v>2</v>
      </c>
      <c r="BG11" s="30"/>
      <c r="BP11" s="30"/>
      <c r="BU11" t="s">
        <v>634</v>
      </c>
      <c r="BV11" s="21" t="s">
        <v>635</v>
      </c>
      <c r="BW11" s="21" t="s">
        <v>779</v>
      </c>
      <c r="BX11" s="21" t="s">
        <v>509</v>
      </c>
      <c r="BY11" s="31">
        <v>550000</v>
      </c>
      <c r="BZ11" s="31">
        <v>550000</v>
      </c>
      <c r="CA11" t="s">
        <v>753</v>
      </c>
      <c r="CF11" s="31"/>
      <c r="CG11" s="31"/>
      <c r="CM11" s="31"/>
      <c r="CN11" s="31"/>
      <c r="CT11" s="31"/>
      <c r="CU11" s="31"/>
      <c r="DA11" s="31"/>
      <c r="DB11" s="31"/>
      <c r="DH11" s="31"/>
      <c r="DI11" s="31"/>
      <c r="DO11" s="31"/>
      <c r="DP11" s="31"/>
      <c r="DR11" t="s">
        <v>847</v>
      </c>
      <c r="DS11" t="s">
        <v>848</v>
      </c>
      <c r="DT11" t="s">
        <v>492</v>
      </c>
      <c r="DU11" s="29" t="s">
        <v>849</v>
      </c>
      <c r="DV11" t="s">
        <v>750</v>
      </c>
      <c r="DW11" t="s">
        <v>850</v>
      </c>
      <c r="DX11" t="s">
        <v>851</v>
      </c>
      <c r="DY11" t="s">
        <v>852</v>
      </c>
      <c r="DZ11" t="s">
        <v>853</v>
      </c>
      <c r="EA11" s="22">
        <v>43091.273692129631</v>
      </c>
      <c r="EB11" t="s">
        <v>782</v>
      </c>
      <c r="EC11" t="s">
        <v>868</v>
      </c>
      <c r="ED11" t="s">
        <v>867</v>
      </c>
    </row>
    <row r="12" spans="1:136" x14ac:dyDescent="0.35">
      <c r="A12" s="30"/>
      <c r="B12" s="22">
        <v>42935.680555555555</v>
      </c>
      <c r="C12" s="22" t="s">
        <v>737</v>
      </c>
      <c r="D12" s="30" t="s">
        <v>738</v>
      </c>
      <c r="E12" s="30" t="s">
        <v>491</v>
      </c>
      <c r="F12" s="30" t="s">
        <v>740</v>
      </c>
      <c r="G12" s="30" t="s">
        <v>739</v>
      </c>
      <c r="H12" t="s">
        <v>741</v>
      </c>
      <c r="I12" t="s">
        <v>742</v>
      </c>
      <c r="J12" t="s">
        <v>523</v>
      </c>
      <c r="K12" s="22">
        <v>43082.668969907405</v>
      </c>
      <c r="L12">
        <v>1</v>
      </c>
      <c r="M12" s="26">
        <v>3.13</v>
      </c>
      <c r="N12" t="s">
        <v>565</v>
      </c>
      <c r="Q12" s="29" t="s">
        <v>532</v>
      </c>
      <c r="R12" s="29" t="str">
        <f>IFERROR(MID(RADataQTable[[#This Row],[RAtemplate]],1,LEN(RADataQTable[[#This Row],[RAtemplate]])-8),"RA") &amp; " " &amp; RADataQTable[[#This Row],[prop_id0]] &amp; " " &amp; RADataQTable[[#This Row],[last0]]</f>
        <v>RA 1751047 Gibson</v>
      </c>
      <c r="U12" s="21" t="str">
        <f>IF(signer1="PD",IF(ISBLANK(RADataQTable[[#This Row],[sign_blck_name]]),"",RADataQTable[[#This Row],[sign_blck_name]]),IF(ISBLANK(signer1),"",signer1))</f>
        <v>Jack Snoeyink</v>
      </c>
      <c r="V12" s="29" t="str">
        <f>signer2</f>
        <v>Cognizant Program Director</v>
      </c>
      <c r="W12" s="15" t="str">
        <f>HYPERLINK("https://www.ejacket.nsf.gov/ej/showProposal.do?Continue=Y&amp;ID="&amp;RADataQTable[[#This Row],[prop_id0]],"eJ")</f>
        <v>eJ</v>
      </c>
      <c r="X12" s="15" t="str">
        <f>HYPERLINK("mailto:"&amp;RADataQTable[[#This Row],[email]]&amp;"&amp;subject=Your NSF Proposal:  "&amp;RADataQTable[[#This Row],[Div]]&amp;" "&amp;RADataQTable[[#This Row],[prop_id0]], RADataQTable[[#This Row],[email]])</f>
        <v>MATTHEW.GIBSON@UTSA.EDU</v>
      </c>
      <c r="Y12" s="15" t="str">
        <f>HYPERLINK("mailto:"&amp;RADataQTable[[#This Row],[allPIemail]]&amp;"&amp;subject=NSF Proposal:  "&amp;RADataQTable[[#This Row],[Div]]&amp;" "&amp;RADataQTable[[#This Row],[prop_id0]], "PIs@")</f>
        <v>PIs@</v>
      </c>
      <c r="Z12" t="s">
        <v>746</v>
      </c>
      <c r="AA12" t="s">
        <v>671</v>
      </c>
      <c r="AB12">
        <v>4</v>
      </c>
      <c r="AC12">
        <v>4</v>
      </c>
      <c r="AD12"/>
      <c r="AE12" t="str">
        <f>IF(RADataQTable[[#This Row],[maxScore]]-RADataQTable[[#This Row],[minScore]]&gt;4,"Y","")</f>
        <v/>
      </c>
      <c r="AF12" s="21">
        <v>3</v>
      </c>
      <c r="AG12" s="26">
        <v>4.75</v>
      </c>
      <c r="AH12">
        <v>7</v>
      </c>
      <c r="AI12" t="s">
        <v>798</v>
      </c>
      <c r="AJ12" s="30">
        <v>43030.177777777775</v>
      </c>
      <c r="AK12" s="140">
        <v>415497</v>
      </c>
      <c r="AL12" s="140">
        <v>415497</v>
      </c>
      <c r="AM12">
        <v>0</v>
      </c>
      <c r="AN12" s="30">
        <v>43132</v>
      </c>
      <c r="AO12" s="21">
        <v>60</v>
      </c>
      <c r="AP12" s="21" t="s">
        <v>799</v>
      </c>
      <c r="AS12" s="30"/>
      <c r="AT12" t="s">
        <v>524</v>
      </c>
      <c r="AU12" s="21" t="s">
        <v>562</v>
      </c>
      <c r="AV12" s="21">
        <v>13</v>
      </c>
      <c r="AW12" s="21" t="s">
        <v>844</v>
      </c>
      <c r="AX12" s="30">
        <v>43032</v>
      </c>
      <c r="AY12" s="21" t="s">
        <v>874</v>
      </c>
      <c r="AZ12" s="21" t="s">
        <v>846</v>
      </c>
      <c r="BA12" s="21">
        <v>14</v>
      </c>
      <c r="BG12" s="30"/>
      <c r="BP12" s="30"/>
      <c r="BU12" t="s">
        <v>671</v>
      </c>
      <c r="BV12" s="21" t="s">
        <v>672</v>
      </c>
      <c r="BW12" s="21" t="s">
        <v>796</v>
      </c>
      <c r="BX12" s="21" t="s">
        <v>797</v>
      </c>
      <c r="BY12" s="31">
        <v>415497</v>
      </c>
      <c r="BZ12" s="31">
        <v>415497</v>
      </c>
      <c r="CA12" t="s">
        <v>753</v>
      </c>
      <c r="CF12" s="31"/>
      <c r="CG12" s="31"/>
      <c r="CM12" s="31"/>
      <c r="CN12" s="31"/>
      <c r="CT12" s="31"/>
      <c r="CU12" s="31"/>
      <c r="DA12" s="31"/>
      <c r="DB12" s="31"/>
      <c r="DH12" s="31"/>
      <c r="DI12" s="31"/>
      <c r="DO12" s="31"/>
      <c r="DP12" s="31"/>
      <c r="DR12" t="s">
        <v>847</v>
      </c>
      <c r="DS12" t="s">
        <v>848</v>
      </c>
      <c r="DT12" t="s">
        <v>492</v>
      </c>
      <c r="DU12" s="29" t="s">
        <v>849</v>
      </c>
      <c r="DV12" t="s">
        <v>750</v>
      </c>
      <c r="DW12" t="s">
        <v>850</v>
      </c>
      <c r="DX12" t="s">
        <v>851</v>
      </c>
      <c r="DY12" t="s">
        <v>852</v>
      </c>
      <c r="DZ12" t="s">
        <v>853</v>
      </c>
      <c r="EA12" s="22">
        <v>43091.273692129631</v>
      </c>
      <c r="EB12" t="s">
        <v>800</v>
      </c>
      <c r="EC12" t="s">
        <v>875</v>
      </c>
    </row>
    <row r="13" spans="1:136" x14ac:dyDescent="0.35">
      <c r="A13" s="30"/>
      <c r="B13" s="22">
        <v>42956.647916666669</v>
      </c>
      <c r="C13" s="22" t="s">
        <v>812</v>
      </c>
      <c r="D13" s="30" t="s">
        <v>738</v>
      </c>
      <c r="E13" s="30" t="s">
        <v>489</v>
      </c>
      <c r="F13" s="30" t="s">
        <v>740</v>
      </c>
      <c r="G13" s="30" t="s">
        <v>739</v>
      </c>
      <c r="H13" t="s">
        <v>741</v>
      </c>
      <c r="I13" t="s">
        <v>813</v>
      </c>
      <c r="J13" t="s">
        <v>523</v>
      </c>
      <c r="K13" s="22">
        <v>43082.669189814813</v>
      </c>
      <c r="L13">
        <v>1</v>
      </c>
      <c r="M13" s="26">
        <v>4.05</v>
      </c>
      <c r="N13" t="s">
        <v>529</v>
      </c>
      <c r="Q13" s="29" t="s">
        <v>532</v>
      </c>
      <c r="R13" s="29" t="str">
        <f>IFERROR(MID(RADataQTable[[#This Row],[RAtemplate]],1,LEN(RADataQTable[[#This Row],[RAtemplate]])-8),"RA") &amp; " " &amp; RADataQTable[[#This Row],[prop_id0]] &amp; " " &amp; RADataQTable[[#This Row],[last0]]</f>
        <v>RA 1755881 San</v>
      </c>
      <c r="U13" s="21" t="str">
        <f>IF(signer1="PD",IF(ISBLANK(RADataQTable[[#This Row],[sign_blck_name]]),"",RADataQTable[[#This Row],[sign_blck_name]]),IF(ISBLANK(signer1),"",signer1))</f>
        <v>Jack Snoeyink</v>
      </c>
      <c r="V13" s="29" t="str">
        <f>signer2</f>
        <v>Cognizant Program Director</v>
      </c>
      <c r="W13" s="15" t="str">
        <f>HYPERLINK("https://www.ejacket.nsf.gov/ej/showProposal.do?Continue=Y&amp;ID="&amp;RADataQTable[[#This Row],[prop_id0]],"eJ")</f>
        <v>eJ</v>
      </c>
      <c r="X13" s="15" t="str">
        <f>HYPERLINK("mailto:"&amp;RADataQTable[[#This Row],[email]]&amp;"&amp;subject=Your NSF Proposal:  "&amp;RADataQTable[[#This Row],[Div]]&amp;" "&amp;RADataQTable[[#This Row],[prop_id0]], RADataQTable[[#This Row],[email]])</f>
        <v>osan@okstate.edu</v>
      </c>
      <c r="Y13" s="15" t="str">
        <f>HYPERLINK("mailto:"&amp;RADataQTable[[#This Row],[allPIemail]]&amp;"&amp;subject=NSF Proposal:  "&amp;RADataQTable[[#This Row],[Div]]&amp;" "&amp;RADataQTable[[#This Row],[prop_id0]], "PIs@")</f>
        <v>PIs@</v>
      </c>
      <c r="Z13" t="s">
        <v>746</v>
      </c>
      <c r="AA13" t="s">
        <v>705</v>
      </c>
      <c r="AB13">
        <v>3</v>
      </c>
      <c r="AC13">
        <v>3</v>
      </c>
      <c r="AD13"/>
      <c r="AE13" t="str">
        <f>IF(RADataQTable[[#This Row],[maxScore]]-RADataQTable[[#This Row],[minScore]]&gt;4,"Y","")</f>
        <v>Y</v>
      </c>
      <c r="AF13" s="21">
        <v>3</v>
      </c>
      <c r="AG13" s="26">
        <v>5.333333333333333</v>
      </c>
      <c r="AH13">
        <v>8</v>
      </c>
      <c r="AI13" t="s">
        <v>824</v>
      </c>
      <c r="AJ13" s="30">
        <v>43031.741666666669</v>
      </c>
      <c r="AK13" s="140">
        <v>170144</v>
      </c>
      <c r="AL13" s="140">
        <v>170144</v>
      </c>
      <c r="AM13">
        <v>0</v>
      </c>
      <c r="AN13" s="30">
        <v>43252</v>
      </c>
      <c r="AO13" s="21">
        <v>24</v>
      </c>
      <c r="AP13" s="21" t="s">
        <v>825</v>
      </c>
      <c r="AS13" s="30"/>
      <c r="AT13" t="s">
        <v>524</v>
      </c>
      <c r="AU13" s="21" t="s">
        <v>526</v>
      </c>
      <c r="AV13" s="21">
        <v>5</v>
      </c>
      <c r="AW13" s="21" t="s">
        <v>844</v>
      </c>
      <c r="AX13" s="30">
        <v>43032</v>
      </c>
      <c r="AY13" s="21" t="s">
        <v>884</v>
      </c>
      <c r="AZ13" s="21" t="s">
        <v>846</v>
      </c>
      <c r="BA13" s="21">
        <v>14</v>
      </c>
      <c r="BG13" s="30"/>
      <c r="BP13" s="30"/>
      <c r="BU13" t="s">
        <v>705</v>
      </c>
      <c r="BV13" s="21" t="s">
        <v>706</v>
      </c>
      <c r="BW13" s="21" t="s">
        <v>822</v>
      </c>
      <c r="BX13" s="21" t="s">
        <v>823</v>
      </c>
      <c r="BY13" s="31">
        <v>170144</v>
      </c>
      <c r="BZ13" s="31">
        <v>170144</v>
      </c>
      <c r="CA13" t="s">
        <v>821</v>
      </c>
      <c r="CF13" s="31"/>
      <c r="CG13" s="31"/>
      <c r="CM13" s="31"/>
      <c r="CN13" s="31"/>
      <c r="CT13" s="31"/>
      <c r="CU13" s="31"/>
      <c r="DA13" s="31"/>
      <c r="DB13" s="31"/>
      <c r="DH13" s="31"/>
      <c r="DI13" s="31"/>
      <c r="DO13" s="31"/>
      <c r="DP13" s="31"/>
      <c r="DR13" t="s">
        <v>882</v>
      </c>
      <c r="DS13" t="s">
        <v>848</v>
      </c>
      <c r="DT13" t="s">
        <v>490</v>
      </c>
      <c r="DU13" s="29" t="s">
        <v>849</v>
      </c>
      <c r="DV13" t="s">
        <v>750</v>
      </c>
      <c r="DW13" t="s">
        <v>850</v>
      </c>
      <c r="DX13" t="s">
        <v>851</v>
      </c>
      <c r="DY13" t="s">
        <v>852</v>
      </c>
      <c r="DZ13" t="s">
        <v>853</v>
      </c>
      <c r="EA13" s="22">
        <v>43091.273692129631</v>
      </c>
      <c r="EB13" t="s">
        <v>826</v>
      </c>
      <c r="EC13" t="s">
        <v>885</v>
      </c>
    </row>
    <row r="14" spans="1:136" x14ac:dyDescent="0.35">
      <c r="A14" s="30"/>
      <c r="B14" s="22">
        <v>42956.697222222225</v>
      </c>
      <c r="C14" s="22" t="s">
        <v>812</v>
      </c>
      <c r="D14" s="30" t="s">
        <v>738</v>
      </c>
      <c r="E14" s="30" t="s">
        <v>489</v>
      </c>
      <c r="F14" s="30" t="s">
        <v>740</v>
      </c>
      <c r="G14" s="30" t="s">
        <v>739</v>
      </c>
      <c r="H14" t="s">
        <v>741</v>
      </c>
      <c r="I14" t="s">
        <v>813</v>
      </c>
      <c r="J14" t="s">
        <v>523</v>
      </c>
      <c r="K14" s="22">
        <v>43076.608877314815</v>
      </c>
      <c r="L14">
        <v>1</v>
      </c>
      <c r="M14" s="26">
        <v>4.05</v>
      </c>
      <c r="N14" t="s">
        <v>529</v>
      </c>
      <c r="Q14" s="29" t="s">
        <v>532</v>
      </c>
      <c r="R14" s="29" t="str">
        <f>IFERROR(MID(RADataQTable[[#This Row],[RAtemplate]],1,LEN(RADataQTable[[#This Row],[RAtemplate]])-8),"RA") &amp; " " &amp; RADataQTable[[#This Row],[prop_id0]] &amp; " " &amp; RADataQTable[[#This Row],[last0]]</f>
        <v>RA 1755954 Hajimirza</v>
      </c>
      <c r="U14" s="21" t="str">
        <f>IF(signer1="PD",IF(ISBLANK(RADataQTable[[#This Row],[sign_blck_name]]),"",RADataQTable[[#This Row],[sign_blck_name]]),IF(ISBLANK(signer1),"",signer1))</f>
        <v>Jack Snoeyink</v>
      </c>
      <c r="V14" s="29" t="str">
        <f>signer2</f>
        <v>Cognizant Program Director</v>
      </c>
      <c r="W14" s="15" t="str">
        <f>HYPERLINK("https://www.ejacket.nsf.gov/ej/showProposal.do?Continue=Y&amp;ID="&amp;RADataQTable[[#This Row],[prop_id0]],"eJ")</f>
        <v>eJ</v>
      </c>
      <c r="X14" s="15" t="str">
        <f>HYPERLINK("mailto:"&amp;RADataQTable[[#This Row],[email]]&amp;"&amp;subject=Your NSF Proposal:  "&amp;RADataQTable[[#This Row],[Div]]&amp;" "&amp;RADataQTable[[#This Row],[prop_id0]], RADataQTable[[#This Row],[email]])</f>
        <v>shima.hm@tamu.edu</v>
      </c>
      <c r="Y14" s="15" t="str">
        <f>HYPERLINK("mailto:"&amp;RADataQTable[[#This Row],[allPIemail]]&amp;"&amp;subject=NSF Proposal:  "&amp;RADataQTable[[#This Row],[Div]]&amp;" "&amp;RADataQTable[[#This Row],[prop_id0]], "PIs@")</f>
        <v>PIs@</v>
      </c>
      <c r="Z14" t="s">
        <v>746</v>
      </c>
      <c r="AA14" t="s">
        <v>714</v>
      </c>
      <c r="AB14">
        <v>3</v>
      </c>
      <c r="AC14">
        <v>3</v>
      </c>
      <c r="AD14"/>
      <c r="AE14" t="str">
        <f>IF(RADataQTable[[#This Row],[maxScore]]-RADataQTable[[#This Row],[minScore]]&gt;4,"Y","")</f>
        <v/>
      </c>
      <c r="AF14" s="21">
        <v>4</v>
      </c>
      <c r="AG14" s="26">
        <v>5.333333333333333</v>
      </c>
      <c r="AH14">
        <v>7</v>
      </c>
      <c r="AI14" t="s">
        <v>830</v>
      </c>
      <c r="AJ14" s="30">
        <v>43032.675694444442</v>
      </c>
      <c r="AK14" s="140">
        <v>175000</v>
      </c>
      <c r="AL14" s="140">
        <v>175000</v>
      </c>
      <c r="AM14">
        <v>0</v>
      </c>
      <c r="AN14" s="30">
        <v>43252</v>
      </c>
      <c r="AO14" s="21">
        <v>24</v>
      </c>
      <c r="AP14" s="21" t="s">
        <v>831</v>
      </c>
      <c r="AS14" s="30"/>
      <c r="AT14" t="s">
        <v>524</v>
      </c>
      <c r="AU14" s="21" t="s">
        <v>526</v>
      </c>
      <c r="AV14" s="21">
        <v>5</v>
      </c>
      <c r="AW14" s="21" t="s">
        <v>844</v>
      </c>
      <c r="AX14" s="30">
        <v>43032</v>
      </c>
      <c r="AY14" s="21" t="s">
        <v>886</v>
      </c>
      <c r="AZ14" s="21" t="s">
        <v>846</v>
      </c>
      <c r="BA14" s="21">
        <v>14</v>
      </c>
      <c r="BG14" s="30"/>
      <c r="BP14" s="30"/>
      <c r="BU14" t="s">
        <v>714</v>
      </c>
      <c r="BV14" s="21" t="s">
        <v>715</v>
      </c>
      <c r="BW14" s="21" t="s">
        <v>828</v>
      </c>
      <c r="BX14" s="21" t="s">
        <v>829</v>
      </c>
      <c r="BY14" s="31">
        <v>175000</v>
      </c>
      <c r="BZ14" s="31">
        <v>175000</v>
      </c>
      <c r="CA14" t="s">
        <v>827</v>
      </c>
      <c r="CF14" s="31"/>
      <c r="CG14" s="31"/>
      <c r="CM14" s="31"/>
      <c r="CN14" s="31"/>
      <c r="CT14" s="31"/>
      <c r="CU14" s="31"/>
      <c r="DA14" s="31"/>
      <c r="DB14" s="31"/>
      <c r="DH14" s="31"/>
      <c r="DI14" s="31"/>
      <c r="DO14" s="31"/>
      <c r="DP14" s="31"/>
      <c r="DR14" t="s">
        <v>882</v>
      </c>
      <c r="DS14" t="s">
        <v>848</v>
      </c>
      <c r="DT14" t="s">
        <v>490</v>
      </c>
      <c r="DU14" s="29" t="s">
        <v>849</v>
      </c>
      <c r="DV14" t="s">
        <v>750</v>
      </c>
      <c r="DW14" t="s">
        <v>850</v>
      </c>
      <c r="DX14" t="s">
        <v>851</v>
      </c>
      <c r="DY14" t="s">
        <v>852</v>
      </c>
      <c r="DZ14" t="s">
        <v>853</v>
      </c>
      <c r="EA14" s="22">
        <v>43091.273692129631</v>
      </c>
      <c r="EB14" t="s">
        <v>832</v>
      </c>
      <c r="EC14" t="s">
        <v>887</v>
      </c>
    </row>
    <row r="15" spans="1:136" x14ac:dyDescent="0.35">
      <c r="A15" s="30"/>
      <c r="B15" s="22">
        <v>42956.717361111114</v>
      </c>
      <c r="C15" s="22" t="s">
        <v>812</v>
      </c>
      <c r="D15" s="30" t="s">
        <v>738</v>
      </c>
      <c r="E15" s="30" t="s">
        <v>489</v>
      </c>
      <c r="F15" s="30" t="s">
        <v>740</v>
      </c>
      <c r="G15" s="30" t="s">
        <v>739</v>
      </c>
      <c r="H15" t="s">
        <v>741</v>
      </c>
      <c r="I15" t="s">
        <v>813</v>
      </c>
      <c r="J15" t="s">
        <v>523</v>
      </c>
      <c r="K15" s="22">
        <v>43076.608923611115</v>
      </c>
      <c r="L15">
        <v>1</v>
      </c>
      <c r="M15" s="26">
        <v>4.05</v>
      </c>
      <c r="N15" t="s">
        <v>529</v>
      </c>
      <c r="Q15" s="29" t="s">
        <v>532</v>
      </c>
      <c r="R15" s="29" t="str">
        <f>IFERROR(MID(RADataQTable[[#This Row],[RAtemplate]],1,LEN(RADataQTable[[#This Row],[RAtemplate]])-8),"RA") &amp; " " &amp; RADataQTable[[#This Row],[prop_id0]] &amp; " " &amp; RADataQTable[[#This Row],[last0]]</f>
        <v>RA 1755978 Gangammanavar</v>
      </c>
      <c r="U15" s="21" t="str">
        <f>IF(signer1="PD",IF(ISBLANK(RADataQTable[[#This Row],[sign_blck_name]]),"",RADataQTable[[#This Row],[sign_blck_name]]),IF(ISBLANK(signer1),"",signer1))</f>
        <v>Jack Snoeyink</v>
      </c>
      <c r="V15" s="29" t="str">
        <f>signer2</f>
        <v>Cognizant Program Director</v>
      </c>
      <c r="W15" s="15" t="str">
        <f>HYPERLINK("https://www.ejacket.nsf.gov/ej/showProposal.do?Continue=Y&amp;ID="&amp;RADataQTable[[#This Row],[prop_id0]],"eJ")</f>
        <v>eJ</v>
      </c>
      <c r="X15" s="15" t="str">
        <f>HYPERLINK("mailto:"&amp;RADataQTable[[#This Row],[email]]&amp;"&amp;subject=Your NSF Proposal:  "&amp;RADataQTable[[#This Row],[Div]]&amp;" "&amp;RADataQTable[[#This Row],[prop_id0]], RADataQTable[[#This Row],[email]])</f>
        <v>harsha@smu.edu</v>
      </c>
      <c r="Y15" s="15" t="str">
        <f>HYPERLINK("mailto:"&amp;RADataQTable[[#This Row],[allPIemail]]&amp;"&amp;subject=NSF Proposal:  "&amp;RADataQTable[[#This Row],[Div]]&amp;" "&amp;RADataQTable[[#This Row],[prop_id0]], "PIs@")</f>
        <v>PIs@</v>
      </c>
      <c r="Z15" t="s">
        <v>746</v>
      </c>
      <c r="AA15" t="s">
        <v>726</v>
      </c>
      <c r="AB15">
        <v>3</v>
      </c>
      <c r="AC15">
        <v>3</v>
      </c>
      <c r="AD15"/>
      <c r="AE15" t="str">
        <f>IF(RADataQTable[[#This Row],[maxScore]]-RADataQTable[[#This Row],[minScore]]&gt;4,"Y","")</f>
        <v/>
      </c>
      <c r="AF15" s="21">
        <v>3</v>
      </c>
      <c r="AG15" s="26">
        <v>4.666666666666667</v>
      </c>
      <c r="AH15">
        <v>6</v>
      </c>
      <c r="AI15" t="s">
        <v>835</v>
      </c>
      <c r="AJ15" s="30">
        <v>43031.75</v>
      </c>
      <c r="AK15" s="140">
        <v>175000</v>
      </c>
      <c r="AL15" s="140">
        <v>175000</v>
      </c>
      <c r="AM15">
        <v>0</v>
      </c>
      <c r="AN15" s="30">
        <v>43101</v>
      </c>
      <c r="AO15" s="21">
        <v>24</v>
      </c>
      <c r="AP15" s="21" t="s">
        <v>836</v>
      </c>
      <c r="AS15" s="30"/>
      <c r="AT15" t="s">
        <v>524</v>
      </c>
      <c r="AU15" s="21" t="s">
        <v>526</v>
      </c>
      <c r="AV15" s="21">
        <v>5</v>
      </c>
      <c r="AW15" s="21" t="s">
        <v>844</v>
      </c>
      <c r="AX15" s="30">
        <v>43032</v>
      </c>
      <c r="AY15" s="21" t="s">
        <v>888</v>
      </c>
      <c r="AZ15" s="21" t="s">
        <v>846</v>
      </c>
      <c r="BA15" s="21">
        <v>14</v>
      </c>
      <c r="BG15" s="30"/>
      <c r="BP15" s="30"/>
      <c r="BU15" t="s">
        <v>726</v>
      </c>
      <c r="BV15" s="21" t="s">
        <v>727</v>
      </c>
      <c r="BW15" s="21" t="s">
        <v>833</v>
      </c>
      <c r="BX15" s="21" t="s">
        <v>834</v>
      </c>
      <c r="BY15" s="31">
        <v>175000</v>
      </c>
      <c r="BZ15" s="31">
        <v>175000</v>
      </c>
      <c r="CA15" t="s">
        <v>501</v>
      </c>
      <c r="CF15" s="31"/>
      <c r="CG15" s="31"/>
      <c r="CM15" s="31"/>
      <c r="CN15" s="31"/>
      <c r="CT15" s="31"/>
      <c r="CU15" s="31"/>
      <c r="DA15" s="31"/>
      <c r="DB15" s="31"/>
      <c r="DH15" s="31"/>
      <c r="DI15" s="31"/>
      <c r="DO15" s="31"/>
      <c r="DP15" s="31"/>
      <c r="DR15" t="s">
        <v>882</v>
      </c>
      <c r="DS15" t="s">
        <v>848</v>
      </c>
      <c r="DT15" t="s">
        <v>490</v>
      </c>
      <c r="DU15" s="29" t="s">
        <v>849</v>
      </c>
      <c r="DV15" t="s">
        <v>750</v>
      </c>
      <c r="DW15" t="s">
        <v>850</v>
      </c>
      <c r="DX15" t="s">
        <v>851</v>
      </c>
      <c r="DY15" t="s">
        <v>852</v>
      </c>
      <c r="DZ15" t="s">
        <v>853</v>
      </c>
      <c r="EA15" s="22">
        <v>43091.273692129631</v>
      </c>
      <c r="EB15" t="s">
        <v>837</v>
      </c>
      <c r="EC15" t="s">
        <v>889</v>
      </c>
    </row>
    <row r="16" spans="1:136" x14ac:dyDescent="0.35">
      <c r="A16" s="30"/>
      <c r="B16" s="22">
        <v>42930.554166666669</v>
      </c>
      <c r="C16" s="22" t="s">
        <v>737</v>
      </c>
      <c r="D16" s="30" t="s">
        <v>738</v>
      </c>
      <c r="E16" s="30" t="s">
        <v>491</v>
      </c>
      <c r="F16" s="30" t="s">
        <v>740</v>
      </c>
      <c r="G16" s="30" t="s">
        <v>739</v>
      </c>
      <c r="H16" t="s">
        <v>741</v>
      </c>
      <c r="I16" t="s">
        <v>742</v>
      </c>
      <c r="J16" t="s">
        <v>523</v>
      </c>
      <c r="K16" s="22">
        <v>43076.608981481484</v>
      </c>
      <c r="L16">
        <v>1</v>
      </c>
      <c r="M16" s="26">
        <v>4.22</v>
      </c>
      <c r="N16" t="s">
        <v>529</v>
      </c>
      <c r="Q16" s="29" t="s">
        <v>532</v>
      </c>
      <c r="R16" s="29" t="str">
        <f>IFERROR(MID(RADataQTable[[#This Row],[RAtemplate]],1,LEN(RADataQTable[[#This Row],[RAtemplate]])-8),"RA") &amp; " " &amp; RADataQTable[[#This Row],[prop_id0]] &amp; " " &amp; RADataQTable[[#This Row],[last0]]</f>
        <v>RA 1749173 Borgwardt</v>
      </c>
      <c r="U16" s="21" t="str">
        <f>IF(signer1="PD",IF(ISBLANK(RADataQTable[[#This Row],[sign_blck_name]]),"",RADataQTable[[#This Row],[sign_blck_name]]),IF(ISBLANK(signer1),"",signer1))</f>
        <v>Jack Snoeyink</v>
      </c>
      <c r="V16" s="29" t="str">
        <f>signer2</f>
        <v>Cognizant Program Director</v>
      </c>
      <c r="W16" s="15" t="str">
        <f>HYPERLINK("https://www.ejacket.nsf.gov/ej/showProposal.do?Continue=Y&amp;ID="&amp;RADataQTable[[#This Row],[prop_id0]],"eJ")</f>
        <v>eJ</v>
      </c>
      <c r="X16" s="15" t="str">
        <f>HYPERLINK("mailto:"&amp;RADataQTable[[#This Row],[email]]&amp;"&amp;subject=Your NSF Proposal:  "&amp;RADataQTable[[#This Row],[Div]]&amp;" "&amp;RADataQTable[[#This Row],[prop_id0]], RADataQTable[[#This Row],[email]])</f>
        <v>steffen.borgwardt@ucdenver.edu</v>
      </c>
      <c r="Y16" s="15" t="str">
        <f>HYPERLINK("mailto:"&amp;RADataQTable[[#This Row],[allPIemail]]&amp;"&amp;subject=NSF Proposal:  "&amp;RADataQTable[[#This Row],[Div]]&amp;" "&amp;RADataQTable[[#This Row],[prop_id0]], "PIs@")</f>
        <v>PIs@</v>
      </c>
      <c r="Z16" t="s">
        <v>746</v>
      </c>
      <c r="AA16" t="s">
        <v>520</v>
      </c>
      <c r="AB16">
        <v>4</v>
      </c>
      <c r="AC16">
        <v>4</v>
      </c>
      <c r="AD16"/>
      <c r="AE16" t="str">
        <f>IF(RADataQTable[[#This Row],[maxScore]]-RADataQTable[[#This Row],[minScore]]&gt;4,"Y","")</f>
        <v>Y</v>
      </c>
      <c r="AF16" s="21">
        <v>2</v>
      </c>
      <c r="AG16" s="26">
        <v>3.75</v>
      </c>
      <c r="AH16">
        <v>7</v>
      </c>
      <c r="AI16" t="s">
        <v>749</v>
      </c>
      <c r="AJ16" s="30">
        <v>43031.583333333336</v>
      </c>
      <c r="AK16" s="140">
        <v>470400</v>
      </c>
      <c r="AL16" s="140">
        <v>470400</v>
      </c>
      <c r="AM16">
        <v>0</v>
      </c>
      <c r="AN16" s="30">
        <v>43101</v>
      </c>
      <c r="AO16" s="21">
        <v>60</v>
      </c>
      <c r="AP16" s="21" t="s">
        <v>751</v>
      </c>
      <c r="AS16" s="30"/>
      <c r="AT16" t="s">
        <v>524</v>
      </c>
      <c r="AU16" s="21" t="s">
        <v>526</v>
      </c>
      <c r="AV16" s="21">
        <v>22</v>
      </c>
      <c r="AW16" s="21" t="s">
        <v>844</v>
      </c>
      <c r="AX16" s="30">
        <v>43032</v>
      </c>
      <c r="AY16" s="21" t="s">
        <v>845</v>
      </c>
      <c r="AZ16" s="21" t="s">
        <v>846</v>
      </c>
      <c r="BA16" s="21">
        <v>14</v>
      </c>
      <c r="BG16" s="30"/>
      <c r="BP16" s="30"/>
      <c r="BU16" t="s">
        <v>520</v>
      </c>
      <c r="BV16" s="21" t="s">
        <v>521</v>
      </c>
      <c r="BW16" s="21" t="s">
        <v>747</v>
      </c>
      <c r="BX16" s="21" t="s">
        <v>748</v>
      </c>
      <c r="BY16" s="31">
        <v>470400</v>
      </c>
      <c r="BZ16" s="31">
        <v>470400</v>
      </c>
      <c r="CA16" t="s">
        <v>743</v>
      </c>
      <c r="CF16" s="31"/>
      <c r="CG16" s="31"/>
      <c r="CM16" s="31"/>
      <c r="CN16" s="31"/>
      <c r="CT16" s="31"/>
      <c r="CU16" s="31"/>
      <c r="DA16" s="31"/>
      <c r="DB16" s="31"/>
      <c r="DH16" s="31"/>
      <c r="DI16" s="31"/>
      <c r="DO16" s="31"/>
      <c r="DP16" s="31"/>
      <c r="DR16" t="s">
        <v>847</v>
      </c>
      <c r="DS16" t="s">
        <v>848</v>
      </c>
      <c r="DT16" t="s">
        <v>492</v>
      </c>
      <c r="DU16" s="29" t="s">
        <v>849</v>
      </c>
      <c r="DV16" t="s">
        <v>750</v>
      </c>
      <c r="DW16" t="s">
        <v>850</v>
      </c>
      <c r="DX16" t="s">
        <v>851</v>
      </c>
      <c r="DY16" t="s">
        <v>852</v>
      </c>
      <c r="DZ16" t="s">
        <v>853</v>
      </c>
      <c r="EA16" s="22">
        <v>43091.273692129631</v>
      </c>
      <c r="EB16" t="s">
        <v>752</v>
      </c>
      <c r="EC16" t="s">
        <v>854</v>
      </c>
    </row>
    <row r="17" spans="1:133" x14ac:dyDescent="0.35">
      <c r="A17" s="30"/>
      <c r="B17" s="22">
        <v>42934.808333333334</v>
      </c>
      <c r="C17" s="22" t="s">
        <v>737</v>
      </c>
      <c r="D17" s="30" t="s">
        <v>738</v>
      </c>
      <c r="E17" s="30" t="s">
        <v>491</v>
      </c>
      <c r="F17" s="30" t="s">
        <v>740</v>
      </c>
      <c r="G17" s="30" t="s">
        <v>739</v>
      </c>
      <c r="H17" t="s">
        <v>741</v>
      </c>
      <c r="I17" t="s">
        <v>742</v>
      </c>
      <c r="J17" t="s">
        <v>523</v>
      </c>
      <c r="K17" s="22">
        <v>43076.609027777777</v>
      </c>
      <c r="L17">
        <v>1</v>
      </c>
      <c r="M17" s="26">
        <v>4.22</v>
      </c>
      <c r="N17" t="s">
        <v>529</v>
      </c>
      <c r="Q17" s="29" t="s">
        <v>532</v>
      </c>
      <c r="R17" s="29" t="str">
        <f>IFERROR(MID(RADataQTable[[#This Row],[RAtemplate]],1,LEN(RADataQTable[[#This Row],[RAtemplate]])-8),"RA") &amp; " " &amp; RADataQTable[[#This Row],[prop_id0]] &amp; " " &amp; RADataQTable[[#This Row],[last0]]</f>
        <v>RA 1750076 Schroeder</v>
      </c>
      <c r="U17" s="21" t="str">
        <f>IF(signer1="PD",IF(ISBLANK(RADataQTable[[#This Row],[sign_blck_name]]),"",RADataQTable[[#This Row],[sign_blck_name]]),IF(ISBLANK(signer1),"",signer1))</f>
        <v>Jack Snoeyink</v>
      </c>
      <c r="V17" s="29" t="str">
        <f>signer2</f>
        <v>Cognizant Program Director</v>
      </c>
      <c r="W17" s="15" t="str">
        <f>HYPERLINK("https://www.ejacket.nsf.gov/ej/showProposal.do?Continue=Y&amp;ID="&amp;RADataQTable[[#This Row],[prop_id0]],"eJ")</f>
        <v>eJ</v>
      </c>
      <c r="X17" s="15" t="str">
        <f>HYPERLINK("mailto:"&amp;RADataQTable[[#This Row],[email]]&amp;"&amp;subject=Your NSF Proposal:  "&amp;RADataQTable[[#This Row],[Div]]&amp;" "&amp;RADataQTable[[#This Row],[prop_id0]], RADataQTable[[#This Row],[email]])</f>
        <v>craig@ucr.edu</v>
      </c>
      <c r="Y17" s="15" t="str">
        <f>HYPERLINK("mailto:"&amp;RADataQTable[[#This Row],[allPIemail]]&amp;"&amp;subject=NSF Proposal:  "&amp;RADataQTable[[#This Row],[Div]]&amp;" "&amp;RADataQTable[[#This Row],[prop_id0]], "PIs@")</f>
        <v>PIs@</v>
      </c>
      <c r="Z17" t="s">
        <v>746</v>
      </c>
      <c r="AA17" t="s">
        <v>643</v>
      </c>
      <c r="AB17">
        <v>4</v>
      </c>
      <c r="AC17">
        <v>4</v>
      </c>
      <c r="AD17"/>
      <c r="AE17" t="str">
        <f>IF(RADataQTable[[#This Row],[maxScore]]-RADataQTable[[#This Row],[minScore]]&gt;4,"Y","")</f>
        <v/>
      </c>
      <c r="AF17" s="21">
        <v>3</v>
      </c>
      <c r="AG17" s="26">
        <v>4</v>
      </c>
      <c r="AH17">
        <v>7</v>
      </c>
      <c r="AI17" t="s">
        <v>787</v>
      </c>
      <c r="AJ17" s="30">
        <v>43031.584027777775</v>
      </c>
      <c r="AK17" s="140">
        <v>440331</v>
      </c>
      <c r="AL17" s="140">
        <v>440331</v>
      </c>
      <c r="AM17">
        <v>0</v>
      </c>
      <c r="AN17" s="30">
        <v>43101</v>
      </c>
      <c r="AO17" s="21">
        <v>60</v>
      </c>
      <c r="AP17" s="21" t="s">
        <v>788</v>
      </c>
      <c r="AS17" s="30"/>
      <c r="AT17" t="s">
        <v>524</v>
      </c>
      <c r="AU17" s="21" t="s">
        <v>526</v>
      </c>
      <c r="AV17" s="21">
        <v>22</v>
      </c>
      <c r="AW17" s="21" t="s">
        <v>844</v>
      </c>
      <c r="AX17" s="30">
        <v>43032</v>
      </c>
      <c r="AY17" s="21" t="s">
        <v>869</v>
      </c>
      <c r="AZ17" s="21" t="s">
        <v>846</v>
      </c>
      <c r="BA17" s="21">
        <v>14</v>
      </c>
      <c r="BG17" s="30"/>
      <c r="BP17" s="30"/>
      <c r="BU17" t="s">
        <v>643</v>
      </c>
      <c r="BV17" s="21" t="s">
        <v>644</v>
      </c>
      <c r="BW17" s="21" t="s">
        <v>785</v>
      </c>
      <c r="BX17" s="21" t="s">
        <v>786</v>
      </c>
      <c r="BY17" s="31">
        <v>440331</v>
      </c>
      <c r="BZ17" s="31">
        <v>440331</v>
      </c>
      <c r="CA17" t="s">
        <v>783</v>
      </c>
      <c r="CF17" s="31"/>
      <c r="CG17" s="31"/>
      <c r="CM17" s="31"/>
      <c r="CN17" s="31"/>
      <c r="CT17" s="31"/>
      <c r="CU17" s="31"/>
      <c r="DA17" s="31"/>
      <c r="DB17" s="31"/>
      <c r="DH17" s="31"/>
      <c r="DI17" s="31"/>
      <c r="DO17" s="31"/>
      <c r="DP17" s="31"/>
      <c r="DR17" t="s">
        <v>847</v>
      </c>
      <c r="DS17" t="s">
        <v>848</v>
      </c>
      <c r="DT17" t="s">
        <v>492</v>
      </c>
      <c r="DU17" s="29" t="s">
        <v>849</v>
      </c>
      <c r="DV17" t="s">
        <v>750</v>
      </c>
      <c r="DW17" t="s">
        <v>850</v>
      </c>
      <c r="DX17" t="s">
        <v>851</v>
      </c>
      <c r="DY17" t="s">
        <v>852</v>
      </c>
      <c r="DZ17" t="s">
        <v>853</v>
      </c>
      <c r="EA17" s="22">
        <v>43091.273692129631</v>
      </c>
      <c r="EB17" t="s">
        <v>789</v>
      </c>
      <c r="EC17" t="s">
        <v>870</v>
      </c>
    </row>
    <row r="18" spans="1:133" x14ac:dyDescent="0.35">
      <c r="A18" s="30"/>
      <c r="B18" s="22">
        <v>43035.652777777781</v>
      </c>
      <c r="C18" s="22" t="s">
        <v>838</v>
      </c>
      <c r="D18" s="30" t="s">
        <v>738</v>
      </c>
      <c r="E18" s="30" t="s">
        <v>491</v>
      </c>
      <c r="F18" s="30" t="s">
        <v>740</v>
      </c>
      <c r="G18" s="30" t="s">
        <v>739</v>
      </c>
      <c r="H18" t="s">
        <v>741</v>
      </c>
      <c r="J18" t="s">
        <v>523</v>
      </c>
      <c r="M18" s="26">
        <v>99</v>
      </c>
      <c r="Q18" s="29" t="s">
        <v>532</v>
      </c>
      <c r="R18" s="29" t="str">
        <f>IFERROR(MID(RADataQTable[[#This Row],[RAtemplate]],1,LEN(RADataQTable[[#This Row],[RAtemplate]])-8),"RA") &amp; " " &amp; RADataQTable[[#This Row],[prop_id0]] &amp; " " &amp; RADataQTable[[#This Row],[last0]]</f>
        <v>RA 1807311 Stein</v>
      </c>
      <c r="U18" s="21" t="str">
        <f>IF(signer1="PD",IF(ISBLANK(RADataQTable[[#This Row],[sign_blck_name]]),"",RADataQTable[[#This Row],[sign_blck_name]]),IF(ISBLANK(signer1),"",signer1))</f>
        <v>Jack Snoeyink</v>
      </c>
      <c r="V18" s="29" t="str">
        <f>signer2</f>
        <v>Cognizant Program Director</v>
      </c>
      <c r="W18" s="15" t="str">
        <f>HYPERLINK("https://www.ejacket.nsf.gov/ej/showProposal.do?Continue=Y&amp;ID="&amp;RADataQTable[[#This Row],[prop_id0]],"eJ")</f>
        <v>eJ</v>
      </c>
      <c r="X18" s="15" t="str">
        <f>HYPERLINK("mailto:"&amp;RADataQTable[[#This Row],[email]]&amp;"&amp;subject=Your NSF Proposal:  "&amp;RADataQTable[[#This Row],[Div]]&amp;" "&amp;RADataQTable[[#This Row],[prop_id0]], RADataQTable[[#This Row],[email]])</f>
        <v>cliff@ieor.columbia.edu</v>
      </c>
      <c r="Y18" s="15" t="str">
        <f>HYPERLINK("mailto:"&amp;RADataQTable[[#This Row],[allPIemail]]&amp;"&amp;subject=NSF Proposal:  "&amp;RADataQTable[[#This Row],[Div]]&amp;" "&amp;RADataQTable[[#This Row],[prop_id0]], "PIs@")</f>
        <v>PIs@</v>
      </c>
      <c r="Z18" t="s">
        <v>746</v>
      </c>
      <c r="AD18"/>
      <c r="AE18" t="str">
        <f>IF(RADataQTable[[#This Row],[maxScore]]-RADataQTable[[#This Row],[minScore]]&gt;4,"Y","")</f>
        <v/>
      </c>
      <c r="AF18" s="21"/>
      <c r="AG18" s="26"/>
      <c r="AI18"/>
      <c r="AJ18" s="30"/>
      <c r="AK18" s="140">
        <v>15000</v>
      </c>
      <c r="AL18" s="140">
        <v>15000</v>
      </c>
      <c r="AM18">
        <v>0</v>
      </c>
      <c r="AN18" s="30">
        <v>43040</v>
      </c>
      <c r="AO18" s="21">
        <v>12</v>
      </c>
      <c r="AP18" s="21" t="s">
        <v>842</v>
      </c>
      <c r="AS18" s="30"/>
      <c r="AX18" s="30"/>
      <c r="BG18" s="30"/>
      <c r="BP18" s="30"/>
      <c r="BU18" t="s">
        <v>734</v>
      </c>
      <c r="BV18" s="21" t="s">
        <v>735</v>
      </c>
      <c r="BW18" s="21" t="s">
        <v>839</v>
      </c>
      <c r="BX18" s="21" t="s">
        <v>840</v>
      </c>
      <c r="BY18" s="31">
        <v>15000</v>
      </c>
      <c r="BZ18" s="31">
        <v>15000</v>
      </c>
      <c r="CF18" s="31"/>
      <c r="CG18" s="31"/>
      <c r="CM18" s="31"/>
      <c r="CN18" s="31"/>
      <c r="CT18" s="31"/>
      <c r="CU18" s="31"/>
      <c r="DA18" s="31"/>
      <c r="DB18" s="31"/>
      <c r="DH18" s="31"/>
      <c r="DI18" s="31"/>
      <c r="DO18" s="31"/>
      <c r="DP18" s="31"/>
      <c r="DR18" t="s">
        <v>890</v>
      </c>
      <c r="DS18" t="s">
        <v>848</v>
      </c>
      <c r="DT18" t="s">
        <v>492</v>
      </c>
      <c r="DU18" s="29" t="s">
        <v>849</v>
      </c>
      <c r="DV18" t="s">
        <v>841</v>
      </c>
      <c r="DW18" t="s">
        <v>850</v>
      </c>
      <c r="DX18" t="s">
        <v>851</v>
      </c>
      <c r="DY18" t="s">
        <v>852</v>
      </c>
      <c r="DZ18" t="s">
        <v>853</v>
      </c>
      <c r="EA18" s="22">
        <v>43091.273692129631</v>
      </c>
      <c r="EB18" t="s">
        <v>843</v>
      </c>
      <c r="EC18" t="s">
        <v>891</v>
      </c>
    </row>
  </sheetData>
  <conditionalFormatting sqref="Q2:Q18">
    <cfRule type="expression" dxfId="72" priority="1">
      <formula>LEFT($AI2,1)="E"</formula>
    </cfRule>
  </conditionalFormatting>
  <dataValidations count="1">
    <dataValidation type="list" allowBlank="1" showInputMessage="1" showErrorMessage="1" sqref="Q2:Q18 O2:O18">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69850</xdr:rowOff>
                  </from>
                  <to>
                    <xdr:col>16</xdr:col>
                    <xdr:colOff>895350</xdr:colOff>
                    <xdr:row>0</xdr:row>
                    <xdr:rowOff>323850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tabSelected="1" topLeftCell="F1" workbookViewId="0">
      <selection activeCell="J9" sqref="J9:L9"/>
    </sheetView>
  </sheetViews>
  <sheetFormatPr defaultRowHeight="14.5" x14ac:dyDescent="0.35"/>
  <cols>
    <col min="1" max="1" width="4" customWidth="1"/>
    <col min="2" max="2" width="10.453125" style="6" customWidth="1"/>
    <col min="3" max="3" width="16.26953125" customWidth="1"/>
    <col min="4" max="4" width="3.26953125" style="5" customWidth="1"/>
    <col min="5" max="5" width="15.7265625" style="23" customWidth="1"/>
    <col min="6" max="6" width="14.453125" customWidth="1"/>
    <col min="7" max="7" width="10.7265625" customWidth="1"/>
    <col min="8" max="8" width="6.26953125" customWidth="1"/>
    <col min="9" max="9" width="4.54296875" customWidth="1"/>
    <col min="10" max="10" width="35.26953125" customWidth="1"/>
    <col min="11" max="11" width="6.81640625" customWidth="1"/>
    <col min="12" max="12" width="9.81640625" customWidth="1"/>
    <col min="13" max="13" width="5.7265625" customWidth="1"/>
    <col min="14" max="14" width="12.54296875" style="6" customWidth="1"/>
    <col min="15" max="15" width="4" customWidth="1"/>
    <col min="16" max="16" width="23.453125" customWidth="1"/>
    <col min="17" max="17" width="12" customWidth="1"/>
    <col min="18" max="18" width="9.453125" customWidth="1"/>
    <col min="19" max="19" width="10" customWidth="1"/>
    <col min="20" max="20" width="14" customWidth="1"/>
    <col min="21" max="22" width="11.1796875" customWidth="1"/>
    <col min="23" max="23" width="81.1796875" bestFit="1" customWidth="1"/>
    <col min="24" max="24" width="20.54296875" bestFit="1" customWidth="1"/>
    <col min="25" max="25" width="18.26953125" bestFit="1" customWidth="1"/>
    <col min="26" max="26" width="45.81640625" bestFit="1" customWidth="1"/>
    <col min="27" max="27" width="36.7265625" bestFit="1" customWidth="1"/>
    <col min="28" max="28" width="10.54296875" bestFit="1" customWidth="1"/>
    <col min="29" max="29" width="9.81640625" bestFit="1" customWidth="1"/>
    <col min="30" max="30" width="20.54296875" customWidth="1"/>
    <col min="31" max="31" width="37.1796875" customWidth="1"/>
    <col min="32" max="32" width="19" customWidth="1"/>
    <col min="33" max="33" width="19.1796875" bestFit="1" customWidth="1"/>
    <col min="34" max="34" width="14.54296875" bestFit="1" customWidth="1"/>
    <col min="35" max="35" width="10" bestFit="1" customWidth="1"/>
  </cols>
  <sheetData>
    <row r="1" spans="1:14" ht="16" customHeight="1" x14ac:dyDescent="0.35">
      <c r="A1" s="59" t="s">
        <v>218</v>
      </c>
      <c r="N1" s="20" t="s">
        <v>98</v>
      </c>
    </row>
    <row r="2" spans="1:14" ht="16" customHeight="1" x14ac:dyDescent="0.35">
      <c r="B2" s="9" t="s">
        <v>487</v>
      </c>
      <c r="I2" s="3" t="s">
        <v>188</v>
      </c>
      <c r="K2" s="29"/>
      <c r="N2" s="19" t="s">
        <v>99</v>
      </c>
    </row>
    <row r="3" spans="1:14" ht="16" customHeight="1" x14ac:dyDescent="0.35">
      <c r="B3" s="9" t="s">
        <v>390</v>
      </c>
      <c r="I3" s="25" t="s">
        <v>395</v>
      </c>
      <c r="J3" s="24"/>
      <c r="K3" s="30"/>
      <c r="L3" s="132"/>
      <c r="M3" s="132"/>
      <c r="N3" s="19" t="s">
        <v>94</v>
      </c>
    </row>
    <row r="4" spans="1:14" ht="16" customHeight="1" x14ac:dyDescent="0.35">
      <c r="B4" s="9" t="s">
        <v>389</v>
      </c>
      <c r="D4" s="16"/>
      <c r="F4" s="4"/>
      <c r="G4" s="29"/>
      <c r="I4" s="25"/>
      <c r="J4" s="134" t="str">
        <f>IF(ISBLANK(dirRAoutput),"   &lt;-- click button to select where RAs drafts should go",dirRAoutput)</f>
        <v xml:space="preserve">   &lt;-- click button to select where RAs drafts should go</v>
      </c>
      <c r="K4" s="135"/>
      <c r="L4" s="136"/>
      <c r="M4" s="132"/>
      <c r="N4" s="19" t="s">
        <v>100</v>
      </c>
    </row>
    <row r="5" spans="1:14" ht="16" customHeight="1" x14ac:dyDescent="0.35">
      <c r="B5" s="9" t="s">
        <v>476</v>
      </c>
      <c r="C5" s="4"/>
      <c r="F5" s="4"/>
      <c r="G5" s="29"/>
      <c r="K5" s="29"/>
      <c r="N5" s="19" t="s">
        <v>95</v>
      </c>
    </row>
    <row r="6" spans="1:14" ht="16" customHeight="1" x14ac:dyDescent="0.35">
      <c r="B6" s="127" t="s">
        <v>477</v>
      </c>
      <c r="F6" s="4"/>
      <c r="G6" s="29"/>
      <c r="I6" s="3" t="s">
        <v>486</v>
      </c>
      <c r="K6" s="24"/>
      <c r="N6" s="19" t="s">
        <v>101</v>
      </c>
    </row>
    <row r="7" spans="1:14" ht="16" customHeight="1" x14ac:dyDescent="0.35">
      <c r="B7" s="9" t="s">
        <v>392</v>
      </c>
      <c r="F7" s="4"/>
      <c r="G7" s="29"/>
      <c r="J7" s="3" t="s">
        <v>483</v>
      </c>
      <c r="N7" s="19" t="s">
        <v>102</v>
      </c>
    </row>
    <row r="8" spans="1:14" ht="16" customHeight="1" x14ac:dyDescent="0.35">
      <c r="B8" s="9" t="s">
        <v>393</v>
      </c>
      <c r="F8" s="4"/>
      <c r="G8" s="42"/>
      <c r="I8" s="117" t="s">
        <v>482</v>
      </c>
      <c r="J8" s="118"/>
      <c r="K8" s="132"/>
      <c r="L8" s="6"/>
      <c r="N8" s="19" t="s">
        <v>96</v>
      </c>
    </row>
    <row r="9" spans="1:14" ht="16" customHeight="1" x14ac:dyDescent="0.35">
      <c r="B9" s="9"/>
      <c r="F9" s="4"/>
      <c r="G9" s="30"/>
      <c r="J9" s="137" t="s">
        <v>484</v>
      </c>
      <c r="K9" s="138"/>
      <c r="L9" s="139"/>
      <c r="N9" s="19" t="s">
        <v>103</v>
      </c>
    </row>
    <row r="10" spans="1:14" ht="18.5" x14ac:dyDescent="0.35">
      <c r="B10" s="46"/>
      <c r="C10" s="133" t="s">
        <v>217</v>
      </c>
      <c r="D10" s="133"/>
      <c r="E10" s="133"/>
      <c r="F10" s="47"/>
      <c r="J10" s="25" t="s">
        <v>134</v>
      </c>
      <c r="L10" s="6"/>
      <c r="N10" s="19" t="s">
        <v>104</v>
      </c>
    </row>
    <row r="11" spans="1:14" ht="15.5" x14ac:dyDescent="0.35">
      <c r="B11" s="48"/>
      <c r="C11" s="49" t="s">
        <v>191</v>
      </c>
      <c r="D11" s="49"/>
      <c r="E11" s="49" t="s">
        <v>192</v>
      </c>
      <c r="F11" s="49"/>
      <c r="J11" s="25"/>
      <c r="L11" s="6"/>
      <c r="N11" s="19" t="s">
        <v>92</v>
      </c>
    </row>
    <row r="12" spans="1:14" ht="20.149999999999999" customHeight="1" x14ac:dyDescent="0.35">
      <c r="C12" s="50" t="s">
        <v>193</v>
      </c>
      <c r="D12" s="50"/>
      <c r="E12" s="58" t="s">
        <v>209</v>
      </c>
      <c r="F12" s="51" t="s">
        <v>210</v>
      </c>
      <c r="L12" s="6"/>
      <c r="N12" s="19" t="s">
        <v>105</v>
      </c>
    </row>
    <row r="13" spans="1:14" ht="20.149999999999999" customHeight="1" x14ac:dyDescent="0.35">
      <c r="C13" s="50" t="s">
        <v>204</v>
      </c>
      <c r="D13" s="50"/>
      <c r="E13" s="52" t="s">
        <v>214</v>
      </c>
      <c r="F13" s="53"/>
      <c r="H13" s="21"/>
      <c r="L13" s="6"/>
      <c r="N13" s="19" t="s">
        <v>106</v>
      </c>
    </row>
    <row r="14" spans="1:14" ht="20.149999999999999" customHeight="1" x14ac:dyDescent="0.35">
      <c r="C14" s="50" t="s">
        <v>198</v>
      </c>
      <c r="D14" s="50"/>
      <c r="E14" s="52" t="s">
        <v>488</v>
      </c>
      <c r="F14" s="53"/>
      <c r="H14" s="21"/>
      <c r="L14" s="6"/>
      <c r="N14" s="19" t="s">
        <v>107</v>
      </c>
    </row>
    <row r="15" spans="1:14" ht="20.149999999999999" customHeight="1" x14ac:dyDescent="0.35">
      <c r="C15" s="50" t="s">
        <v>194</v>
      </c>
      <c r="D15" s="50"/>
      <c r="E15" s="52" t="s">
        <v>213</v>
      </c>
      <c r="F15" s="53"/>
      <c r="H15" s="21"/>
      <c r="L15" s="6"/>
      <c r="N15" s="19" t="s">
        <v>391</v>
      </c>
    </row>
    <row r="16" spans="1:14" ht="20.149999999999999" customHeight="1" x14ac:dyDescent="0.35">
      <c r="C16" s="50" t="s">
        <v>195</v>
      </c>
      <c r="D16" s="50"/>
      <c r="E16" s="54" t="s">
        <v>212</v>
      </c>
      <c r="F16" s="55"/>
      <c r="L16" s="6"/>
      <c r="N16" s="19" t="s">
        <v>108</v>
      </c>
    </row>
    <row r="17" spans="3:14" ht="20.149999999999999" customHeight="1" x14ac:dyDescent="0.35">
      <c r="C17" s="50" t="s">
        <v>196</v>
      </c>
      <c r="D17" s="50"/>
      <c r="E17" s="52" t="s">
        <v>211</v>
      </c>
      <c r="F17" s="53"/>
      <c r="L17" s="6"/>
      <c r="N17" s="19" t="s">
        <v>109</v>
      </c>
    </row>
    <row r="18" spans="3:14" ht="20.149999999999999" customHeight="1" x14ac:dyDescent="0.35">
      <c r="C18" s="50" t="s">
        <v>197</v>
      </c>
      <c r="D18" s="50"/>
      <c r="E18" s="52" t="s">
        <v>215</v>
      </c>
      <c r="F18" s="53"/>
      <c r="L18" s="6"/>
      <c r="N18" s="19" t="s">
        <v>110</v>
      </c>
    </row>
    <row r="19" spans="3:14" ht="20.149999999999999" customHeight="1" x14ac:dyDescent="0.35">
      <c r="C19" s="50" t="s">
        <v>201</v>
      </c>
      <c r="D19" s="50"/>
      <c r="E19" s="52" t="s">
        <v>216</v>
      </c>
      <c r="F19" s="53"/>
      <c r="L19" s="6"/>
      <c r="N19" s="19" t="s">
        <v>111</v>
      </c>
    </row>
    <row r="20" spans="3:14" ht="20.149999999999999" customHeight="1" x14ac:dyDescent="0.35">
      <c r="C20" s="50" t="s">
        <v>202</v>
      </c>
      <c r="D20" s="50"/>
      <c r="E20" s="52" t="s">
        <v>203</v>
      </c>
      <c r="F20" s="53"/>
      <c r="L20" s="6"/>
      <c r="N20" s="19" t="s">
        <v>112</v>
      </c>
    </row>
    <row r="21" spans="3:14" ht="20.149999999999999" customHeight="1" x14ac:dyDescent="0.35">
      <c r="C21" s="50" t="s">
        <v>205</v>
      </c>
      <c r="D21" s="50"/>
      <c r="E21" s="52" t="s">
        <v>206</v>
      </c>
      <c r="F21" s="53"/>
      <c r="J21" s="23"/>
      <c r="N21" s="19" t="s">
        <v>113</v>
      </c>
    </row>
    <row r="22" spans="3:14" ht="20.149999999999999" customHeight="1" x14ac:dyDescent="0.35">
      <c r="C22" s="50" t="s">
        <v>207</v>
      </c>
      <c r="D22" s="50"/>
      <c r="E22" s="52" t="s">
        <v>208</v>
      </c>
      <c r="F22" s="53"/>
      <c r="J22" s="23"/>
      <c r="N22" s="19" t="s">
        <v>114</v>
      </c>
    </row>
    <row r="23" spans="3:14" ht="20.149999999999999" customHeight="1" x14ac:dyDescent="0.35">
      <c r="C23" s="50" t="s">
        <v>200</v>
      </c>
      <c r="D23" s="56"/>
      <c r="E23" s="115" t="str">
        <f>INDEX(codes_prop_stts,select_prop_stts)</f>
        <v>0[01289]</v>
      </c>
      <c r="F23" s="57"/>
      <c r="J23" s="23"/>
      <c r="N23" s="19" t="s">
        <v>93</v>
      </c>
    </row>
    <row r="24" spans="3:14" ht="20.149999999999999" customHeight="1" x14ac:dyDescent="0.35">
      <c r="C24" s="3"/>
      <c r="D24" s="3"/>
      <c r="E24" s="3"/>
      <c r="F24" s="3"/>
      <c r="J24" s="23"/>
      <c r="N24" s="19" t="s">
        <v>115</v>
      </c>
    </row>
    <row r="25" spans="3:14" ht="20.149999999999999" customHeight="1" x14ac:dyDescent="0.35">
      <c r="D25"/>
      <c r="E25"/>
      <c r="N25" s="19" t="s">
        <v>116</v>
      </c>
    </row>
    <row r="26" spans="3:14" ht="19.75" customHeight="1" x14ac:dyDescent="0.35">
      <c r="D26"/>
      <c r="E26"/>
      <c r="N26" s="19" t="s">
        <v>117</v>
      </c>
    </row>
    <row r="27" spans="3:14" x14ac:dyDescent="0.35">
      <c r="C27" s="25"/>
      <c r="D27"/>
      <c r="E27" s="25"/>
      <c r="F27" s="25"/>
      <c r="H27" s="12"/>
      <c r="I27" s="5"/>
      <c r="N27" s="19" t="s">
        <v>118</v>
      </c>
    </row>
    <row r="28" spans="3:14" x14ac:dyDescent="0.35">
      <c r="C28" s="25"/>
      <c r="D28"/>
      <c r="E28" s="25"/>
      <c r="F28" s="25"/>
      <c r="I28" s="5"/>
      <c r="N28" s="19" t="s">
        <v>119</v>
      </c>
    </row>
    <row r="29" spans="3:14" x14ac:dyDescent="0.35">
      <c r="C29" s="25"/>
      <c r="D29"/>
      <c r="E29" s="25"/>
      <c r="I29" s="5"/>
      <c r="N29" s="19" t="s">
        <v>120</v>
      </c>
    </row>
    <row r="30" spans="3:14" x14ac:dyDescent="0.35">
      <c r="N30" s="120">
        <f>SUBTOTAL(103,EpscorTable[Epscor])</f>
        <v>27</v>
      </c>
    </row>
  </sheetData>
  <mergeCells count="3">
    <mergeCell ref="C10:E10"/>
    <mergeCell ref="J4:L4"/>
    <mergeCell ref="J9:L9"/>
  </mergeCells>
  <conditionalFormatting sqref="E12:F22">
    <cfRule type="expression" dxfId="71" priority="1">
      <formula>SEARCH("eg:",E12)=1</formula>
    </cfRule>
  </conditionalFormatting>
  <dataValidations count="1">
    <dataValidation type="list" allowBlank="1" showInputMessage="1" showErrorMessage="1" sqref="C25 E25:F25">
      <formula1>INDIRECT("AvailableTemplates[Available templates:]")</formula1>
    </dataValidation>
  </dataValidations>
  <pageMargins left="0.25" right="0.25"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autoFill="0" autoPict="0" macro="[0]!Picker_dirRAtemplate">
                <anchor moveWithCells="1">
                  <from>
                    <xdr:col>7</xdr:col>
                    <xdr:colOff>184150</xdr:colOff>
                    <xdr:row>8</xdr:row>
                    <xdr:rowOff>19050</xdr:rowOff>
                  </from>
                  <to>
                    <xdr:col>9</xdr:col>
                    <xdr:colOff>0</xdr:colOff>
                    <xdr:row>9</xdr:row>
                    <xdr:rowOff>12700</xdr:rowOff>
                  </to>
                </anchor>
              </controlPr>
            </control>
          </mc:Choice>
        </mc:AlternateContent>
        <mc:AlternateContent xmlns:mc="http://schemas.openxmlformats.org/markup-compatibility/2006">
          <mc:Choice Requires="x14">
            <control shapeId="1056" r:id="rId5" name="Drop Down 32">
              <controlPr defaultSize="0" autoLine="0" autoPict="0">
                <anchor moveWithCells="1">
                  <from>
                    <xdr:col>3</xdr:col>
                    <xdr:colOff>222250</xdr:colOff>
                    <xdr:row>22</xdr:row>
                    <xdr:rowOff>12700</xdr:rowOff>
                  </from>
                  <to>
                    <xdr:col>6</xdr:col>
                    <xdr:colOff>260350</xdr:colOff>
                    <xdr:row>23</xdr:row>
                    <xdr:rowOff>12700</xdr:rowOff>
                  </to>
                </anchor>
              </controlPr>
            </control>
          </mc:Choice>
        </mc:AlternateContent>
        <mc:AlternateContent xmlns:mc="http://schemas.openxmlformats.org/markup-compatibility/2006">
          <mc:Choice Requires="x14">
            <control shapeId="1059" r:id="rId6" name="Button 35">
              <controlPr defaultSize="0" autoFill="0" autoPict="0" macro="[0]!Picker_dirRAoutput">
                <anchor moveWithCells="1">
                  <from>
                    <xdr:col>7</xdr:col>
                    <xdr:colOff>184150</xdr:colOff>
                    <xdr:row>2</xdr:row>
                    <xdr:rowOff>203200</xdr:rowOff>
                  </from>
                  <to>
                    <xdr:col>9</xdr:col>
                    <xdr:colOff>0</xdr:colOff>
                    <xdr:row>4</xdr:row>
                    <xdr:rowOff>12700</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7"/>
  <sheetViews>
    <sheetView workbookViewId="0">
      <selection activeCell="E20" sqref="E20"/>
    </sheetView>
  </sheetViews>
  <sheetFormatPr defaultRowHeight="14.5" x14ac:dyDescent="0.35"/>
  <cols>
    <col min="1" max="1" width="10.81640625" customWidth="1"/>
    <col min="2" max="2" width="23.453125" customWidth="1"/>
    <col min="3" max="3" width="29.81640625" customWidth="1"/>
  </cols>
  <sheetData>
    <row r="1" spans="1:3" ht="34" customHeight="1" x14ac:dyDescent="0.35">
      <c r="A1" s="62" t="s">
        <v>446</v>
      </c>
    </row>
    <row r="2" spans="1:3" x14ac:dyDescent="0.35">
      <c r="A2" s="6" t="s">
        <v>456</v>
      </c>
      <c r="B2" s="6" t="s">
        <v>457</v>
      </c>
      <c r="C2" s="6" t="s">
        <v>458</v>
      </c>
    </row>
    <row r="3" spans="1:3" x14ac:dyDescent="0.35">
      <c r="A3" t="s">
        <v>505</v>
      </c>
      <c r="B3" t="s">
        <v>506</v>
      </c>
      <c r="C3" t="s">
        <v>507</v>
      </c>
    </row>
    <row r="4" spans="1:3" x14ac:dyDescent="0.35">
      <c r="A4" t="s">
        <v>508</v>
      </c>
      <c r="B4" t="s">
        <v>509</v>
      </c>
      <c r="C4" t="s">
        <v>510</v>
      </c>
    </row>
    <row r="5" spans="1:3" x14ac:dyDescent="0.35">
      <c r="A5" t="s">
        <v>511</v>
      </c>
      <c r="B5" t="s">
        <v>512</v>
      </c>
      <c r="C5" t="s">
        <v>513</v>
      </c>
    </row>
    <row r="6" spans="1:3" x14ac:dyDescent="0.35">
      <c r="A6" t="s">
        <v>514</v>
      </c>
      <c r="B6" t="s">
        <v>515</v>
      </c>
      <c r="C6" t="s">
        <v>516</v>
      </c>
    </row>
    <row r="7" spans="1:3" x14ac:dyDescent="0.35">
      <c r="A7" t="s">
        <v>517</v>
      </c>
      <c r="B7" t="s">
        <v>518</v>
      </c>
      <c r="C7" t="s">
        <v>519</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8"/>
  <sheetViews>
    <sheetView workbookViewId="0">
      <selection activeCell="E4" sqref="E4"/>
    </sheetView>
  </sheetViews>
  <sheetFormatPr defaultRowHeight="14.5" x14ac:dyDescent="0.35"/>
  <cols>
    <col min="1" max="1" width="6.7265625" customWidth="1"/>
    <col min="2" max="2" width="38.453125" customWidth="1"/>
    <col min="3" max="3" width="11.453125" customWidth="1"/>
    <col min="4" max="4" width="6.7265625" customWidth="1"/>
    <col min="5" max="5" width="41.81640625" customWidth="1"/>
    <col min="6" max="6" width="7.26953125" customWidth="1"/>
    <col min="7" max="7" width="41" customWidth="1"/>
    <col min="8" max="10" width="5.81640625" style="30" customWidth="1"/>
    <col min="11" max="11" width="3.26953125" style="30" customWidth="1"/>
    <col min="12" max="12" width="3.54296875" style="30" customWidth="1"/>
    <col min="13" max="13" width="13.54296875" customWidth="1"/>
    <col min="14" max="14" width="3.81640625" customWidth="1"/>
    <col min="15" max="16" width="7.453125" hidden="1" customWidth="1"/>
    <col min="17" max="17" width="5.453125" customWidth="1"/>
    <col min="18" max="18" width="11" customWidth="1"/>
    <col min="19" max="19" width="14.26953125" style="22" customWidth="1"/>
    <col min="20" max="20" width="5.26953125" style="38" customWidth="1"/>
    <col min="21" max="21" width="4.54296875" style="38" customWidth="1"/>
    <col min="22" max="22" width="11.81640625" customWidth="1"/>
    <col min="23" max="23" width="4.453125" customWidth="1"/>
    <col min="24" max="24" width="3.7265625" customWidth="1"/>
    <col min="25" max="25" width="8.7265625" style="30" customWidth="1"/>
    <col min="26" max="26" width="3.7265625" customWidth="1"/>
    <col min="27" max="27" width="9.26953125" style="30"/>
    <col min="28" max="28" width="9.54296875" style="30" customWidth="1"/>
    <col min="29" max="29" width="11.54296875" customWidth="1"/>
    <col min="30" max="30" width="12.1796875" customWidth="1"/>
    <col min="31" max="31" width="9.81640625" customWidth="1"/>
    <col min="32" max="32" width="10.1796875" customWidth="1"/>
    <col min="33" max="33" width="4.453125" customWidth="1"/>
    <col min="34" max="39" width="3" customWidth="1"/>
    <col min="40" max="40" width="9.26953125" style="1"/>
    <col min="42" max="42" width="85.54296875" customWidth="1"/>
    <col min="43" max="43" width="10.453125" customWidth="1"/>
    <col min="44" max="44" width="9.54296875" style="13" customWidth="1"/>
    <col min="45" max="45" width="10.453125" customWidth="1"/>
    <col min="46" max="46" width="15.453125" customWidth="1"/>
    <col min="47" max="47" width="11.7265625" customWidth="1"/>
    <col min="48" max="48" width="9.26953125" hidden="1" customWidth="1"/>
    <col min="49" max="49" width="11" hidden="1" customWidth="1"/>
    <col min="50" max="53" width="4.26953125" customWidth="1"/>
  </cols>
  <sheetData>
    <row r="1" spans="1:50" ht="34" customHeight="1" x14ac:dyDescent="0.35">
      <c r="A1" s="62" t="s">
        <v>241</v>
      </c>
      <c r="D1" s="62" t="s">
        <v>371</v>
      </c>
      <c r="V1" s="39" t="s">
        <v>190</v>
      </c>
      <c r="AH1" s="39" t="s">
        <v>185</v>
      </c>
      <c r="AI1" s="39"/>
      <c r="AJ1" s="39"/>
      <c r="AK1" s="39"/>
      <c r="AL1" s="39"/>
      <c r="AM1" s="39"/>
      <c r="AN1" s="40" t="s">
        <v>186</v>
      </c>
      <c r="AO1" s="39"/>
      <c r="AP1" s="39"/>
      <c r="AQ1" s="39"/>
      <c r="AR1" s="41" t="s">
        <v>184</v>
      </c>
      <c r="AS1" s="39"/>
      <c r="AT1" s="39"/>
      <c r="AU1" s="39"/>
      <c r="AV1" s="39"/>
      <c r="AW1" s="39"/>
      <c r="AX1" s="39" t="s">
        <v>187</v>
      </c>
    </row>
    <row r="2" spans="1:50" x14ac:dyDescent="0.35">
      <c r="A2" s="25" t="s">
        <v>242</v>
      </c>
      <c r="B2" t="s">
        <v>243</v>
      </c>
      <c r="D2" s="6" t="s">
        <v>296</v>
      </c>
      <c r="E2" s="6" t="s">
        <v>372</v>
      </c>
      <c r="H2"/>
      <c r="I2"/>
      <c r="J2"/>
      <c r="K2"/>
      <c r="L2"/>
      <c r="S2"/>
      <c r="T2"/>
      <c r="U2"/>
      <c r="Y2"/>
      <c r="AA2"/>
      <c r="AB2"/>
      <c r="AN2"/>
      <c r="AR2"/>
    </row>
    <row r="3" spans="1:50" x14ac:dyDescent="0.35">
      <c r="A3" s="103" t="s">
        <v>493</v>
      </c>
      <c r="B3" t="s">
        <v>494</v>
      </c>
      <c r="D3" s="103" t="s">
        <v>489</v>
      </c>
      <c r="E3" t="s">
        <v>490</v>
      </c>
      <c r="H3"/>
      <c r="I3"/>
      <c r="J3"/>
      <c r="K3"/>
      <c r="L3"/>
      <c r="S3"/>
      <c r="T3"/>
      <c r="U3"/>
      <c r="Y3"/>
      <c r="AA3"/>
      <c r="AB3"/>
      <c r="AN3"/>
      <c r="AR3"/>
    </row>
    <row r="4" spans="1:50" x14ac:dyDescent="0.35">
      <c r="A4" s="103" t="s">
        <v>495</v>
      </c>
      <c r="B4" t="s">
        <v>496</v>
      </c>
      <c r="D4" s="103" t="s">
        <v>491</v>
      </c>
      <c r="E4" t="s">
        <v>492</v>
      </c>
    </row>
    <row r="5" spans="1:50" x14ac:dyDescent="0.35">
      <c r="A5" s="103" t="s">
        <v>497</v>
      </c>
      <c r="B5" t="s">
        <v>498</v>
      </c>
    </row>
    <row r="6" spans="1:50" x14ac:dyDescent="0.35">
      <c r="A6" s="103" t="s">
        <v>499</v>
      </c>
      <c r="B6" t="s">
        <v>500</v>
      </c>
    </row>
    <row r="7" spans="1:50" x14ac:dyDescent="0.35">
      <c r="A7" s="103" t="s">
        <v>501</v>
      </c>
      <c r="B7" t="s">
        <v>502</v>
      </c>
    </row>
    <row r="8" spans="1:50" x14ac:dyDescent="0.35">
      <c r="A8" s="103" t="s">
        <v>503</v>
      </c>
      <c r="B8" t="s">
        <v>504</v>
      </c>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workbookViewId="0">
      <selection activeCell="E21" sqref="E21"/>
    </sheetView>
  </sheetViews>
  <sheetFormatPr defaultRowHeight="14.5" x14ac:dyDescent="0.35"/>
  <cols>
    <col min="1" max="2" width="8.7265625" style="30" customWidth="1"/>
    <col min="3" max="3" width="12.453125" customWidth="1"/>
    <col min="4" max="4" width="12.1796875" style="30" customWidth="1"/>
    <col min="5" max="5" width="5.453125" style="30" customWidth="1"/>
    <col min="6" max="6" width="5.26953125" style="30" customWidth="1"/>
    <col min="7" max="7" width="8.81640625" style="30" bestFit="1" customWidth="1"/>
    <col min="8" max="8" width="8.81640625" bestFit="1" customWidth="1"/>
    <col min="9" max="9" width="5.26953125" customWidth="1"/>
    <col min="10" max="10" width="5.54296875" customWidth="1"/>
    <col min="11" max="12" width="9.26953125" bestFit="1" customWidth="1"/>
    <col min="13" max="13" width="6.26953125" style="22" customWidth="1"/>
    <col min="14" max="14" width="5.81640625" style="38" customWidth="1"/>
    <col min="15" max="16" width="6.1796875" customWidth="1"/>
    <col min="17" max="17" width="3.453125" customWidth="1"/>
    <col min="18" max="18" width="11.453125" customWidth="1"/>
    <col min="19" max="19" width="4.453125" style="21" customWidth="1"/>
    <col min="20" max="20" width="2.26953125" customWidth="1"/>
    <col min="21" max="21" width="7.81640625" customWidth="1"/>
    <col min="22" max="22" width="3.1796875" customWidth="1"/>
    <col min="23" max="23" width="4.26953125" customWidth="1"/>
    <col min="24" max="24" width="9.54296875" bestFit="1" customWidth="1"/>
    <col min="25" max="25" width="10.81640625" customWidth="1"/>
    <col min="26" max="26" width="10.1796875" customWidth="1"/>
    <col min="27" max="27" width="22.7265625" customWidth="1"/>
    <col min="28" max="28" width="9.26953125" customWidth="1"/>
    <col min="29" max="29" width="14.26953125" hidden="1" customWidth="1"/>
    <col min="30" max="30" width="18.1796875" bestFit="1" customWidth="1"/>
    <col min="31" max="31" width="18.54296875" bestFit="1" customWidth="1"/>
    <col min="32" max="32" width="9.1796875" bestFit="1" customWidth="1"/>
    <col min="33" max="33" width="23.54296875" bestFit="1" customWidth="1"/>
    <col min="34" max="34" width="80.54296875" bestFit="1" customWidth="1"/>
    <col min="35" max="36" width="11.81640625" customWidth="1"/>
    <col min="37" max="37" width="22.81640625" style="21" customWidth="1"/>
    <col min="38" max="38" width="14.36328125" style="81" customWidth="1"/>
    <col min="39" max="39" width="15.26953125" style="81" customWidth="1"/>
    <col min="40" max="40" width="10.7265625" style="81" customWidth="1"/>
    <col min="41" max="42" width="9.54296875" style="81" customWidth="1"/>
    <col min="43" max="43" width="9.54296875" style="21" customWidth="1"/>
    <col min="44" max="44" width="10.7265625" style="21" customWidth="1"/>
    <col min="45" max="47" width="5.54296875" style="21" customWidth="1"/>
    <col min="48" max="49" width="11.81640625" customWidth="1"/>
    <col min="50" max="50" width="4.453125" customWidth="1"/>
    <col min="51" max="51" width="3.7265625" customWidth="1"/>
    <col min="52" max="52" width="8.7265625" style="30" customWidth="1"/>
    <col min="53" max="53" width="3.7265625" customWidth="1"/>
    <col min="54" max="54" width="9.26953125" style="30"/>
    <col min="55" max="55" width="9.54296875" style="30" customWidth="1"/>
    <col min="56" max="56" width="11.54296875" customWidth="1"/>
    <col min="57" max="57" width="12.1796875" customWidth="1"/>
    <col min="58" max="58" width="9.81640625" customWidth="1"/>
    <col min="59" max="59" width="10.1796875" customWidth="1"/>
    <col min="60" max="60" width="4.453125" customWidth="1"/>
    <col min="61" max="66" width="3" customWidth="1"/>
    <col min="67" max="67" width="9.26953125" style="1"/>
    <col min="69" max="69" width="85.54296875" customWidth="1"/>
    <col min="70" max="70" width="10.453125" customWidth="1"/>
    <col min="71" max="71" width="9.54296875" style="13" customWidth="1"/>
    <col min="72" max="72" width="10.453125" customWidth="1"/>
    <col min="73" max="73" width="15.453125" customWidth="1"/>
    <col min="74" max="74" width="11.7265625" customWidth="1"/>
    <col min="75" max="75" width="9.26953125" hidden="1" customWidth="1"/>
    <col min="76" max="76" width="11" hidden="1" customWidth="1"/>
    <col min="77" max="80" width="4.26953125" customWidth="1"/>
  </cols>
  <sheetData>
    <row r="1" spans="1:71" ht="36.4" customHeight="1" x14ac:dyDescent="0.35">
      <c r="A1" s="30" t="s">
        <v>85</v>
      </c>
      <c r="B1" s="30" t="s">
        <v>6</v>
      </c>
      <c r="C1" t="s">
        <v>15</v>
      </c>
      <c r="D1" s="14" t="s">
        <v>7</v>
      </c>
      <c r="E1" t="s">
        <v>322</v>
      </c>
      <c r="F1" t="s">
        <v>323</v>
      </c>
      <c r="G1" t="s">
        <v>297</v>
      </c>
      <c r="H1" t="s">
        <v>298</v>
      </c>
      <c r="I1" t="s">
        <v>299</v>
      </c>
      <c r="J1" t="s">
        <v>300</v>
      </c>
      <c r="K1" t="s">
        <v>301</v>
      </c>
      <c r="L1" t="s">
        <v>302</v>
      </c>
      <c r="M1" t="s">
        <v>159</v>
      </c>
      <c r="N1" t="s">
        <v>157</v>
      </c>
      <c r="O1" t="s">
        <v>303</v>
      </c>
      <c r="P1" s="21" t="s">
        <v>305</v>
      </c>
      <c r="Q1" t="s">
        <v>306</v>
      </c>
      <c r="R1" s="32" t="s">
        <v>307</v>
      </c>
      <c r="S1" s="21" t="s">
        <v>97</v>
      </c>
      <c r="T1" t="s">
        <v>86</v>
      </c>
      <c r="U1" t="s">
        <v>8</v>
      </c>
      <c r="V1" t="s">
        <v>1</v>
      </c>
      <c r="W1" t="s">
        <v>137</v>
      </c>
      <c r="X1" t="s">
        <v>0</v>
      </c>
      <c r="Y1" t="s">
        <v>9</v>
      </c>
      <c r="Z1" t="s">
        <v>16</v>
      </c>
      <c r="AA1" t="s">
        <v>244</v>
      </c>
      <c r="AB1" s="14" t="s">
        <v>325</v>
      </c>
      <c r="AC1" t="s">
        <v>139</v>
      </c>
      <c r="AD1" t="s">
        <v>245</v>
      </c>
      <c r="AE1" t="s">
        <v>308</v>
      </c>
      <c r="AF1" t="s">
        <v>304</v>
      </c>
      <c r="AG1" t="s">
        <v>160</v>
      </c>
      <c r="AH1" t="s">
        <v>34</v>
      </c>
      <c r="AK1" s="87" t="s">
        <v>328</v>
      </c>
      <c r="AL1"/>
      <c r="AM1" s="87" t="s">
        <v>326</v>
      </c>
      <c r="AN1"/>
      <c r="AO1"/>
      <c r="AP1"/>
      <c r="AQ1"/>
      <c r="AR1"/>
      <c r="AS1"/>
      <c r="AT1"/>
      <c r="AU1"/>
      <c r="AZ1"/>
      <c r="BB1"/>
      <c r="BC1"/>
      <c r="BO1"/>
      <c r="BS1"/>
    </row>
    <row r="2" spans="1:71" x14ac:dyDescent="0.35">
      <c r="D2"/>
      <c r="E2" s="8"/>
      <c r="F2" s="8"/>
      <c r="G2"/>
      <c r="M2"/>
      <c r="N2" s="8"/>
      <c r="O2" s="8"/>
      <c r="P2" s="21"/>
      <c r="Q2" s="8"/>
      <c r="R2" s="32"/>
      <c r="T2" s="8"/>
      <c r="U2" s="8"/>
      <c r="V2" s="86"/>
      <c r="W2" s="8"/>
      <c r="X2" s="8"/>
      <c r="Y2" s="8"/>
      <c r="Z2" s="8"/>
      <c r="AA2" s="8"/>
      <c r="AB2" s="86"/>
      <c r="AC2" s="8"/>
      <c r="AD2" s="8"/>
      <c r="AE2" s="8"/>
      <c r="AF2" s="8"/>
      <c r="AG2" s="8"/>
      <c r="AH2" s="8"/>
      <c r="AK2" s="87" t="s">
        <v>329</v>
      </c>
      <c r="AL2" s="87" t="s">
        <v>9</v>
      </c>
      <c r="AM2" t="s">
        <v>407</v>
      </c>
      <c r="AN2" t="s">
        <v>327</v>
      </c>
      <c r="AO2"/>
      <c r="AP2"/>
      <c r="AQ2"/>
      <c r="AR2"/>
      <c r="AS2"/>
      <c r="AT2"/>
      <c r="AU2"/>
      <c r="AZ2"/>
      <c r="BB2"/>
      <c r="BC2"/>
      <c r="BO2"/>
      <c r="BS2"/>
    </row>
    <row r="3" spans="1:71" x14ac:dyDescent="0.35">
      <c r="AK3" s="25" t="s">
        <v>407</v>
      </c>
      <c r="AL3" s="25" t="s">
        <v>407</v>
      </c>
      <c r="AM3" s="31"/>
      <c r="AN3" s="31"/>
      <c r="AO3"/>
      <c r="AP3"/>
      <c r="AQ3"/>
      <c r="AR3"/>
      <c r="AS3"/>
      <c r="AT3"/>
      <c r="AU3"/>
      <c r="AZ3"/>
      <c r="BB3"/>
      <c r="BC3"/>
      <c r="BO3"/>
      <c r="BS3"/>
    </row>
    <row r="4" spans="1:71" x14ac:dyDescent="0.35">
      <c r="AK4"/>
      <c r="AL4" s="88" t="s">
        <v>407</v>
      </c>
      <c r="AM4" s="31"/>
      <c r="AN4" s="31"/>
      <c r="AO4"/>
      <c r="AP4"/>
      <c r="AQ4"/>
      <c r="AR4"/>
      <c r="AS4"/>
      <c r="AT4"/>
      <c r="AU4"/>
      <c r="AZ4"/>
      <c r="BB4"/>
      <c r="BC4"/>
      <c r="BO4"/>
      <c r="BS4"/>
    </row>
    <row r="5" spans="1:71" x14ac:dyDescent="0.35">
      <c r="AK5" s="25" t="s">
        <v>327</v>
      </c>
      <c r="AL5"/>
      <c r="AM5" s="31"/>
      <c r="AN5" s="31"/>
      <c r="AO5"/>
      <c r="AP5"/>
      <c r="AQ5"/>
      <c r="AR5"/>
      <c r="AS5"/>
      <c r="AT5"/>
      <c r="AU5"/>
      <c r="AZ5"/>
      <c r="BB5"/>
      <c r="BC5"/>
      <c r="BO5"/>
      <c r="BS5"/>
    </row>
    <row r="6" spans="1:71" x14ac:dyDescent="0.35">
      <c r="AK6"/>
      <c r="AL6"/>
      <c r="AM6"/>
      <c r="AN6"/>
      <c r="AO6"/>
      <c r="AP6"/>
      <c r="AQ6"/>
      <c r="AR6"/>
      <c r="AS6"/>
      <c r="AT6"/>
      <c r="AU6"/>
      <c r="AZ6"/>
      <c r="BB6"/>
      <c r="BC6"/>
      <c r="BO6"/>
      <c r="BS6"/>
    </row>
    <row r="7" spans="1:71" x14ac:dyDescent="0.35">
      <c r="AK7"/>
      <c r="AL7"/>
      <c r="AM7"/>
      <c r="AN7"/>
      <c r="AO7"/>
      <c r="AP7"/>
      <c r="AQ7"/>
      <c r="AR7"/>
      <c r="AS7"/>
      <c r="AT7"/>
      <c r="AU7"/>
      <c r="AZ7"/>
      <c r="BB7"/>
      <c r="BC7"/>
      <c r="BO7"/>
      <c r="BS7"/>
    </row>
    <row r="8" spans="1:71" x14ac:dyDescent="0.35">
      <c r="AK8"/>
      <c r="AL8"/>
      <c r="AM8"/>
      <c r="AN8"/>
      <c r="AO8"/>
      <c r="AP8"/>
      <c r="AQ8"/>
      <c r="AR8"/>
      <c r="AS8"/>
      <c r="AT8"/>
      <c r="AU8"/>
      <c r="AZ8"/>
      <c r="BB8"/>
      <c r="BC8"/>
      <c r="BO8"/>
      <c r="BS8"/>
    </row>
    <row r="9" spans="1:71" x14ac:dyDescent="0.35">
      <c r="AK9"/>
      <c r="AL9"/>
      <c r="AM9"/>
      <c r="AN9"/>
      <c r="AO9"/>
      <c r="AP9"/>
      <c r="AQ9"/>
      <c r="AR9"/>
      <c r="AS9"/>
      <c r="AT9"/>
      <c r="AU9"/>
      <c r="AZ9"/>
      <c r="BB9"/>
      <c r="BC9"/>
      <c r="BO9"/>
      <c r="BS9"/>
    </row>
    <row r="10" spans="1:71" x14ac:dyDescent="0.35">
      <c r="AK10"/>
      <c r="AL10"/>
      <c r="AM10"/>
      <c r="AN10"/>
      <c r="AO10"/>
      <c r="AP10"/>
      <c r="AQ10"/>
      <c r="AR10"/>
    </row>
  </sheetData>
  <conditionalFormatting sqref="A2:AH2">
    <cfRule type="expression" dxfId="2" priority="3">
      <formula>MOD($S2,2)</formula>
    </cfRule>
    <cfRule type="expression" dxfId="1" priority="2">
      <formula>$U1&lt;&gt;$U2</formula>
    </cfRule>
  </conditionalFormatting>
  <conditionalFormatting sqref="F2 H2 J2 L2 AE2">
    <cfRule type="expression" dxfId="0"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98"/>
  <sheetViews>
    <sheetView workbookViewId="0">
      <selection activeCell="P17" sqref="P17"/>
    </sheetView>
  </sheetViews>
  <sheetFormatPr defaultRowHeight="14.5" x14ac:dyDescent="0.35"/>
  <cols>
    <col min="1" max="1" width="4.453125" customWidth="1"/>
    <col min="2" max="2" width="7.81640625" bestFit="1" customWidth="1"/>
    <col min="3" max="3" width="12.1796875" customWidth="1"/>
    <col min="4" max="4" width="10.1796875" bestFit="1" customWidth="1"/>
    <col min="5" max="5" width="12.81640625" bestFit="1" customWidth="1"/>
    <col min="6" max="6" width="13.54296875" bestFit="1" customWidth="1"/>
    <col min="7" max="7" width="14.81640625" bestFit="1" customWidth="1"/>
    <col min="8" max="8" width="25.7265625" customWidth="1"/>
    <col min="9" max="10" width="3.81640625" customWidth="1"/>
    <col min="11" max="11" width="8.7265625" style="28" customWidth="1"/>
    <col min="12" max="12" width="16.1796875" customWidth="1"/>
    <col min="13" max="14" width="6.26953125" style="21" customWidth="1"/>
    <col min="15" max="15" width="5.1796875" customWidth="1"/>
    <col min="16" max="16" width="80.54296875" bestFit="1" customWidth="1"/>
  </cols>
  <sheetData>
    <row r="1" spans="1:16" ht="51.4" customHeight="1" x14ac:dyDescent="0.35">
      <c r="A1" t="s">
        <v>97</v>
      </c>
      <c r="B1" t="s">
        <v>8</v>
      </c>
      <c r="C1" t="s">
        <v>9</v>
      </c>
      <c r="D1" t="s">
        <v>165</v>
      </c>
      <c r="E1" t="s">
        <v>166</v>
      </c>
      <c r="F1" t="s">
        <v>167</v>
      </c>
      <c r="G1" t="s">
        <v>168</v>
      </c>
      <c r="H1" t="s">
        <v>169</v>
      </c>
      <c r="I1" t="s">
        <v>170</v>
      </c>
      <c r="J1" t="s">
        <v>171</v>
      </c>
      <c r="K1" s="28" t="s">
        <v>172</v>
      </c>
      <c r="L1" t="s">
        <v>173</v>
      </c>
      <c r="M1" s="21" t="s">
        <v>174</v>
      </c>
      <c r="N1" s="21" t="s">
        <v>175</v>
      </c>
      <c r="O1" t="s">
        <v>176</v>
      </c>
      <c r="P1" t="s">
        <v>177</v>
      </c>
    </row>
    <row r="2" spans="1:16" x14ac:dyDescent="0.35">
      <c r="A2">
        <f t="shared" ref="A2:A33" si="0">A1+(B2&lt;&gt;B1)</f>
        <v>1</v>
      </c>
      <c r="B2" t="s">
        <v>520</v>
      </c>
      <c r="C2" t="s">
        <v>521</v>
      </c>
      <c r="D2" t="s">
        <v>522</v>
      </c>
      <c r="E2" t="s">
        <v>523</v>
      </c>
      <c r="F2" t="s">
        <v>524</v>
      </c>
      <c r="G2" t="s">
        <v>525</v>
      </c>
      <c r="H2" t="s">
        <v>526</v>
      </c>
      <c r="I2" t="s">
        <v>527</v>
      </c>
      <c r="J2" t="s">
        <v>528</v>
      </c>
      <c r="K2" s="30">
        <v>43031</v>
      </c>
      <c r="L2" s="8">
        <v>43032.595011574071</v>
      </c>
      <c r="M2" s="21">
        <f>LEN(ProjTextQTable[[#This Row],[text]])</f>
        <v>3392</v>
      </c>
      <c r="N2" s="21">
        <f>LEN(TRIM(CLEAN(SUBSTITUTE(ProjTextQTable[[#This Row],[text]],CHAR(10)," "))))+1 - LEN(SUBSTITUTE(CLEAN(SUBSTITUTE(ProjTextQTable[[#This Row],[text]],CHAR(10)," "))," ",""))</f>
        <v>513</v>
      </c>
      <c r="O2" t="s">
        <v>529</v>
      </c>
      <c r="P2" t="s">
        <v>530</v>
      </c>
    </row>
    <row r="3" spans="1:16" x14ac:dyDescent="0.35">
      <c r="A3">
        <f t="shared" si="0"/>
        <v>1</v>
      </c>
      <c r="B3" t="s">
        <v>520</v>
      </c>
      <c r="C3" t="s">
        <v>521</v>
      </c>
      <c r="D3" t="s">
        <v>531</v>
      </c>
      <c r="E3" t="s">
        <v>523</v>
      </c>
      <c r="F3" t="s">
        <v>532</v>
      </c>
      <c r="G3" t="s">
        <v>533</v>
      </c>
      <c r="H3" t="s">
        <v>532</v>
      </c>
      <c r="I3" t="s">
        <v>532</v>
      </c>
      <c r="K3" s="30"/>
      <c r="L3" s="8">
        <v>43076.608981481484</v>
      </c>
      <c r="M3" s="21">
        <f>LEN(ProjTextQTable[[#This Row],[text]])</f>
        <v>1932</v>
      </c>
      <c r="N3" s="21">
        <f>LEN(TRIM(CLEAN(SUBSTITUTE(ProjTextQTable[[#This Row],[text]],CHAR(10)," "))))+1 - LEN(SUBSTITUTE(CLEAN(SUBSTITUTE(ProjTextQTable[[#This Row],[text]],CHAR(10)," "))," ",""))</f>
        <v>283</v>
      </c>
      <c r="O3" t="s">
        <v>532</v>
      </c>
      <c r="P3" t="s">
        <v>534</v>
      </c>
    </row>
    <row r="4" spans="1:16" x14ac:dyDescent="0.35">
      <c r="A4">
        <f t="shared" si="0"/>
        <v>1</v>
      </c>
      <c r="B4" t="s">
        <v>520</v>
      </c>
      <c r="C4" t="s">
        <v>521</v>
      </c>
      <c r="D4" t="s">
        <v>535</v>
      </c>
      <c r="E4" t="s">
        <v>536</v>
      </c>
      <c r="F4" t="s">
        <v>537</v>
      </c>
      <c r="G4" t="s">
        <v>538</v>
      </c>
      <c r="H4" t="s">
        <v>539</v>
      </c>
      <c r="I4" t="s">
        <v>540</v>
      </c>
      <c r="J4" t="s">
        <v>541</v>
      </c>
      <c r="K4" s="30">
        <v>43032</v>
      </c>
      <c r="L4" s="8">
        <v>43031.583935185183</v>
      </c>
      <c r="M4" s="21">
        <f>LEN(ProjTextQTable[[#This Row],[text]])</f>
        <v>3353</v>
      </c>
      <c r="N4" s="21">
        <f>LEN(TRIM(CLEAN(SUBSTITUTE(ProjTextQTable[[#This Row],[text]],CHAR(10)," "))))+1 - LEN(SUBSTITUTE(CLEAN(SUBSTITUTE(ProjTextQTable[[#This Row],[text]],CHAR(10)," "))," ",""))</f>
        <v>545</v>
      </c>
      <c r="O4" t="s">
        <v>542</v>
      </c>
      <c r="P4" t="s">
        <v>543</v>
      </c>
    </row>
    <row r="5" spans="1:16" x14ac:dyDescent="0.35">
      <c r="A5">
        <f t="shared" si="0"/>
        <v>1</v>
      </c>
      <c r="B5" t="s">
        <v>520</v>
      </c>
      <c r="C5" t="s">
        <v>521</v>
      </c>
      <c r="D5" t="s">
        <v>535</v>
      </c>
      <c r="E5" t="s">
        <v>536</v>
      </c>
      <c r="F5" t="s">
        <v>544</v>
      </c>
      <c r="G5" t="s">
        <v>545</v>
      </c>
      <c r="H5" t="s">
        <v>546</v>
      </c>
      <c r="I5" t="s">
        <v>540</v>
      </c>
      <c r="J5" t="s">
        <v>541</v>
      </c>
      <c r="K5" s="30">
        <v>43032</v>
      </c>
      <c r="L5" s="8">
        <v>43031.52008101852</v>
      </c>
      <c r="M5" s="21">
        <f>LEN(ProjTextQTable[[#This Row],[text]])</f>
        <v>1749</v>
      </c>
      <c r="N5" s="21">
        <f>LEN(TRIM(CLEAN(SUBSTITUTE(ProjTextQTable[[#This Row],[text]],CHAR(10)," "))))+1 - LEN(SUBSTITUTE(CLEAN(SUBSTITUTE(ProjTextQTable[[#This Row],[text]],CHAR(10)," "))," ",""))</f>
        <v>271</v>
      </c>
      <c r="O5" t="s">
        <v>547</v>
      </c>
      <c r="P5" t="s">
        <v>548</v>
      </c>
    </row>
    <row r="6" spans="1:16" x14ac:dyDescent="0.35">
      <c r="A6">
        <f t="shared" si="0"/>
        <v>1</v>
      </c>
      <c r="B6" t="s">
        <v>520</v>
      </c>
      <c r="C6" t="s">
        <v>521</v>
      </c>
      <c r="D6" t="s">
        <v>535</v>
      </c>
      <c r="E6" t="s">
        <v>536</v>
      </c>
      <c r="F6" t="s">
        <v>549</v>
      </c>
      <c r="G6" t="s">
        <v>550</v>
      </c>
      <c r="H6" t="s">
        <v>551</v>
      </c>
      <c r="I6" t="s">
        <v>540</v>
      </c>
      <c r="J6" t="s">
        <v>541</v>
      </c>
      <c r="K6" s="30">
        <v>43032</v>
      </c>
      <c r="L6" s="8">
        <v>43026.508344907408</v>
      </c>
      <c r="M6" s="21">
        <f>LEN(ProjTextQTable[[#This Row],[text]])</f>
        <v>3446</v>
      </c>
      <c r="N6" s="21">
        <f>LEN(TRIM(CLEAN(SUBSTITUTE(ProjTextQTable[[#This Row],[text]],CHAR(10)," "))))+1 - LEN(SUBSTITUTE(CLEAN(SUBSTITUTE(ProjTextQTable[[#This Row],[text]],CHAR(10)," "))," ",""))</f>
        <v>531</v>
      </c>
      <c r="O6" t="s">
        <v>552</v>
      </c>
      <c r="P6" t="s">
        <v>553</v>
      </c>
    </row>
    <row r="7" spans="1:16" x14ac:dyDescent="0.35">
      <c r="A7">
        <f t="shared" si="0"/>
        <v>1</v>
      </c>
      <c r="B7" t="s">
        <v>520</v>
      </c>
      <c r="C7" t="s">
        <v>521</v>
      </c>
      <c r="D7" t="s">
        <v>535</v>
      </c>
      <c r="E7" t="s">
        <v>523</v>
      </c>
      <c r="F7" t="s">
        <v>554</v>
      </c>
      <c r="G7" t="s">
        <v>555</v>
      </c>
      <c r="H7" t="s">
        <v>556</v>
      </c>
      <c r="I7" t="s">
        <v>540</v>
      </c>
      <c r="J7" t="s">
        <v>541</v>
      </c>
      <c r="K7" s="30">
        <v>43032</v>
      </c>
      <c r="L7" s="8">
        <v>43018.840243055558</v>
      </c>
      <c r="M7" s="21">
        <f>LEN(ProjTextQTable[[#This Row],[text]])</f>
        <v>2975</v>
      </c>
      <c r="N7" s="21">
        <f>LEN(TRIM(CLEAN(SUBSTITUTE(ProjTextQTable[[#This Row],[text]],CHAR(10)," "))))+1 - LEN(SUBSTITUTE(CLEAN(SUBSTITUTE(ProjTextQTable[[#This Row],[text]],CHAR(10)," "))," ",""))</f>
        <v>476</v>
      </c>
      <c r="O7" t="s">
        <v>547</v>
      </c>
      <c r="P7" t="s">
        <v>557</v>
      </c>
    </row>
    <row r="8" spans="1:16" x14ac:dyDescent="0.35">
      <c r="A8">
        <f t="shared" si="0"/>
        <v>1</v>
      </c>
      <c r="B8" t="s">
        <v>520</v>
      </c>
      <c r="C8" t="s">
        <v>521</v>
      </c>
      <c r="D8" t="s">
        <v>558</v>
      </c>
      <c r="E8" t="s">
        <v>523</v>
      </c>
      <c r="F8" t="s">
        <v>532</v>
      </c>
      <c r="G8" t="s">
        <v>532</v>
      </c>
      <c r="H8" t="s">
        <v>532</v>
      </c>
      <c r="K8" s="30"/>
      <c r="L8" s="8">
        <v>42931.442777777775</v>
      </c>
      <c r="M8" s="21">
        <f>LEN(ProjTextQTable[[#This Row],[text]])</f>
        <v>3950</v>
      </c>
      <c r="N8" s="21">
        <f>LEN(TRIM(CLEAN(SUBSTITUTE(ProjTextQTable[[#This Row],[text]],CHAR(10)," "))))+1 - LEN(SUBSTITUTE(CLEAN(SUBSTITUTE(ProjTextQTable[[#This Row],[text]],CHAR(10)," "))," ",""))</f>
        <v>602</v>
      </c>
      <c r="O8" t="s">
        <v>532</v>
      </c>
      <c r="P8" t="s">
        <v>559</v>
      </c>
    </row>
    <row r="9" spans="1:16" x14ac:dyDescent="0.35">
      <c r="A9">
        <f t="shared" si="0"/>
        <v>2</v>
      </c>
      <c r="B9" t="s">
        <v>560</v>
      </c>
      <c r="C9" t="s">
        <v>561</v>
      </c>
      <c r="D9" t="s">
        <v>522</v>
      </c>
      <c r="E9" t="s">
        <v>523</v>
      </c>
      <c r="F9" t="s">
        <v>524</v>
      </c>
      <c r="G9" t="s">
        <v>525</v>
      </c>
      <c r="H9" t="s">
        <v>562</v>
      </c>
      <c r="I9" t="s">
        <v>563</v>
      </c>
      <c r="J9" t="s">
        <v>564</v>
      </c>
      <c r="K9" s="30">
        <v>43031</v>
      </c>
      <c r="L9" s="8">
        <v>43032.567291666666</v>
      </c>
      <c r="M9" s="21">
        <f>LEN(ProjTextQTable[[#This Row],[text]])</f>
        <v>4739</v>
      </c>
      <c r="N9" s="21">
        <f>LEN(TRIM(CLEAN(SUBSTITUTE(ProjTextQTable[[#This Row],[text]],CHAR(10)," "))))+1 - LEN(SUBSTITUTE(CLEAN(SUBSTITUTE(ProjTextQTable[[#This Row],[text]],CHAR(10)," "))," ",""))</f>
        <v>677</v>
      </c>
      <c r="O9" t="s">
        <v>565</v>
      </c>
      <c r="P9" t="s">
        <v>566</v>
      </c>
    </row>
    <row r="10" spans="1:16" x14ac:dyDescent="0.35">
      <c r="A10">
        <f t="shared" si="0"/>
        <v>2</v>
      </c>
      <c r="B10" t="s">
        <v>560</v>
      </c>
      <c r="C10" t="s">
        <v>561</v>
      </c>
      <c r="D10" t="s">
        <v>531</v>
      </c>
      <c r="E10" t="s">
        <v>523</v>
      </c>
      <c r="F10" t="s">
        <v>532</v>
      </c>
      <c r="G10" t="s">
        <v>533</v>
      </c>
      <c r="H10" t="s">
        <v>532</v>
      </c>
      <c r="I10" t="s">
        <v>532</v>
      </c>
      <c r="K10" s="30"/>
      <c r="L10" s="8">
        <v>43082.662557870368</v>
      </c>
      <c r="M10" s="21">
        <f>LEN(ProjTextQTable[[#This Row],[text]])</f>
        <v>1938</v>
      </c>
      <c r="N10" s="21">
        <f>LEN(TRIM(CLEAN(SUBSTITUTE(ProjTextQTable[[#This Row],[text]],CHAR(10)," "))))+1 - LEN(SUBSTITUTE(CLEAN(SUBSTITUTE(ProjTextQTable[[#This Row],[text]],CHAR(10)," "))," ",""))</f>
        <v>285</v>
      </c>
      <c r="O10" t="s">
        <v>532</v>
      </c>
      <c r="P10" t="s">
        <v>567</v>
      </c>
    </row>
    <row r="11" spans="1:16" x14ac:dyDescent="0.35">
      <c r="A11">
        <f t="shared" si="0"/>
        <v>2</v>
      </c>
      <c r="B11" t="s">
        <v>560</v>
      </c>
      <c r="C11" t="s">
        <v>561</v>
      </c>
      <c r="D11" t="s">
        <v>535</v>
      </c>
      <c r="E11" t="s">
        <v>536</v>
      </c>
      <c r="F11" t="s">
        <v>568</v>
      </c>
      <c r="G11" t="s">
        <v>569</v>
      </c>
      <c r="H11" t="s">
        <v>570</v>
      </c>
      <c r="I11" t="s">
        <v>540</v>
      </c>
      <c r="J11" t="s">
        <v>541</v>
      </c>
      <c r="K11" s="30">
        <v>43032</v>
      </c>
      <c r="L11" s="8">
        <v>43029.002870370372</v>
      </c>
      <c r="M11" s="21">
        <f>LEN(ProjTextQTable[[#This Row],[text]])</f>
        <v>3294</v>
      </c>
      <c r="N11" s="21">
        <f>LEN(TRIM(CLEAN(SUBSTITUTE(ProjTextQTable[[#This Row],[text]],CHAR(10)," "))))+1 - LEN(SUBSTITUTE(CLEAN(SUBSTITUTE(ProjTextQTable[[#This Row],[text]],CHAR(10)," "))," ",""))</f>
        <v>495</v>
      </c>
      <c r="O11" t="s">
        <v>571</v>
      </c>
      <c r="P11" t="s">
        <v>572</v>
      </c>
    </row>
    <row r="12" spans="1:16" x14ac:dyDescent="0.35">
      <c r="A12">
        <f t="shared" si="0"/>
        <v>2</v>
      </c>
      <c r="B12" t="s">
        <v>560</v>
      </c>
      <c r="C12" t="s">
        <v>561</v>
      </c>
      <c r="D12" t="s">
        <v>535</v>
      </c>
      <c r="E12" t="s">
        <v>523</v>
      </c>
      <c r="F12" t="s">
        <v>573</v>
      </c>
      <c r="G12" t="s">
        <v>574</v>
      </c>
      <c r="H12" t="s">
        <v>575</v>
      </c>
      <c r="I12" t="s">
        <v>540</v>
      </c>
      <c r="J12" t="s">
        <v>541</v>
      </c>
      <c r="K12" s="30">
        <v>43032</v>
      </c>
      <c r="L12" s="8">
        <v>43030.179826388892</v>
      </c>
      <c r="M12" s="21">
        <f>LEN(ProjTextQTable[[#This Row],[text]])</f>
        <v>2298</v>
      </c>
      <c r="N12" s="21">
        <f>LEN(TRIM(CLEAN(SUBSTITUTE(ProjTextQTable[[#This Row],[text]],CHAR(10)," "))))+1 - LEN(SUBSTITUTE(CLEAN(SUBSTITUTE(ProjTextQTable[[#This Row],[text]],CHAR(10)," "))," ",""))</f>
        <v>339</v>
      </c>
      <c r="O12" t="s">
        <v>552</v>
      </c>
      <c r="P12" t="s">
        <v>576</v>
      </c>
    </row>
    <row r="13" spans="1:16" x14ac:dyDescent="0.35">
      <c r="A13">
        <f t="shared" si="0"/>
        <v>2</v>
      </c>
      <c r="B13" t="s">
        <v>560</v>
      </c>
      <c r="C13" t="s">
        <v>561</v>
      </c>
      <c r="D13" t="s">
        <v>535</v>
      </c>
      <c r="E13" t="s">
        <v>536</v>
      </c>
      <c r="F13" t="s">
        <v>514</v>
      </c>
      <c r="G13" t="s">
        <v>577</v>
      </c>
      <c r="H13" t="s">
        <v>578</v>
      </c>
      <c r="I13" t="s">
        <v>540</v>
      </c>
      <c r="J13" t="s">
        <v>541</v>
      </c>
      <c r="K13" s="30">
        <v>43032</v>
      </c>
      <c r="L13" s="8">
        <v>43028.861863425926</v>
      </c>
      <c r="M13" s="21">
        <f>LEN(ProjTextQTable[[#This Row],[text]])</f>
        <v>2774</v>
      </c>
      <c r="N13" s="21">
        <f>LEN(TRIM(CLEAN(SUBSTITUTE(ProjTextQTable[[#This Row],[text]],CHAR(10)," "))))+1 - LEN(SUBSTITUTE(CLEAN(SUBSTITUTE(ProjTextQTable[[#This Row],[text]],CHAR(10)," "))," ",""))</f>
        <v>392</v>
      </c>
      <c r="O13" t="s">
        <v>579</v>
      </c>
      <c r="P13" t="s">
        <v>580</v>
      </c>
    </row>
    <row r="14" spans="1:16" x14ac:dyDescent="0.35">
      <c r="A14">
        <f t="shared" si="0"/>
        <v>2</v>
      </c>
      <c r="B14" t="s">
        <v>560</v>
      </c>
      <c r="C14" t="s">
        <v>561</v>
      </c>
      <c r="D14" t="s">
        <v>535</v>
      </c>
      <c r="E14" t="s">
        <v>536</v>
      </c>
      <c r="F14" t="s">
        <v>511</v>
      </c>
      <c r="G14" t="s">
        <v>581</v>
      </c>
      <c r="H14" t="s">
        <v>582</v>
      </c>
      <c r="I14" t="s">
        <v>540</v>
      </c>
      <c r="J14" t="s">
        <v>541</v>
      </c>
      <c r="K14" s="30">
        <v>43032</v>
      </c>
      <c r="L14" s="8">
        <v>43029.985185185185</v>
      </c>
      <c r="M14" s="21">
        <f>LEN(ProjTextQTable[[#This Row],[text]])</f>
        <v>3648</v>
      </c>
      <c r="N14" s="21">
        <f>LEN(TRIM(CLEAN(SUBSTITUTE(ProjTextQTable[[#This Row],[text]],CHAR(10)," "))))+1 - LEN(SUBSTITUTE(CLEAN(SUBSTITUTE(ProjTextQTable[[#This Row],[text]],CHAR(10)," "))," ",""))</f>
        <v>547</v>
      </c>
      <c r="O14" t="s">
        <v>583</v>
      </c>
      <c r="P14" t="s">
        <v>584</v>
      </c>
    </row>
    <row r="15" spans="1:16" x14ac:dyDescent="0.35">
      <c r="A15">
        <f t="shared" si="0"/>
        <v>2</v>
      </c>
      <c r="B15" t="s">
        <v>560</v>
      </c>
      <c r="C15" t="s">
        <v>561</v>
      </c>
      <c r="D15" t="s">
        <v>558</v>
      </c>
      <c r="E15" t="s">
        <v>523</v>
      </c>
      <c r="F15" t="s">
        <v>532</v>
      </c>
      <c r="G15" t="s">
        <v>532</v>
      </c>
      <c r="H15" t="s">
        <v>532</v>
      </c>
      <c r="K15" s="30"/>
      <c r="L15" s="8">
        <v>42934.042766203704</v>
      </c>
      <c r="M15" s="21">
        <f>LEN(ProjTextQTable[[#This Row],[text]])</f>
        <v>3482</v>
      </c>
      <c r="N15" s="21">
        <f>LEN(TRIM(CLEAN(SUBSTITUTE(ProjTextQTable[[#This Row],[text]],CHAR(10)," "))))+1 - LEN(SUBSTITUTE(CLEAN(SUBSTITUTE(ProjTextQTable[[#This Row],[text]],CHAR(10)," "))," ",""))</f>
        <v>489</v>
      </c>
      <c r="O15" t="s">
        <v>532</v>
      </c>
      <c r="P15" t="s">
        <v>585</v>
      </c>
    </row>
    <row r="16" spans="1:16" x14ac:dyDescent="0.35">
      <c r="A16">
        <f t="shared" si="0"/>
        <v>3</v>
      </c>
      <c r="B16" t="s">
        <v>586</v>
      </c>
      <c r="C16" t="s">
        <v>587</v>
      </c>
      <c r="D16" t="s">
        <v>522</v>
      </c>
      <c r="E16" t="s">
        <v>523</v>
      </c>
      <c r="F16" t="s">
        <v>524</v>
      </c>
      <c r="G16" t="s">
        <v>525</v>
      </c>
      <c r="H16" t="s">
        <v>588</v>
      </c>
      <c r="I16" t="s">
        <v>589</v>
      </c>
      <c r="J16" t="s">
        <v>563</v>
      </c>
      <c r="K16" s="30">
        <v>43031</v>
      </c>
      <c r="L16" s="8">
        <v>43032.60560185185</v>
      </c>
      <c r="M16" s="21">
        <f>LEN(ProjTextQTable[[#This Row],[text]])</f>
        <v>4547</v>
      </c>
      <c r="N16" s="21">
        <f>LEN(TRIM(CLEAN(SUBSTITUTE(ProjTextQTable[[#This Row],[text]],CHAR(10)," "))))+1 - LEN(SUBSTITUTE(CLEAN(SUBSTITUTE(ProjTextQTable[[#This Row],[text]],CHAR(10)," "))," ",""))</f>
        <v>673</v>
      </c>
      <c r="O16" t="s">
        <v>590</v>
      </c>
      <c r="P16" t="s">
        <v>591</v>
      </c>
    </row>
    <row r="17" spans="1:16" x14ac:dyDescent="0.35">
      <c r="A17">
        <f t="shared" si="0"/>
        <v>3</v>
      </c>
      <c r="B17" t="s">
        <v>586</v>
      </c>
      <c r="C17" t="s">
        <v>587</v>
      </c>
      <c r="D17" t="s">
        <v>535</v>
      </c>
      <c r="E17" t="s">
        <v>536</v>
      </c>
      <c r="F17" t="s">
        <v>537</v>
      </c>
      <c r="G17" t="s">
        <v>538</v>
      </c>
      <c r="H17" t="s">
        <v>539</v>
      </c>
      <c r="I17" t="s">
        <v>540</v>
      </c>
      <c r="J17" t="s">
        <v>541</v>
      </c>
      <c r="K17" s="30">
        <v>43032</v>
      </c>
      <c r="L17" s="8">
        <v>43031.584305555552</v>
      </c>
      <c r="M17" s="21">
        <f>LEN(ProjTextQTable[[#This Row],[text]])</f>
        <v>2413</v>
      </c>
      <c r="N17" s="21">
        <f>LEN(TRIM(CLEAN(SUBSTITUTE(ProjTextQTable[[#This Row],[text]],CHAR(10)," "))))+1 - LEN(SUBSTITUTE(CLEAN(SUBSTITUTE(ProjTextQTable[[#This Row],[text]],CHAR(10)," "))," ",""))</f>
        <v>378</v>
      </c>
      <c r="O17" t="s">
        <v>592</v>
      </c>
      <c r="P17" t="s">
        <v>593</v>
      </c>
    </row>
    <row r="18" spans="1:16" x14ac:dyDescent="0.35">
      <c r="A18">
        <f t="shared" si="0"/>
        <v>3</v>
      </c>
      <c r="B18" t="s">
        <v>586</v>
      </c>
      <c r="C18" t="s">
        <v>587</v>
      </c>
      <c r="D18" t="s">
        <v>535</v>
      </c>
      <c r="E18" t="s">
        <v>536</v>
      </c>
      <c r="F18" t="s">
        <v>544</v>
      </c>
      <c r="G18" t="s">
        <v>545</v>
      </c>
      <c r="H18" t="s">
        <v>546</v>
      </c>
      <c r="I18" t="s">
        <v>540</v>
      </c>
      <c r="J18" t="s">
        <v>541</v>
      </c>
      <c r="K18" s="30">
        <v>43032</v>
      </c>
      <c r="L18" s="8">
        <v>43031.433321759258</v>
      </c>
      <c r="M18" s="21">
        <f>LEN(ProjTextQTable[[#This Row],[text]])</f>
        <v>2325</v>
      </c>
      <c r="N18" s="21">
        <f>LEN(TRIM(CLEAN(SUBSTITUTE(ProjTextQTable[[#This Row],[text]],CHAR(10)," "))))+1 - LEN(SUBSTITUTE(CLEAN(SUBSTITUTE(ProjTextQTable[[#This Row],[text]],CHAR(10)," "))," ",""))</f>
        <v>359</v>
      </c>
      <c r="O18" t="s">
        <v>594</v>
      </c>
      <c r="P18" t="s">
        <v>595</v>
      </c>
    </row>
    <row r="19" spans="1:16" x14ac:dyDescent="0.35">
      <c r="A19">
        <f t="shared" si="0"/>
        <v>3</v>
      </c>
      <c r="B19" t="s">
        <v>586</v>
      </c>
      <c r="C19" t="s">
        <v>587</v>
      </c>
      <c r="D19" t="s">
        <v>535</v>
      </c>
      <c r="E19" t="s">
        <v>523</v>
      </c>
      <c r="F19" t="s">
        <v>554</v>
      </c>
      <c r="G19" t="s">
        <v>555</v>
      </c>
      <c r="H19" t="s">
        <v>556</v>
      </c>
      <c r="I19" t="s">
        <v>540</v>
      </c>
      <c r="J19" t="s">
        <v>541</v>
      </c>
      <c r="K19" s="30">
        <v>43032</v>
      </c>
      <c r="L19" s="8">
        <v>43018.886724537035</v>
      </c>
      <c r="M19" s="21">
        <f>LEN(ProjTextQTable[[#This Row],[text]])</f>
        <v>1961</v>
      </c>
      <c r="N19" s="21">
        <f>LEN(TRIM(CLEAN(SUBSTITUTE(ProjTextQTable[[#This Row],[text]],CHAR(10)," "))))+1 - LEN(SUBSTITUTE(CLEAN(SUBSTITUTE(ProjTextQTable[[#This Row],[text]],CHAR(10)," "))," ",""))</f>
        <v>296</v>
      </c>
      <c r="O19" t="s">
        <v>552</v>
      </c>
      <c r="P19" t="s">
        <v>596</v>
      </c>
    </row>
    <row r="20" spans="1:16" x14ac:dyDescent="0.35">
      <c r="A20">
        <f t="shared" si="0"/>
        <v>3</v>
      </c>
      <c r="B20" t="s">
        <v>586</v>
      </c>
      <c r="C20" t="s">
        <v>587</v>
      </c>
      <c r="D20" t="s">
        <v>535</v>
      </c>
      <c r="E20" t="s">
        <v>536</v>
      </c>
      <c r="F20" t="s">
        <v>505</v>
      </c>
      <c r="G20" t="s">
        <v>597</v>
      </c>
      <c r="H20" t="s">
        <v>598</v>
      </c>
      <c r="I20" t="s">
        <v>540</v>
      </c>
      <c r="J20" t="s">
        <v>541</v>
      </c>
      <c r="K20" s="30">
        <v>43032</v>
      </c>
      <c r="L20" s="8">
        <v>43029.019606481481</v>
      </c>
      <c r="M20" s="21">
        <f>LEN(ProjTextQTable[[#This Row],[text]])</f>
        <v>1910</v>
      </c>
      <c r="N20" s="21">
        <f>LEN(TRIM(CLEAN(SUBSTITUTE(ProjTextQTable[[#This Row],[text]],CHAR(10)," "))))+1 - LEN(SUBSTITUTE(CLEAN(SUBSTITUTE(ProjTextQTable[[#This Row],[text]],CHAR(10)," "))," ",""))</f>
        <v>279</v>
      </c>
      <c r="O20" t="s">
        <v>552</v>
      </c>
      <c r="P20" t="s">
        <v>599</v>
      </c>
    </row>
    <row r="21" spans="1:16" x14ac:dyDescent="0.35">
      <c r="A21">
        <f t="shared" si="0"/>
        <v>3</v>
      </c>
      <c r="B21" t="s">
        <v>586</v>
      </c>
      <c r="C21" t="s">
        <v>587</v>
      </c>
      <c r="D21" t="s">
        <v>558</v>
      </c>
      <c r="E21" t="s">
        <v>523</v>
      </c>
      <c r="F21" t="s">
        <v>532</v>
      </c>
      <c r="G21" t="s">
        <v>532</v>
      </c>
      <c r="H21" t="s">
        <v>532</v>
      </c>
      <c r="K21" s="30"/>
      <c r="L21" s="8">
        <v>42934.043171296296</v>
      </c>
      <c r="M21" s="21">
        <f>LEN(ProjTextQTable[[#This Row],[text]])</f>
        <v>4358</v>
      </c>
      <c r="N21" s="21">
        <f>LEN(TRIM(CLEAN(SUBSTITUTE(ProjTextQTable[[#This Row],[text]],CHAR(10)," "))))+1 - LEN(SUBSTITUTE(CLEAN(SUBSTITUTE(ProjTextQTable[[#This Row],[text]],CHAR(10)," "))," ",""))</f>
        <v>666</v>
      </c>
      <c r="O21" t="s">
        <v>532</v>
      </c>
      <c r="P21" t="s">
        <v>600</v>
      </c>
    </row>
    <row r="22" spans="1:16" x14ac:dyDescent="0.35">
      <c r="A22">
        <f t="shared" si="0"/>
        <v>4</v>
      </c>
      <c r="B22" t="s">
        <v>601</v>
      </c>
      <c r="C22" t="s">
        <v>602</v>
      </c>
      <c r="D22" t="s">
        <v>522</v>
      </c>
      <c r="E22" t="s">
        <v>523</v>
      </c>
      <c r="F22" t="s">
        <v>524</v>
      </c>
      <c r="G22" t="s">
        <v>525</v>
      </c>
      <c r="H22" t="s">
        <v>603</v>
      </c>
      <c r="I22" t="s">
        <v>604</v>
      </c>
      <c r="J22" t="s">
        <v>604</v>
      </c>
      <c r="K22" s="30">
        <v>43031</v>
      </c>
      <c r="L22" s="8">
        <v>43032.642650462964</v>
      </c>
      <c r="M22" s="21">
        <f>LEN(ProjTextQTable[[#This Row],[text]])</f>
        <v>3611</v>
      </c>
      <c r="N22" s="21">
        <f>LEN(TRIM(CLEAN(SUBSTITUTE(ProjTextQTable[[#This Row],[text]],CHAR(10)," "))))+1 - LEN(SUBSTITUTE(CLEAN(SUBSTITUTE(ProjTextQTable[[#This Row],[text]],CHAR(10)," "))," ",""))</f>
        <v>527</v>
      </c>
      <c r="O22" t="s">
        <v>605</v>
      </c>
      <c r="P22" t="s">
        <v>606</v>
      </c>
    </row>
    <row r="23" spans="1:16" x14ac:dyDescent="0.35">
      <c r="A23">
        <f t="shared" si="0"/>
        <v>4</v>
      </c>
      <c r="B23" t="s">
        <v>601</v>
      </c>
      <c r="C23" t="s">
        <v>602</v>
      </c>
      <c r="D23" t="s">
        <v>535</v>
      </c>
      <c r="E23" t="s">
        <v>536</v>
      </c>
      <c r="F23" t="s">
        <v>514</v>
      </c>
      <c r="G23" t="s">
        <v>577</v>
      </c>
      <c r="H23" t="s">
        <v>578</v>
      </c>
      <c r="I23" t="s">
        <v>540</v>
      </c>
      <c r="J23" t="s">
        <v>541</v>
      </c>
      <c r="K23" s="30">
        <v>43032</v>
      </c>
      <c r="L23" s="8">
        <v>43028.861875000002</v>
      </c>
      <c r="M23" s="21">
        <f>LEN(ProjTextQTable[[#This Row],[text]])</f>
        <v>2647</v>
      </c>
      <c r="N23" s="21">
        <f>LEN(TRIM(CLEAN(SUBSTITUTE(ProjTextQTable[[#This Row],[text]],CHAR(10)," "))))+1 - LEN(SUBSTITUTE(CLEAN(SUBSTITUTE(ProjTextQTable[[#This Row],[text]],CHAR(10)," "))," ",""))</f>
        <v>399</v>
      </c>
      <c r="O23" t="s">
        <v>579</v>
      </c>
      <c r="P23" t="s">
        <v>607</v>
      </c>
    </row>
    <row r="24" spans="1:16" x14ac:dyDescent="0.35">
      <c r="A24">
        <f t="shared" si="0"/>
        <v>4</v>
      </c>
      <c r="B24" t="s">
        <v>601</v>
      </c>
      <c r="C24" t="s">
        <v>602</v>
      </c>
      <c r="D24" t="s">
        <v>535</v>
      </c>
      <c r="E24" t="s">
        <v>536</v>
      </c>
      <c r="F24" t="s">
        <v>544</v>
      </c>
      <c r="G24" t="s">
        <v>545</v>
      </c>
      <c r="H24" t="s">
        <v>546</v>
      </c>
      <c r="I24" t="s">
        <v>540</v>
      </c>
      <c r="J24" t="s">
        <v>541</v>
      </c>
      <c r="K24" s="30">
        <v>43032</v>
      </c>
      <c r="L24" s="8">
        <v>43031.376006944447</v>
      </c>
      <c r="M24" s="21">
        <f>LEN(ProjTextQTable[[#This Row],[text]])</f>
        <v>2191</v>
      </c>
      <c r="N24" s="21">
        <f>LEN(TRIM(CLEAN(SUBSTITUTE(ProjTextQTable[[#This Row],[text]],CHAR(10)," "))))+1 - LEN(SUBSTITUTE(CLEAN(SUBSTITUTE(ProjTextQTable[[#This Row],[text]],CHAR(10)," "))," ",""))</f>
        <v>350</v>
      </c>
      <c r="O24" t="s">
        <v>579</v>
      </c>
      <c r="P24" t="s">
        <v>608</v>
      </c>
    </row>
    <row r="25" spans="1:16" x14ac:dyDescent="0.35">
      <c r="A25">
        <f t="shared" si="0"/>
        <v>4</v>
      </c>
      <c r="B25" t="s">
        <v>601</v>
      </c>
      <c r="C25" t="s">
        <v>602</v>
      </c>
      <c r="D25" t="s">
        <v>535</v>
      </c>
      <c r="E25" t="s">
        <v>536</v>
      </c>
      <c r="F25" t="s">
        <v>549</v>
      </c>
      <c r="G25" t="s">
        <v>550</v>
      </c>
      <c r="H25" t="s">
        <v>551</v>
      </c>
      <c r="I25" t="s">
        <v>540</v>
      </c>
      <c r="J25" t="s">
        <v>541</v>
      </c>
      <c r="K25" s="30">
        <v>43032</v>
      </c>
      <c r="L25" s="8">
        <v>43030.878263888888</v>
      </c>
      <c r="M25" s="21">
        <f>LEN(ProjTextQTable[[#This Row],[text]])</f>
        <v>1995</v>
      </c>
      <c r="N25" s="21">
        <f>LEN(TRIM(CLEAN(SUBSTITUTE(ProjTextQTable[[#This Row],[text]],CHAR(10)," "))))+1 - LEN(SUBSTITUTE(CLEAN(SUBSTITUTE(ProjTextQTable[[#This Row],[text]],CHAR(10)," "))," ",""))</f>
        <v>300</v>
      </c>
      <c r="O25" t="s">
        <v>592</v>
      </c>
      <c r="P25" t="s">
        <v>609</v>
      </c>
    </row>
    <row r="26" spans="1:16" x14ac:dyDescent="0.35">
      <c r="A26">
        <f t="shared" si="0"/>
        <v>4</v>
      </c>
      <c r="B26" t="s">
        <v>601</v>
      </c>
      <c r="C26" t="s">
        <v>602</v>
      </c>
      <c r="D26" t="s">
        <v>535</v>
      </c>
      <c r="E26" t="s">
        <v>523</v>
      </c>
      <c r="F26" t="s">
        <v>554</v>
      </c>
      <c r="G26" t="s">
        <v>555</v>
      </c>
      <c r="H26" t="s">
        <v>556</v>
      </c>
      <c r="I26" t="s">
        <v>540</v>
      </c>
      <c r="J26" t="s">
        <v>541</v>
      </c>
      <c r="K26" s="30">
        <v>43032</v>
      </c>
      <c r="L26" s="8">
        <v>43023.931284722225</v>
      </c>
      <c r="M26" s="21">
        <f>LEN(ProjTextQTable[[#This Row],[text]])</f>
        <v>2561</v>
      </c>
      <c r="N26" s="21">
        <f>LEN(TRIM(CLEAN(SUBSTITUTE(ProjTextQTable[[#This Row],[text]],CHAR(10)," "))))+1 - LEN(SUBSTITUTE(CLEAN(SUBSTITUTE(ProjTextQTable[[#This Row],[text]],CHAR(10)," "))," ",""))</f>
        <v>401</v>
      </c>
      <c r="O26" t="s">
        <v>594</v>
      </c>
      <c r="P26" t="s">
        <v>610</v>
      </c>
    </row>
    <row r="27" spans="1:16" x14ac:dyDescent="0.35">
      <c r="A27">
        <f t="shared" si="0"/>
        <v>4</v>
      </c>
      <c r="B27" t="s">
        <v>601</v>
      </c>
      <c r="C27" t="s">
        <v>602</v>
      </c>
      <c r="D27" t="s">
        <v>558</v>
      </c>
      <c r="E27" t="s">
        <v>523</v>
      </c>
      <c r="F27" t="s">
        <v>532</v>
      </c>
      <c r="G27" t="s">
        <v>532</v>
      </c>
      <c r="H27" t="s">
        <v>532</v>
      </c>
      <c r="K27" s="30"/>
      <c r="L27" s="8">
        <v>42934.043275462966</v>
      </c>
      <c r="M27" s="21">
        <f>LEN(ProjTextQTable[[#This Row],[text]])</f>
        <v>3506</v>
      </c>
      <c r="N27" s="21">
        <f>LEN(TRIM(CLEAN(SUBSTITUTE(ProjTextQTable[[#This Row],[text]],CHAR(10)," "))))+1 - LEN(SUBSTITUTE(CLEAN(SUBSTITUTE(ProjTextQTable[[#This Row],[text]],CHAR(10)," "))," ",""))</f>
        <v>480</v>
      </c>
      <c r="O27" t="s">
        <v>532</v>
      </c>
      <c r="P27" t="s">
        <v>611</v>
      </c>
    </row>
    <row r="28" spans="1:16" x14ac:dyDescent="0.35">
      <c r="A28">
        <f t="shared" si="0"/>
        <v>5</v>
      </c>
      <c r="B28" t="s">
        <v>612</v>
      </c>
      <c r="C28" t="s">
        <v>613</v>
      </c>
      <c r="D28" t="s">
        <v>522</v>
      </c>
      <c r="E28" t="s">
        <v>523</v>
      </c>
      <c r="F28" t="s">
        <v>614</v>
      </c>
      <c r="G28" t="s">
        <v>615</v>
      </c>
      <c r="H28" t="s">
        <v>588</v>
      </c>
      <c r="I28" t="s">
        <v>589</v>
      </c>
      <c r="J28" t="s">
        <v>527</v>
      </c>
      <c r="K28" s="30">
        <v>43059</v>
      </c>
      <c r="L28" s="8">
        <v>43060.598819444444</v>
      </c>
      <c r="M28" s="21">
        <f>LEN(ProjTextQTable[[#This Row],[text]])</f>
        <v>2672</v>
      </c>
      <c r="N28" s="21">
        <f>LEN(TRIM(CLEAN(SUBSTITUTE(ProjTextQTable[[#This Row],[text]],CHAR(10)," "))))+1 - LEN(SUBSTITUTE(CLEAN(SUBSTITUTE(ProjTextQTable[[#This Row],[text]],CHAR(10)," "))," ",""))</f>
        <v>394</v>
      </c>
      <c r="O28" t="s">
        <v>590</v>
      </c>
      <c r="P28" t="s">
        <v>616</v>
      </c>
    </row>
    <row r="29" spans="1:16" x14ac:dyDescent="0.35">
      <c r="A29">
        <f t="shared" si="0"/>
        <v>5</v>
      </c>
      <c r="B29" t="s">
        <v>612</v>
      </c>
      <c r="C29" t="s">
        <v>613</v>
      </c>
      <c r="D29" t="s">
        <v>535</v>
      </c>
      <c r="E29" t="s">
        <v>523</v>
      </c>
      <c r="F29" t="s">
        <v>617</v>
      </c>
      <c r="G29" t="s">
        <v>618</v>
      </c>
      <c r="H29" t="s">
        <v>619</v>
      </c>
      <c r="I29" t="s">
        <v>540</v>
      </c>
      <c r="J29" t="s">
        <v>541</v>
      </c>
      <c r="K29" s="30">
        <v>43060</v>
      </c>
      <c r="L29" s="8">
        <v>43059.664166666669</v>
      </c>
      <c r="M29" s="21">
        <f>LEN(ProjTextQTable[[#This Row],[text]])</f>
        <v>1844</v>
      </c>
      <c r="N29" s="21">
        <f>LEN(TRIM(CLEAN(SUBSTITUTE(ProjTextQTable[[#This Row],[text]],CHAR(10)," "))))+1 - LEN(SUBSTITUTE(CLEAN(SUBSTITUTE(ProjTextQTable[[#This Row],[text]],CHAR(10)," "))," ",""))</f>
        <v>267</v>
      </c>
      <c r="O29" t="s">
        <v>579</v>
      </c>
      <c r="P29" t="s">
        <v>620</v>
      </c>
    </row>
    <row r="30" spans="1:16" x14ac:dyDescent="0.35">
      <c r="A30">
        <f t="shared" si="0"/>
        <v>5</v>
      </c>
      <c r="B30" t="s">
        <v>612</v>
      </c>
      <c r="C30" t="s">
        <v>613</v>
      </c>
      <c r="D30" t="s">
        <v>535</v>
      </c>
      <c r="E30" t="s">
        <v>536</v>
      </c>
      <c r="F30" t="s">
        <v>621</v>
      </c>
      <c r="G30" t="s">
        <v>622</v>
      </c>
      <c r="H30" t="s">
        <v>623</v>
      </c>
      <c r="I30" t="s">
        <v>540</v>
      </c>
      <c r="J30" t="s">
        <v>541</v>
      </c>
      <c r="K30" s="30">
        <v>43060</v>
      </c>
      <c r="L30" s="8">
        <v>43059.226400462961</v>
      </c>
      <c r="M30" s="21">
        <f>LEN(ProjTextQTable[[#This Row],[text]])</f>
        <v>3132</v>
      </c>
      <c r="N30" s="21">
        <f>LEN(TRIM(CLEAN(SUBSTITUTE(ProjTextQTable[[#This Row],[text]],CHAR(10)," "))))+1 - LEN(SUBSTITUTE(CLEAN(SUBSTITUTE(ProjTextQTable[[#This Row],[text]],CHAR(10)," "))," ",""))</f>
        <v>456</v>
      </c>
      <c r="O30" t="s">
        <v>552</v>
      </c>
      <c r="P30" t="s">
        <v>624</v>
      </c>
    </row>
    <row r="31" spans="1:16" x14ac:dyDescent="0.35">
      <c r="A31">
        <f t="shared" si="0"/>
        <v>5</v>
      </c>
      <c r="B31" t="s">
        <v>612</v>
      </c>
      <c r="C31" t="s">
        <v>613</v>
      </c>
      <c r="D31" t="s">
        <v>535</v>
      </c>
      <c r="E31" t="s">
        <v>523</v>
      </c>
      <c r="F31" t="s">
        <v>625</v>
      </c>
      <c r="G31" t="s">
        <v>626</v>
      </c>
      <c r="H31" t="s">
        <v>627</v>
      </c>
      <c r="I31" t="s">
        <v>540</v>
      </c>
      <c r="J31" t="s">
        <v>541</v>
      </c>
      <c r="K31" s="30">
        <v>43060</v>
      </c>
      <c r="L31" s="8">
        <v>43054.497754629629</v>
      </c>
      <c r="M31" s="21">
        <f>LEN(ProjTextQTable[[#This Row],[text]])</f>
        <v>2925</v>
      </c>
      <c r="N31" s="21">
        <f>LEN(TRIM(CLEAN(SUBSTITUTE(ProjTextQTable[[#This Row],[text]],CHAR(10)," "))))+1 - LEN(SUBSTITUTE(CLEAN(SUBSTITUTE(ProjTextQTable[[#This Row],[text]],CHAR(10)," "))," ",""))</f>
        <v>433</v>
      </c>
      <c r="O31" t="s">
        <v>552</v>
      </c>
      <c r="P31" t="s">
        <v>628</v>
      </c>
    </row>
    <row r="32" spans="1:16" x14ac:dyDescent="0.35">
      <c r="A32">
        <f t="shared" si="0"/>
        <v>5</v>
      </c>
      <c r="B32" t="s">
        <v>612</v>
      </c>
      <c r="C32" t="s">
        <v>613</v>
      </c>
      <c r="D32" t="s">
        <v>535</v>
      </c>
      <c r="E32" t="s">
        <v>536</v>
      </c>
      <c r="F32" t="s">
        <v>629</v>
      </c>
      <c r="G32" t="s">
        <v>630</v>
      </c>
      <c r="H32" t="s">
        <v>631</v>
      </c>
      <c r="I32" t="s">
        <v>540</v>
      </c>
      <c r="J32" t="s">
        <v>541</v>
      </c>
      <c r="K32" s="30">
        <v>43060</v>
      </c>
      <c r="L32" s="8">
        <v>43056.703969907408</v>
      </c>
      <c r="M32" s="21">
        <f>LEN(ProjTextQTable[[#This Row],[text]])</f>
        <v>4277</v>
      </c>
      <c r="N32" s="21">
        <f>LEN(TRIM(CLEAN(SUBSTITUTE(ProjTextQTable[[#This Row],[text]],CHAR(10)," "))))+1 - LEN(SUBSTITUTE(CLEAN(SUBSTITUTE(ProjTextQTable[[#This Row],[text]],CHAR(10)," "))," ",""))</f>
        <v>627</v>
      </c>
      <c r="O32" t="s">
        <v>579</v>
      </c>
      <c r="P32" t="s">
        <v>632</v>
      </c>
    </row>
    <row r="33" spans="1:16" x14ac:dyDescent="0.35">
      <c r="A33">
        <f t="shared" si="0"/>
        <v>5</v>
      </c>
      <c r="B33" t="s">
        <v>612</v>
      </c>
      <c r="C33" t="s">
        <v>613</v>
      </c>
      <c r="D33" t="s">
        <v>558</v>
      </c>
      <c r="E33" t="s">
        <v>523</v>
      </c>
      <c r="F33" t="s">
        <v>532</v>
      </c>
      <c r="G33" t="s">
        <v>532</v>
      </c>
      <c r="H33" t="s">
        <v>532</v>
      </c>
      <c r="K33" s="30"/>
      <c r="L33" s="8">
        <v>42935.043124999997</v>
      </c>
      <c r="M33" s="21">
        <f>LEN(ProjTextQTable[[#This Row],[text]])</f>
        <v>3824</v>
      </c>
      <c r="N33" s="21">
        <f>LEN(TRIM(CLEAN(SUBSTITUTE(ProjTextQTable[[#This Row],[text]],CHAR(10)," "))))+1 - LEN(SUBSTITUTE(CLEAN(SUBSTITUTE(ProjTextQTable[[#This Row],[text]],CHAR(10)," "))," ",""))</f>
        <v>539</v>
      </c>
      <c r="O33" t="s">
        <v>532</v>
      </c>
      <c r="P33" t="s">
        <v>633</v>
      </c>
    </row>
    <row r="34" spans="1:16" x14ac:dyDescent="0.35">
      <c r="A34">
        <f t="shared" ref="A34:A65" si="1">A33+(B34&lt;&gt;B33)</f>
        <v>6</v>
      </c>
      <c r="B34" t="s">
        <v>634</v>
      </c>
      <c r="C34" t="s">
        <v>635</v>
      </c>
      <c r="D34" t="s">
        <v>522</v>
      </c>
      <c r="E34" t="s">
        <v>523</v>
      </c>
      <c r="F34" t="s">
        <v>524</v>
      </c>
      <c r="G34" t="s">
        <v>525</v>
      </c>
      <c r="H34" t="s">
        <v>562</v>
      </c>
      <c r="I34" t="s">
        <v>563</v>
      </c>
      <c r="J34" t="s">
        <v>564</v>
      </c>
      <c r="K34" s="30">
        <v>43031</v>
      </c>
      <c r="L34" s="8">
        <v>43032.563090277778</v>
      </c>
      <c r="M34" s="21">
        <f>LEN(ProjTextQTable[[#This Row],[text]])</f>
        <v>3155</v>
      </c>
      <c r="N34" s="21">
        <f>LEN(TRIM(CLEAN(SUBSTITUTE(ProjTextQTable[[#This Row],[text]],CHAR(10)," "))))+1 - LEN(SUBSTITUTE(CLEAN(SUBSTITUTE(ProjTextQTable[[#This Row],[text]],CHAR(10)," "))," ",""))</f>
        <v>468</v>
      </c>
      <c r="O34" t="s">
        <v>565</v>
      </c>
      <c r="P34" t="s">
        <v>636</v>
      </c>
    </row>
    <row r="35" spans="1:16" x14ac:dyDescent="0.35">
      <c r="A35">
        <f t="shared" si="1"/>
        <v>6</v>
      </c>
      <c r="B35" t="s">
        <v>634</v>
      </c>
      <c r="C35" t="s">
        <v>635</v>
      </c>
      <c r="D35" t="s">
        <v>531</v>
      </c>
      <c r="E35" t="s">
        <v>523</v>
      </c>
      <c r="F35" t="s">
        <v>532</v>
      </c>
      <c r="G35" t="s">
        <v>533</v>
      </c>
      <c r="H35" t="s">
        <v>532</v>
      </c>
      <c r="I35" t="s">
        <v>532</v>
      </c>
      <c r="K35" s="30"/>
      <c r="L35" s="8">
        <v>43082.662685185183</v>
      </c>
      <c r="M35" s="21">
        <f>LEN(ProjTextQTable[[#This Row],[text]])</f>
        <v>1907</v>
      </c>
      <c r="N35" s="21">
        <f>LEN(TRIM(CLEAN(SUBSTITUTE(ProjTextQTable[[#This Row],[text]],CHAR(10)," "))))+1 - LEN(SUBSTITUTE(CLEAN(SUBSTITUTE(ProjTextQTable[[#This Row],[text]],CHAR(10)," "))," ",""))</f>
        <v>281</v>
      </c>
      <c r="O35" t="s">
        <v>532</v>
      </c>
      <c r="P35" t="s">
        <v>637</v>
      </c>
    </row>
    <row r="36" spans="1:16" x14ac:dyDescent="0.35">
      <c r="A36">
        <f t="shared" si="1"/>
        <v>6</v>
      </c>
      <c r="B36" t="s">
        <v>634</v>
      </c>
      <c r="C36" t="s">
        <v>635</v>
      </c>
      <c r="D36" t="s">
        <v>535</v>
      </c>
      <c r="E36" t="s">
        <v>536</v>
      </c>
      <c r="F36" t="s">
        <v>568</v>
      </c>
      <c r="G36" t="s">
        <v>569</v>
      </c>
      <c r="H36" t="s">
        <v>570</v>
      </c>
      <c r="I36" t="s">
        <v>540</v>
      </c>
      <c r="J36" t="s">
        <v>541</v>
      </c>
      <c r="K36" s="30">
        <v>43032</v>
      </c>
      <c r="L36" s="8">
        <v>43022.920254629629</v>
      </c>
      <c r="M36" s="21">
        <f>LEN(ProjTextQTable[[#This Row],[text]])</f>
        <v>1892</v>
      </c>
      <c r="N36" s="21">
        <f>LEN(TRIM(CLEAN(SUBSTITUTE(ProjTextQTable[[#This Row],[text]],CHAR(10)," "))))+1 - LEN(SUBSTITUTE(CLEAN(SUBSTITUTE(ProjTextQTable[[#This Row],[text]],CHAR(10)," "))," ",""))</f>
        <v>282</v>
      </c>
      <c r="O36" t="s">
        <v>579</v>
      </c>
      <c r="P36" t="s">
        <v>638</v>
      </c>
    </row>
    <row r="37" spans="1:16" x14ac:dyDescent="0.35">
      <c r="A37">
        <f t="shared" si="1"/>
        <v>6</v>
      </c>
      <c r="B37" t="s">
        <v>634</v>
      </c>
      <c r="C37" t="s">
        <v>635</v>
      </c>
      <c r="D37" t="s">
        <v>535</v>
      </c>
      <c r="E37" t="s">
        <v>536</v>
      </c>
      <c r="F37" t="s">
        <v>514</v>
      </c>
      <c r="G37" t="s">
        <v>577</v>
      </c>
      <c r="H37" t="s">
        <v>578</v>
      </c>
      <c r="I37" t="s">
        <v>540</v>
      </c>
      <c r="J37" t="s">
        <v>541</v>
      </c>
      <c r="K37" s="30">
        <v>43032</v>
      </c>
      <c r="L37" s="8">
        <v>43028.861875000002</v>
      </c>
      <c r="M37" s="21">
        <f>LEN(ProjTextQTable[[#This Row],[text]])</f>
        <v>1845</v>
      </c>
      <c r="N37" s="21">
        <f>LEN(TRIM(CLEAN(SUBSTITUTE(ProjTextQTable[[#This Row],[text]],CHAR(10)," "))))+1 - LEN(SUBSTITUTE(CLEAN(SUBSTITUTE(ProjTextQTable[[#This Row],[text]],CHAR(10)," "))," ",""))</f>
        <v>272</v>
      </c>
      <c r="O37" t="s">
        <v>547</v>
      </c>
      <c r="P37" t="s">
        <v>639</v>
      </c>
    </row>
    <row r="38" spans="1:16" x14ac:dyDescent="0.35">
      <c r="A38">
        <f t="shared" si="1"/>
        <v>6</v>
      </c>
      <c r="B38" t="s">
        <v>634</v>
      </c>
      <c r="C38" t="s">
        <v>635</v>
      </c>
      <c r="D38" t="s">
        <v>535</v>
      </c>
      <c r="E38" t="s">
        <v>523</v>
      </c>
      <c r="F38" t="s">
        <v>554</v>
      </c>
      <c r="G38" t="s">
        <v>555</v>
      </c>
      <c r="H38" t="s">
        <v>556</v>
      </c>
      <c r="I38" t="s">
        <v>540</v>
      </c>
      <c r="J38" t="s">
        <v>541</v>
      </c>
      <c r="K38" s="30">
        <v>43032</v>
      </c>
      <c r="L38" s="8">
        <v>43028.683356481481</v>
      </c>
      <c r="M38" s="21">
        <f>LEN(ProjTextQTable[[#This Row],[text]])</f>
        <v>2593</v>
      </c>
      <c r="N38" s="21">
        <f>LEN(TRIM(CLEAN(SUBSTITUTE(ProjTextQTable[[#This Row],[text]],CHAR(10)," "))))+1 - LEN(SUBSTITUTE(CLEAN(SUBSTITUTE(ProjTextQTable[[#This Row],[text]],CHAR(10)," "))," ",""))</f>
        <v>407</v>
      </c>
      <c r="O38" t="s">
        <v>552</v>
      </c>
      <c r="P38" t="s">
        <v>640</v>
      </c>
    </row>
    <row r="39" spans="1:16" x14ac:dyDescent="0.35">
      <c r="A39">
        <f t="shared" si="1"/>
        <v>6</v>
      </c>
      <c r="B39" t="s">
        <v>634</v>
      </c>
      <c r="C39" t="s">
        <v>635</v>
      </c>
      <c r="D39" t="s">
        <v>535</v>
      </c>
      <c r="E39" t="s">
        <v>536</v>
      </c>
      <c r="F39" t="s">
        <v>511</v>
      </c>
      <c r="G39" t="s">
        <v>581</v>
      </c>
      <c r="H39" t="s">
        <v>582</v>
      </c>
      <c r="I39" t="s">
        <v>540</v>
      </c>
      <c r="J39" t="s">
        <v>541</v>
      </c>
      <c r="K39" s="30">
        <v>43032</v>
      </c>
      <c r="L39" s="8">
        <v>43030.972268518519</v>
      </c>
      <c r="M39" s="21">
        <f>LEN(ProjTextQTable[[#This Row],[text]])</f>
        <v>2229</v>
      </c>
      <c r="N39" s="21">
        <f>LEN(TRIM(CLEAN(SUBSTITUTE(ProjTextQTable[[#This Row],[text]],CHAR(10)," "))))+1 - LEN(SUBSTITUTE(CLEAN(SUBSTITUTE(ProjTextQTable[[#This Row],[text]],CHAR(10)," "))," ",""))</f>
        <v>335</v>
      </c>
      <c r="O39" t="s">
        <v>594</v>
      </c>
      <c r="P39" t="s">
        <v>641</v>
      </c>
    </row>
    <row r="40" spans="1:16" x14ac:dyDescent="0.35">
      <c r="A40">
        <f t="shared" si="1"/>
        <v>6</v>
      </c>
      <c r="B40" t="s">
        <v>634</v>
      </c>
      <c r="C40" t="s">
        <v>635</v>
      </c>
      <c r="D40" t="s">
        <v>558</v>
      </c>
      <c r="E40" t="s">
        <v>523</v>
      </c>
      <c r="F40" t="s">
        <v>532</v>
      </c>
      <c r="G40" t="s">
        <v>532</v>
      </c>
      <c r="H40" t="s">
        <v>532</v>
      </c>
      <c r="K40" s="30"/>
      <c r="L40" s="8">
        <v>42935.043379629627</v>
      </c>
      <c r="M40" s="21">
        <f>LEN(ProjTextQTable[[#This Row],[text]])</f>
        <v>3644</v>
      </c>
      <c r="N40" s="21">
        <f>LEN(TRIM(CLEAN(SUBSTITUTE(ProjTextQTable[[#This Row],[text]],CHAR(10)," "))))+1 - LEN(SUBSTITUTE(CLEAN(SUBSTITUTE(ProjTextQTable[[#This Row],[text]],CHAR(10)," "))," ",""))</f>
        <v>477</v>
      </c>
      <c r="O40" t="s">
        <v>532</v>
      </c>
      <c r="P40" t="s">
        <v>642</v>
      </c>
    </row>
    <row r="41" spans="1:16" x14ac:dyDescent="0.35">
      <c r="A41">
        <f t="shared" si="1"/>
        <v>7</v>
      </c>
      <c r="B41" t="s">
        <v>643</v>
      </c>
      <c r="C41" t="s">
        <v>644</v>
      </c>
      <c r="D41" t="s">
        <v>522</v>
      </c>
      <c r="E41" t="s">
        <v>523</v>
      </c>
      <c r="F41" t="s">
        <v>524</v>
      </c>
      <c r="G41" t="s">
        <v>525</v>
      </c>
      <c r="H41" t="s">
        <v>526</v>
      </c>
      <c r="I41" t="s">
        <v>527</v>
      </c>
      <c r="J41" t="s">
        <v>528</v>
      </c>
      <c r="K41" s="30">
        <v>43031</v>
      </c>
      <c r="L41" s="8">
        <v>43032.58085648148</v>
      </c>
      <c r="M41" s="21">
        <f>LEN(ProjTextQTable[[#This Row],[text]])</f>
        <v>2254</v>
      </c>
      <c r="N41" s="21">
        <f>LEN(TRIM(CLEAN(SUBSTITUTE(ProjTextQTable[[#This Row],[text]],CHAR(10)," "))))+1 - LEN(SUBSTITUTE(CLEAN(SUBSTITUTE(ProjTextQTable[[#This Row],[text]],CHAR(10)," "))," ",""))</f>
        <v>326</v>
      </c>
      <c r="O41" t="s">
        <v>529</v>
      </c>
      <c r="P41" t="s">
        <v>645</v>
      </c>
    </row>
    <row r="42" spans="1:16" x14ac:dyDescent="0.35">
      <c r="A42">
        <f t="shared" si="1"/>
        <v>7</v>
      </c>
      <c r="B42" t="s">
        <v>643</v>
      </c>
      <c r="C42" t="s">
        <v>644</v>
      </c>
      <c r="D42" t="s">
        <v>531</v>
      </c>
      <c r="E42" t="s">
        <v>523</v>
      </c>
      <c r="F42" t="s">
        <v>532</v>
      </c>
      <c r="G42" t="s">
        <v>533</v>
      </c>
      <c r="H42" t="s">
        <v>532</v>
      </c>
      <c r="I42" t="s">
        <v>532</v>
      </c>
      <c r="K42" s="30"/>
      <c r="L42" s="8">
        <v>43076.609027777777</v>
      </c>
      <c r="M42" s="21">
        <f>LEN(ProjTextQTable[[#This Row],[text]])</f>
        <v>2038</v>
      </c>
      <c r="N42" s="21">
        <f>LEN(TRIM(CLEAN(SUBSTITUTE(ProjTextQTable[[#This Row],[text]],CHAR(10)," "))))+1 - LEN(SUBSTITUTE(CLEAN(SUBSTITUTE(ProjTextQTable[[#This Row],[text]],CHAR(10)," "))," ",""))</f>
        <v>295</v>
      </c>
      <c r="O42" t="s">
        <v>532</v>
      </c>
      <c r="P42" t="s">
        <v>646</v>
      </c>
    </row>
    <row r="43" spans="1:16" x14ac:dyDescent="0.35">
      <c r="A43">
        <f t="shared" si="1"/>
        <v>7</v>
      </c>
      <c r="B43" t="s">
        <v>643</v>
      </c>
      <c r="C43" t="s">
        <v>644</v>
      </c>
      <c r="D43" t="s">
        <v>535</v>
      </c>
      <c r="E43" t="s">
        <v>536</v>
      </c>
      <c r="F43" t="s">
        <v>647</v>
      </c>
      <c r="G43" t="s">
        <v>648</v>
      </c>
      <c r="H43" t="s">
        <v>649</v>
      </c>
      <c r="I43" t="s">
        <v>540</v>
      </c>
      <c r="J43" t="s">
        <v>541</v>
      </c>
      <c r="K43" s="30">
        <v>43032</v>
      </c>
      <c r="L43" s="8">
        <v>43030.872187499997</v>
      </c>
      <c r="M43" s="21">
        <f>LEN(ProjTextQTable[[#This Row],[text]])</f>
        <v>2046</v>
      </c>
      <c r="N43" s="21">
        <f>LEN(TRIM(CLEAN(SUBSTITUTE(ProjTextQTable[[#This Row],[text]],CHAR(10)," "))))+1 - LEN(SUBSTITUTE(CLEAN(SUBSTITUTE(ProjTextQTable[[#This Row],[text]],CHAR(10)," "))," ",""))</f>
        <v>322</v>
      </c>
      <c r="O43" t="s">
        <v>547</v>
      </c>
      <c r="P43" t="s">
        <v>650</v>
      </c>
    </row>
    <row r="44" spans="1:16" x14ac:dyDescent="0.35">
      <c r="A44">
        <f t="shared" si="1"/>
        <v>7</v>
      </c>
      <c r="B44" t="s">
        <v>643</v>
      </c>
      <c r="C44" t="s">
        <v>644</v>
      </c>
      <c r="D44" t="s">
        <v>535</v>
      </c>
      <c r="E44" t="s">
        <v>536</v>
      </c>
      <c r="F44" t="s">
        <v>537</v>
      </c>
      <c r="G44" t="s">
        <v>538</v>
      </c>
      <c r="H44" t="s">
        <v>539</v>
      </c>
      <c r="I44" t="s">
        <v>540</v>
      </c>
      <c r="J44" t="s">
        <v>541</v>
      </c>
      <c r="K44" s="30">
        <v>43032</v>
      </c>
      <c r="L44" s="8">
        <v>43031.584618055553</v>
      </c>
      <c r="M44" s="21">
        <f>LEN(ProjTextQTable[[#This Row],[text]])</f>
        <v>4713</v>
      </c>
      <c r="N44" s="21">
        <f>LEN(TRIM(CLEAN(SUBSTITUTE(ProjTextQTable[[#This Row],[text]],CHAR(10)," "))))+1 - LEN(SUBSTITUTE(CLEAN(SUBSTITUTE(ProjTextQTable[[#This Row],[text]],CHAR(10)," "))," ",""))</f>
        <v>751</v>
      </c>
      <c r="O44" t="s">
        <v>552</v>
      </c>
      <c r="P44" t="s">
        <v>651</v>
      </c>
    </row>
    <row r="45" spans="1:16" x14ac:dyDescent="0.35">
      <c r="A45">
        <f t="shared" si="1"/>
        <v>7</v>
      </c>
      <c r="B45" t="s">
        <v>643</v>
      </c>
      <c r="C45" t="s">
        <v>644</v>
      </c>
      <c r="D45" t="s">
        <v>535</v>
      </c>
      <c r="E45" t="s">
        <v>536</v>
      </c>
      <c r="F45" t="s">
        <v>508</v>
      </c>
      <c r="G45" t="s">
        <v>652</v>
      </c>
      <c r="H45" t="s">
        <v>653</v>
      </c>
      <c r="I45" t="s">
        <v>540</v>
      </c>
      <c r="J45" t="s">
        <v>541</v>
      </c>
      <c r="K45" s="30">
        <v>43032</v>
      </c>
      <c r="L45" s="8">
        <v>43030.765972222223</v>
      </c>
      <c r="M45" s="21">
        <f>LEN(ProjTextQTable[[#This Row],[text]])</f>
        <v>1991</v>
      </c>
      <c r="N45" s="21">
        <f>LEN(TRIM(CLEAN(SUBSTITUTE(ProjTextQTable[[#This Row],[text]],CHAR(10)," "))))+1 - LEN(SUBSTITUTE(CLEAN(SUBSTITUTE(ProjTextQTable[[#This Row],[text]],CHAR(10)," "))," ",""))</f>
        <v>301</v>
      </c>
      <c r="O45" t="s">
        <v>547</v>
      </c>
      <c r="P45" t="s">
        <v>654</v>
      </c>
    </row>
    <row r="46" spans="1:16" x14ac:dyDescent="0.35">
      <c r="A46">
        <f t="shared" si="1"/>
        <v>7</v>
      </c>
      <c r="B46" t="s">
        <v>643</v>
      </c>
      <c r="C46" t="s">
        <v>644</v>
      </c>
      <c r="D46" t="s">
        <v>535</v>
      </c>
      <c r="E46" t="s">
        <v>536</v>
      </c>
      <c r="F46" t="s">
        <v>517</v>
      </c>
      <c r="G46" t="s">
        <v>655</v>
      </c>
      <c r="H46" t="s">
        <v>656</v>
      </c>
      <c r="I46" t="s">
        <v>540</v>
      </c>
      <c r="J46" t="s">
        <v>541</v>
      </c>
      <c r="K46" s="30">
        <v>43032</v>
      </c>
      <c r="L46" s="8">
        <v>43026.705312500002</v>
      </c>
      <c r="M46" s="21">
        <f>LEN(ProjTextQTable[[#This Row],[text]])</f>
        <v>1527</v>
      </c>
      <c r="N46" s="21">
        <f>LEN(TRIM(CLEAN(SUBSTITUTE(ProjTextQTable[[#This Row],[text]],CHAR(10)," "))))+1 - LEN(SUBSTITUTE(CLEAN(SUBSTITUTE(ProjTextQTable[[#This Row],[text]],CHAR(10)," "))," ",""))</f>
        <v>224</v>
      </c>
      <c r="O46" t="s">
        <v>547</v>
      </c>
      <c r="P46" t="s">
        <v>657</v>
      </c>
    </row>
    <row r="47" spans="1:16" x14ac:dyDescent="0.35">
      <c r="A47">
        <f t="shared" si="1"/>
        <v>7</v>
      </c>
      <c r="B47" t="s">
        <v>643</v>
      </c>
      <c r="C47" t="s">
        <v>644</v>
      </c>
      <c r="D47" t="s">
        <v>558</v>
      </c>
      <c r="E47" t="s">
        <v>523</v>
      </c>
      <c r="F47" t="s">
        <v>532</v>
      </c>
      <c r="G47" t="s">
        <v>532</v>
      </c>
      <c r="H47" t="s">
        <v>532</v>
      </c>
      <c r="K47" s="30"/>
      <c r="L47" s="8">
        <v>42935.043599537035</v>
      </c>
      <c r="M47" s="21">
        <f>LEN(ProjTextQTable[[#This Row],[text]])</f>
        <v>4036</v>
      </c>
      <c r="N47" s="21">
        <f>LEN(TRIM(CLEAN(SUBSTITUTE(ProjTextQTable[[#This Row],[text]],CHAR(10)," "))))+1 - LEN(SUBSTITUTE(CLEAN(SUBSTITUTE(ProjTextQTable[[#This Row],[text]],CHAR(10)," "))," ",""))</f>
        <v>595</v>
      </c>
      <c r="O47" t="s">
        <v>532</v>
      </c>
      <c r="P47" t="s">
        <v>658</v>
      </c>
    </row>
    <row r="48" spans="1:16" x14ac:dyDescent="0.35">
      <c r="A48">
        <f t="shared" si="1"/>
        <v>8</v>
      </c>
      <c r="B48" t="s">
        <v>659</v>
      </c>
      <c r="C48" t="s">
        <v>660</v>
      </c>
      <c r="D48" t="s">
        <v>522</v>
      </c>
      <c r="E48" t="s">
        <v>523</v>
      </c>
      <c r="F48" t="s">
        <v>524</v>
      </c>
      <c r="G48" t="s">
        <v>525</v>
      </c>
      <c r="H48" t="s">
        <v>588</v>
      </c>
      <c r="I48" t="s">
        <v>589</v>
      </c>
      <c r="J48" t="s">
        <v>661</v>
      </c>
      <c r="K48" s="30">
        <v>43031</v>
      </c>
      <c r="L48" s="8">
        <v>43032.659212962964</v>
      </c>
      <c r="M48" s="21">
        <f>LEN(ProjTextQTable[[#This Row],[text]])</f>
        <v>2012</v>
      </c>
      <c r="N48" s="21">
        <f>LEN(TRIM(CLEAN(SUBSTITUTE(ProjTextQTable[[#This Row],[text]],CHAR(10)," "))))+1 - LEN(SUBSTITUTE(CLEAN(SUBSTITUTE(ProjTextQTable[[#This Row],[text]],CHAR(10)," "))," ",""))</f>
        <v>277</v>
      </c>
      <c r="O48" t="s">
        <v>590</v>
      </c>
      <c r="P48" t="s">
        <v>662</v>
      </c>
    </row>
    <row r="49" spans="1:16" x14ac:dyDescent="0.35">
      <c r="A49">
        <f t="shared" si="1"/>
        <v>8</v>
      </c>
      <c r="B49" t="s">
        <v>659</v>
      </c>
      <c r="C49" t="s">
        <v>660</v>
      </c>
      <c r="D49" t="s">
        <v>535</v>
      </c>
      <c r="E49" t="s">
        <v>536</v>
      </c>
      <c r="F49" t="s">
        <v>568</v>
      </c>
      <c r="G49" t="s">
        <v>569</v>
      </c>
      <c r="H49" t="s">
        <v>570</v>
      </c>
      <c r="I49" t="s">
        <v>540</v>
      </c>
      <c r="J49" t="s">
        <v>541</v>
      </c>
      <c r="K49" s="30">
        <v>43032</v>
      </c>
      <c r="L49" s="8">
        <v>43022.977719907409</v>
      </c>
      <c r="M49" s="21">
        <f>LEN(ProjTextQTable[[#This Row],[text]])</f>
        <v>2991</v>
      </c>
      <c r="N49" s="21">
        <f>LEN(TRIM(CLEAN(SUBSTITUTE(ProjTextQTable[[#This Row],[text]],CHAR(10)," "))))+1 - LEN(SUBSTITUTE(CLEAN(SUBSTITUTE(ProjTextQTable[[#This Row],[text]],CHAR(10)," "))," ",""))</f>
        <v>467</v>
      </c>
      <c r="O49" t="s">
        <v>552</v>
      </c>
      <c r="P49" t="s">
        <v>663</v>
      </c>
    </row>
    <row r="50" spans="1:16" x14ac:dyDescent="0.35">
      <c r="A50">
        <f t="shared" si="1"/>
        <v>8</v>
      </c>
      <c r="B50" t="s">
        <v>659</v>
      </c>
      <c r="C50" t="s">
        <v>660</v>
      </c>
      <c r="D50" t="s">
        <v>535</v>
      </c>
      <c r="E50" t="s">
        <v>523</v>
      </c>
      <c r="F50" t="s">
        <v>573</v>
      </c>
      <c r="G50" t="s">
        <v>574</v>
      </c>
      <c r="H50" t="s">
        <v>575</v>
      </c>
      <c r="I50" t="s">
        <v>540</v>
      </c>
      <c r="J50" t="s">
        <v>541</v>
      </c>
      <c r="K50" s="30">
        <v>43032</v>
      </c>
      <c r="L50" s="8">
        <v>43030.18167824074</v>
      </c>
      <c r="M50" s="21">
        <f>LEN(ProjTextQTable[[#This Row],[text]])</f>
        <v>2066</v>
      </c>
      <c r="N50" s="21">
        <f>LEN(TRIM(CLEAN(SUBSTITUTE(ProjTextQTable[[#This Row],[text]],CHAR(10)," "))))+1 - LEN(SUBSTITUTE(CLEAN(SUBSTITUTE(ProjTextQTable[[#This Row],[text]],CHAR(10)," "))," ",""))</f>
        <v>295</v>
      </c>
      <c r="O50" t="s">
        <v>552</v>
      </c>
      <c r="P50" t="s">
        <v>664</v>
      </c>
    </row>
    <row r="51" spans="1:16" x14ac:dyDescent="0.35">
      <c r="A51">
        <f t="shared" si="1"/>
        <v>8</v>
      </c>
      <c r="B51" t="s">
        <v>659</v>
      </c>
      <c r="C51" t="s">
        <v>660</v>
      </c>
      <c r="D51" t="s">
        <v>535</v>
      </c>
      <c r="E51" t="s">
        <v>536</v>
      </c>
      <c r="F51" t="s">
        <v>514</v>
      </c>
      <c r="G51" t="s">
        <v>577</v>
      </c>
      <c r="H51" t="s">
        <v>578</v>
      </c>
      <c r="I51" t="s">
        <v>540</v>
      </c>
      <c r="J51" t="s">
        <v>541</v>
      </c>
      <c r="K51" s="30">
        <v>43032</v>
      </c>
      <c r="L51" s="8">
        <v>43028.861875000002</v>
      </c>
      <c r="M51" s="21">
        <f>LEN(ProjTextQTable[[#This Row],[text]])</f>
        <v>2452</v>
      </c>
      <c r="N51" s="21">
        <f>LEN(TRIM(CLEAN(SUBSTITUTE(ProjTextQTable[[#This Row],[text]],CHAR(10)," "))))+1 - LEN(SUBSTITUTE(CLEAN(SUBSTITUTE(ProjTextQTable[[#This Row],[text]],CHAR(10)," "))," ",""))</f>
        <v>365</v>
      </c>
      <c r="O51" t="s">
        <v>552</v>
      </c>
      <c r="P51" t="s">
        <v>665</v>
      </c>
    </row>
    <row r="52" spans="1:16" x14ac:dyDescent="0.35">
      <c r="A52">
        <f t="shared" si="1"/>
        <v>8</v>
      </c>
      <c r="B52" t="s">
        <v>659</v>
      </c>
      <c r="C52" t="s">
        <v>660</v>
      </c>
      <c r="D52" t="s">
        <v>535</v>
      </c>
      <c r="E52" t="s">
        <v>536</v>
      </c>
      <c r="F52" t="s">
        <v>666</v>
      </c>
      <c r="G52" t="s">
        <v>667</v>
      </c>
      <c r="H52" t="s">
        <v>668</v>
      </c>
      <c r="I52" t="s">
        <v>540</v>
      </c>
      <c r="J52" t="s">
        <v>541</v>
      </c>
      <c r="K52" s="30">
        <v>43032</v>
      </c>
      <c r="L52" s="8">
        <v>43027.663506944446</v>
      </c>
      <c r="M52" s="21">
        <f>LEN(ProjTextQTable[[#This Row],[text]])</f>
        <v>2625</v>
      </c>
      <c r="N52" s="21">
        <f>LEN(TRIM(CLEAN(SUBSTITUTE(ProjTextQTable[[#This Row],[text]],CHAR(10)," "))))+1 - LEN(SUBSTITUTE(CLEAN(SUBSTITUTE(ProjTextQTable[[#This Row],[text]],CHAR(10)," "))," ",""))</f>
        <v>399</v>
      </c>
      <c r="O52" t="s">
        <v>579</v>
      </c>
      <c r="P52" t="s">
        <v>669</v>
      </c>
    </row>
    <row r="53" spans="1:16" x14ac:dyDescent="0.35">
      <c r="A53">
        <f t="shared" si="1"/>
        <v>8</v>
      </c>
      <c r="B53" t="s">
        <v>659</v>
      </c>
      <c r="C53" t="s">
        <v>660</v>
      </c>
      <c r="D53" t="s">
        <v>558</v>
      </c>
      <c r="E53" t="s">
        <v>523</v>
      </c>
      <c r="F53" t="s">
        <v>532</v>
      </c>
      <c r="G53" t="s">
        <v>532</v>
      </c>
      <c r="H53" t="s">
        <v>532</v>
      </c>
      <c r="K53" s="30"/>
      <c r="L53" s="8">
        <v>42936.044259259259</v>
      </c>
      <c r="M53" s="21">
        <f>LEN(ProjTextQTable[[#This Row],[text]])</f>
        <v>4189</v>
      </c>
      <c r="N53" s="21">
        <f>LEN(TRIM(CLEAN(SUBSTITUTE(ProjTextQTable[[#This Row],[text]],CHAR(10)," "))))+1 - LEN(SUBSTITUTE(CLEAN(SUBSTITUTE(ProjTextQTable[[#This Row],[text]],CHAR(10)," "))," ",""))</f>
        <v>639</v>
      </c>
      <c r="O53" t="s">
        <v>532</v>
      </c>
      <c r="P53" t="s">
        <v>670</v>
      </c>
    </row>
    <row r="54" spans="1:16" x14ac:dyDescent="0.35">
      <c r="A54">
        <f t="shared" si="1"/>
        <v>9</v>
      </c>
      <c r="B54" t="s">
        <v>671</v>
      </c>
      <c r="C54" t="s">
        <v>672</v>
      </c>
      <c r="D54" t="s">
        <v>522</v>
      </c>
      <c r="E54" t="s">
        <v>523</v>
      </c>
      <c r="F54" t="s">
        <v>524</v>
      </c>
      <c r="G54" t="s">
        <v>525</v>
      </c>
      <c r="H54" t="s">
        <v>562</v>
      </c>
      <c r="I54" t="s">
        <v>563</v>
      </c>
      <c r="J54" t="s">
        <v>564</v>
      </c>
      <c r="K54" s="30">
        <v>43031</v>
      </c>
      <c r="L54" s="8">
        <v>43032.485833333332</v>
      </c>
      <c r="M54" s="21">
        <f>LEN(ProjTextQTable[[#This Row],[text]])</f>
        <v>2447</v>
      </c>
      <c r="N54" s="21">
        <f>LEN(TRIM(CLEAN(SUBSTITUTE(ProjTextQTable[[#This Row],[text]],CHAR(10)," "))))+1 - LEN(SUBSTITUTE(CLEAN(SUBSTITUTE(ProjTextQTable[[#This Row],[text]],CHAR(10)," "))," ",""))</f>
        <v>338</v>
      </c>
      <c r="O54" t="s">
        <v>565</v>
      </c>
      <c r="P54" t="s">
        <v>673</v>
      </c>
    </row>
    <row r="55" spans="1:16" x14ac:dyDescent="0.35">
      <c r="A55">
        <f t="shared" si="1"/>
        <v>9</v>
      </c>
      <c r="B55" t="s">
        <v>671</v>
      </c>
      <c r="C55" t="s">
        <v>672</v>
      </c>
      <c r="D55" t="s">
        <v>531</v>
      </c>
      <c r="E55" t="s">
        <v>523</v>
      </c>
      <c r="F55" t="s">
        <v>532</v>
      </c>
      <c r="G55" t="s">
        <v>533</v>
      </c>
      <c r="H55" t="s">
        <v>532</v>
      </c>
      <c r="I55" t="s">
        <v>532</v>
      </c>
      <c r="K55" s="30"/>
      <c r="L55" s="8">
        <v>43082.668969907405</v>
      </c>
      <c r="M55" s="21">
        <f>LEN(ProjTextQTable[[#This Row],[text]])</f>
        <v>1902</v>
      </c>
      <c r="N55" s="21">
        <f>LEN(TRIM(CLEAN(SUBSTITUTE(ProjTextQTable[[#This Row],[text]],CHAR(10)," "))))+1 - LEN(SUBSTITUTE(CLEAN(SUBSTITUTE(ProjTextQTable[[#This Row],[text]],CHAR(10)," "))," ",""))</f>
        <v>283</v>
      </c>
      <c r="O55" t="s">
        <v>532</v>
      </c>
      <c r="P55" t="s">
        <v>674</v>
      </c>
    </row>
    <row r="56" spans="1:16" x14ac:dyDescent="0.35">
      <c r="A56">
        <f t="shared" si="1"/>
        <v>9</v>
      </c>
      <c r="B56" t="s">
        <v>671</v>
      </c>
      <c r="C56" t="s">
        <v>672</v>
      </c>
      <c r="D56" t="s">
        <v>535</v>
      </c>
      <c r="E56" t="s">
        <v>536</v>
      </c>
      <c r="F56" t="s">
        <v>568</v>
      </c>
      <c r="G56" t="s">
        <v>569</v>
      </c>
      <c r="H56" t="s">
        <v>570</v>
      </c>
      <c r="I56" t="s">
        <v>540</v>
      </c>
      <c r="J56" t="s">
        <v>541</v>
      </c>
      <c r="K56" s="30">
        <v>43032</v>
      </c>
      <c r="L56" s="8">
        <v>43025.748668981483</v>
      </c>
      <c r="M56" s="21">
        <f>LEN(ProjTextQTable[[#This Row],[text]])</f>
        <v>2351</v>
      </c>
      <c r="N56" s="21">
        <f>LEN(TRIM(CLEAN(SUBSTITUTE(ProjTextQTable[[#This Row],[text]],CHAR(10)," "))))+1 - LEN(SUBSTITUTE(CLEAN(SUBSTITUTE(ProjTextQTable[[#This Row],[text]],CHAR(10)," "))," ",""))</f>
        <v>366</v>
      </c>
      <c r="O56" t="s">
        <v>583</v>
      </c>
      <c r="P56" t="s">
        <v>675</v>
      </c>
    </row>
    <row r="57" spans="1:16" x14ac:dyDescent="0.35">
      <c r="A57">
        <f t="shared" si="1"/>
        <v>9</v>
      </c>
      <c r="B57" t="s">
        <v>671</v>
      </c>
      <c r="C57" t="s">
        <v>672</v>
      </c>
      <c r="D57" t="s">
        <v>535</v>
      </c>
      <c r="E57" t="s">
        <v>523</v>
      </c>
      <c r="F57" t="s">
        <v>573</v>
      </c>
      <c r="G57" t="s">
        <v>574</v>
      </c>
      <c r="H57" t="s">
        <v>575</v>
      </c>
      <c r="I57" t="s">
        <v>540</v>
      </c>
      <c r="J57" t="s">
        <v>541</v>
      </c>
      <c r="K57" s="30">
        <v>43032</v>
      </c>
      <c r="L57" s="8">
        <v>43030.178067129629</v>
      </c>
      <c r="M57" s="21">
        <f>LEN(ProjTextQTable[[#This Row],[text]])</f>
        <v>2003</v>
      </c>
      <c r="N57" s="21">
        <f>LEN(TRIM(CLEAN(SUBSTITUTE(ProjTextQTable[[#This Row],[text]],CHAR(10)," "))))+1 - LEN(SUBSTITUTE(CLEAN(SUBSTITUTE(ProjTextQTable[[#This Row],[text]],CHAR(10)," "))," ",""))</f>
        <v>303</v>
      </c>
      <c r="O57" t="s">
        <v>547</v>
      </c>
      <c r="P57" t="s">
        <v>676</v>
      </c>
    </row>
    <row r="58" spans="1:16" x14ac:dyDescent="0.35">
      <c r="A58">
        <f t="shared" si="1"/>
        <v>9</v>
      </c>
      <c r="B58" t="s">
        <v>671</v>
      </c>
      <c r="C58" t="s">
        <v>672</v>
      </c>
      <c r="D58" t="s">
        <v>535</v>
      </c>
      <c r="E58" t="s">
        <v>536</v>
      </c>
      <c r="F58" t="s">
        <v>514</v>
      </c>
      <c r="G58" t="s">
        <v>577</v>
      </c>
      <c r="H58" t="s">
        <v>578</v>
      </c>
      <c r="I58" t="s">
        <v>540</v>
      </c>
      <c r="J58" t="s">
        <v>541</v>
      </c>
      <c r="K58" s="30">
        <v>43032</v>
      </c>
      <c r="L58" s="8">
        <v>43028.861886574072</v>
      </c>
      <c r="M58" s="21">
        <f>LEN(ProjTextQTable[[#This Row],[text]])</f>
        <v>2634</v>
      </c>
      <c r="N58" s="21">
        <f>LEN(TRIM(CLEAN(SUBSTITUTE(ProjTextQTable[[#This Row],[text]],CHAR(10)," "))))+1 - LEN(SUBSTITUTE(CLEAN(SUBSTITUTE(ProjTextQTable[[#This Row],[text]],CHAR(10)," "))," ",""))</f>
        <v>405</v>
      </c>
      <c r="O58" t="s">
        <v>571</v>
      </c>
      <c r="P58" t="s">
        <v>677</v>
      </c>
    </row>
    <row r="59" spans="1:16" x14ac:dyDescent="0.35">
      <c r="A59">
        <f t="shared" si="1"/>
        <v>9</v>
      </c>
      <c r="B59" t="s">
        <v>671</v>
      </c>
      <c r="C59" t="s">
        <v>672</v>
      </c>
      <c r="D59" t="s">
        <v>535</v>
      </c>
      <c r="E59" t="s">
        <v>536</v>
      </c>
      <c r="F59" t="s">
        <v>666</v>
      </c>
      <c r="G59" t="s">
        <v>667</v>
      </c>
      <c r="H59" t="s">
        <v>668</v>
      </c>
      <c r="I59" t="s">
        <v>540</v>
      </c>
      <c r="J59" t="s">
        <v>541</v>
      </c>
      <c r="K59" s="30">
        <v>43032</v>
      </c>
      <c r="L59" s="8">
        <v>43027.634618055556</v>
      </c>
      <c r="M59" s="21">
        <f>LEN(ProjTextQTable[[#This Row],[text]])</f>
        <v>2484</v>
      </c>
      <c r="N59" s="21">
        <f>LEN(TRIM(CLEAN(SUBSTITUTE(ProjTextQTable[[#This Row],[text]],CHAR(10)," "))))+1 - LEN(SUBSTITUTE(CLEAN(SUBSTITUTE(ProjTextQTable[[#This Row],[text]],CHAR(10)," "))," ",""))</f>
        <v>378</v>
      </c>
      <c r="O59" t="s">
        <v>552</v>
      </c>
      <c r="P59" t="s">
        <v>678</v>
      </c>
    </row>
    <row r="60" spans="1:16" x14ac:dyDescent="0.35">
      <c r="A60">
        <f t="shared" si="1"/>
        <v>9</v>
      </c>
      <c r="B60" t="s">
        <v>671</v>
      </c>
      <c r="C60" t="s">
        <v>672</v>
      </c>
      <c r="D60" t="s">
        <v>558</v>
      </c>
      <c r="E60" t="s">
        <v>523</v>
      </c>
      <c r="F60" t="s">
        <v>532</v>
      </c>
      <c r="G60" t="s">
        <v>532</v>
      </c>
      <c r="H60" t="s">
        <v>532</v>
      </c>
      <c r="K60" s="30"/>
      <c r="L60" s="8">
        <v>42936.044953703706</v>
      </c>
      <c r="M60" s="21">
        <f>LEN(ProjTextQTable[[#This Row],[text]])</f>
        <v>3898</v>
      </c>
      <c r="N60" s="21">
        <f>LEN(TRIM(CLEAN(SUBSTITUTE(ProjTextQTable[[#This Row],[text]],CHAR(10)," "))))+1 - LEN(SUBSTITUTE(CLEAN(SUBSTITUTE(ProjTextQTable[[#This Row],[text]],CHAR(10)," "))," ",""))</f>
        <v>569</v>
      </c>
      <c r="O60" t="s">
        <v>532</v>
      </c>
      <c r="P60" t="s">
        <v>679</v>
      </c>
    </row>
    <row r="61" spans="1:16" x14ac:dyDescent="0.35">
      <c r="A61">
        <f t="shared" si="1"/>
        <v>10</v>
      </c>
      <c r="B61" t="s">
        <v>680</v>
      </c>
      <c r="C61" t="s">
        <v>681</v>
      </c>
      <c r="D61" t="s">
        <v>522</v>
      </c>
      <c r="E61" t="s">
        <v>523</v>
      </c>
      <c r="F61" t="s">
        <v>524</v>
      </c>
      <c r="G61" t="s">
        <v>525</v>
      </c>
      <c r="H61" t="s">
        <v>588</v>
      </c>
      <c r="I61" t="s">
        <v>589</v>
      </c>
      <c r="J61" t="s">
        <v>682</v>
      </c>
      <c r="K61" s="30">
        <v>43031</v>
      </c>
      <c r="L61" s="8">
        <v>43032.495509259257</v>
      </c>
      <c r="M61" s="21">
        <f>LEN(ProjTextQTable[[#This Row],[text]])</f>
        <v>2478</v>
      </c>
      <c r="N61" s="21">
        <f>LEN(TRIM(CLEAN(SUBSTITUTE(ProjTextQTable[[#This Row],[text]],CHAR(10)," "))))+1 - LEN(SUBSTITUTE(CLEAN(SUBSTITUTE(ProjTextQTable[[#This Row],[text]],CHAR(10)," "))," ",""))</f>
        <v>352</v>
      </c>
      <c r="O61" t="s">
        <v>590</v>
      </c>
      <c r="P61" t="s">
        <v>683</v>
      </c>
    </row>
    <row r="62" spans="1:16" x14ac:dyDescent="0.35">
      <c r="A62">
        <f t="shared" si="1"/>
        <v>10</v>
      </c>
      <c r="B62" t="s">
        <v>680</v>
      </c>
      <c r="C62" t="s">
        <v>681</v>
      </c>
      <c r="D62" t="s">
        <v>535</v>
      </c>
      <c r="E62" t="s">
        <v>536</v>
      </c>
      <c r="F62" t="s">
        <v>568</v>
      </c>
      <c r="G62" t="s">
        <v>569</v>
      </c>
      <c r="H62" t="s">
        <v>570</v>
      </c>
      <c r="I62" t="s">
        <v>540</v>
      </c>
      <c r="J62" t="s">
        <v>541</v>
      </c>
      <c r="K62" s="30">
        <v>43032</v>
      </c>
      <c r="L62" s="8">
        <v>43031.392627314817</v>
      </c>
      <c r="M62" s="21">
        <f>LEN(ProjTextQTable[[#This Row],[text]])</f>
        <v>2470</v>
      </c>
      <c r="N62" s="21">
        <f>LEN(TRIM(CLEAN(SUBSTITUTE(ProjTextQTable[[#This Row],[text]],CHAR(10)," "))))+1 - LEN(SUBSTITUTE(CLEAN(SUBSTITUTE(ProjTextQTable[[#This Row],[text]],CHAR(10)," "))," ",""))</f>
        <v>379</v>
      </c>
      <c r="O62" t="s">
        <v>552</v>
      </c>
      <c r="P62" t="s">
        <v>684</v>
      </c>
    </row>
    <row r="63" spans="1:16" x14ac:dyDescent="0.35">
      <c r="A63">
        <f t="shared" si="1"/>
        <v>10</v>
      </c>
      <c r="B63" t="s">
        <v>680</v>
      </c>
      <c r="C63" t="s">
        <v>681</v>
      </c>
      <c r="D63" t="s">
        <v>535</v>
      </c>
      <c r="E63" t="s">
        <v>536</v>
      </c>
      <c r="F63" t="s">
        <v>514</v>
      </c>
      <c r="G63" t="s">
        <v>577</v>
      </c>
      <c r="H63" t="s">
        <v>578</v>
      </c>
      <c r="I63" t="s">
        <v>540</v>
      </c>
      <c r="J63" t="s">
        <v>541</v>
      </c>
      <c r="K63" s="30">
        <v>43032</v>
      </c>
      <c r="L63" s="8">
        <v>43028.861886574072</v>
      </c>
      <c r="M63" s="21">
        <f>LEN(ProjTextQTable[[#This Row],[text]])</f>
        <v>1850</v>
      </c>
      <c r="N63" s="21">
        <f>LEN(TRIM(CLEAN(SUBSTITUTE(ProjTextQTable[[#This Row],[text]],CHAR(10)," "))))+1 - LEN(SUBSTITUTE(CLEAN(SUBSTITUTE(ProjTextQTable[[#This Row],[text]],CHAR(10)," "))," ",""))</f>
        <v>275</v>
      </c>
      <c r="O63" t="s">
        <v>571</v>
      </c>
      <c r="P63" t="s">
        <v>685</v>
      </c>
    </row>
    <row r="64" spans="1:16" x14ac:dyDescent="0.35">
      <c r="A64">
        <f t="shared" si="1"/>
        <v>10</v>
      </c>
      <c r="B64" t="s">
        <v>680</v>
      </c>
      <c r="C64" t="s">
        <v>681</v>
      </c>
      <c r="D64" t="s">
        <v>535</v>
      </c>
      <c r="E64" t="s">
        <v>536</v>
      </c>
      <c r="F64" t="s">
        <v>549</v>
      </c>
      <c r="G64" t="s">
        <v>550</v>
      </c>
      <c r="H64" t="s">
        <v>551</v>
      </c>
      <c r="I64" t="s">
        <v>540</v>
      </c>
      <c r="J64" t="s">
        <v>541</v>
      </c>
      <c r="K64" s="30">
        <v>43032</v>
      </c>
      <c r="L64" s="8">
        <v>43030.850983796299</v>
      </c>
      <c r="M64" s="21">
        <f>LEN(ProjTextQTable[[#This Row],[text]])</f>
        <v>2602</v>
      </c>
      <c r="N64" s="21">
        <f>LEN(TRIM(CLEAN(SUBSTITUTE(ProjTextQTable[[#This Row],[text]],CHAR(10)," "))))+1 - LEN(SUBSTITUTE(CLEAN(SUBSTITUTE(ProjTextQTable[[#This Row],[text]],CHAR(10)," "))," ",""))</f>
        <v>415</v>
      </c>
      <c r="O64" t="s">
        <v>552</v>
      </c>
      <c r="P64" t="s">
        <v>686</v>
      </c>
    </row>
    <row r="65" spans="1:16" x14ac:dyDescent="0.35">
      <c r="A65">
        <f t="shared" si="1"/>
        <v>10</v>
      </c>
      <c r="B65" t="s">
        <v>680</v>
      </c>
      <c r="C65" t="s">
        <v>681</v>
      </c>
      <c r="D65" t="s">
        <v>535</v>
      </c>
      <c r="E65" t="s">
        <v>523</v>
      </c>
      <c r="F65" t="s">
        <v>554</v>
      </c>
      <c r="G65" t="s">
        <v>555</v>
      </c>
      <c r="H65" t="s">
        <v>556</v>
      </c>
      <c r="I65" t="s">
        <v>540</v>
      </c>
      <c r="J65" t="s">
        <v>541</v>
      </c>
      <c r="K65" s="30">
        <v>43032</v>
      </c>
      <c r="L65" s="8">
        <v>43025.587372685186</v>
      </c>
      <c r="M65" s="21">
        <f>LEN(ProjTextQTable[[#This Row],[text]])</f>
        <v>2719</v>
      </c>
      <c r="N65" s="21">
        <f>LEN(TRIM(CLEAN(SUBSTITUTE(ProjTextQTable[[#This Row],[text]],CHAR(10)," "))))+1 - LEN(SUBSTITUTE(CLEAN(SUBSTITUTE(ProjTextQTable[[#This Row],[text]],CHAR(10)," "))," ",""))</f>
        <v>400</v>
      </c>
      <c r="O65" t="s">
        <v>552</v>
      </c>
      <c r="P65" t="s">
        <v>687</v>
      </c>
    </row>
    <row r="66" spans="1:16" x14ac:dyDescent="0.35">
      <c r="A66">
        <f t="shared" ref="A66:A97" si="2">A65+(B66&lt;&gt;B65)</f>
        <v>10</v>
      </c>
      <c r="B66" t="s">
        <v>680</v>
      </c>
      <c r="C66" t="s">
        <v>681</v>
      </c>
      <c r="D66" t="s">
        <v>558</v>
      </c>
      <c r="E66" t="s">
        <v>523</v>
      </c>
      <c r="F66" t="s">
        <v>532</v>
      </c>
      <c r="G66" t="s">
        <v>532</v>
      </c>
      <c r="H66" t="s">
        <v>532</v>
      </c>
      <c r="K66" s="30"/>
      <c r="L66" s="8">
        <v>42936.045092592591</v>
      </c>
      <c r="M66" s="21">
        <f>LEN(ProjTextQTable[[#This Row],[text]])</f>
        <v>3926</v>
      </c>
      <c r="N66" s="21">
        <f>LEN(TRIM(CLEAN(SUBSTITUTE(ProjTextQTable[[#This Row],[text]],CHAR(10)," "))))+1 - LEN(SUBSTITUTE(CLEAN(SUBSTITUTE(ProjTextQTable[[#This Row],[text]],CHAR(10)," "))," ",""))</f>
        <v>557</v>
      </c>
      <c r="O66" t="s">
        <v>532</v>
      </c>
      <c r="P66" t="s">
        <v>688</v>
      </c>
    </row>
    <row r="67" spans="1:16" x14ac:dyDescent="0.35">
      <c r="A67">
        <f t="shared" si="2"/>
        <v>11</v>
      </c>
      <c r="B67" t="s">
        <v>689</v>
      </c>
      <c r="C67" t="s">
        <v>690</v>
      </c>
      <c r="D67" t="s">
        <v>522</v>
      </c>
      <c r="E67" t="s">
        <v>523</v>
      </c>
      <c r="F67" t="s">
        <v>524</v>
      </c>
      <c r="G67" t="s">
        <v>525</v>
      </c>
      <c r="H67" t="s">
        <v>588</v>
      </c>
      <c r="I67" t="s">
        <v>589</v>
      </c>
      <c r="J67" t="s">
        <v>285</v>
      </c>
      <c r="K67" s="30">
        <v>43031</v>
      </c>
      <c r="L67" s="8">
        <v>43032.689050925925</v>
      </c>
      <c r="M67" s="21">
        <f>LEN(ProjTextQTable[[#This Row],[text]])</f>
        <v>2977</v>
      </c>
      <c r="N67" s="21">
        <f>LEN(TRIM(CLEAN(SUBSTITUTE(ProjTextQTable[[#This Row],[text]],CHAR(10)," "))))+1 - LEN(SUBSTITUTE(CLEAN(SUBSTITUTE(ProjTextQTable[[#This Row],[text]],CHAR(10)," "))," ",""))</f>
        <v>443</v>
      </c>
      <c r="O67" t="s">
        <v>590</v>
      </c>
      <c r="P67" t="s">
        <v>691</v>
      </c>
    </row>
    <row r="68" spans="1:16" x14ac:dyDescent="0.35">
      <c r="A68">
        <f t="shared" si="2"/>
        <v>11</v>
      </c>
      <c r="B68" t="s">
        <v>689</v>
      </c>
      <c r="C68" t="s">
        <v>690</v>
      </c>
      <c r="D68" t="s">
        <v>535</v>
      </c>
      <c r="E68" t="s">
        <v>536</v>
      </c>
      <c r="F68" t="s">
        <v>568</v>
      </c>
      <c r="G68" t="s">
        <v>569</v>
      </c>
      <c r="H68" t="s">
        <v>570</v>
      </c>
      <c r="I68" t="s">
        <v>540</v>
      </c>
      <c r="J68" t="s">
        <v>541</v>
      </c>
      <c r="K68" s="30">
        <v>43032</v>
      </c>
      <c r="L68" s="8">
        <v>43025.598553240743</v>
      </c>
      <c r="M68" s="21">
        <f>LEN(ProjTextQTable[[#This Row],[text]])</f>
        <v>2780</v>
      </c>
      <c r="N68" s="21">
        <f>LEN(TRIM(CLEAN(SUBSTITUTE(ProjTextQTable[[#This Row],[text]],CHAR(10)," "))))+1 - LEN(SUBSTITUTE(CLEAN(SUBSTITUTE(ProjTextQTable[[#This Row],[text]],CHAR(10)," "))," ",""))</f>
        <v>439</v>
      </c>
      <c r="O68" t="s">
        <v>552</v>
      </c>
      <c r="P68" t="s">
        <v>692</v>
      </c>
    </row>
    <row r="69" spans="1:16" x14ac:dyDescent="0.35">
      <c r="A69">
        <f t="shared" si="2"/>
        <v>11</v>
      </c>
      <c r="B69" t="s">
        <v>689</v>
      </c>
      <c r="C69" t="s">
        <v>690</v>
      </c>
      <c r="D69" t="s">
        <v>535</v>
      </c>
      <c r="E69" t="s">
        <v>523</v>
      </c>
      <c r="F69" t="s">
        <v>573</v>
      </c>
      <c r="G69" t="s">
        <v>574</v>
      </c>
      <c r="H69" t="s">
        <v>575</v>
      </c>
      <c r="I69" t="s">
        <v>540</v>
      </c>
      <c r="J69" t="s">
        <v>541</v>
      </c>
      <c r="K69" s="30">
        <v>43032</v>
      </c>
      <c r="L69" s="8">
        <v>43030.184629629628</v>
      </c>
      <c r="M69" s="21">
        <f>LEN(ProjTextQTable[[#This Row],[text]])</f>
        <v>2052</v>
      </c>
      <c r="N69" s="21">
        <f>LEN(TRIM(CLEAN(SUBSTITUTE(ProjTextQTable[[#This Row],[text]],CHAR(10)," "))))+1 - LEN(SUBSTITUTE(CLEAN(SUBSTITUTE(ProjTextQTable[[#This Row],[text]],CHAR(10)," "))," ",""))</f>
        <v>300</v>
      </c>
      <c r="O69" t="s">
        <v>552</v>
      </c>
      <c r="P69" t="s">
        <v>693</v>
      </c>
    </row>
    <row r="70" spans="1:16" x14ac:dyDescent="0.35">
      <c r="A70">
        <f t="shared" si="2"/>
        <v>11</v>
      </c>
      <c r="B70" t="s">
        <v>689</v>
      </c>
      <c r="C70" t="s">
        <v>690</v>
      </c>
      <c r="D70" t="s">
        <v>535</v>
      </c>
      <c r="E70" t="s">
        <v>536</v>
      </c>
      <c r="F70" t="s">
        <v>666</v>
      </c>
      <c r="G70" t="s">
        <v>667</v>
      </c>
      <c r="H70" t="s">
        <v>668</v>
      </c>
      <c r="I70" t="s">
        <v>540</v>
      </c>
      <c r="J70" t="s">
        <v>541</v>
      </c>
      <c r="K70" s="30">
        <v>43032</v>
      </c>
      <c r="L70" s="8">
        <v>43028.388240740744</v>
      </c>
      <c r="M70" s="21">
        <f>LEN(ProjTextQTable[[#This Row],[text]])</f>
        <v>2314</v>
      </c>
      <c r="N70" s="21">
        <f>LEN(TRIM(CLEAN(SUBSTITUTE(ProjTextQTable[[#This Row],[text]],CHAR(10)," "))))+1 - LEN(SUBSTITUTE(CLEAN(SUBSTITUTE(ProjTextQTable[[#This Row],[text]],CHAR(10)," "))," ",""))</f>
        <v>355</v>
      </c>
      <c r="O70" t="s">
        <v>594</v>
      </c>
      <c r="P70" t="s">
        <v>694</v>
      </c>
    </row>
    <row r="71" spans="1:16" x14ac:dyDescent="0.35">
      <c r="A71">
        <f t="shared" si="2"/>
        <v>11</v>
      </c>
      <c r="B71" t="s">
        <v>689</v>
      </c>
      <c r="C71" t="s">
        <v>690</v>
      </c>
      <c r="D71" t="s">
        <v>535</v>
      </c>
      <c r="E71" t="s">
        <v>536</v>
      </c>
      <c r="F71" t="s">
        <v>517</v>
      </c>
      <c r="G71" t="s">
        <v>655</v>
      </c>
      <c r="H71" t="s">
        <v>656</v>
      </c>
      <c r="I71" t="s">
        <v>540</v>
      </c>
      <c r="J71" t="s">
        <v>541</v>
      </c>
      <c r="K71" s="30">
        <v>43032</v>
      </c>
      <c r="L71" s="8">
        <v>43031.690868055557</v>
      </c>
      <c r="M71" s="21">
        <f>LEN(ProjTextQTable[[#This Row],[text]])</f>
        <v>3778</v>
      </c>
      <c r="N71" s="21">
        <f>LEN(TRIM(CLEAN(SUBSTITUTE(ProjTextQTable[[#This Row],[text]],CHAR(10)," "))))+1 - LEN(SUBSTITUTE(CLEAN(SUBSTITUTE(ProjTextQTable[[#This Row],[text]],CHAR(10)," "))," ",""))</f>
        <v>593</v>
      </c>
      <c r="O71" t="s">
        <v>552</v>
      </c>
      <c r="P71" t="s">
        <v>695</v>
      </c>
    </row>
    <row r="72" spans="1:16" x14ac:dyDescent="0.35">
      <c r="A72">
        <f t="shared" si="2"/>
        <v>11</v>
      </c>
      <c r="B72" t="s">
        <v>689</v>
      </c>
      <c r="C72" t="s">
        <v>690</v>
      </c>
      <c r="D72" t="s">
        <v>558</v>
      </c>
      <c r="E72" t="s">
        <v>523</v>
      </c>
      <c r="F72" t="s">
        <v>532</v>
      </c>
      <c r="G72" t="s">
        <v>532</v>
      </c>
      <c r="H72" t="s">
        <v>532</v>
      </c>
      <c r="K72" s="30"/>
      <c r="L72" s="8">
        <v>42936.045185185183</v>
      </c>
      <c r="M72" s="21">
        <f>LEN(ProjTextQTable[[#This Row],[text]])</f>
        <v>2855</v>
      </c>
      <c r="N72" s="21">
        <f>LEN(TRIM(CLEAN(SUBSTITUTE(ProjTextQTable[[#This Row],[text]],CHAR(10)," "))))+1 - LEN(SUBSTITUTE(CLEAN(SUBSTITUTE(ProjTextQTable[[#This Row],[text]],CHAR(10)," "))," ",""))</f>
        <v>407</v>
      </c>
      <c r="O72" t="s">
        <v>532</v>
      </c>
      <c r="P72" t="s">
        <v>696</v>
      </c>
    </row>
    <row r="73" spans="1:16" x14ac:dyDescent="0.35">
      <c r="A73">
        <f t="shared" si="2"/>
        <v>12</v>
      </c>
      <c r="B73" t="s">
        <v>697</v>
      </c>
      <c r="C73" t="s">
        <v>698</v>
      </c>
      <c r="D73" t="s">
        <v>522</v>
      </c>
      <c r="E73" t="s">
        <v>523</v>
      </c>
      <c r="F73" t="s">
        <v>524</v>
      </c>
      <c r="G73" t="s">
        <v>525</v>
      </c>
      <c r="H73" t="s">
        <v>562</v>
      </c>
      <c r="I73" t="s">
        <v>563</v>
      </c>
      <c r="J73" t="s">
        <v>527</v>
      </c>
      <c r="K73" s="30">
        <v>43031</v>
      </c>
      <c r="L73" s="8">
        <v>43032.655659722222</v>
      </c>
      <c r="M73" s="21">
        <f>LEN(ProjTextQTable[[#This Row],[text]])</f>
        <v>2426</v>
      </c>
      <c r="N73" s="21">
        <f>LEN(TRIM(CLEAN(SUBSTITUTE(ProjTextQTable[[#This Row],[text]],CHAR(10)," "))))+1 - LEN(SUBSTITUTE(CLEAN(SUBSTITUTE(ProjTextQTable[[#This Row],[text]],CHAR(10)," "))," ",""))</f>
        <v>361</v>
      </c>
      <c r="O73" t="s">
        <v>565</v>
      </c>
      <c r="P73" t="s">
        <v>699</v>
      </c>
    </row>
    <row r="74" spans="1:16" x14ac:dyDescent="0.35">
      <c r="A74">
        <f t="shared" si="2"/>
        <v>12</v>
      </c>
      <c r="B74" t="s">
        <v>697</v>
      </c>
      <c r="C74" t="s">
        <v>698</v>
      </c>
      <c r="D74" t="s">
        <v>531</v>
      </c>
      <c r="E74" t="s">
        <v>523</v>
      </c>
      <c r="F74" t="s">
        <v>532</v>
      </c>
      <c r="G74" t="s">
        <v>533</v>
      </c>
      <c r="H74" t="s">
        <v>532</v>
      </c>
      <c r="I74" t="s">
        <v>532</v>
      </c>
      <c r="K74" s="30"/>
      <c r="L74" s="8">
        <v>43082.662800925929</v>
      </c>
      <c r="M74" s="21">
        <f>LEN(ProjTextQTable[[#This Row],[text]])</f>
        <v>2067</v>
      </c>
      <c r="N74" s="21">
        <f>LEN(TRIM(CLEAN(SUBSTITUTE(ProjTextQTable[[#This Row],[text]],CHAR(10)," "))))+1 - LEN(SUBSTITUTE(CLEAN(SUBSTITUTE(ProjTextQTable[[#This Row],[text]],CHAR(10)," "))," ",""))</f>
        <v>302</v>
      </c>
      <c r="O74" t="s">
        <v>532</v>
      </c>
      <c r="P74" t="s">
        <v>700</v>
      </c>
    </row>
    <row r="75" spans="1:16" x14ac:dyDescent="0.35">
      <c r="A75">
        <f t="shared" si="2"/>
        <v>12</v>
      </c>
      <c r="B75" t="s">
        <v>697</v>
      </c>
      <c r="C75" t="s">
        <v>698</v>
      </c>
      <c r="D75" t="s">
        <v>535</v>
      </c>
      <c r="E75" t="s">
        <v>536</v>
      </c>
      <c r="F75" t="s">
        <v>549</v>
      </c>
      <c r="G75" t="s">
        <v>550</v>
      </c>
      <c r="H75" t="s">
        <v>551</v>
      </c>
      <c r="I75" t="s">
        <v>540</v>
      </c>
      <c r="J75" t="s">
        <v>541</v>
      </c>
      <c r="K75" s="30">
        <v>43032</v>
      </c>
      <c r="L75" s="8">
        <v>43029.952604166669</v>
      </c>
      <c r="M75" s="21">
        <f>LEN(ProjTextQTable[[#This Row],[text]])</f>
        <v>2564</v>
      </c>
      <c r="N75" s="21">
        <f>LEN(TRIM(CLEAN(SUBSTITUTE(ProjTextQTable[[#This Row],[text]],CHAR(10)," "))))+1 - LEN(SUBSTITUTE(CLEAN(SUBSTITUTE(ProjTextQTable[[#This Row],[text]],CHAR(10)," "))," ",""))</f>
        <v>374</v>
      </c>
      <c r="O75" t="s">
        <v>571</v>
      </c>
      <c r="P75" t="s">
        <v>701</v>
      </c>
    </row>
    <row r="76" spans="1:16" x14ac:dyDescent="0.35">
      <c r="A76">
        <f t="shared" si="2"/>
        <v>12</v>
      </c>
      <c r="B76" t="s">
        <v>697</v>
      </c>
      <c r="C76" t="s">
        <v>698</v>
      </c>
      <c r="D76" t="s">
        <v>535</v>
      </c>
      <c r="E76" t="s">
        <v>536</v>
      </c>
      <c r="F76" t="s">
        <v>508</v>
      </c>
      <c r="G76" t="s">
        <v>652</v>
      </c>
      <c r="H76" t="s">
        <v>653</v>
      </c>
      <c r="I76" t="s">
        <v>540</v>
      </c>
      <c r="J76" t="s">
        <v>541</v>
      </c>
      <c r="K76" s="30">
        <v>43032</v>
      </c>
      <c r="L76" s="8">
        <v>43031.107453703706</v>
      </c>
      <c r="M76" s="21">
        <f>LEN(ProjTextQTable[[#This Row],[text]])</f>
        <v>2410</v>
      </c>
      <c r="N76" s="21">
        <f>LEN(TRIM(CLEAN(SUBSTITUTE(ProjTextQTable[[#This Row],[text]],CHAR(10)," "))))+1 - LEN(SUBSTITUTE(CLEAN(SUBSTITUTE(ProjTextQTable[[#This Row],[text]],CHAR(10)," "))," ",""))</f>
        <v>358</v>
      </c>
      <c r="O76" t="s">
        <v>571</v>
      </c>
      <c r="P76" t="s">
        <v>702</v>
      </c>
    </row>
    <row r="77" spans="1:16" x14ac:dyDescent="0.35">
      <c r="A77">
        <f t="shared" si="2"/>
        <v>12</v>
      </c>
      <c r="B77" t="s">
        <v>697</v>
      </c>
      <c r="C77" t="s">
        <v>698</v>
      </c>
      <c r="D77" t="s">
        <v>535</v>
      </c>
      <c r="E77" t="s">
        <v>536</v>
      </c>
      <c r="F77" t="s">
        <v>505</v>
      </c>
      <c r="G77" t="s">
        <v>597</v>
      </c>
      <c r="H77" t="s">
        <v>598</v>
      </c>
      <c r="I77" t="s">
        <v>540</v>
      </c>
      <c r="J77" t="s">
        <v>541</v>
      </c>
      <c r="K77" s="30">
        <v>43032</v>
      </c>
      <c r="L77" s="8">
        <v>43031.771365740744</v>
      </c>
      <c r="M77" s="21">
        <f>LEN(ProjTextQTable[[#This Row],[text]])</f>
        <v>2018</v>
      </c>
      <c r="N77" s="21">
        <f>LEN(TRIM(CLEAN(SUBSTITUTE(ProjTextQTable[[#This Row],[text]],CHAR(10)," "))))+1 - LEN(SUBSTITUTE(CLEAN(SUBSTITUTE(ProjTextQTable[[#This Row],[text]],CHAR(10)," "))," ",""))</f>
        <v>300</v>
      </c>
      <c r="O77" t="s">
        <v>571</v>
      </c>
      <c r="P77" t="s">
        <v>703</v>
      </c>
    </row>
    <row r="78" spans="1:16" x14ac:dyDescent="0.35">
      <c r="A78">
        <f t="shared" si="2"/>
        <v>12</v>
      </c>
      <c r="B78" t="s">
        <v>697</v>
      </c>
      <c r="C78" t="s">
        <v>698</v>
      </c>
      <c r="D78" t="s">
        <v>558</v>
      </c>
      <c r="E78" t="s">
        <v>523</v>
      </c>
      <c r="F78" t="s">
        <v>532</v>
      </c>
      <c r="G78" t="s">
        <v>532</v>
      </c>
      <c r="H78" t="s">
        <v>532</v>
      </c>
      <c r="K78" s="30"/>
      <c r="L78" s="8">
        <v>42957.042546296296</v>
      </c>
      <c r="M78" s="21">
        <f>LEN(ProjTextQTable[[#This Row],[text]])</f>
        <v>4631</v>
      </c>
      <c r="N78" s="21">
        <f>LEN(TRIM(CLEAN(SUBSTITUTE(ProjTextQTable[[#This Row],[text]],CHAR(10)," "))))+1 - LEN(SUBSTITUTE(CLEAN(SUBSTITUTE(ProjTextQTable[[#This Row],[text]],CHAR(10)," "))," ",""))</f>
        <v>656</v>
      </c>
      <c r="O78" t="s">
        <v>532</v>
      </c>
      <c r="P78" t="s">
        <v>704</v>
      </c>
    </row>
    <row r="79" spans="1:16" x14ac:dyDescent="0.35">
      <c r="A79">
        <f t="shared" si="2"/>
        <v>13</v>
      </c>
      <c r="B79" t="s">
        <v>705</v>
      </c>
      <c r="C79" t="s">
        <v>706</v>
      </c>
      <c r="D79" t="s">
        <v>522</v>
      </c>
      <c r="E79" t="s">
        <v>523</v>
      </c>
      <c r="F79" t="s">
        <v>524</v>
      </c>
      <c r="G79" t="s">
        <v>525</v>
      </c>
      <c r="H79" t="s">
        <v>526</v>
      </c>
      <c r="I79" t="s">
        <v>527</v>
      </c>
      <c r="J79" t="s">
        <v>707</v>
      </c>
      <c r="K79" s="30">
        <v>43031</v>
      </c>
      <c r="L79" s="8">
        <v>43032.656527777777</v>
      </c>
      <c r="M79" s="21">
        <f>LEN(ProjTextQTable[[#This Row],[text]])</f>
        <v>3554</v>
      </c>
      <c r="N79" s="21">
        <f>LEN(TRIM(CLEAN(SUBSTITUTE(ProjTextQTable[[#This Row],[text]],CHAR(10)," "))))+1 - LEN(SUBSTITUTE(CLEAN(SUBSTITUTE(ProjTextQTable[[#This Row],[text]],CHAR(10)," "))," ",""))</f>
        <v>563</v>
      </c>
      <c r="O79" t="s">
        <v>529</v>
      </c>
      <c r="P79" t="s">
        <v>708</v>
      </c>
    </row>
    <row r="80" spans="1:16" x14ac:dyDescent="0.35">
      <c r="A80">
        <f t="shared" si="2"/>
        <v>13</v>
      </c>
      <c r="B80" t="s">
        <v>705</v>
      </c>
      <c r="C80" t="s">
        <v>706</v>
      </c>
      <c r="D80" t="s">
        <v>531</v>
      </c>
      <c r="E80" t="s">
        <v>523</v>
      </c>
      <c r="F80" t="s">
        <v>532</v>
      </c>
      <c r="G80" t="s">
        <v>533</v>
      </c>
      <c r="H80" t="s">
        <v>532</v>
      </c>
      <c r="I80" t="s">
        <v>532</v>
      </c>
      <c r="K80" s="30"/>
      <c r="L80" s="8">
        <v>43082.669189814813</v>
      </c>
      <c r="M80" s="21">
        <f>LEN(ProjTextQTable[[#This Row],[text]])</f>
        <v>2013</v>
      </c>
      <c r="N80" s="21">
        <f>LEN(TRIM(CLEAN(SUBSTITUTE(ProjTextQTable[[#This Row],[text]],CHAR(10)," "))))+1 - LEN(SUBSTITUTE(CLEAN(SUBSTITUTE(ProjTextQTable[[#This Row],[text]],CHAR(10)," "))," ",""))</f>
        <v>293</v>
      </c>
      <c r="O80" t="s">
        <v>532</v>
      </c>
      <c r="P80" t="s">
        <v>709</v>
      </c>
    </row>
    <row r="81" spans="1:16" x14ac:dyDescent="0.35">
      <c r="A81">
        <f t="shared" si="2"/>
        <v>13</v>
      </c>
      <c r="B81" t="s">
        <v>705</v>
      </c>
      <c r="C81" t="s">
        <v>706</v>
      </c>
      <c r="D81" t="s">
        <v>535</v>
      </c>
      <c r="E81" t="s">
        <v>536</v>
      </c>
      <c r="F81" t="s">
        <v>647</v>
      </c>
      <c r="G81" t="s">
        <v>648</v>
      </c>
      <c r="H81" t="s">
        <v>649</v>
      </c>
      <c r="I81" t="s">
        <v>540</v>
      </c>
      <c r="J81" t="s">
        <v>541</v>
      </c>
      <c r="K81" s="30">
        <v>43032</v>
      </c>
      <c r="L81" s="8">
        <v>43030.886724537035</v>
      </c>
      <c r="M81" s="21">
        <f>LEN(ProjTextQTable[[#This Row],[text]])</f>
        <v>2250</v>
      </c>
      <c r="N81" s="21">
        <f>LEN(TRIM(CLEAN(SUBSTITUTE(ProjTextQTable[[#This Row],[text]],CHAR(10)," "))))+1 - LEN(SUBSTITUTE(CLEAN(SUBSTITUTE(ProjTextQTable[[#This Row],[text]],CHAR(10)," "))," ",""))</f>
        <v>331</v>
      </c>
      <c r="O81" t="s">
        <v>571</v>
      </c>
      <c r="P81" t="s">
        <v>710</v>
      </c>
    </row>
    <row r="82" spans="1:16" x14ac:dyDescent="0.35">
      <c r="A82">
        <f t="shared" si="2"/>
        <v>13</v>
      </c>
      <c r="B82" t="s">
        <v>705</v>
      </c>
      <c r="C82" t="s">
        <v>706</v>
      </c>
      <c r="D82" t="s">
        <v>535</v>
      </c>
      <c r="E82" t="s">
        <v>536</v>
      </c>
      <c r="F82" t="s">
        <v>537</v>
      </c>
      <c r="G82" t="s">
        <v>538</v>
      </c>
      <c r="H82" t="s">
        <v>539</v>
      </c>
      <c r="I82" t="s">
        <v>540</v>
      </c>
      <c r="J82" t="s">
        <v>541</v>
      </c>
      <c r="K82" s="30">
        <v>43032</v>
      </c>
      <c r="L82" s="8">
        <v>43025.633287037039</v>
      </c>
      <c r="M82" s="21">
        <f>LEN(ProjTextQTable[[#This Row],[text]])</f>
        <v>2071</v>
      </c>
      <c r="N82" s="21">
        <f>LEN(TRIM(CLEAN(SUBSTITUTE(ProjTextQTable[[#This Row],[text]],CHAR(10)," "))))+1 - LEN(SUBSTITUTE(CLEAN(SUBSTITUTE(ProjTextQTable[[#This Row],[text]],CHAR(10)," "))," ",""))</f>
        <v>314</v>
      </c>
      <c r="O82" t="s">
        <v>592</v>
      </c>
      <c r="P82" t="s">
        <v>711</v>
      </c>
    </row>
    <row r="83" spans="1:16" x14ac:dyDescent="0.35">
      <c r="A83">
        <f t="shared" si="2"/>
        <v>13</v>
      </c>
      <c r="B83" t="s">
        <v>705</v>
      </c>
      <c r="C83" t="s">
        <v>706</v>
      </c>
      <c r="D83" t="s">
        <v>535</v>
      </c>
      <c r="E83" t="s">
        <v>536</v>
      </c>
      <c r="F83" t="s">
        <v>514</v>
      </c>
      <c r="G83" t="s">
        <v>577</v>
      </c>
      <c r="H83" t="s">
        <v>578</v>
      </c>
      <c r="I83" t="s">
        <v>540</v>
      </c>
      <c r="J83" t="s">
        <v>541</v>
      </c>
      <c r="K83" s="30">
        <v>43032</v>
      </c>
      <c r="L83" s="8">
        <v>43031.742314814815</v>
      </c>
      <c r="M83" s="21">
        <f>LEN(ProjTextQTable[[#This Row],[text]])</f>
        <v>1610</v>
      </c>
      <c r="N83" s="21">
        <f>LEN(TRIM(CLEAN(SUBSTITUTE(ProjTextQTable[[#This Row],[text]],CHAR(10)," "))))+1 - LEN(SUBSTITUTE(CLEAN(SUBSTITUTE(ProjTextQTable[[#This Row],[text]],CHAR(10)," "))," ",""))</f>
        <v>237</v>
      </c>
      <c r="O83" t="s">
        <v>547</v>
      </c>
      <c r="P83" t="s">
        <v>712</v>
      </c>
    </row>
    <row r="84" spans="1:16" x14ac:dyDescent="0.35">
      <c r="A84">
        <f t="shared" si="2"/>
        <v>13</v>
      </c>
      <c r="B84" t="s">
        <v>705</v>
      </c>
      <c r="C84" t="s">
        <v>706</v>
      </c>
      <c r="D84" t="s">
        <v>558</v>
      </c>
      <c r="E84" t="s">
        <v>523</v>
      </c>
      <c r="F84" t="s">
        <v>532</v>
      </c>
      <c r="G84" t="s">
        <v>532</v>
      </c>
      <c r="H84" t="s">
        <v>532</v>
      </c>
      <c r="K84" s="30"/>
      <c r="L84" s="8">
        <v>42957.042870370373</v>
      </c>
      <c r="M84" s="21">
        <f>LEN(ProjTextQTable[[#This Row],[text]])</f>
        <v>4426</v>
      </c>
      <c r="N84" s="21">
        <f>LEN(TRIM(CLEAN(SUBSTITUTE(ProjTextQTable[[#This Row],[text]],CHAR(10)," "))))+1 - LEN(SUBSTITUTE(CLEAN(SUBSTITUTE(ProjTextQTable[[#This Row],[text]],CHAR(10)," "))," ",""))</f>
        <v>577</v>
      </c>
      <c r="O84" t="s">
        <v>532</v>
      </c>
      <c r="P84" t="s">
        <v>713</v>
      </c>
    </row>
    <row r="85" spans="1:16" x14ac:dyDescent="0.35">
      <c r="A85">
        <f t="shared" si="2"/>
        <v>14</v>
      </c>
      <c r="B85" t="s">
        <v>714</v>
      </c>
      <c r="C85" t="s">
        <v>715</v>
      </c>
      <c r="D85" t="s">
        <v>522</v>
      </c>
      <c r="E85" t="s">
        <v>523</v>
      </c>
      <c r="F85" t="s">
        <v>716</v>
      </c>
      <c r="G85" t="s">
        <v>525</v>
      </c>
      <c r="H85" t="s">
        <v>526</v>
      </c>
      <c r="I85" t="s">
        <v>527</v>
      </c>
      <c r="J85" t="s">
        <v>707</v>
      </c>
      <c r="K85" s="30">
        <v>43031</v>
      </c>
      <c r="L85" s="8">
        <v>43032.683645833335</v>
      </c>
      <c r="M85" s="21">
        <f>LEN(ProjTextQTable[[#This Row],[text]])</f>
        <v>1785</v>
      </c>
      <c r="N85" s="21">
        <f>LEN(TRIM(CLEAN(SUBSTITUTE(ProjTextQTable[[#This Row],[text]],CHAR(10)," "))))+1 - LEN(SUBSTITUTE(CLEAN(SUBSTITUTE(ProjTextQTable[[#This Row],[text]],CHAR(10)," "))," ",""))</f>
        <v>268</v>
      </c>
      <c r="O85" t="s">
        <v>529</v>
      </c>
      <c r="P85" t="s">
        <v>717</v>
      </c>
    </row>
    <row r="86" spans="1:16" x14ac:dyDescent="0.35">
      <c r="A86">
        <f t="shared" si="2"/>
        <v>14</v>
      </c>
      <c r="B86" t="s">
        <v>714</v>
      </c>
      <c r="C86" t="s">
        <v>715</v>
      </c>
      <c r="D86" t="s">
        <v>531</v>
      </c>
      <c r="E86" t="s">
        <v>523</v>
      </c>
      <c r="F86" t="s">
        <v>532</v>
      </c>
      <c r="G86" t="s">
        <v>533</v>
      </c>
      <c r="H86" t="s">
        <v>532</v>
      </c>
      <c r="I86" t="s">
        <v>532</v>
      </c>
      <c r="K86" s="30"/>
      <c r="L86" s="8">
        <v>43076.608877314815</v>
      </c>
      <c r="M86" s="21">
        <f>LEN(ProjTextQTable[[#This Row],[text]])</f>
        <v>2093</v>
      </c>
      <c r="N86" s="21">
        <f>LEN(TRIM(CLEAN(SUBSTITUTE(ProjTextQTable[[#This Row],[text]],CHAR(10)," "))))+1 - LEN(SUBSTITUTE(CLEAN(SUBSTITUTE(ProjTextQTable[[#This Row],[text]],CHAR(10)," "))," ",""))</f>
        <v>304</v>
      </c>
      <c r="O86" t="s">
        <v>532</v>
      </c>
      <c r="P86" t="s">
        <v>718</v>
      </c>
    </row>
    <row r="87" spans="1:16" x14ac:dyDescent="0.35">
      <c r="A87">
        <f t="shared" si="2"/>
        <v>14</v>
      </c>
      <c r="B87" t="s">
        <v>714</v>
      </c>
      <c r="C87" t="s">
        <v>715</v>
      </c>
      <c r="D87" t="s">
        <v>535</v>
      </c>
      <c r="E87" t="s">
        <v>536</v>
      </c>
      <c r="F87" t="s">
        <v>544</v>
      </c>
      <c r="G87" t="s">
        <v>545</v>
      </c>
      <c r="H87" t="s">
        <v>546</v>
      </c>
      <c r="I87" t="s">
        <v>540</v>
      </c>
      <c r="J87" t="s">
        <v>541</v>
      </c>
      <c r="K87" s="30">
        <v>43032</v>
      </c>
      <c r="L87" s="8">
        <v>43030.825844907406</v>
      </c>
      <c r="M87" s="21">
        <f>LEN(ProjTextQTable[[#This Row],[text]])</f>
        <v>1433</v>
      </c>
      <c r="N87" s="21">
        <f>LEN(TRIM(CLEAN(SUBSTITUTE(ProjTextQTable[[#This Row],[text]],CHAR(10)," "))))+1 - LEN(SUBSTITUTE(CLEAN(SUBSTITUTE(ProjTextQTable[[#This Row],[text]],CHAR(10)," "))," ",""))</f>
        <v>209</v>
      </c>
      <c r="O87" t="s">
        <v>571</v>
      </c>
      <c r="P87" t="s">
        <v>719</v>
      </c>
    </row>
    <row r="88" spans="1:16" x14ac:dyDescent="0.35">
      <c r="A88">
        <f t="shared" si="2"/>
        <v>14</v>
      </c>
      <c r="B88" t="s">
        <v>714</v>
      </c>
      <c r="C88" t="s">
        <v>715</v>
      </c>
      <c r="D88" t="s">
        <v>535</v>
      </c>
      <c r="E88" t="s">
        <v>523</v>
      </c>
      <c r="F88" t="s">
        <v>554</v>
      </c>
      <c r="G88" t="s">
        <v>555</v>
      </c>
      <c r="H88" t="s">
        <v>556</v>
      </c>
      <c r="I88" t="s">
        <v>540</v>
      </c>
      <c r="J88" t="s">
        <v>541</v>
      </c>
      <c r="K88" s="30">
        <v>43032</v>
      </c>
      <c r="L88" s="8">
        <v>43032.675833333335</v>
      </c>
      <c r="M88" s="21">
        <f>LEN(ProjTextQTable[[#This Row],[text]])</f>
        <v>2823</v>
      </c>
      <c r="N88" s="21">
        <f>LEN(TRIM(CLEAN(SUBSTITUTE(ProjTextQTable[[#This Row],[text]],CHAR(10)," "))))+1 - LEN(SUBSTITUTE(CLEAN(SUBSTITUTE(ProjTextQTable[[#This Row],[text]],CHAR(10)," "))," ",""))</f>
        <v>475</v>
      </c>
      <c r="O88" t="s">
        <v>583</v>
      </c>
      <c r="P88" t="s">
        <v>720</v>
      </c>
    </row>
    <row r="89" spans="1:16" x14ac:dyDescent="0.35">
      <c r="A89">
        <f t="shared" si="2"/>
        <v>14</v>
      </c>
      <c r="B89" t="s">
        <v>714</v>
      </c>
      <c r="C89" t="s">
        <v>715</v>
      </c>
      <c r="D89" t="s">
        <v>535</v>
      </c>
      <c r="E89" t="s">
        <v>536</v>
      </c>
      <c r="F89" t="s">
        <v>721</v>
      </c>
      <c r="G89" t="s">
        <v>722</v>
      </c>
      <c r="H89" t="s">
        <v>723</v>
      </c>
      <c r="I89" t="s">
        <v>540</v>
      </c>
      <c r="J89" t="s">
        <v>541</v>
      </c>
      <c r="K89" s="30">
        <v>43032</v>
      </c>
      <c r="L89" s="8">
        <v>43032.53087962963</v>
      </c>
      <c r="M89" s="21">
        <f>LEN(ProjTextQTable[[#This Row],[text]])</f>
        <v>5656</v>
      </c>
      <c r="N89" s="21">
        <f>LEN(TRIM(CLEAN(SUBSTITUTE(ProjTextQTable[[#This Row],[text]],CHAR(10)," "))))+1 - LEN(SUBSTITUTE(CLEAN(SUBSTITUTE(ProjTextQTable[[#This Row],[text]],CHAR(10)," "))," ",""))</f>
        <v>946</v>
      </c>
      <c r="O89" t="s">
        <v>552</v>
      </c>
      <c r="P89" t="s">
        <v>724</v>
      </c>
    </row>
    <row r="90" spans="1:16" x14ac:dyDescent="0.35">
      <c r="A90">
        <f t="shared" si="2"/>
        <v>14</v>
      </c>
      <c r="B90" t="s">
        <v>714</v>
      </c>
      <c r="C90" t="s">
        <v>715</v>
      </c>
      <c r="D90" t="s">
        <v>558</v>
      </c>
      <c r="E90" t="s">
        <v>523</v>
      </c>
      <c r="F90" t="s">
        <v>532</v>
      </c>
      <c r="G90" t="s">
        <v>532</v>
      </c>
      <c r="H90" t="s">
        <v>532</v>
      </c>
      <c r="K90" s="30"/>
      <c r="L90" s="8">
        <v>42957.043009259258</v>
      </c>
      <c r="M90" s="21">
        <f>LEN(ProjTextQTable[[#This Row],[text]])</f>
        <v>4368</v>
      </c>
      <c r="N90" s="21">
        <f>LEN(TRIM(CLEAN(SUBSTITUTE(ProjTextQTable[[#This Row],[text]],CHAR(10)," "))))+1 - LEN(SUBSTITUTE(CLEAN(SUBSTITUTE(ProjTextQTable[[#This Row],[text]],CHAR(10)," "))," ",""))</f>
        <v>604</v>
      </c>
      <c r="O90" t="s">
        <v>532</v>
      </c>
      <c r="P90" t="s">
        <v>725</v>
      </c>
    </row>
    <row r="91" spans="1:16" x14ac:dyDescent="0.35">
      <c r="A91">
        <f t="shared" si="2"/>
        <v>15</v>
      </c>
      <c r="B91" t="s">
        <v>726</v>
      </c>
      <c r="C91" t="s">
        <v>727</v>
      </c>
      <c r="D91" t="s">
        <v>522</v>
      </c>
      <c r="E91" t="s">
        <v>523</v>
      </c>
      <c r="F91" t="s">
        <v>524</v>
      </c>
      <c r="G91" t="s">
        <v>525</v>
      </c>
      <c r="H91" t="s">
        <v>526</v>
      </c>
      <c r="I91" t="s">
        <v>527</v>
      </c>
      <c r="J91" t="s">
        <v>707</v>
      </c>
      <c r="K91" s="30">
        <v>43031</v>
      </c>
      <c r="L91" s="8">
        <v>43032.684108796297</v>
      </c>
      <c r="M91" s="21">
        <f>LEN(ProjTextQTable[[#This Row],[text]])</f>
        <v>2340</v>
      </c>
      <c r="N91" s="21">
        <f>LEN(TRIM(CLEAN(SUBSTITUTE(ProjTextQTable[[#This Row],[text]],CHAR(10)," "))))+1 - LEN(SUBSTITUTE(CLEAN(SUBSTITUTE(ProjTextQTable[[#This Row],[text]],CHAR(10)," "))," ",""))</f>
        <v>356</v>
      </c>
      <c r="O91" t="s">
        <v>529</v>
      </c>
      <c r="P91" t="s">
        <v>728</v>
      </c>
    </row>
    <row r="92" spans="1:16" x14ac:dyDescent="0.35">
      <c r="A92">
        <f t="shared" si="2"/>
        <v>15</v>
      </c>
      <c r="B92" t="s">
        <v>726</v>
      </c>
      <c r="C92" t="s">
        <v>727</v>
      </c>
      <c r="D92" t="s">
        <v>531</v>
      </c>
      <c r="E92" t="s">
        <v>523</v>
      </c>
      <c r="F92" t="s">
        <v>532</v>
      </c>
      <c r="G92" t="s">
        <v>533</v>
      </c>
      <c r="H92" t="s">
        <v>532</v>
      </c>
      <c r="I92" t="s">
        <v>532</v>
      </c>
      <c r="K92" s="30"/>
      <c r="L92" s="8">
        <v>43076.608923611115</v>
      </c>
      <c r="M92" s="21">
        <f>LEN(ProjTextQTable[[#This Row],[text]])</f>
        <v>2051</v>
      </c>
      <c r="N92" s="21">
        <f>LEN(TRIM(CLEAN(SUBSTITUTE(ProjTextQTable[[#This Row],[text]],CHAR(10)," "))))+1 - LEN(SUBSTITUTE(CLEAN(SUBSTITUTE(ProjTextQTable[[#This Row],[text]],CHAR(10)," "))," ",""))</f>
        <v>295</v>
      </c>
      <c r="O92" t="s">
        <v>532</v>
      </c>
      <c r="P92" t="s">
        <v>729</v>
      </c>
    </row>
    <row r="93" spans="1:16" x14ac:dyDescent="0.35">
      <c r="A93">
        <f t="shared" si="2"/>
        <v>15</v>
      </c>
      <c r="B93" t="s">
        <v>726</v>
      </c>
      <c r="C93" t="s">
        <v>727</v>
      </c>
      <c r="D93" t="s">
        <v>535</v>
      </c>
      <c r="E93" t="s">
        <v>536</v>
      </c>
      <c r="F93" t="s">
        <v>537</v>
      </c>
      <c r="G93" t="s">
        <v>538</v>
      </c>
      <c r="H93" t="s">
        <v>539</v>
      </c>
      <c r="I93" t="s">
        <v>540</v>
      </c>
      <c r="J93" t="s">
        <v>541</v>
      </c>
      <c r="K93" s="30">
        <v>43032</v>
      </c>
      <c r="L93" s="8">
        <v>43031.750081018516</v>
      </c>
      <c r="M93" s="21">
        <f>LEN(ProjTextQTable[[#This Row],[text]])</f>
        <v>3285</v>
      </c>
      <c r="N93" s="21">
        <f>LEN(TRIM(CLEAN(SUBSTITUTE(ProjTextQTable[[#This Row],[text]],CHAR(10)," "))))+1 - LEN(SUBSTITUTE(CLEAN(SUBSTITUTE(ProjTextQTable[[#This Row],[text]],CHAR(10)," "))," ",""))</f>
        <v>514</v>
      </c>
      <c r="O93" t="s">
        <v>594</v>
      </c>
      <c r="P93" t="s">
        <v>730</v>
      </c>
    </row>
    <row r="94" spans="1:16" x14ac:dyDescent="0.35">
      <c r="A94">
        <f t="shared" si="2"/>
        <v>15</v>
      </c>
      <c r="B94" t="s">
        <v>726</v>
      </c>
      <c r="C94" t="s">
        <v>727</v>
      </c>
      <c r="D94" t="s">
        <v>535</v>
      </c>
      <c r="E94" t="s">
        <v>536</v>
      </c>
      <c r="F94" t="s">
        <v>666</v>
      </c>
      <c r="G94" t="s">
        <v>667</v>
      </c>
      <c r="H94" t="s">
        <v>668</v>
      </c>
      <c r="I94" t="s">
        <v>540</v>
      </c>
      <c r="J94" t="s">
        <v>541</v>
      </c>
      <c r="K94" s="30">
        <v>43032</v>
      </c>
      <c r="L94" s="8">
        <v>43027.933842592596</v>
      </c>
      <c r="M94" s="21">
        <f>LEN(ProjTextQTable[[#This Row],[text]])</f>
        <v>2177</v>
      </c>
      <c r="N94" s="21">
        <f>LEN(TRIM(CLEAN(SUBSTITUTE(ProjTextQTable[[#This Row],[text]],CHAR(10)," "))))+1 - LEN(SUBSTITUTE(CLEAN(SUBSTITUTE(ProjTextQTable[[#This Row],[text]],CHAR(10)," "))," ",""))</f>
        <v>316</v>
      </c>
      <c r="O94" t="s">
        <v>571</v>
      </c>
      <c r="P94" t="s">
        <v>731</v>
      </c>
    </row>
    <row r="95" spans="1:16" x14ac:dyDescent="0.35">
      <c r="A95">
        <f t="shared" si="2"/>
        <v>15</v>
      </c>
      <c r="B95" t="s">
        <v>726</v>
      </c>
      <c r="C95" t="s">
        <v>727</v>
      </c>
      <c r="D95" t="s">
        <v>535</v>
      </c>
      <c r="E95" t="s">
        <v>523</v>
      </c>
      <c r="F95" t="s">
        <v>554</v>
      </c>
      <c r="G95" t="s">
        <v>555</v>
      </c>
      <c r="H95" t="s">
        <v>556</v>
      </c>
      <c r="I95" t="s">
        <v>540</v>
      </c>
      <c r="J95" t="s">
        <v>541</v>
      </c>
      <c r="K95" s="30">
        <v>43032</v>
      </c>
      <c r="L95" s="8">
        <v>43030.934814814813</v>
      </c>
      <c r="M95" s="21">
        <f>LEN(ProjTextQTable[[#This Row],[text]])</f>
        <v>1966</v>
      </c>
      <c r="N95" s="21">
        <f>LEN(TRIM(CLEAN(SUBSTITUTE(ProjTextQTable[[#This Row],[text]],CHAR(10)," "))))+1 - LEN(SUBSTITUTE(CLEAN(SUBSTITUTE(ProjTextQTable[[#This Row],[text]],CHAR(10)," "))," ",""))</f>
        <v>299</v>
      </c>
      <c r="O95" t="s">
        <v>547</v>
      </c>
      <c r="P95" t="s">
        <v>732</v>
      </c>
    </row>
    <row r="96" spans="1:16" x14ac:dyDescent="0.35">
      <c r="A96">
        <f t="shared" si="2"/>
        <v>15</v>
      </c>
      <c r="B96" t="s">
        <v>726</v>
      </c>
      <c r="C96" t="s">
        <v>727</v>
      </c>
      <c r="D96" t="s">
        <v>558</v>
      </c>
      <c r="E96" t="s">
        <v>523</v>
      </c>
      <c r="F96" t="s">
        <v>532</v>
      </c>
      <c r="G96" t="s">
        <v>532</v>
      </c>
      <c r="H96" t="s">
        <v>532</v>
      </c>
      <c r="K96" s="30"/>
      <c r="L96" s="8">
        <v>42957.043055555558</v>
      </c>
      <c r="M96" s="21">
        <f>LEN(ProjTextQTable[[#This Row],[text]])</f>
        <v>3067</v>
      </c>
      <c r="N96" s="21">
        <f>LEN(TRIM(CLEAN(SUBSTITUTE(ProjTextQTable[[#This Row],[text]],CHAR(10)," "))))+1 - LEN(SUBSTITUTE(CLEAN(SUBSTITUTE(ProjTextQTable[[#This Row],[text]],CHAR(10)," "))," ",""))</f>
        <v>414</v>
      </c>
      <c r="O96" t="s">
        <v>532</v>
      </c>
      <c r="P96" t="s">
        <v>733</v>
      </c>
    </row>
    <row r="97" spans="1:16" x14ac:dyDescent="0.35">
      <c r="A97">
        <f t="shared" si="2"/>
        <v>16</v>
      </c>
      <c r="B97" t="s">
        <v>734</v>
      </c>
      <c r="C97" t="s">
        <v>735</v>
      </c>
      <c r="D97" t="s">
        <v>558</v>
      </c>
      <c r="E97" t="s">
        <v>523</v>
      </c>
      <c r="F97" t="s">
        <v>532</v>
      </c>
      <c r="G97" t="s">
        <v>532</v>
      </c>
      <c r="H97" t="s">
        <v>532</v>
      </c>
      <c r="K97" s="30"/>
      <c r="L97" s="8">
        <v>43036.042604166665</v>
      </c>
      <c r="M97" s="21">
        <f>LEN(ProjTextQTable[[#This Row],[text]])</f>
        <v>939</v>
      </c>
      <c r="N97" s="21">
        <f>LEN(TRIM(CLEAN(SUBSTITUTE(ProjTextQTable[[#This Row],[text]],CHAR(10)," "))))+1 - LEN(SUBSTITUTE(CLEAN(SUBSTITUTE(ProjTextQTable[[#This Row],[text]],CHAR(10)," "))," ",""))</f>
        <v>133</v>
      </c>
      <c r="O97" t="s">
        <v>532</v>
      </c>
      <c r="P97" t="s">
        <v>736</v>
      </c>
    </row>
    <row r="98" spans="1:16" x14ac:dyDescent="0.35">
      <c r="B98" t="s">
        <v>178</v>
      </c>
      <c r="K98" s="30"/>
      <c r="M98"/>
      <c r="N98"/>
      <c r="P98">
        <f>SUBTOTAL(103,ProjTextQTable[text])</f>
        <v>96</v>
      </c>
    </row>
  </sheetData>
  <conditionalFormatting sqref="A2:P97">
    <cfRule type="expression" dxfId="67"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127000</xdr:rowOff>
                  </from>
                  <to>
                    <xdr:col>4</xdr:col>
                    <xdr:colOff>12700</xdr:colOff>
                    <xdr:row>0</xdr:row>
                    <xdr:rowOff>400050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1"/>
  <sheetViews>
    <sheetView zoomScale="80" zoomScaleNormal="80" workbookViewId="0">
      <selection activeCell="E6" sqref="E6"/>
    </sheetView>
  </sheetViews>
  <sheetFormatPr defaultColWidth="9.26953125" defaultRowHeight="14.5" x14ac:dyDescent="0.35"/>
  <cols>
    <col min="1" max="1" width="16.7265625" style="63" customWidth="1"/>
    <col min="2" max="2" width="16.54296875" style="63" customWidth="1"/>
    <col min="3" max="3" width="98.54296875" style="82" customWidth="1"/>
    <col min="4" max="4" width="23.453125" style="61" customWidth="1"/>
    <col min="5" max="5" width="12" style="61" customWidth="1"/>
    <col min="6" max="16384" width="9.26953125" style="61"/>
  </cols>
  <sheetData>
    <row r="1" spans="1:5" x14ac:dyDescent="0.35">
      <c r="A1" s="63" t="s">
        <v>222</v>
      </c>
    </row>
    <row r="2" spans="1:5" x14ac:dyDescent="0.35">
      <c r="A2" s="64" t="s">
        <v>223</v>
      </c>
      <c r="B2" s="65"/>
    </row>
    <row r="3" spans="1:5" x14ac:dyDescent="0.35">
      <c r="A3" s="64" t="s">
        <v>224</v>
      </c>
      <c r="B3" s="66"/>
    </row>
    <row r="4" spans="1:5" x14ac:dyDescent="0.35">
      <c r="A4" s="63" t="s">
        <v>225</v>
      </c>
      <c r="B4" s="65" t="s">
        <v>226</v>
      </c>
    </row>
    <row r="5" spans="1:5" x14ac:dyDescent="0.35">
      <c r="A5" s="63" t="s">
        <v>227</v>
      </c>
      <c r="B5" s="65" t="s">
        <v>228</v>
      </c>
    </row>
    <row r="6" spans="1:5" x14ac:dyDescent="0.35">
      <c r="A6" s="63" t="s">
        <v>401</v>
      </c>
      <c r="B6" s="6" t="s">
        <v>402</v>
      </c>
      <c r="D6" s="61" t="s">
        <v>378</v>
      </c>
      <c r="E6" s="61">
        <v>2</v>
      </c>
    </row>
    <row r="7" spans="1:5" ht="15.5" x14ac:dyDescent="0.35">
      <c r="B7"/>
      <c r="D7" s="114" t="s">
        <v>403</v>
      </c>
      <c r="E7" s="112" t="s">
        <v>381</v>
      </c>
    </row>
    <row r="8" spans="1:5" ht="15.5" x14ac:dyDescent="0.35">
      <c r="A8" s="67" t="s">
        <v>209</v>
      </c>
      <c r="B8" s="68" t="s">
        <v>210</v>
      </c>
      <c r="D8" s="114" t="s">
        <v>383</v>
      </c>
      <c r="E8" s="113" t="s">
        <v>379</v>
      </c>
    </row>
    <row r="9" spans="1:5" ht="15.5" x14ac:dyDescent="0.35">
      <c r="A9" s="69" t="s">
        <v>214</v>
      </c>
      <c r="B9" s="70"/>
      <c r="D9" s="114" t="s">
        <v>384</v>
      </c>
      <c r="E9" s="113" t="s">
        <v>380</v>
      </c>
    </row>
    <row r="10" spans="1:5" ht="15.5" x14ac:dyDescent="0.35">
      <c r="A10" s="69" t="s">
        <v>199</v>
      </c>
      <c r="B10" s="70"/>
      <c r="D10" s="114" t="s">
        <v>385</v>
      </c>
      <c r="E10" s="113" t="s">
        <v>382</v>
      </c>
    </row>
    <row r="11" spans="1:5" ht="15.5" x14ac:dyDescent="0.35">
      <c r="A11" s="69" t="s">
        <v>213</v>
      </c>
      <c r="B11" s="70"/>
      <c r="D11" s="114" t="s">
        <v>386</v>
      </c>
      <c r="E11" s="113" t="s">
        <v>377</v>
      </c>
    </row>
    <row r="12" spans="1:5" x14ac:dyDescent="0.35">
      <c r="A12" s="69" t="s">
        <v>212</v>
      </c>
      <c r="B12" s="70"/>
    </row>
    <row r="13" spans="1:5" x14ac:dyDescent="0.35">
      <c r="A13" s="69" t="s">
        <v>211</v>
      </c>
      <c r="B13" s="70"/>
    </row>
    <row r="14" spans="1:5" x14ac:dyDescent="0.35">
      <c r="A14" s="69" t="s">
        <v>215</v>
      </c>
      <c r="B14" s="70"/>
    </row>
    <row r="15" spans="1:5" x14ac:dyDescent="0.35">
      <c r="A15" s="69" t="s">
        <v>216</v>
      </c>
      <c r="B15" s="70"/>
      <c r="D15" s="87" t="s">
        <v>329</v>
      </c>
      <c r="E15" t="s">
        <v>365</v>
      </c>
    </row>
    <row r="16" spans="1:5" x14ac:dyDescent="0.35">
      <c r="A16" s="69" t="s">
        <v>203</v>
      </c>
      <c r="B16" s="70"/>
      <c r="D16" s="25" t="s">
        <v>417</v>
      </c>
      <c r="E16" s="21">
        <v>1</v>
      </c>
    </row>
    <row r="17" spans="1:5" x14ac:dyDescent="0.35">
      <c r="A17" s="69" t="s">
        <v>206</v>
      </c>
      <c r="B17" s="70"/>
      <c r="D17" s="25" t="s">
        <v>327</v>
      </c>
      <c r="E17" s="21">
        <v>1</v>
      </c>
    </row>
    <row r="18" spans="1:5" x14ac:dyDescent="0.35">
      <c r="A18" s="71" t="s">
        <v>208</v>
      </c>
      <c r="B18" s="72"/>
      <c r="D18"/>
      <c r="E18"/>
    </row>
    <row r="19" spans="1:5" x14ac:dyDescent="0.35">
      <c r="D19"/>
      <c r="E19"/>
    </row>
    <row r="20" spans="1:5" x14ac:dyDescent="0.35">
      <c r="D20"/>
      <c r="E20"/>
    </row>
    <row r="21" spans="1:5" x14ac:dyDescent="0.35">
      <c r="D21"/>
      <c r="E21"/>
    </row>
    <row r="22" spans="1:5" ht="22.75" customHeight="1" x14ac:dyDescent="0.35">
      <c r="A22" s="73" t="s">
        <v>168</v>
      </c>
      <c r="B22" s="74" t="s">
        <v>229</v>
      </c>
      <c r="C22" s="83" t="s">
        <v>230</v>
      </c>
    </row>
    <row r="23" spans="1:5" ht="35.65" customHeight="1" x14ac:dyDescent="0.35">
      <c r="A23" s="63" t="s">
        <v>231</v>
      </c>
      <c r="B23" s="75">
        <v>43088.782083333332</v>
      </c>
      <c r="C23" s="84" t="s">
        <v>282</v>
      </c>
    </row>
    <row r="24" spans="1:5" ht="35.65" customHeight="1" x14ac:dyDescent="0.35">
      <c r="A24" s="63" t="s">
        <v>232</v>
      </c>
      <c r="B24" s="75">
        <v>43088.782083333332</v>
      </c>
      <c r="C24" s="84" t="s">
        <v>311</v>
      </c>
    </row>
    <row r="25" spans="1:5" ht="35.65" customHeight="1" x14ac:dyDescent="0.35">
      <c r="A25" s="63" t="s">
        <v>233</v>
      </c>
      <c r="B25" s="75">
        <v>43088.782083333332</v>
      </c>
      <c r="C25" s="84" t="s">
        <v>312</v>
      </c>
    </row>
    <row r="26" spans="1:5" ht="35.65" customHeight="1" x14ac:dyDescent="0.35">
      <c r="A26" s="63" t="s">
        <v>234</v>
      </c>
      <c r="B26" s="75">
        <v>43088.782083333332</v>
      </c>
      <c r="C26" s="84" t="s">
        <v>313</v>
      </c>
    </row>
    <row r="27" spans="1:5" ht="35.65" customHeight="1" x14ac:dyDescent="0.35">
      <c r="A27" s="63" t="s">
        <v>235</v>
      </c>
      <c r="B27" s="75">
        <v>43088.782083333332</v>
      </c>
      <c r="C27" s="84" t="s">
        <v>314</v>
      </c>
    </row>
    <row r="28" spans="1:5" ht="35.65" customHeight="1" x14ac:dyDescent="0.35">
      <c r="A28" s="63" t="s">
        <v>236</v>
      </c>
      <c r="B28" s="75">
        <v>43088.782083333332</v>
      </c>
      <c r="C28" s="84" t="s">
        <v>452</v>
      </c>
    </row>
    <row r="29" spans="1:5" ht="35.65" customHeight="1" x14ac:dyDescent="0.35">
      <c r="A29" s="63" t="s">
        <v>237</v>
      </c>
      <c r="B29" s="75">
        <v>43088.782083333332</v>
      </c>
      <c r="C29" s="84" t="s">
        <v>453</v>
      </c>
    </row>
    <row r="30" spans="1:5" ht="35.65" customHeight="1" x14ac:dyDescent="0.35">
      <c r="A30" s="63" t="s">
        <v>238</v>
      </c>
      <c r="B30" s="75">
        <v>43088.782083333332</v>
      </c>
      <c r="C30" s="84" t="s">
        <v>283</v>
      </c>
    </row>
    <row r="31" spans="1:5" ht="35.65" customHeight="1" x14ac:dyDescent="0.35">
      <c r="A31" s="63" t="s">
        <v>239</v>
      </c>
      <c r="B31" s="75">
        <v>43088.782083333332</v>
      </c>
      <c r="C31" s="84" t="s">
        <v>317</v>
      </c>
    </row>
    <row r="32" spans="1:5" ht="35.65" customHeight="1" x14ac:dyDescent="0.35">
      <c r="A32" s="63" t="s">
        <v>240</v>
      </c>
      <c r="B32" s="75">
        <v>43088.782083333332</v>
      </c>
      <c r="C32" s="84" t="s">
        <v>316</v>
      </c>
    </row>
    <row r="33" spans="1:3" ht="35.65" customHeight="1" x14ac:dyDescent="0.35">
      <c r="A33" s="63" t="s">
        <v>279</v>
      </c>
      <c r="B33" s="75">
        <v>43088.782083333332</v>
      </c>
      <c r="C33" s="84" t="s">
        <v>399</v>
      </c>
    </row>
    <row r="34" spans="1:3" ht="35.65" customHeight="1" x14ac:dyDescent="0.35">
      <c r="A34" s="63" t="s">
        <v>281</v>
      </c>
      <c r="B34" s="75">
        <v>43088.782083333332</v>
      </c>
      <c r="C34" s="84" t="s">
        <v>366</v>
      </c>
    </row>
    <row r="35" spans="1:3" ht="36" customHeight="1" x14ac:dyDescent="0.35">
      <c r="A35" s="63" t="s">
        <v>280</v>
      </c>
      <c r="B35" s="75">
        <v>43088.782083333332</v>
      </c>
      <c r="C35" s="84" t="s">
        <v>324</v>
      </c>
    </row>
    <row r="36" spans="1:3" ht="36" customHeight="1" x14ac:dyDescent="0.35">
      <c r="A36" s="63" t="s">
        <v>315</v>
      </c>
      <c r="B36" s="75">
        <v>43088.782083333332</v>
      </c>
      <c r="C36" s="84" t="s">
        <v>375</v>
      </c>
    </row>
    <row r="37" spans="1:3" ht="35.65" customHeight="1" x14ac:dyDescent="0.35">
      <c r="A37" s="63" t="s">
        <v>284</v>
      </c>
      <c r="B37" s="75">
        <v>43088.782083333332</v>
      </c>
      <c r="C37" s="84" t="s">
        <v>388</v>
      </c>
    </row>
    <row r="38" spans="1:3" ht="35.65" customHeight="1" x14ac:dyDescent="0.35">
      <c r="A38" s="63" t="s">
        <v>374</v>
      </c>
      <c r="B38" s="75">
        <v>43088.782083333332</v>
      </c>
      <c r="C38" s="84" t="s">
        <v>447</v>
      </c>
    </row>
    <row r="39" spans="1:3" ht="35.65" customHeight="1" x14ac:dyDescent="0.35">
      <c r="A39" s="63" t="s">
        <v>448</v>
      </c>
      <c r="B39" s="75">
        <v>43088.782083333332</v>
      </c>
      <c r="C39" s="84" t="s">
        <v>449</v>
      </c>
    </row>
    <row r="40" spans="1:3" ht="35.65" customHeight="1" x14ac:dyDescent="0.35">
      <c r="A40" s="63" t="s">
        <v>450</v>
      </c>
      <c r="B40" s="75">
        <v>43088.782083333332</v>
      </c>
      <c r="C40" s="84" t="s">
        <v>451</v>
      </c>
    </row>
    <row r="41" spans="1:3" ht="35.65" customHeight="1" x14ac:dyDescent="0.35">
      <c r="A41" s="63" t="s">
        <v>454</v>
      </c>
      <c r="B41" s="75">
        <v>43088.782083333332</v>
      </c>
      <c r="C41" s="84" t="s">
        <v>455</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602AF29-2074-4C67-B827-8D84F341BCB4}">
  <ds:schemaRefs>
    <ds:schemaRef ds:uri="http://schemas.microsoft.com/sharepoint/v3/contenttype/forms"/>
  </ds:schemaRefs>
</ds:datastoreItem>
</file>

<file path=customXml/itemProps2.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2ADB11A6-7F28-4369-9B55-3636E52D10E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53</vt:i4>
      </vt:variant>
    </vt:vector>
  </HeadingPairs>
  <TitlesOfParts>
    <vt:vector size="64" baseType="lpstr">
      <vt:lpstr>RoboRA</vt:lpstr>
      <vt:lpstr>ckCoding</vt:lpstr>
      <vt:lpstr>ckAwd</vt:lpstr>
      <vt:lpstr>Budgets</vt:lpstr>
      <vt:lpstr>RAData</vt:lpstr>
      <vt:lpstr>Advanced</vt:lpstr>
      <vt:lpstr>Conflict</vt:lpstr>
      <vt:lpstr>PRCs</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HiddenSettings!RA_budgBlocks</vt:lpstr>
      <vt:lpstr>HiddenSettings!RA_ckConfRevrInst</vt:lpstr>
      <vt:lpstr>HiddenSettings!RA_confl</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2017-12-22T13:50:06Z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