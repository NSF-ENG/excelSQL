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tables/table7.xml" ContentType="application/vnd.openxmlformats-officedocument.spreadsheetml.table+xml"/>
  <Override PartName="/xl/queryTables/queryTable4.xml" ContentType="application/vnd.openxmlformats-officedocument.spreadsheetml.queryTable+xml"/>
  <Override PartName="/xl/comments4.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queryTables/queryTable6.xml" ContentType="application/vnd.openxmlformats-officedocument.spreadsheetml.queryTable+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6523" windowHeight="7003" firstSheet="2" activeTab="2"/>
  </bookViews>
  <sheets>
    <sheet name="RoboRA" sheetId="7" r:id="rId1"/>
    <sheet name="ckCoding" sheetId="3" r:id="rId2"/>
    <sheet name="Budgets" sheetId="13" r:id="rId3"/>
    <sheet name="ckAwd" sheetId="10" r:id="rId4"/>
    <sheet name="ckSplits" sheetId="12" r:id="rId5"/>
    <sheet name="ProjText" sheetId="6" r:id="rId6"/>
    <sheet name="PRCs" sheetId="11" r:id="rId7"/>
    <sheet name="Advanced" sheetId="1" r:id="rId8"/>
    <sheet name="RAData" sheetId="2" r:id="rId9"/>
    <sheet name="HiddenSettings" sheetId="9" r:id="rId10"/>
  </sheets>
  <functionGroups builtInGroupCount="18"/>
  <externalReferences>
    <externalReference r:id="rId11"/>
  </externalReferences>
  <definedNames>
    <definedName name="AwdTemplate">RoboRA!$A$11</definedName>
    <definedName name="DeclTemplate">RoboRA!$D$11</definedName>
    <definedName name="delaytime">RoboRA!$K$8</definedName>
    <definedName name="dir_div_abbr">Advanced!$D$17</definedName>
    <definedName name="dirRAoutput">Advanced!$K$8</definedName>
    <definedName name="dirRAtemplate">Advanced!$K$7</definedName>
    <definedName name="fiscalyear" localSheetId="2">Budgets!$J$2</definedName>
    <definedName name="from_date">Advanced!$E$12</definedName>
    <definedName name="Mac_connect_string" localSheetId="9">HiddenSettings!$B$5</definedName>
    <definedName name="natr_rqst_abbr">Advanced!$D$20</definedName>
    <definedName name="obj_clas_code">Advanced!$D$21</definedName>
    <definedName name="org_code">Advanced!$D$16</definedName>
    <definedName name="overwrite_option">RoboRA!$I$2</definedName>
    <definedName name="panl_id">Advanced!$D$13</definedName>
    <definedName name="PC_connect_string" localSheetId="9">HiddenSettings!$B$4</definedName>
    <definedName name="pgm_annc_id">Advanced!$D$15</definedName>
    <definedName name="pgm_ele_code">Advanced!$D$18</definedName>
    <definedName name="pm_ibm_logn_id" localSheetId="2">[1]Advanced!$D$14</definedName>
    <definedName name="pm_ibm_logn_id">Advanced!$D$14</definedName>
    <definedName name="prop_atr_code">Advanced!$D$23</definedName>
    <definedName name="prop_stts_abbr">Advanced!$D$19</definedName>
    <definedName name="prop_titl_txt">Advanced!$D$22</definedName>
    <definedName name="Query_from_RPTSERVER" localSheetId="2" hidden="1">Budgets!$A$3:$Z$99</definedName>
    <definedName name="Query_from_RPTSERVER" localSheetId="3" hidden="1">ckAwd!$A$1:$AW$17</definedName>
    <definedName name="Query_from_RPTSERVER" localSheetId="1" hidden="1">ckCoding!$A$1:$BJ$32</definedName>
    <definedName name="Query_from_RPTSERVER" localSheetId="4" hidden="1">ckSplits!$A$1:$AW$17</definedName>
    <definedName name="Query_from_RPTSERVER" localSheetId="6" hidden="1">PRCs!$A$2:$B$9</definedName>
    <definedName name="Query_from_RPTSERVER" localSheetId="5" hidden="1">ProjText!$B$1:$P$177</definedName>
    <definedName name="Query_from_RPTSERVER" localSheetId="8" hidden="1">RAData!$A$1:$EA$33</definedName>
    <definedName name="query_params" localSheetId="7">Advanced!$D$12:$E$23</definedName>
    <definedName name="query_params" localSheetId="9">HiddenSettings!$A$7:$B$18</definedName>
    <definedName name="RA_allRAdata" localSheetId="9">HiddenSettings!$C$31</definedName>
    <definedName name="RA_awdCheck" localSheetId="9">HiddenSettings!$C$33</definedName>
    <definedName name="RA_budgBlocks" localSheetId="9">HiddenSettings!$C$37</definedName>
    <definedName name="RA_leads" localSheetId="9">HiddenSettings!$C$26</definedName>
    <definedName name="RA_panl" localSheetId="9">HiddenSettings!$C$30</definedName>
    <definedName name="RA_pidSelect" localSheetId="9">HiddenSettings!$C$38</definedName>
    <definedName name="RA_PRCglossary" localSheetId="9">HiddenSettings!$C$32</definedName>
    <definedName name="RA_projText" localSheetId="9">HiddenSettings!$C$35</definedName>
    <definedName name="RA_prop" localSheetId="9">HiddenSettings!$C$28</definedName>
    <definedName name="RA_propCheck" localSheetId="9">HiddenSettings!$C$34</definedName>
    <definedName name="RA_propPRCs" localSheetId="9">HiddenSettings!$C$27</definedName>
    <definedName name="RA_revs" localSheetId="9">HiddenSettings!$C$29</definedName>
    <definedName name="RA_splits" localSheetId="9">HiddenSettings!$C$36</definedName>
    <definedName name="revtable" localSheetId="9">HiddenSettings!$C$25</definedName>
    <definedName name="rpt_pwd" comment="reportserver password" localSheetId="9">HiddenSettings!$B$3</definedName>
    <definedName name="signer1">RoboRA!$L$10</definedName>
    <definedName name="signer2">RoboRA!$L$11</definedName>
    <definedName name="StdDeclTemplate">RoboRA!$G$11</definedName>
    <definedName name="to_date">Advanced!$D$12</definedName>
    <definedName name="user_id" comment="reportserver user_id" localSheetId="9">HiddenSettings!$B$2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2" i="2" l="1"/>
  <c r="P19" i="2"/>
  <c r="P20" i="2"/>
  <c r="P7" i="2"/>
  <c r="P3" i="2"/>
  <c r="P15" i="2"/>
  <c r="P12" i="2"/>
  <c r="P11" i="2"/>
  <c r="P21" i="2"/>
  <c r="P22" i="2"/>
  <c r="P33" i="2"/>
  <c r="P23" i="2"/>
  <c r="P10" i="2"/>
  <c r="P8" i="2"/>
  <c r="P24" i="2"/>
  <c r="P4" i="2"/>
  <c r="P25" i="2"/>
  <c r="P13" i="2"/>
  <c r="P26" i="2"/>
  <c r="P17" i="2"/>
  <c r="P16" i="2"/>
  <c r="P14" i="2"/>
  <c r="P27" i="2"/>
  <c r="P28" i="2"/>
  <c r="P18" i="2"/>
  <c r="P5" i="2"/>
  <c r="P6" i="2"/>
  <c r="P29" i="2"/>
  <c r="P30" i="2"/>
  <c r="P31" i="2"/>
  <c r="P9" i="2"/>
  <c r="P2" i="2"/>
  <c r="X32" i="2"/>
  <c r="X19" i="2"/>
  <c r="X20" i="2"/>
  <c r="X7" i="2"/>
  <c r="X3" i="2"/>
  <c r="X15" i="2"/>
  <c r="X12" i="2"/>
  <c r="X11" i="2"/>
  <c r="X21" i="2"/>
  <c r="X22" i="2"/>
  <c r="X33" i="2"/>
  <c r="X23" i="2"/>
  <c r="X10" i="2"/>
  <c r="X8" i="2"/>
  <c r="X24" i="2"/>
  <c r="X4" i="2"/>
  <c r="X25" i="2"/>
  <c r="X13" i="2"/>
  <c r="X26" i="2"/>
  <c r="X17" i="2"/>
  <c r="X16" i="2"/>
  <c r="X14" i="2"/>
  <c r="X27" i="2"/>
  <c r="X28" i="2"/>
  <c r="X18" i="2"/>
  <c r="X5" i="2"/>
  <c r="X6" i="2"/>
  <c r="X29" i="2"/>
  <c r="X30" i="2"/>
  <c r="X31" i="2"/>
  <c r="X9" i="2"/>
  <c r="X2" i="2"/>
  <c r="Y32" i="2"/>
  <c r="Y19" i="2"/>
  <c r="Y20" i="2"/>
  <c r="Y7" i="2"/>
  <c r="Y3" i="2"/>
  <c r="Y15" i="2"/>
  <c r="Y12" i="2"/>
  <c r="Y11" i="2"/>
  <c r="Y21" i="2"/>
  <c r="Y22" i="2"/>
  <c r="Y33" i="2"/>
  <c r="Y23" i="2"/>
  <c r="Y10" i="2"/>
  <c r="Y8" i="2"/>
  <c r="Y24" i="2"/>
  <c r="Y4" i="2"/>
  <c r="Y25" i="2"/>
  <c r="Y13" i="2"/>
  <c r="Y26" i="2"/>
  <c r="Y17" i="2"/>
  <c r="Y16" i="2"/>
  <c r="Y14" i="2"/>
  <c r="Y27" i="2"/>
  <c r="Y28" i="2"/>
  <c r="Y18" i="2"/>
  <c r="Y5" i="2"/>
  <c r="Y6" i="2"/>
  <c r="Y29" i="2"/>
  <c r="Y30" i="2"/>
  <c r="Y31" i="2"/>
  <c r="Y9" i="2"/>
  <c r="Y2" i="2"/>
  <c r="Z32" i="2"/>
  <c r="Z19" i="2"/>
  <c r="Z20" i="2"/>
  <c r="Z7" i="2"/>
  <c r="Z3" i="2"/>
  <c r="Z15" i="2"/>
  <c r="Z12" i="2"/>
  <c r="Z11" i="2"/>
  <c r="Z21" i="2"/>
  <c r="Z22" i="2"/>
  <c r="Z33" i="2"/>
  <c r="Z23" i="2"/>
  <c r="Z10" i="2"/>
  <c r="Z8" i="2"/>
  <c r="Z24" i="2"/>
  <c r="Z4" i="2"/>
  <c r="Z25" i="2"/>
  <c r="Z13" i="2"/>
  <c r="Z26" i="2"/>
  <c r="Z17" i="2"/>
  <c r="Z16" i="2"/>
  <c r="Z14" i="2"/>
  <c r="Z27" i="2"/>
  <c r="Z28" i="2"/>
  <c r="Z18" i="2"/>
  <c r="Z5" i="2"/>
  <c r="Z6" i="2"/>
  <c r="Z29" i="2"/>
  <c r="Z30" i="2"/>
  <c r="Z31" i="2"/>
  <c r="Z9" i="2"/>
  <c r="Z2" i="2"/>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J2" i="3"/>
  <c r="I2" i="3" s="1"/>
  <c r="J3" i="3"/>
  <c r="I3" i="3" s="1"/>
  <c r="J4" i="3"/>
  <c r="I4" i="3" s="1"/>
  <c r="J5" i="3"/>
  <c r="I5" i="3" s="1"/>
  <c r="J6" i="3"/>
  <c r="I6" i="3" s="1"/>
  <c r="J7" i="3"/>
  <c r="I7" i="3" s="1"/>
  <c r="J8" i="3"/>
  <c r="I8" i="3" s="1"/>
  <c r="J9" i="3"/>
  <c r="I9" i="3" s="1"/>
  <c r="J10" i="3"/>
  <c r="I10" i="3" s="1"/>
  <c r="J11" i="3"/>
  <c r="I11" i="3" s="1"/>
  <c r="J12" i="3"/>
  <c r="I12" i="3" s="1"/>
  <c r="J13" i="3"/>
  <c r="I13" i="3" s="1"/>
  <c r="J14" i="3"/>
  <c r="I14" i="3" s="1"/>
  <c r="J15" i="3"/>
  <c r="I15" i="3" s="1"/>
  <c r="J16" i="3"/>
  <c r="I16" i="3" s="1"/>
  <c r="J17" i="3"/>
  <c r="I17" i="3" s="1"/>
  <c r="J18" i="3"/>
  <c r="I18" i="3" s="1"/>
  <c r="J19" i="3"/>
  <c r="I19" i="3" s="1"/>
  <c r="J20" i="3"/>
  <c r="I20" i="3" s="1"/>
  <c r="J21" i="3"/>
  <c r="I21" i="3" s="1"/>
  <c r="J22" i="3"/>
  <c r="I22" i="3" s="1"/>
  <c r="J23" i="3"/>
  <c r="I23" i="3" s="1"/>
  <c r="J24" i="3"/>
  <c r="I24" i="3" s="1"/>
  <c r="J25" i="3"/>
  <c r="I25" i="3" s="1"/>
  <c r="J26" i="3"/>
  <c r="I26" i="3" s="1"/>
  <c r="J27" i="3"/>
  <c r="I27" i="3" s="1"/>
  <c r="J28" i="3"/>
  <c r="I28" i="3" s="1"/>
  <c r="J29" i="3"/>
  <c r="I29" i="3" s="1"/>
  <c r="J30" i="3"/>
  <c r="I30" i="3" s="1"/>
  <c r="J31" i="3"/>
  <c r="I31" i="3" s="1"/>
  <c r="J32" i="3"/>
  <c r="I32" i="3" s="1"/>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P2" i="3"/>
  <c r="P3" i="3" s="1"/>
  <c r="P4" i="3" s="1"/>
  <c r="P5" i="3" s="1"/>
  <c r="P6" i="3" s="1"/>
  <c r="P7" i="3" s="1"/>
  <c r="P8" i="3" s="1"/>
  <c r="P9" i="3" s="1"/>
  <c r="P10" i="3" s="1"/>
  <c r="P11" i="3" s="1"/>
  <c r="P12" i="3" s="1"/>
  <c r="P13" i="3" s="1"/>
  <c r="P14" i="3" s="1"/>
  <c r="P15" i="3" s="1"/>
  <c r="P16" i="3" s="1"/>
  <c r="P17" i="3" s="1"/>
  <c r="P18" i="3" s="1"/>
  <c r="P19" i="3" s="1"/>
  <c r="P20" i="3" s="1"/>
  <c r="P21" i="3" s="1"/>
  <c r="P22" i="3" s="1"/>
  <c r="P23" i="3" s="1"/>
  <c r="P24" i="3" s="1"/>
  <c r="P25" i="3" s="1"/>
  <c r="P26" i="3" s="1"/>
  <c r="P27" i="3" s="1"/>
  <c r="P28" i="3" s="1"/>
  <c r="P29" i="3" s="1"/>
  <c r="P30" i="3" s="1"/>
  <c r="P31" i="3" s="1"/>
  <c r="P32" i="3" s="1"/>
  <c r="S2"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P178" i="6"/>
  <c r="A2" i="6"/>
  <c r="A3" i="6" s="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J99" i="13"/>
  <c r="I99" i="13"/>
  <c r="J98" i="13"/>
  <c r="I98" i="13"/>
  <c r="J97" i="13"/>
  <c r="I97" i="13"/>
  <c r="J96" i="13"/>
  <c r="I96" i="13"/>
  <c r="J95" i="13"/>
  <c r="I95" i="13"/>
  <c r="J94" i="13"/>
  <c r="I94" i="13"/>
  <c r="J93" i="13"/>
  <c r="I93" i="13"/>
  <c r="J92" i="13"/>
  <c r="I92" i="13"/>
  <c r="J91" i="13"/>
  <c r="I91" i="13"/>
  <c r="J90" i="13"/>
  <c r="I90" i="13"/>
  <c r="J89" i="13"/>
  <c r="I89" i="13"/>
  <c r="J88" i="13"/>
  <c r="I88" i="13"/>
  <c r="J87" i="13"/>
  <c r="I87" i="13"/>
  <c r="J86" i="13"/>
  <c r="I86" i="13"/>
  <c r="J85" i="13"/>
  <c r="I85" i="13"/>
  <c r="J84" i="13"/>
  <c r="I84" i="13"/>
  <c r="J83" i="13"/>
  <c r="I83" i="13"/>
  <c r="J82" i="13"/>
  <c r="I82" i="13"/>
  <c r="J81" i="13"/>
  <c r="I81" i="13"/>
  <c r="J80" i="13"/>
  <c r="I80" i="13"/>
  <c r="J79" i="13"/>
  <c r="I79" i="13"/>
  <c r="J78" i="13"/>
  <c r="I78" i="13"/>
  <c r="J77" i="13"/>
  <c r="I77" i="13"/>
  <c r="J76" i="13"/>
  <c r="I76" i="13"/>
  <c r="J75" i="13"/>
  <c r="I75" i="13"/>
  <c r="J74" i="13"/>
  <c r="I74" i="13"/>
  <c r="J73" i="13"/>
  <c r="I73" i="13"/>
  <c r="J72" i="13"/>
  <c r="I72" i="13"/>
  <c r="J71" i="13"/>
  <c r="I71" i="13"/>
  <c r="J70" i="13"/>
  <c r="I70" i="13"/>
  <c r="J69" i="13"/>
  <c r="I69" i="13"/>
  <c r="J68" i="13"/>
  <c r="I68" i="13"/>
  <c r="J67" i="13"/>
  <c r="I67" i="13"/>
  <c r="J66" i="13"/>
  <c r="I66" i="13"/>
  <c r="J65" i="13"/>
  <c r="I65" i="13"/>
  <c r="J64" i="13"/>
  <c r="I64" i="13"/>
  <c r="J63" i="13"/>
  <c r="I63" i="13"/>
  <c r="J62" i="13"/>
  <c r="I62" i="13"/>
  <c r="J61" i="13"/>
  <c r="I61" i="13"/>
  <c r="J60" i="13"/>
  <c r="I60" i="13"/>
  <c r="J59" i="13"/>
  <c r="I59" i="13"/>
  <c r="J58" i="13"/>
  <c r="I58" i="13"/>
  <c r="J57" i="13"/>
  <c r="I57" i="13"/>
  <c r="J56" i="13"/>
  <c r="I56" i="13"/>
  <c r="J55" i="13"/>
  <c r="I55" i="13"/>
  <c r="J54" i="13"/>
  <c r="I54" i="13"/>
  <c r="J53" i="13"/>
  <c r="I53" i="13"/>
  <c r="J52" i="13"/>
  <c r="I52" i="13"/>
  <c r="J51" i="13"/>
  <c r="I51" i="13"/>
  <c r="J50" i="13"/>
  <c r="I50" i="13"/>
  <c r="J49" i="13"/>
  <c r="I49" i="13"/>
  <c r="J48" i="13"/>
  <c r="I48" i="13"/>
  <c r="J47" i="13"/>
  <c r="I47" i="13"/>
  <c r="J46" i="13"/>
  <c r="I46" i="13"/>
  <c r="J45" i="13"/>
  <c r="I45" i="13"/>
  <c r="J44" i="13"/>
  <c r="I44" i="13"/>
  <c r="J43" i="13"/>
  <c r="I43" i="13"/>
  <c r="J42" i="13"/>
  <c r="I42" i="13"/>
  <c r="J41" i="13"/>
  <c r="I41" i="13"/>
  <c r="J40" i="13"/>
  <c r="I40" i="13"/>
  <c r="J39" i="13"/>
  <c r="I39" i="13"/>
  <c r="J38" i="13"/>
  <c r="I38" i="13"/>
  <c r="J37" i="13"/>
  <c r="I37" i="13"/>
  <c r="J36" i="13"/>
  <c r="I36" i="13"/>
  <c r="J35" i="13"/>
  <c r="I35" i="13"/>
  <c r="J34" i="13"/>
  <c r="I34" i="13"/>
  <c r="J33" i="13"/>
  <c r="I33" i="13"/>
  <c r="J32" i="13"/>
  <c r="I32" i="13"/>
  <c r="J31" i="13"/>
  <c r="I31" i="13"/>
  <c r="J30" i="13"/>
  <c r="I30" i="13"/>
  <c r="J29" i="13"/>
  <c r="I29" i="13"/>
  <c r="J28" i="13"/>
  <c r="I28" i="13"/>
  <c r="J27" i="13"/>
  <c r="I27" i="13"/>
  <c r="J26" i="13"/>
  <c r="I26" i="13"/>
  <c r="J25" i="13"/>
  <c r="I25" i="13"/>
  <c r="J24" i="13"/>
  <c r="I24" i="13"/>
  <c r="J23" i="13"/>
  <c r="I23" i="13"/>
  <c r="J22" i="13"/>
  <c r="I22" i="13"/>
  <c r="J21" i="13"/>
  <c r="I21" i="13"/>
  <c r="J20" i="13"/>
  <c r="I20" i="13"/>
  <c r="J19" i="13"/>
  <c r="I19" i="13"/>
  <c r="J18" i="13"/>
  <c r="I18" i="13"/>
  <c r="J17" i="13"/>
  <c r="I17" i="13"/>
  <c r="J16" i="13"/>
  <c r="I16" i="13"/>
  <c r="J15" i="13"/>
  <c r="I15" i="13"/>
  <c r="J14" i="13"/>
  <c r="I14" i="13"/>
  <c r="J13" i="13"/>
  <c r="I13" i="13"/>
  <c r="J12" i="13"/>
  <c r="I12" i="13"/>
  <c r="J11" i="13"/>
  <c r="I11" i="13"/>
  <c r="J10" i="13"/>
  <c r="I10" i="13"/>
  <c r="J9" i="13"/>
  <c r="I9" i="13"/>
  <c r="J8" i="13"/>
  <c r="I8" i="13"/>
  <c r="J7" i="13"/>
  <c r="I7" i="13"/>
  <c r="J6" i="13"/>
  <c r="I6" i="13"/>
  <c r="J5" i="13"/>
  <c r="I5" i="13"/>
  <c r="J4" i="13"/>
  <c r="I4" i="13"/>
  <c r="J2" i="13"/>
  <c r="V99" i="13" s="1"/>
  <c r="H2" i="13"/>
  <c r="V4" i="13" l="1"/>
  <c r="V7" i="13"/>
  <c r="V11" i="13"/>
  <c r="V6" i="13"/>
  <c r="V10" i="13"/>
  <c r="V14" i="13"/>
  <c r="V18" i="13"/>
  <c r="V22" i="13"/>
  <c r="V26" i="13"/>
  <c r="V30" i="13"/>
  <c r="V34" i="13"/>
  <c r="V38" i="13"/>
  <c r="V42" i="13"/>
  <c r="V46" i="13"/>
  <c r="V50" i="13"/>
  <c r="V54" i="13"/>
  <c r="V58" i="13"/>
  <c r="V62" i="13"/>
  <c r="V66" i="13"/>
  <c r="V70" i="13"/>
  <c r="V74" i="13"/>
  <c r="V78" i="13"/>
  <c r="V82" i="13"/>
  <c r="V86" i="13"/>
  <c r="V90" i="13"/>
  <c r="V94" i="13"/>
  <c r="V98" i="13"/>
  <c r="V5" i="13"/>
  <c r="V9" i="13"/>
  <c r="V13" i="13"/>
  <c r="V17" i="13"/>
  <c r="V21" i="13"/>
  <c r="V25" i="13"/>
  <c r="V29" i="13"/>
  <c r="V33" i="13"/>
  <c r="V37" i="13"/>
  <c r="V41" i="13"/>
  <c r="V45" i="13"/>
  <c r="V49" i="13"/>
  <c r="V53" i="13"/>
  <c r="V57" i="13"/>
  <c r="V61" i="13"/>
  <c r="V65" i="13"/>
  <c r="V69" i="13"/>
  <c r="V73" i="13"/>
  <c r="V77" i="13"/>
  <c r="V81" i="13"/>
  <c r="V85" i="13"/>
  <c r="V89" i="13"/>
  <c r="V93" i="13"/>
  <c r="V97" i="13"/>
  <c r="V12" i="13"/>
  <c r="V16" i="13"/>
  <c r="V20" i="13"/>
  <c r="V24" i="13"/>
  <c r="V28" i="13"/>
  <c r="V32" i="13"/>
  <c r="V36" i="13"/>
  <c r="V40" i="13"/>
  <c r="V44" i="13"/>
  <c r="V48" i="13"/>
  <c r="V52" i="13"/>
  <c r="V56" i="13"/>
  <c r="V60" i="13"/>
  <c r="V64" i="13"/>
  <c r="V68" i="13"/>
  <c r="V72" i="13"/>
  <c r="V76" i="13"/>
  <c r="V80" i="13"/>
  <c r="V84" i="13"/>
  <c r="V88" i="13"/>
  <c r="V92" i="13"/>
  <c r="V96" i="13"/>
  <c r="V8" i="13"/>
  <c r="V15" i="13"/>
  <c r="V19" i="13"/>
  <c r="V23" i="13"/>
  <c r="V27" i="13"/>
  <c r="V31" i="13"/>
  <c r="V35" i="13"/>
  <c r="V39" i="13"/>
  <c r="V43" i="13"/>
  <c r="V47" i="13"/>
  <c r="V51" i="13"/>
  <c r="V55" i="13"/>
  <c r="V59" i="13"/>
  <c r="V63" i="13"/>
  <c r="V67" i="13"/>
  <c r="V71" i="13"/>
  <c r="V75" i="13"/>
  <c r="V79" i="13"/>
  <c r="V83" i="13"/>
  <c r="V87" i="13"/>
  <c r="V91" i="13"/>
  <c r="V95" i="13"/>
  <c r="V17" i="12" l="1"/>
  <c r="R17" i="12"/>
  <c r="M17" i="12"/>
  <c r="L17" i="12" s="1"/>
  <c r="K17" i="12"/>
  <c r="V16" i="12"/>
  <c r="R16" i="12"/>
  <c r="M16" i="12"/>
  <c r="L16" i="12" s="1"/>
  <c r="K16" i="12"/>
  <c r="V15" i="12"/>
  <c r="R15" i="12"/>
  <c r="M15" i="12"/>
  <c r="L15" i="12" s="1"/>
  <c r="K15" i="12"/>
  <c r="V14" i="12"/>
  <c r="R14" i="12"/>
  <c r="M14" i="12"/>
  <c r="L14" i="12" s="1"/>
  <c r="K14" i="12"/>
  <c r="V13" i="12"/>
  <c r="R13" i="12"/>
  <c r="M13" i="12"/>
  <c r="L13" i="12" s="1"/>
  <c r="K13" i="12"/>
  <c r="V12" i="12"/>
  <c r="R12" i="12"/>
  <c r="M12" i="12"/>
  <c r="L12" i="12" s="1"/>
  <c r="K12" i="12"/>
  <c r="V11" i="12"/>
  <c r="R11" i="12"/>
  <c r="M11" i="12"/>
  <c r="L11" i="12" s="1"/>
  <c r="K11" i="12"/>
  <c r="V10" i="12"/>
  <c r="R10" i="12"/>
  <c r="M10" i="12"/>
  <c r="L10" i="12" s="1"/>
  <c r="K10" i="12"/>
  <c r="V9" i="12"/>
  <c r="R9" i="12"/>
  <c r="M9" i="12"/>
  <c r="L9" i="12" s="1"/>
  <c r="K9" i="12"/>
  <c r="V8" i="12"/>
  <c r="R8" i="12"/>
  <c r="M8" i="12"/>
  <c r="L8" i="12" s="1"/>
  <c r="K8" i="12"/>
  <c r="V7" i="12"/>
  <c r="R7" i="12"/>
  <c r="M7" i="12"/>
  <c r="L7" i="12" s="1"/>
  <c r="K7" i="12"/>
  <c r="V6" i="12"/>
  <c r="R6" i="12"/>
  <c r="M6" i="12"/>
  <c r="L6" i="12" s="1"/>
  <c r="K6" i="12"/>
  <c r="V5" i="12"/>
  <c r="R5" i="12"/>
  <c r="M5" i="12"/>
  <c r="L5" i="12" s="1"/>
  <c r="K5" i="12"/>
  <c r="V4" i="12"/>
  <c r="R4" i="12"/>
  <c r="M4" i="12"/>
  <c r="L4" i="12" s="1"/>
  <c r="K4" i="12"/>
  <c r="V3" i="12"/>
  <c r="R3" i="12"/>
  <c r="M3" i="12"/>
  <c r="L3" i="12" s="1"/>
  <c r="K3" i="12"/>
  <c r="V2" i="12"/>
  <c r="S2" i="12"/>
  <c r="S3" i="12" s="1"/>
  <c r="S4" i="12" s="1"/>
  <c r="S5" i="12" s="1"/>
  <c r="S6" i="12" s="1"/>
  <c r="S7" i="12" s="1"/>
  <c r="S8" i="12" s="1"/>
  <c r="S9" i="12" s="1"/>
  <c r="S10" i="12" s="1"/>
  <c r="S11" i="12" s="1"/>
  <c r="S12" i="12" s="1"/>
  <c r="S13" i="12" s="1"/>
  <c r="S14" i="12" s="1"/>
  <c r="S15" i="12" s="1"/>
  <c r="S16" i="12" s="1"/>
  <c r="S17" i="12" s="1"/>
  <c r="R2" i="12"/>
  <c r="M2" i="12"/>
  <c r="L2" i="12" s="1"/>
  <c r="K2" i="12"/>
  <c r="V17" i="10" l="1"/>
  <c r="R17" i="10"/>
  <c r="M17" i="10"/>
  <c r="L17" i="10" s="1"/>
  <c r="K17" i="10"/>
  <c r="V16" i="10"/>
  <c r="R16" i="10"/>
  <c r="M16" i="10"/>
  <c r="L16" i="10" s="1"/>
  <c r="K16" i="10"/>
  <c r="V15" i="10"/>
  <c r="R15" i="10"/>
  <c r="M15" i="10"/>
  <c r="L15" i="10"/>
  <c r="K15" i="10"/>
  <c r="V14" i="10"/>
  <c r="R14" i="10"/>
  <c r="M14" i="10"/>
  <c r="L14" i="10" s="1"/>
  <c r="K14" i="10"/>
  <c r="V13" i="10"/>
  <c r="R13" i="10"/>
  <c r="M13" i="10"/>
  <c r="L13" i="10" s="1"/>
  <c r="K13" i="10"/>
  <c r="V12" i="10"/>
  <c r="R12" i="10"/>
  <c r="M12" i="10"/>
  <c r="L12" i="10" s="1"/>
  <c r="K12" i="10"/>
  <c r="V11" i="10"/>
  <c r="R11" i="10"/>
  <c r="M11" i="10"/>
  <c r="L11" i="10" s="1"/>
  <c r="K11" i="10"/>
  <c r="V10" i="10"/>
  <c r="R10" i="10"/>
  <c r="M10" i="10"/>
  <c r="L10" i="10" s="1"/>
  <c r="K10" i="10"/>
  <c r="V9" i="10"/>
  <c r="R9" i="10"/>
  <c r="M9" i="10"/>
  <c r="L9" i="10" s="1"/>
  <c r="K9" i="10"/>
  <c r="V8" i="10"/>
  <c r="R8" i="10"/>
  <c r="M8" i="10"/>
  <c r="L8" i="10" s="1"/>
  <c r="K8" i="10"/>
  <c r="V7" i="10"/>
  <c r="R7" i="10"/>
  <c r="M7" i="10"/>
  <c r="L7" i="10" s="1"/>
  <c r="K7" i="10"/>
  <c r="V6" i="10"/>
  <c r="R6" i="10"/>
  <c r="M6" i="10"/>
  <c r="L6" i="10" s="1"/>
  <c r="K6" i="10"/>
  <c r="V5" i="10"/>
  <c r="R5" i="10"/>
  <c r="M5" i="10"/>
  <c r="L5" i="10" s="1"/>
  <c r="K5" i="10"/>
  <c r="V4" i="10"/>
  <c r="R4" i="10"/>
  <c r="M4" i="10"/>
  <c r="L4" i="10" s="1"/>
  <c r="K4" i="10"/>
  <c r="V3" i="10"/>
  <c r="R3" i="10"/>
  <c r="M3" i="10"/>
  <c r="L3" i="10"/>
  <c r="K3" i="10"/>
  <c r="V2" i="10"/>
  <c r="S2" i="10"/>
  <c r="S3" i="10" s="1"/>
  <c r="S4" i="10" s="1"/>
  <c r="S5" i="10" s="1"/>
  <c r="S6" i="10" s="1"/>
  <c r="S7" i="10" s="1"/>
  <c r="S8" i="10" s="1"/>
  <c r="S9" i="10" s="1"/>
  <c r="S10" i="10" s="1"/>
  <c r="S11" i="10" s="1"/>
  <c r="S12" i="10" s="1"/>
  <c r="S13" i="10" s="1"/>
  <c r="S14" i="10" s="1"/>
  <c r="S15" i="10" s="1"/>
  <c r="S16" i="10" s="1"/>
  <c r="S17" i="10" s="1"/>
  <c r="R2" i="10"/>
  <c r="M2" i="10"/>
  <c r="L2" i="10" s="1"/>
  <c r="K2" i="10"/>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G1" authorId="0" shapeId="0">
      <text>
        <r>
          <rPr>
            <b/>
            <sz val="9"/>
            <color indexed="81"/>
            <rFont val="Tahoma"/>
            <family val="2"/>
          </rPr>
          <t>Snoeyink, Jack S.:</t>
        </r>
        <r>
          <rPr>
            <sz val="9"/>
            <color indexed="81"/>
            <rFont val="Tahoma"/>
            <family val="2"/>
          </rPr>
          <t xml:space="preserve">
State is red if EPSCoR code 9150 is not properly applied.</t>
        </r>
      </text>
    </comment>
    <comment ref="J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M1" authorId="0" shapeId="0">
      <text>
        <r>
          <rPr>
            <b/>
            <sz val="9"/>
            <color indexed="81"/>
            <rFont val="Tahoma"/>
            <family val="2"/>
          </rPr>
          <t>Snoeyink, Jack S.:</t>
        </r>
        <r>
          <rPr>
            <sz val="9"/>
            <color indexed="81"/>
            <rFont val="Tahoma"/>
            <family val="2"/>
          </rPr>
          <t xml:space="preserve">
Basic research percentage, usually set to 100%</t>
        </r>
      </text>
    </comment>
    <comment ref="O1" authorId="0" shapeId="0">
      <text>
        <r>
          <rPr>
            <b/>
            <sz val="9"/>
            <color indexed="81"/>
            <rFont val="Tahoma"/>
            <family val="2"/>
          </rPr>
          <t>Snoeyink, Jack S.:</t>
        </r>
        <r>
          <rPr>
            <sz val="9"/>
            <color indexed="81"/>
            <rFont val="Tahoma"/>
            <family val="2"/>
          </rPr>
          <t xml:space="preserve">
Click link to send email to project lead PI
</t>
        </r>
      </text>
    </comment>
    <comment ref="S1" authorId="0" shapeId="0">
      <text>
        <r>
          <rPr>
            <b/>
            <sz val="9"/>
            <color indexed="81"/>
            <rFont val="Tahoma"/>
            <family val="2"/>
          </rPr>
          <t>Snoeyink, Jack S.:</t>
        </r>
        <r>
          <rPr>
            <sz val="9"/>
            <color indexed="81"/>
            <rFont val="Tahoma"/>
            <family val="2"/>
          </rPr>
          <t xml:space="preserve">
Click link to visit proposal in eJacket</t>
        </r>
      </text>
    </comment>
    <comment ref="Y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A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2.xml><?xml version="1.0" encoding="utf-8"?>
<comments xmlns="http://schemas.openxmlformats.org/spreadsheetml/2006/main">
  <authors>
    <author>Snoeyink, Jack S.</author>
  </authors>
  <commentList>
    <comment ref="G2" authorId="0" shapeId="0">
      <text>
        <r>
          <rPr>
            <b/>
            <sz val="9"/>
            <color indexed="81"/>
            <rFont val="Tahoma"/>
            <family val="2"/>
          </rPr>
          <t>Snoeyink, Jack S.:</t>
        </r>
        <r>
          <rPr>
            <sz val="9"/>
            <color indexed="81"/>
            <rFont val="Tahoma"/>
            <family val="2"/>
          </rPr>
          <t xml:space="preserve">
You can probably ignore this.
This 7-letter pm_ibm_logn_id is used to construct a unique id to jump to the ejacket  RA page. By default it uses the first PM id (=f4), but it can be over-ridden.  (note: the ibm_logn_id is often the lan_id, truncated to 7 letters instead of 8.)</t>
        </r>
      </text>
    </comment>
    <comment ref="I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3.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Proposal program reference codes</t>
        </r>
      </text>
    </comment>
    <comment ref="J1" authorId="0" shapeId="0">
      <text>
        <r>
          <rPr>
            <b/>
            <sz val="9"/>
            <color indexed="81"/>
            <rFont val="Tahoma"/>
            <family val="2"/>
          </rPr>
          <t>Snoeyink, Jack S.:</t>
        </r>
        <r>
          <rPr>
            <sz val="9"/>
            <color indexed="81"/>
            <rFont val="Tahoma"/>
            <family val="2"/>
          </rPr>
          <t xml:space="preserve">
State is red if EPSCoR code 9150 is not properly applied.</t>
        </r>
      </text>
    </comment>
    <comment ref="M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P1" authorId="0" shapeId="0">
      <text>
        <r>
          <rPr>
            <b/>
            <sz val="9"/>
            <color indexed="81"/>
            <rFont val="Tahoma"/>
            <family val="2"/>
          </rPr>
          <t>Snoeyink, Jack S.:</t>
        </r>
        <r>
          <rPr>
            <sz val="9"/>
            <color indexed="81"/>
            <rFont val="Tahoma"/>
            <family val="2"/>
          </rPr>
          <t xml:space="preserve">
Basic research percentage, usually set to 100%</t>
        </r>
      </text>
    </comment>
    <comment ref="R1" authorId="0" shapeId="0">
      <text>
        <r>
          <rPr>
            <b/>
            <sz val="9"/>
            <color indexed="81"/>
            <rFont val="Tahoma"/>
            <family val="2"/>
          </rPr>
          <t>Snoeyink, Jack S.:</t>
        </r>
        <r>
          <rPr>
            <sz val="9"/>
            <color indexed="81"/>
            <rFont val="Tahoma"/>
            <family val="2"/>
          </rPr>
          <t xml:space="preserve">
Click link to send email to project lead PI
</t>
        </r>
      </text>
    </comment>
    <comment ref="V1" authorId="0" shapeId="0">
      <text>
        <r>
          <rPr>
            <b/>
            <sz val="9"/>
            <color indexed="81"/>
            <rFont val="Tahoma"/>
            <family val="2"/>
          </rPr>
          <t>Snoeyink, Jack S.:</t>
        </r>
        <r>
          <rPr>
            <sz val="9"/>
            <color indexed="81"/>
            <rFont val="Tahoma"/>
            <family val="2"/>
          </rPr>
          <t xml:space="preserve">
Click link to visit proposal in eJacket</t>
        </r>
      </text>
    </comment>
    <comment ref="AD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F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I1" authorId="0" shapeId="0">
      <text>
        <r>
          <rPr>
            <b/>
            <sz val="9"/>
            <color indexed="81"/>
            <rFont val="Tahoma"/>
            <family val="2"/>
          </rPr>
          <t>Snoeyink, Jack S.:</t>
        </r>
        <r>
          <rPr>
            <sz val="9"/>
            <color indexed="81"/>
            <rFont val="Tahoma"/>
            <family val="2"/>
          </rPr>
          <t xml:space="preserve">
No panel summaries should remain unmarked.  </t>
        </r>
      </text>
    </comment>
    <comment ref="AL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 ref="AO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List>
</comments>
</file>

<file path=xl/comments4.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Proposal program reference codes</t>
        </r>
      </text>
    </comment>
    <comment ref="J1" authorId="0" shapeId="0">
      <text>
        <r>
          <rPr>
            <b/>
            <sz val="9"/>
            <color indexed="81"/>
            <rFont val="Tahoma"/>
            <family val="2"/>
          </rPr>
          <t>Snoeyink, Jack S.:</t>
        </r>
        <r>
          <rPr>
            <sz val="9"/>
            <color indexed="81"/>
            <rFont val="Tahoma"/>
            <family val="2"/>
          </rPr>
          <t xml:space="preserve">
State is red if EPSCoR code 9150 is not properly applied.</t>
        </r>
      </text>
    </comment>
    <comment ref="M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P1" authorId="0" shapeId="0">
      <text>
        <r>
          <rPr>
            <b/>
            <sz val="9"/>
            <color indexed="81"/>
            <rFont val="Tahoma"/>
            <family val="2"/>
          </rPr>
          <t>Snoeyink, Jack S.:</t>
        </r>
        <r>
          <rPr>
            <sz val="9"/>
            <color indexed="81"/>
            <rFont val="Tahoma"/>
            <family val="2"/>
          </rPr>
          <t xml:space="preserve">
Basic research percentage, usually set to 100%</t>
        </r>
      </text>
    </comment>
    <comment ref="R1" authorId="0" shapeId="0">
      <text>
        <r>
          <rPr>
            <b/>
            <sz val="9"/>
            <color indexed="81"/>
            <rFont val="Tahoma"/>
            <family val="2"/>
          </rPr>
          <t>Snoeyink, Jack S.:</t>
        </r>
        <r>
          <rPr>
            <sz val="9"/>
            <color indexed="81"/>
            <rFont val="Tahoma"/>
            <family val="2"/>
          </rPr>
          <t xml:space="preserve">
Click link to send email to project lead PI
</t>
        </r>
      </text>
    </comment>
    <comment ref="V1" authorId="0" shapeId="0">
      <text>
        <r>
          <rPr>
            <b/>
            <sz val="9"/>
            <color indexed="81"/>
            <rFont val="Tahoma"/>
            <family val="2"/>
          </rPr>
          <t>Snoeyink, Jack S.:</t>
        </r>
        <r>
          <rPr>
            <sz val="9"/>
            <color indexed="81"/>
            <rFont val="Tahoma"/>
            <family val="2"/>
          </rPr>
          <t xml:space="preserve">
Click link to visit proposal in eJacket</t>
        </r>
      </text>
    </comment>
    <comment ref="AD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F1" authorId="0" shapeId="0">
      <text>
        <r>
          <rPr>
            <b/>
            <sz val="9"/>
            <color indexed="81"/>
            <rFont val="Tahoma"/>
            <family val="2"/>
          </rPr>
          <t>Snoeyink, Jack S.:</t>
        </r>
        <r>
          <rPr>
            <sz val="9"/>
            <color indexed="81"/>
            <rFont val="Tahoma"/>
            <family val="2"/>
          </rPr>
          <t xml:space="preserve">
Total reviews - marked unreleasable should be &gt; 3.
No reviews should remain unmarked.</t>
        </r>
      </text>
    </comment>
    <comment ref="AI1" authorId="0" shapeId="0">
      <text>
        <r>
          <rPr>
            <b/>
            <sz val="9"/>
            <color indexed="81"/>
            <rFont val="Tahoma"/>
            <family val="2"/>
          </rPr>
          <t>Snoeyink, Jack S.:</t>
        </r>
        <r>
          <rPr>
            <sz val="9"/>
            <color indexed="81"/>
            <rFont val="Tahoma"/>
            <family val="2"/>
          </rPr>
          <t xml:space="preserve">
No panel summaries should remain unmarked.  </t>
        </r>
      </text>
    </comment>
    <comment ref="AL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 ref="AO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List>
</comments>
</file>

<file path=xl/comments5.xml><?xml version="1.0" encoding="utf-8"?>
<comments xmlns="http://schemas.openxmlformats.org/spreadsheetml/2006/main">
  <authors>
    <author>Jack Snoeyink</author>
  </authors>
  <commentList>
    <comment ref="B11" authorId="0" shapeId="0">
      <text>
        <r>
          <rPr>
            <b/>
            <sz val="10"/>
            <color indexed="9"/>
            <rFont val="Corbel"/>
            <family val="2"/>
          </rPr>
          <t>The chosen proposals are the AND of all entered restrictions.</t>
        </r>
      </text>
    </comment>
    <comment ref="D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B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B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B14" authorId="0" shapeId="0">
      <text>
        <r>
          <rPr>
            <b/>
            <sz val="10"/>
            <color indexed="9"/>
            <rFont val="Corbel"/>
            <family val="2"/>
          </rPr>
          <t>Another common query: all the RAs a PD must write
7-letter ibm login id, not the 8-letter lan id.</t>
        </r>
      </text>
    </comment>
    <comment ref="B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B16" authorId="0" shapeId="0">
      <text>
        <r>
          <rPr>
            <b/>
            <sz val="10"/>
            <color indexed="9"/>
            <rFont val="Corbel"/>
            <family val="2"/>
          </rPr>
          <t>8-digit org code, but you can use wildcards to restrict to directorate (05% for CISE) or divisions (050[125]0000 is CCF, IIS, &amp; CNS)</t>
        </r>
      </text>
    </comment>
    <comment ref="B17" authorId="0" shapeId="0">
      <text>
        <r>
          <rPr>
            <b/>
            <sz val="10"/>
            <color indexed="9"/>
            <rFont val="Corbel"/>
            <family val="2"/>
          </rPr>
          <t>Can restrict proposals by division abbreviation instead of numeric org code.</t>
        </r>
      </text>
    </comment>
    <comment ref="B18" authorId="0" shapeId="0">
      <text>
        <r>
          <rPr>
            <b/>
            <sz val="10"/>
            <color indexed="9"/>
            <rFont val="Corbel"/>
            <family val="2"/>
          </rPr>
          <t>4-digit program element code.</t>
        </r>
      </text>
    </comment>
    <comment ref="B19" authorId="0" shapeId="0">
      <text>
        <r>
          <rPr>
            <b/>
            <sz val="10"/>
            <color indexed="9"/>
            <rFont val="Corbel"/>
            <family val="2"/>
          </rPr>
          <t>Restrict to PEND = pending. for DDconcur, restrict to RCOM = Recommended
Here are all 20 possibilities, in case you are curious
 PEND: all types of pending
 DECL: decline concurred by DD
 AWD, RCOM, CLO: awarded, recommended, or closed
 WTH, RTNR: all types of withdrawn/return without review
 ENC,INVT,DSCR,NIVT: full prop encouraged/invited/discouraged/not invited
 CAN,DAWD,DEL,ERR,INAP,OCGI,PRTN,WPRE,ZER: uncommon on proposals</t>
        </r>
      </text>
    </comment>
    <comment ref="B20"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B21" authorId="0" shapeId="0">
      <text>
        <r>
          <rPr>
            <b/>
            <sz val="10"/>
            <color indexed="9"/>
            <rFont val="Corbel"/>
            <family val="2"/>
          </rPr>
          <t>4-digit object class.  Common possibilities
 4101 - Personnel Mobility
 4110 - Research Grants
 4118 - SBIR Grant
 4144 - Equipment Grant
 4160 - Conference</t>
        </r>
      </text>
    </comment>
    <comment ref="B22" authorId="0" shapeId="0">
      <text>
        <r>
          <rPr>
            <b/>
            <sz val="10"/>
            <color indexed="9"/>
            <rFont val="Corbel"/>
            <family val="2"/>
          </rPr>
          <t>%Medium%  or %GOALI% can be used to restrict proposals to those that follow title conventions; ~%GOALI% to exclude.</t>
        </r>
      </text>
    </comment>
    <comment ref="B23" authorId="0" shapeId="0">
      <text>
        <r>
          <rPr>
            <b/>
            <sz val="10"/>
            <color indexed="9"/>
            <rFont val="Corbel"/>
            <family val="2"/>
          </rPr>
          <t>4-digit PRCs. The PRC table doesn't have an index, so this query slow; use a narrow date range</t>
        </r>
      </text>
    </comment>
  </commentList>
</comments>
</file>

<file path=xl/comments6.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R1" authorId="0" shapeId="0">
      <text>
        <r>
          <rPr>
            <b/>
            <sz val="9"/>
            <color indexed="81"/>
            <rFont val="Tahoma"/>
            <family val="2"/>
          </rPr>
          <t>Snoeyink, Jack S.:</t>
        </r>
        <r>
          <rPr>
            <sz val="9"/>
            <color indexed="81"/>
            <rFont val="Tahoma"/>
            <family val="2"/>
          </rPr>
          <t xml:space="preserve">
Any note here will be included just after the data block and before the RA text.  Good place to explain Es for Declines, which is why they are highlighted pale yellow. (Note: to stop highlighting E/Vs, too, change the conditional formatting formula to =left($Q2,2)= "E,")</t>
        </r>
      </text>
    </comment>
    <comment ref="S1" authorId="0" shapeId="0">
      <text>
        <r>
          <rPr>
            <b/>
            <sz val="9"/>
            <color indexed="81"/>
            <rFont val="Tahoma"/>
            <family val="2"/>
          </rPr>
          <t>Snoeyink, Jack S.:</t>
        </r>
        <r>
          <rPr>
            <sz val="9"/>
            <color indexed="81"/>
            <rFont val="Tahoma"/>
            <family val="2"/>
          </rPr>
          <t xml:space="preserve">
Postscript after the signature is a good place for a DGA note if you don't want to modify the template.</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 _x000d__x000a_SELECT DISTINCT CASE WHEN p.lead_prop_id IS NULL THEN 'I' WHEN p.lead_prop_id &lt;&gt; p.prop_id THEN 'N' ELSE 'L' END AS ILN,_x000d__x000a_isnull(p.lead_prop_id,p.prop_id) AS lead, p.prop_id, p.pi_id, p.inst_id_x000d__x000a_INTO #myPid FROM csd.prop p_x000d__x000a_JOIN csd.panl_prop pp ON p.prop_id = pp.prop_id_x000d__x000a_WHERE p.prop_stts_code IN ('00','01','02','08','09') AND pp.panl_id in ('p172027','p170288','p180207','p180208')_x000d__x000a_ORDER BY lead, ILN, p.prop_id_x000d__x000a_CREATE INDEX myPid_idx ON #myPid(prop_id)_x000d__x000a_INSERT INTO #myPid _x000d__x000a_SELECT DISTINCT CASE WHEN p.lead_prop_id IS NULL THEN 'I' WHEN p.lead_prop_id &lt;&gt; p.prop_id THEN 'N' ELSE 'L' END AS ILN,_x000d__x000a_isnull(p.lead_prop_id,p.prop_id) AS lead, p.prop_id, p.pi_id, p.inst_id_x000d__x000a_FROM #myPid pid_x000d__x000a_JOIN csd.prop p ON p.lead_prop_id = pid.lead_x000d__x000a_WHERE pid.ILN &lt; 'M' AND NOT EXISTS (SELECT * FROM #myPid px WHERE px.prop_id = p.prop_id)_x000d__x000a__x000d__x000a_-- project leads_x000d__x000a_SELECT p.ILN, p.lead_x000d__x000a_INTO #myLead_x000d__x000a_FROM #myPid p_x000d__x000a_WHERE p.ILN &lt; 'M' _x000d__x000a_CREATE INDEX myLead_idx ON #myLead(lead)_x000d__x000a_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SELECT p.prop_id, ctry.ctry_name, id=identity(18), 0 as 'seq' INTO #myCtry_x000d__x000a_FROM #myPid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_x000d__x000a_OTH_AGCY_SUBM_FLAG,_x000d__x000a_CASE WHEN PC.HUM_DATE is not NULL THEN convert(varchar(10),PC.HUM_DATE,1) WHEN PC.humn_date_pend_flag='Y' THEN 'Pend' END AS humn_date,_x000d__x000a_CASE WHEN PC.VERT_DATE is not NULL THEN convert(varchar(10),PC.VERT_DATE,1) WHEN PC.vrtb_date_pend_flag='Y' THEN 'Pend' END AS vrtb_date_x000d__x000a_INTO #myCovrInfo_x000d__x000a_FROM #myPid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sf_rcvd_date, prop_stts_txt, nullif(dd_rcom_date,'1900-01-01') AS dd_rcom_date, ra.RAupdate, _x000d__x000a_cntx_stmt_id, prop.pgm_annc_id, prop.org_code, prop.pgm_ele_code,_x000d__x000a_prop.pm_ibm_logn_id as PO, prop_stts_abbr,natr_rqst.natr_rqst_abbr,prop.obj_clas_code,ai.awd_istr_abbr as rcom_istr_abbr,_x000d__x000a_org.dir_div_abbr as Div, p.lead, p.ILN, p.prop_id,_x000d__x000a_p.L AS pi_last_name, p.F AS pi_frst_name, p.I AS inst, p.st_code, p.M as email, 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udgPRCs bp WHERE bp.prop_id = p.prop_id) AS bPRCs,_x000d__x000a_c.humn_date, c.vrtb_date,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prop.rqst_eff_date,prop.rqst_mnth_cnt,_x000d__x000a_p.D AS rqst_tot, b.RN as brevn, b.T as budg_tot, _x000d__x000a_nullif((SELECT sum(budg_splt_tot_dol) FROM csd.budg_splt s _x000d__x000a_        WHERE s.prop_id = p.prop_id),0) as splt_tot, _x000d__x000a_b.sub_ctr_tot, b.frgn_trav_tot, b.pdoc_tot,b.part_tot_dol, b.grad_tot_cnt, _x000d__x000a_b.sr_tot_cnt, b.sr_sumr_mnths, b.sr_acad_mnths, b.sr_cal_mnths,_x000d__x000a_prop.prop_titl_txt,a.abst_narr_txt_x000d__x000a_FROM #myProp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 _x000d__x000a_SELECT CASE WHEN p.lead_prop_id IS NULL THEN 'I' WHEN p.lead_prop_id &lt;&gt; p.prop_id THEN 'N' ELSE 'L' END AS ILN,_x000d__x000a_isnull(p.lead_prop_id,p.prop_id) AS lead, p.prop_id, psc.TEMP_PROP_ID_x000d__x000a_INTO #myPids FROM csd.prop p_x000d__x000a_JOIN csd.prop_subm_ctl_vw psc ON psc.prop_id = p.prop_id_x000d__x000a_JOIN csd.panl_prop pp ON p.prop_id = pp.prop_id_x000d__x000a_WHERE p.prop_stts_code IN ('00','01','02','08','09') AND pp.panl_id in ('p172382')_x000d__x000a_ORDER BY lead, ILN, p.prop_id_x000d__x000a_CREATE INDEX myPid_idx ON #myPids(prop_id)_x000d__x000a_-- we should have everyone already, but let's make sure_x000d__x000a_INSERT INTO #myPids SELECT CASE WHEN pr.lead_prop_id &lt;&gt; pr.prop_id THEN 'N' ELSE 'L' END as ILN, _x000d__x000a_p.lead, p.prop_id, psc.TEMP_PROP_ID_x000d__x000a_FROM #myPids p _x000d__x000a_JOIN csd.prop pr ON pr.lead_prop_id = p.lead_x000d__x000a_JOIN csd.prop_subm_ctl_vw psc ON psc.prop_id = pr.prop_id_x000d__x000a_WHERE p.ILN &lt;&gt; 'I' _x000d__x000a_AND NOT EXISTS (SELECT * FROM #myPids px WHERE px.prop_id = pr.prop_id) -- skip what we have already_x000d__x000a_ORDER BY lead, ILN, p.prop_id_x000d__x000a_CREATE INDEX myPid_idx3 ON #myPids(ILN, lead, prop_id) _x000d__x000a_CREATE INDEX myPid_temp ON #myPids(TEMP_PROP_ID)_x000d__x000a_SELECT p.prop_id, LTRIM(MAX( CASE pa.prop_atr_seq WHEN 0 THEN ' ' + pa.prop_atr_code ELSE '' END ) +_x000d__x000a_ MAX( CASE pa.prop_atr_seq WHEN 1 THEN ' ' + pa.prop_atr_code ELSE '' END ) +_x000d__x000a_ MAX( CASE pa.prop_atr_seq WHEN 2 THEN ' ' + pa.prop_atr_code ELSE '' END ) +_x000d__x000a_ MAX( CASE pa.prop_atr_seq WHEN 3 THEN ' ' + pa.prop_atr_code ELSE '' END ) + _x000d__x000a_ MAX( CASE pa.prop_atr_seq WHEN 4 THEN ' ' + pa.prop_atr_code ELSE '' END ) + _x000d__x000a_ MAX( CASE pa.prop_atr_seq WHEN 5 THEN ' ' + pa.prop_atr_code ELSE '' END ) + _x000d__x000a_ MAX( CASE pa.prop_atr_seq WHEN 6 THEN ' ' + pa.prop_atr_code ELSE '' END ) + _x000d__x000a_ MAX( CASE pa.prop_atr_seq WHEN 7 THEN ' ' + pa.prop_atr_code ELSE '' END ) + _x000d__x000a_ MAX( CASE pa.prop_atr_seq WHEN 8 THEN ' ' + pa.prop_atr_code ELSE '' END ) + _x000d__x000a_ MAX( CASE pa.prop_atr_seq WHEN 9 THEN ' ' + pa.prop_atr_code ELSE '' END )) AS PRCs_x000d__x000a_INTO #myPRCs_x000d__x000a_FROM #myPids p, csd.prop_atr pa WHERE p.prop_id = pa.prop_id AND pa.prop_atr_type_code = 'PRC'_x000d__x000a_GROUP BY p.prop_id_x000d__x000a_CREATE INDEX myPRCs_idx ON #myPRCs(prop_id)_x000d__x000a_SELECT p.lead, p.prop_id, eb.revn_num, eb.budg_seq_yr, eb.budg_tot_dol, _x000d__x000a_eb.sr_pers_cnt, eb.sr_summ_mnth_cnt, eb.pdoc_grnt_dol, eb.frgn_trav_dol, eb.part_dol_x000d__x000a_INTO #myBudg_x000d__x000a_FROM #myPids p, csd.eps_blip eb_x000d__x000a_WHERE p.prop_id = eb.prop_id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p.pm_ibm_logn_id, prop.lead,  prop.ILN, prop.prop_id, '' as pi_last_name, '' as inst_name, '' as pi_emai_addr, _x000d__x000a_eb.sr_pers_cnt, eb.sr_summ_mnth_cnt, eb.pdoc_grnt_dol, eb.frgn_trav_dol, eb.part_dol, eb.budg_tot_dol, _x000d__x000a_eb.revn_num, eb.budg_seq_yr, eb.budg_tot_dol AS dol, p.org_code, p.pgm_ele_code as PEC, prc.PRCs_x000d__x000a_FROM #myPids prop_x000d__x000a_JOIN csd.prop p ON p.prop_id = prop.prop_id_x000d__x000a_LEFT OUTER JOIN #myPRCs prc ON prc.prop_id = prop.prop_id_x000d__x000a_LEFT OUTER JOIN #myBudg eb ON eb.prop_id = prop.prop_id _x000d__x000a_UNION ALL SELECT p.nsf_rcvd_date, p.pgm_annc_id, p.org_code, p.pgm_ele_code, p.pm_ibm_logn_id, prop.lead,  prop.ILN, prop.prop_id, pi.pi_last_name, inst.inst_shrt_name, pi.pi_emai_addr, _x000d__x000a_null, null, null, null, null, null, (SELECT MAX(revn_num) from #myBudg b WHERE b.prop_id = prop.prop_id),_x000d__x000a_null, (SELECT SUM(budg_tot_dol) from #myBudg b WHERE b.prop_id = prop.prop_id), p.org_code, p.pgm_ele_code, prc.PRCs _x000d__x000a_FROM #myPids prop_x000d__x000a_JOIN csd.prop p ON p.prop_id = prop.prop_id_x000d__x000a_LEFT OUTER JOIN csd.pi_vw pi ON pi.pi_id = p.pi_id AND pi.prim_addr_flag='Y'_x000d__x000a_LEFT OUTER JOIN csd.inst inst ON inst.inst_id = p.inst_id_x000d__x000a_LEFT OUTER JOIN #myPRCs prc ON prc.prop_id = prop.prop_id_x000d__x000a_ORDER BY prop.lead, prop.ILN, prop.prop_id, eb.budg_seq_yr _x000d__x000a_DROP TABLE #myPids_x000d__x000a_DROP TABLE #myPRCs_x000d__x000a_DROP TABLE #myBudg"/>
  </connection>
  <connection id="3" name="CodingQuery" type="1" refreshedVersion="6"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_x000d__x000a_nullif(sum(unrlsbl),0) as Nunrlsbl,nullif(sum(rlsdCDNPS),0) as NrlsdCDNPS, _x000d__x000a_nullif(sum(pendSlct),0) as NpendSlct, nullif(sum(diffFLeJ),0) as NdiffFLeJ 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id), RA_propPRCs(#myPRCs)_x000d__x000a_--DROP TABLE #myPropBudg, #myProp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 FROM #myPid pid_x000d__x000a_JOIN csd.prop p ON p.prop_id = pid.prop_id_x000d__x000a_LEFT JOIN #myPRCs prc ON prc.prop_id = pid.prop_id_x000d__x000a_LEFT JOIN #myPropBudg b ON b.prop_id = p.prop_id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id,#myRA),RA_prop(#myProp,#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id p _x000d__x000a_      UNION ALL SELECT p.prop_id, a.pi_id FROM #myPid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sf_rcvd_date, prop_stts_txt, nullif(dd_rcom_date,'1900-01-01') AS dd_rcom_date, ra.RAupdate, _x000d__x000a_cntx_stmt_id, prop.pgm_annc_id, prop.org_code, prop.pgm_ele_code,_x000d__x000a_prop.pm_ibm_logn_id as PO, prop_stts_abbr,natr_rqst.natr_rqst_abbr,prop.obj_clas_code,_x000d__x000a_org.dir_div_abbr as Div, p.lead, p.ILN, p.prop_id,_x000d__x000a_p.L AS pi_last_name, p.F AS pi_frst_name, p.I AS inst, p.st_code, p.M as email, _x000d__x000a_p.R as propPRCs, _x000d__x000a_bas_rsch_pct, apld_rsch_pct+educ_trng_pct+land_buld_fix_equp_pct+mjr_equp_pct+non_invt_pct AS other_pct,  _x000d__x000a_nPanl, nPSunmrkd, nPSunrls, RecRkMin, _x000d__x000a_rs.nRev, rs.allReviews, rs.avg_score, rs.last_rev_date,_x000d__x000a_Nunmkd, Nunrlsbl, NrlsdCDNPS, NpendSlct, NdiffFLeJ,_x000d__x000a_prop.rqst_eff_date,prop.rqst_mnth_cnt,_x000d__x000a_p.D AS rqst_tot, b.RN as brevn, b.T as budg_tot,  _x000d__x000a_b.sub_ctr_tot, b.frgn_trav_tot, b.pdoc_tot,b.part_tot_dol, b.grad_tot_cnt, _x000d__x000a_b.sr_tot_cnt, b.sr_sumr_mnths, b.sr_acad_mnths, b.sr_cal_mnths,_x000d__x000a_NfmlPIs,NhispPIs,NhndcpPIs,NnonWhtAsnPIs,_x000d__x000a_prop.prop_titl_txt_x000d__x000a_FROM #myProp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RCGlossaryQuery" type="1" refreshedVersion="6"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5" name="ProjTextQuery" type="1" refreshedVersion="6"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id,#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panl.pm_logn_id, panl_prop_summ.PANL_ID,  ' '+panl.panl_name, panl_rcom_def.RCOM_TXT,_x000d__x000a_convert(varchar,panl_prop_summ.RCOM_SEQ_NUM), convert(varchar,panl_prop_summ.PROP_ORDR), panl.panl_bgn_date, panl_prop_summ.panl_summ_rlse_date,_x000d__x000a_panl_rcom_def.RCOM_ABBR , panl_prop_summ.PANL_SUMM_TXT_x000d__x000a_FROM #myLead p, FLflpdb.flp.panl_prop_summ panl_prop_summ, FLflpdb.flp.panl_rcom_def panl_rcom_def, csd.panl panl_x000d__x000a_WHERE p.lead = panl_prop_summ.PROP_ID AND panl_prop_summ.PANL_ID = panl.panl_id_x000d__x000a_  AND panl_prop_summ.RCOM_SEQ_NUM = panl_rcom_def.RCOM_SEQ_NUM AND panl_prop_summ.PANL_ID = panl_rcom_def.PANL_ID_x000d__x000a_UNION ALL SELECT p.lead, p.L, 'POCmnt', p.PO, p.prop_id, cmt.cmnt_cre_id, '', '', convert(varchar,cmt.cmnt_prop_stts_code), cmt.beg_eff_date, cmt.end_eff_date,'', cmt.cmnt_x000d__x000a_FROM #myPid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id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id p, FLflpdb.flp.ej_diry_note d WHERE d.prop_id = p.prop_id_x000d__x000a_ORDER BY lead, docType, revr_last_name, revr_id_x000d__x000a_DROP TABLE #myPid, #myLead, #myRA DROP TABLE #myRevInfo, #mySumm"/>
  </connection>
  <connection id="6" name="RAMailMerge" type="1" refreshedVersion="6" background="1" saveData="1">
    <dbPr connection="dsn=RPTSERVER;database=rptdb;server=RPTSQL.nsf.gov;port=5000;UID=ccfuser;" command="SET NOCOUNT ON _x000d__x000a_SELECT DISTINCT CASE WHEN p.lead_prop_id IS NULL THEN 'I' WHEN p.lead_prop_id &lt;&gt; p.prop_id THEN 'N' ELSE 'L' END AS ILN, pm_ibm_logn_id AS PO,_x000d__x000a_isnull(p.lead_prop_id,p.prop_id) AS lead, p.prop_id, p.pi_id, pi_last_name as L, pi_frst_name as F, inst_shrt_name as I, inst.st_code, pi_emai_addr AS M_x000d__x000a_INTO #myPid FROM csd.prop p_x000d__x000a_LEFT JOIN csd.pi_vw pi ON pi.pi_id = p.pi_id AND pi.prim_addr_flag='Y'_x000d__x000a_LEFT JOIN csd.inst inst ON inst.inst_id = p.inst_id_x000d__x000a_JOIN csd.panl_prop pp ON p.prop_id = pp.prop_id_x000d__x000a_WHERE p.prop_stts_code IN ('00','01','02','08','09') AND pp.panl_id in ('p172027','p170288','p180207','p180208')_x000d__x000a_-- DROP TABLE #myPid, #myLead, #myRA_x000d__x000a_CREATE INDEX myPid_idx ON #myPid(prop_id)_x000d__x000a_INSERT INTO #myPid _x000d__x000a_SELECT DISTINCT CASE WHEN p.lead_prop_id IS NULL THEN 'I' WHEN p.lead_prop_id &lt;&gt; p.prop_id THEN 'N' ELSE 'L' END AS ILN,pm_ibm_logn_id AS PO,_x000d__x000a_isnull(p.lead_prop_id,p.prop_id) AS lead, p.prop_id, p.pi_id, pi_last_name as L, pi_frst_name as F, inst_shrt_name as I, inst.st_code, pi_emai_addr AS M_x000d__x000a_FROM #myPid pid_x000d__x000a_JOIN csd.prop p ON p.lead_prop_id = pid.lead_x000d__x000a_LEFT JOIN csd.pi_vw pi ON pi.pi_id = p.pi_id AND pi.prim_addr_flag='Y'_x000d__x000a_LEFT JOIN csd.inst inst ON inst.inst_id = p.inst_id_x000d__x000a_WHERE pid.ILN &lt; 'M' AND NOT EXISTS (SELECT * FROM #myPid px WHERE px.prop_id = p.prop_id)_x000d__x000a_-- project leads_x000d__x000a_SELECT p.ILN, p.PO, p.lead, p.L_x000d__x000a_INTO #myLead FROM #myPid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id)_x000d__x000a_-- DROP TABLE #myPRCs, #myPRCdata_x000d__x000a_SELECT prc.*, id=identity(18), 0 as seq_x000d__x000a_INTO #myPRCdata_x000d__x000a_FROM (SELECT DISTINCT p.prop_id, pa.prop_atr_code_x000d__x000a_    FROM #myPid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_x000d__x000a_nullif(sum(unrlsbl),0) as Nunrlsbl,nullif(sum(rlsdCDNPS),0) as NrlsdCDNPS, _x000d__x000a_nullif(sum(pendSlct),0) as NpendSlct, nullif(sum(diffFLeJ),0) as NdiffFLeJ 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id), RA_propPRCs(#myPRCs)_x000d__x000a_--DROP TABLE #myPropBudg, #myProp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id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 FROM #myPid pid_x000d__x000a_JOIN csd.prop p ON p.prop_id = pid.prop_id_x000d__x000a_LEFT JOIN #myPRCs prc ON prc.prop_id = pid.prop_id_x000d__x000a_LEFT JOIN #myPropBudg b ON b.prop_id = p.prop_id_x000d__x000a_ORDER BY lead, ILN, pid.prop_id_x000d__x000a_CREATE INDEX myProp_idx ON #myProp(prop_id)_x000d__x000a_SELECT lead, MIN(id) as start INTO #myPropStart FROM #myProp GROUP BY lead_x000d__x000a_UPDATE #myProp SET seq = id-M.start FROM #myProp r, #myPropStart M WHERE r.lead = M.lead_x000d__x000a_DROP TABLE #myPropStart_x000d__x000a_CREATE INDEX myProp_ix ON #myProp(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SELECT count(*) FROM #myRevs c WHERE confl=1 AND c.panl_id = rp.panl_id AND c.lead = rp.lead )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myPropBudg),RA_revs(#myRevs, #myRevMarks, #myRevPanl), RA_panl(#myPanl, #myProjPanl, #myProjPanlSumm)_x000d__x000a_SELECT getdate() AS pulldate, nsf_rcvd_date, _x000d__x000a_nullif(dd_rcom_date,'1900-01-01') AS dd_rcom_date, ra.RAupdate, _x000d__x000a_cntx_stmt_id, prop.pgm_annc_id, prop.org_code, prop.pgm_ele_code,p.PO,_x000d__x000a_prop_stts_abbr,natr_rqst.natr_rqst_abbr,prop.obj_clas_code,org.dir_div_abbr as Div, _x000d__x000a_nPanl, isnull(RecRkMin,99) AS RecRkMin, pn0.RA as rec0, pn1.RA as rec1, pn2.RA as rec2, _x000d__x000a_rs.*, -- lead, Nrev, Nunmkd, min, avg, max scores, allReviews, last_rev_date _x000d__x000a_rm.Nunrlsbl, projTot.rqst_tot,budg_tot,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0.P as pnlst1, pn0.C as confl1,_x000d__x000a_ pn2.I AS panl_id2, pn2.RT AS RCOM_TXT2, pn2.RK AS rank2, pn2.PN AS panl_name2,pn2.E AS panl_end2,pn2.V AS revs2,pn2.S AS PanlString2,pn0.P as pnlst2, pn0.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 mp WHERE mp.seq = 0) p0 ON p0.lead = p.lead_x000d__x000a_LEFT JOIN (SELECT * FROM #myProp mp WHERE mp.seq = 1) p1 ON p1.lead = p.lead_x000d__x000a_LEFT JOIN (SELECT * FROM #myProp mp WHERE mp.seq = 2) p2 ON p2.lead = p.lead_x000d__x000a_LEFT JOIN (SELECT * FROM #myProp mp WHERE mp.seq = 3) p3 ON p3.lead = p.lead_x000d__x000a_LEFT JOIN (SELECT * FROM #myProp mp WHERE mp.seq = 4) p4 ON p4.lead = p.lead_x000d__x000a_LEFT JOIN (SELECT * FROM #myProp mp WHERE mp.seq = 5) p5 ON p5.lead = p.lead_x000d__x000a_LEFT JOIN (SELECT * FROM #myProp mp WHERE mp.seq = 6) p6 ON p6.lead = p.lead_x000d__x000a_LEFT JOIN (SELECT lead, SUM(D) AS rqst_tot, SUM(T) AS budg_tot, MAX(RN) AS budRevnMax_x000d__x000a_           FROM #myProp GROUP BY lead) projTot ON projTot.lead = p.lead_x000d__x000a__x000d__x000a_UNION ALL SELECT @olddate,@olddate,@olddate,@olddate -- example to set mail merge format.  _x000d__x000a_,'cntxt stmt','NSF 00-000','12345678','1234','12345678','1234','12345','1234','1234'_x000d__x000a_,0,-0.99999999,'NRFP','NRFP','NRFP','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P1234567','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PO signature name string','Proposal status details','Nature of request full name','Object Class full name','DIR'_x000d__x000a_,'Directorate name retrieved by modified org_code from org. This example is for formatting; please do not remove this line............'_x000d__x000a_,'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7" name="SplitsQuery" type="1" refreshedVersion="6" background="1" saveData="1">
    <dbPr connection="dsn=RPTSERVER;database=rptdb;server=RPTSQL.nsf.gov;port=5000;UID=ccfuser;" command="SET NOCOUNT ON _x000d__x000a_SELECT DISTINCT CASE WHEN p.lead_prop_id IS NULL THEN 'I' WHEN p.lead_prop_id &lt;&gt; p.prop_id THEN 'N' ELSE 'L' END AS ILN,_x000d__x000a_isnull(p.lead_prop_id,p.prop_id) AS lead, p.prop_id, p.pi_id, p.inst_id_x000d__x000a_INTO #myPid FROM csd.prop p_x000d__x000a_JOIN csd.panl_prop pp ON p.prop_id = pp.prop_id_x000d__x000a_WHERE p.prop_stts_code IN ('00','01','02','08','09') AND pp.panl_id in ('p172027','p170288','p180207','p180208')_x000d__x000a_ORDER BY lead, ILN, p.prop_id_x000d__x000a_CREATE INDEX myPid_idx ON #myPid(prop_id)_x000d__x000a_INSERT INTO #myPid _x000d__x000a_SELECT DISTINCT CASE WHEN p.lead_prop_id IS NULL THEN 'I' WHEN p.lead_prop_id &lt;&gt; p.prop_id THEN 'N' ELSE 'L' END AS ILN,_x000d__x000a_isnull(p.lead_prop_id,p.prop_id) AS lead, p.prop_id, p.pi_id, p.inst_id_x000d__x000a_FROM #myPid pid_x000d__x000a_JOIN csd.prop p ON p.lead_prop_id = pid.lead_x000d__x000a_WHERE pid.ILN &lt; 'M' AND NOT EXISTS (SELECT * FROM #myPid px WHERE px.prop_id = p.prop_id)_x000d__x000a__x000d__x000a_-- project leads_x000d__x000a_SELECT p.ILN, p.lead_x000d__x000a_INTO #myLead_x000d__x000a_FROM #myPid p_x000d__x000a_WHERE p.ILN &lt; 'M' _x000d__x000a_CREATE INDEX myLead_idx ON #myLead(lead)_x000d__x000a_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SELECT p.prop_id, ctry.ctry_name, id=identity(18), 0 as 'seq' INTO #myCtry_x000d__x000a_FROM #myPid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_x000d__x000a_OTH_AGCY_SUBM_FLAG,_x000d__x000a_CASE WHEN PC.HUM_DATE is not NULL THEN convert(varchar(10),PC.HUM_DATE,1) WHEN PC.humn_date_pend_flag='Y' THEN 'Pend' END AS humn_date,_x000d__x000a_CASE WHEN PC.VERT_DATE is not NULL THEN convert(varchar(10),PC.VERT_DATE,1) WHEN PC.vrtb_date_pend_flag='Y' THEN 'Pend' END AS vrtb_date_x000d__x000a_INTO #myCovrInfo_x000d__x000a_FROM #myPid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sf_rcvd_date, prop_stts_txt, nullif(dd_rcom_date,'1900-01-01') AS dd_rcom_date, ra.RAupdate, _x000d__x000a_cntx_stmt_id, prop.pgm_annc_id, prop.org_code, prop.pgm_ele_code,_x000d__x000a_prop.pm_ibm_logn_id as PO, prop_stts_abbr,natr_rqst.natr_rqst_abbr,prop.obj_clas_code,ai.awd_istr_abbr as rcom_istr_abbr,_x000d__x000a_org.dir_div_abbr as Div, p.lead, p.ILN, p.prop_id,_x000d__x000a_p.L AS pi_last_name, p.F AS pi_frst_name, p.I AS inst, p.st_code, p.M as email, 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udgPRCs bp WHERE bp.prop_id = p.prop_id) AS bPRCs,_x000d__x000a_c.humn_date, c.vrtb_date,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prop.rqst_eff_date,prop.rqst_mnth_cnt,_x000d__x000a_p.D AS rqst_tot, b.RN as brevn, b.T as budg_tot, _x000d__x000a_nullif((SELECT sum(budg_splt_tot_dol) FROM csd.budg_splt s _x000d__x000a_        WHERE s.prop_id = p.prop_id),0) as splt_tot, _x000d__x000a_b.sub_ctr_tot, b.frgn_trav_tot, b.pdoc_tot,b.part_tot_dol, b.grad_tot_cnt, _x000d__x000a_b.sr_tot_cnt, b.sr_sumr_mnths, b.sr_acad_mnths, b.sr_cal_mnths,_x000d__x000a_prop.prop_titl_txt,a.abst_narr_txt_x000d__x000a_FROM #myProp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
  </connection>
</connections>
</file>

<file path=xl/sharedStrings.xml><?xml version="1.0" encoding="utf-8"?>
<sst xmlns="http://schemas.openxmlformats.org/spreadsheetml/2006/main" count="6070" uniqueCount="1122">
  <si>
    <t>prop_id</t>
  </si>
  <si>
    <t>eJ</t>
  </si>
  <si>
    <t>RA</t>
  </si>
  <si>
    <t>solicitation</t>
  </si>
  <si>
    <t>pgm_ele_code</t>
  </si>
  <si>
    <t>org_code</t>
  </si>
  <si>
    <t>Column1</t>
  </si>
  <si>
    <t>nsf_rcvd_date</t>
  </si>
  <si>
    <t>pgm_annc_id</t>
  </si>
  <si>
    <t>lead</t>
  </si>
  <si>
    <t>pi_last_name</t>
  </si>
  <si>
    <t>inst_name</t>
  </si>
  <si>
    <t>pi_emai_addr</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</si>
  <si>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</si>
  <si>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</si>
  <si>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</si>
  <si>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</si>
  <si>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</si>
  <si>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</si>
  <si>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</si>
  <si>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</si>
  <si>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</si>
  <si>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</si>
  <si>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</si>
  <si>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</si>
  <si>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</si>
  <si>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</si>
  <si>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</si>
  <si>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</si>
  <si>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</si>
  <si>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</si>
  <si>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</si>
  <si>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</si>
  <si>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</si>
  <si>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</si>
  <si>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</si>
  <si>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</si>
  <si>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</si>
  <si>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</si>
  <si>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</si>
  <si>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</si>
  <si>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</si>
  <si>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</si>
  <si>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</si>
  <si>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</si>
  <si>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</si>
  <si>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</si>
  <si>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</si>
  <si>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</si>
  <si>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</si>
  <si>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</si>
  <si>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</si>
  <si>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</si>
  <si>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</si>
  <si>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</si>
  <si>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</si>
  <si>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</si>
  <si>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</si>
  <si>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</si>
  <si>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</si>
  <si>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</si>
  <si>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</si>
  <si>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</si>
  <si>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</si>
  <si>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</si>
  <si>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</si>
  <si>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</si>
  <si>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</si>
  <si>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</si>
  <si>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</si>
  <si>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</si>
  <si>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</si>
  <si>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</si>
  <si>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</si>
  <si>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</si>
  <si>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</si>
  <si>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</si>
  <si>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</si>
  <si>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</si>
  <si>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</si>
  <si>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</si>
  <si>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</si>
  <si>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</si>
  <si>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</si>
  <si>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</si>
  <si>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</si>
  <si>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</si>
  <si>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</si>
  <si>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</si>
  <si>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</si>
  <si>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rqst_dol</t>
  </si>
  <si>
    <t>humn_date</t>
  </si>
  <si>
    <t>vrtb_date</t>
  </si>
  <si>
    <t>PO</t>
  </si>
  <si>
    <t>obj_clas_code</t>
  </si>
  <si>
    <t>natr_rqst_code</t>
  </si>
  <si>
    <t>prop_stts_code</t>
  </si>
  <si>
    <t>inst_id</t>
  </si>
  <si>
    <t>st_code</t>
  </si>
  <si>
    <t>pi_id</t>
  </si>
  <si>
    <t>4110</t>
  </si>
  <si>
    <t>1</t>
  </si>
  <si>
    <t>I</t>
  </si>
  <si>
    <t>KY</t>
  </si>
  <si>
    <t>RI</t>
  </si>
  <si>
    <t>AL</t>
  </si>
  <si>
    <t>AR</t>
  </si>
  <si>
    <t>HI</t>
  </si>
  <si>
    <t>0</t>
  </si>
  <si>
    <t>Current epscor state codes</t>
  </si>
  <si>
    <t>Epscor</t>
  </si>
  <si>
    <t>AK</t>
  </si>
  <si>
    <t>DE</t>
  </si>
  <si>
    <t>GU</t>
  </si>
  <si>
    <t>ID</t>
  </si>
  <si>
    <t>KS</t>
  </si>
  <si>
    <t>LA</t>
  </si>
  <si>
    <t>ME</t>
  </si>
  <si>
    <t>MS</t>
  </si>
  <si>
    <t>MO</t>
  </si>
  <si>
    <t>MT</t>
  </si>
  <si>
    <t>NE</t>
  </si>
  <si>
    <t>NV</t>
  </si>
  <si>
    <t>NH</t>
  </si>
  <si>
    <t>NM</t>
  </si>
  <si>
    <t>ND</t>
  </si>
  <si>
    <t>OK</t>
  </si>
  <si>
    <t>PR</t>
  </si>
  <si>
    <t>SC</t>
  </si>
  <si>
    <t>SD</t>
  </si>
  <si>
    <t>VI</t>
  </si>
  <si>
    <t>VT</t>
  </si>
  <si>
    <t>WV</t>
  </si>
  <si>
    <t>WY</t>
  </si>
  <si>
    <t>bas_rsch_pct</t>
  </si>
  <si>
    <t>other_pct</t>
  </si>
  <si>
    <t>EPSCoR check</t>
  </si>
  <si>
    <t>pm_logn_id (7 letters):</t>
  </si>
  <si>
    <t>Sr pers #, months</t>
  </si>
  <si>
    <t>budget data by revision</t>
  </si>
  <si>
    <t>blocks to copy for RA or budget calculatiosn</t>
  </si>
  <si>
    <t>Budget worksheet:  latest revised budget numbers by proj, proposal, &amp; year. Copy cols V-Z  into RAs or budget calculations.</t>
  </si>
  <si>
    <t>@pi email</t>
  </si>
  <si>
    <t>Country</t>
  </si>
  <si>
    <t>abst_narr_txt</t>
  </si>
  <si>
    <t>frgn_trvl_dol</t>
  </si>
  <si>
    <t>NfmlPIs</t>
  </si>
  <si>
    <t>NhispPIs</t>
  </si>
  <si>
    <t>NhndcpPIs</t>
  </si>
  <si>
    <t>NnonWhtAsnPIs</t>
  </si>
  <si>
    <t>WMD</t>
  </si>
  <si>
    <t>WMD?9102</t>
  </si>
  <si>
    <t>Nrev</t>
  </si>
  <si>
    <t>NrevUnreleasable</t>
  </si>
  <si>
    <t>NrevUnmarked</t>
  </si>
  <si>
    <t>Npanl</t>
  </si>
  <si>
    <t>NpanlUnreleasable</t>
  </si>
  <si>
    <t>NpanlUnmarked</t>
  </si>
  <si>
    <t>Available templates:</t>
  </si>
  <si>
    <t>Note: Award templates file names must begin with Awd</t>
  </si>
  <si>
    <t xml:space="preserve">            All others are  declines.</t>
  </si>
  <si>
    <t>RATemplate</t>
  </si>
  <si>
    <t>RAsigner</t>
  </si>
  <si>
    <t>RAps_note</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</si>
  <si>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</si>
  <si>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</si>
  <si>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</si>
  <si>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</si>
  <si>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</si>
  <si>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</si>
  <si>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</si>
  <si>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</si>
  <si>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</si>
  <si>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</si>
  <si>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</si>
  <si>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</si>
  <si>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</si>
  <si>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</si>
  <si>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</si>
  <si>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</si>
  <si>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</si>
  <si>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</si>
  <si>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</si>
  <si>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</si>
  <si>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</si>
  <si>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</si>
  <si>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</si>
  <si>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</si>
  <si>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</si>
  <si>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CSE</t>
  </si>
  <si>
    <t>Direct For Computer &amp; Info Scie &amp; Enginr</t>
  </si>
  <si>
    <t>NEW</t>
  </si>
  <si>
    <t>Research Grants-Not Elsewh Cla</t>
  </si>
  <si>
    <t>PEND</t>
  </si>
  <si>
    <t>Pending, Review Package Produced</t>
  </si>
  <si>
    <t>Awd RAt.docx</t>
  </si>
  <si>
    <t>Decline RAt.docx</t>
  </si>
  <si>
    <t>R</t>
  </si>
  <si>
    <t>Std Decline RAt.docx</t>
  </si>
  <si>
    <t>Std AitF Decline RAt.docx</t>
  </si>
  <si>
    <t>sign_blck_name</t>
  </si>
  <si>
    <t>RecRkMin</t>
  </si>
  <si>
    <t>Std Tripods Decline RAt.docx</t>
  </si>
  <si>
    <t>RAfname</t>
  </si>
  <si>
    <t>docType</t>
  </si>
  <si>
    <t>pm_logn_id</t>
  </si>
  <si>
    <t>panl_revr_id</t>
  </si>
  <si>
    <t>name</t>
  </si>
  <si>
    <t>info</t>
  </si>
  <si>
    <t>type</t>
  </si>
  <si>
    <t>stts</t>
  </si>
  <si>
    <t>due</t>
  </si>
  <si>
    <t>returned</t>
  </si>
  <si>
    <t>nchars</t>
  </si>
  <si>
    <t>nwords</t>
  </si>
  <si>
    <t>score</t>
  </si>
  <si>
    <t>text</t>
  </si>
  <si>
    <t>3</t>
  </si>
  <si>
    <t>Review</t>
  </si>
  <si>
    <t>G</t>
  </si>
  <si>
    <t>SummProj</t>
  </si>
  <si>
    <t>2</t>
  </si>
  <si>
    <t>E/V</t>
  </si>
  <si>
    <t>V</t>
  </si>
  <si>
    <t>4</t>
  </si>
  <si>
    <t>F</t>
  </si>
  <si>
    <t>V/G</t>
  </si>
  <si>
    <t>G/F</t>
  </si>
  <si>
    <t>Total</t>
  </si>
  <si>
    <t xml:space="preserve"> PanlSumm</t>
  </si>
  <si>
    <t>R:\RAtemplates</t>
  </si>
  <si>
    <t>R:\RAoutput</t>
  </si>
  <si>
    <t>Competitive</t>
  </si>
  <si>
    <t>C</t>
  </si>
  <si>
    <t>Jack Snoeyink</t>
  </si>
  <si>
    <t>P</t>
  </si>
  <si>
    <t>Decline BSF RAt.docx</t>
  </si>
  <si>
    <t>Decline BSF2 RAt.docx</t>
  </si>
  <si>
    <t>E,V,G,F,P</t>
  </si>
  <si>
    <t>@PI</t>
  </si>
  <si>
    <t>@all</t>
  </si>
  <si>
    <t>SUNY Buffalo</t>
  </si>
  <si>
    <t>F/P</t>
  </si>
  <si>
    <t>05010000</t>
  </si>
  <si>
    <t>MIT</t>
  </si>
  <si>
    <t>CCF</t>
  </si>
  <si>
    <t>Division of Computing and Communication Foundations</t>
  </si>
  <si>
    <t>Decline: select template</t>
  </si>
  <si>
    <t>Awds: select template</t>
  </si>
  <si>
    <t>Preferences</t>
  </si>
  <si>
    <t>Autoload to eJacket Preferences</t>
  </si>
  <si>
    <t>by populating mail merge templates from reportserver data.</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</si>
  <si>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</si>
  <si>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</si>
  <si>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</si>
  <si>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</si>
  <si>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</si>
  <si>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</si>
  <si>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</si>
  <si>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</si>
  <si>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</si>
  <si>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</si>
  <si>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</si>
  <si>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</si>
  <si>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r>
      <t xml:space="preserve">Pick RA templates </t>
    </r>
    <r>
      <rPr>
        <sz val="9"/>
        <color theme="3" tint="-0.249977111117893"/>
        <rFont val="Calibri"/>
        <family val="2"/>
        <scheme val="minor"/>
      </rPr>
      <t>(above each table)</t>
    </r>
  </si>
  <si>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</si>
  <si>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Standard Declines: autoloaded to eJacket</t>
  </si>
  <si>
    <t>international?</t>
  </si>
  <si>
    <t>Revs &amp; Panl release</t>
  </si>
  <si>
    <t>Human &amp; Vertibrate</t>
  </si>
  <si>
    <t>demographics</t>
  </si>
  <si>
    <t xml:space="preserve">            Auto decline templates must begin with Std</t>
  </si>
  <si>
    <t>Set Autoload Preferences on RoboRA tab</t>
  </si>
  <si>
    <t>Query preferences</t>
  </si>
  <si>
    <t>delay (increase if eJacket can't keep up.)</t>
  </si>
  <si>
    <t>email PI</t>
  </si>
  <si>
    <t>Directories</t>
  </si>
  <si>
    <t>for RA templates:</t>
  </si>
  <si>
    <t>for filled-in RA drafts:</t>
  </si>
  <si>
    <t>NSF 17-537</t>
  </si>
  <si>
    <t>HC</t>
  </si>
  <si>
    <t>U of Washington</t>
  </si>
  <si>
    <t>Highly Competitive</t>
  </si>
  <si>
    <t>Faculty Early Career Development Program</t>
  </si>
  <si>
    <t>U of Wisconsin Madison</t>
  </si>
  <si>
    <t>Benjamin</t>
  </si>
  <si>
    <t>LC</t>
  </si>
  <si>
    <t>Low Competitive</t>
  </si>
  <si>
    <t>1045</t>
  </si>
  <si>
    <t>Chen</t>
  </si>
  <si>
    <t>E</t>
  </si>
  <si>
    <t>7</t>
  </si>
  <si>
    <t>6</t>
  </si>
  <si>
    <t>5</t>
  </si>
  <si>
    <t>E,E/V,V,V</t>
  </si>
  <si>
    <t xml:space="preserve"> E,E/V,V,V</t>
  </si>
  <si>
    <t>Michael</t>
  </si>
  <si>
    <t xml:space="preserve">        </t>
  </si>
  <si>
    <t>02</t>
  </si>
  <si>
    <t>CO</t>
  </si>
  <si>
    <t>PA</t>
  </si>
  <si>
    <t>0038950000</t>
  </si>
  <si>
    <t>WI</t>
  </si>
  <si>
    <t>0037986000</t>
  </si>
  <si>
    <t>WA</t>
  </si>
  <si>
    <t>CA</t>
  </si>
  <si>
    <t xml:space="preserve">1045      </t>
  </si>
  <si>
    <t>0021782000</t>
  </si>
  <si>
    <t>MA</t>
  </si>
  <si>
    <t>0028373000</t>
  </si>
  <si>
    <t>NY</t>
  </si>
  <si>
    <t>MD</t>
  </si>
  <si>
    <t>GA</t>
  </si>
  <si>
    <t>7798</t>
  </si>
  <si>
    <t>ABANERJ</t>
  </si>
  <si>
    <t>1749539</t>
  </si>
  <si>
    <t>Ziarek</t>
  </si>
  <si>
    <t>lziarek@buffalo.edu</t>
  </si>
  <si>
    <t>NAMLA</t>
  </si>
  <si>
    <t>1749570</t>
  </si>
  <si>
    <t>Tatlock</t>
  </si>
  <si>
    <t>ztatlock@cs.washington.edu</t>
  </si>
  <si>
    <t>1749576</t>
  </si>
  <si>
    <t>Mainland</t>
  </si>
  <si>
    <t>Drexel University</t>
  </si>
  <si>
    <t>gbm26@drexel.edu</t>
  </si>
  <si>
    <t>1749654</t>
  </si>
  <si>
    <t>Gordon</t>
  </si>
  <si>
    <t>csg63@drexel.edu</t>
  </si>
  <si>
    <t>1749960</t>
  </si>
  <si>
    <t>Guha</t>
  </si>
  <si>
    <t>U of Massachusetts Amherst</t>
  </si>
  <si>
    <t>arjun@cs.umass.edu</t>
  </si>
  <si>
    <t>1750019</t>
  </si>
  <si>
    <t>Eades III</t>
  </si>
  <si>
    <t>AURI</t>
  </si>
  <si>
    <t>heades@augusta.edu</t>
  </si>
  <si>
    <t>1750142</t>
  </si>
  <si>
    <t>Zhang</t>
  </si>
  <si>
    <t>PA St U University Park</t>
  </si>
  <si>
    <t>zhang@cse.psu.edu</t>
  </si>
  <si>
    <t>1750465</t>
  </si>
  <si>
    <t>Greenberg</t>
  </si>
  <si>
    <t>Pomona College</t>
  </si>
  <si>
    <t>michael.greenberg@pomona.edu</t>
  </si>
  <si>
    <t>1750482</t>
  </si>
  <si>
    <t>Wood</t>
  </si>
  <si>
    <t>Wellesley College</t>
  </si>
  <si>
    <t>bwood5@wellesley.edu</t>
  </si>
  <si>
    <t>1750514</t>
  </si>
  <si>
    <t>Tobin-Hochstadt</t>
  </si>
  <si>
    <t>Indiana University</t>
  </si>
  <si>
    <t>samth@cs.indiana.edu</t>
  </si>
  <si>
    <t>1750886</t>
  </si>
  <si>
    <t>Univ of Louisiana at Lafay</t>
  </si>
  <si>
    <t>sxc2311@louisiana.edu</t>
  </si>
  <si>
    <t>1750965</t>
  </si>
  <si>
    <t>D'Antoni</t>
  </si>
  <si>
    <t>loris@cs.wisc.edu</t>
  </si>
  <si>
    <t>1751011</t>
  </si>
  <si>
    <t>Carbin</t>
  </si>
  <si>
    <t>mcarbin@csail.mit.edu</t>
  </si>
  <si>
    <t>1751185</t>
  </si>
  <si>
    <t>Khatchadourian</t>
  </si>
  <si>
    <t>CUNY Hunter College</t>
  </si>
  <si>
    <t>raffi.khatchadourian@hunter.cuny.edu</t>
  </si>
  <si>
    <t>1751195</t>
  </si>
  <si>
    <t>Van Horn</t>
  </si>
  <si>
    <t>U of MD College Park</t>
  </si>
  <si>
    <t>dvanhorn@cs.umd.edu</t>
  </si>
  <si>
    <t>1751333</t>
  </si>
  <si>
    <t>Cerny</t>
  </si>
  <si>
    <t>U of Colorado Boulder</t>
  </si>
  <si>
    <t>pavol.cerny@colorado.edu</t>
  </si>
  <si>
    <t>9</t>
  </si>
  <si>
    <t>Sheng</t>
  </si>
  <si>
    <t>CAREER: Making Type Error Debugging Work</t>
  </si>
  <si>
    <t>Loris</t>
  </si>
  <si>
    <t>CAREER: Program Synthesis with Quantitative Guarantees</t>
  </si>
  <si>
    <t>Zachary</t>
  </si>
  <si>
    <t>CAREER: Verifying Distributed System Implementations</t>
  </si>
  <si>
    <t>CAREER: A Programming Language for Developing Software to Execute Reliably on Unreliable Hardware</t>
  </si>
  <si>
    <t>Colin</t>
  </si>
  <si>
    <t>CAREER:Verifying OS Kernels with Modal Abstractions of Systems Concepts</t>
  </si>
  <si>
    <t>CAREER: Interactive Programming and the POSIX Shell</t>
  </si>
  <si>
    <t>Lukasz</t>
  </si>
  <si>
    <t>CAREER: Enabling Adaptable, Object Oriented, Real-time Systems</t>
  </si>
  <si>
    <t>David</t>
  </si>
  <si>
    <t>CAREER: Gradual Verification for Expressive Languages</t>
  </si>
  <si>
    <t>Sam</t>
  </si>
  <si>
    <t>CAREER: Gradually Strengthening Software Assurance</t>
  </si>
  <si>
    <t>Geoffrey</t>
  </si>
  <si>
    <t>CAREER: Domain-Specific Languages for Heterogeneous Systems</t>
  </si>
  <si>
    <t>Arjun</t>
  </si>
  <si>
    <t>CAREER: Programming in the Post-PC Era</t>
  </si>
  <si>
    <t>Harley</t>
  </si>
  <si>
    <t>CAREER: Tenli: A Platform that Takes the Verification of Resource Dependent Systems Seriously</t>
  </si>
  <si>
    <t>Danfeng</t>
  </si>
  <si>
    <t>CAREER: Dependently Typed Low-Level Code for Timing-Sensitive Information Flow Security</t>
  </si>
  <si>
    <t>CAREER: Flexible Dynamic Sharing Analysis: From Specialization to Specification</t>
  </si>
  <si>
    <t>Raffi</t>
  </si>
  <si>
    <t>CAREER: Analyses and Transformations for Imperative Programs with Functional Features</t>
  </si>
  <si>
    <t>Pavol</t>
  </si>
  <si>
    <t>CAREER: Event-driven network programming</t>
  </si>
  <si>
    <t xml:space="preserve">Germany; Spain; Sweden     </t>
  </si>
  <si>
    <t>269907951</t>
  </si>
  <si>
    <t>269949912</t>
  </si>
  <si>
    <t>0032565000</t>
  </si>
  <si>
    <t>269938225</t>
  </si>
  <si>
    <t>269967120</t>
  </si>
  <si>
    <t>0022210000</t>
  </si>
  <si>
    <t>269912141</t>
  </si>
  <si>
    <t>0015792001</t>
  </si>
  <si>
    <t>269960019</t>
  </si>
  <si>
    <t xml:space="preserve">France; Spain; United Kingdom     </t>
  </si>
  <si>
    <t>0033290000</t>
  </si>
  <si>
    <t>269963396</t>
  </si>
  <si>
    <t>0011734000</t>
  </si>
  <si>
    <t>269997170</t>
  </si>
  <si>
    <t>0022244000</t>
  </si>
  <si>
    <t>269979938</t>
  </si>
  <si>
    <t>0018093000</t>
  </si>
  <si>
    <t>IN</t>
  </si>
  <si>
    <t>269895771</t>
  </si>
  <si>
    <t xml:space="preserve">1045 9150     </t>
  </si>
  <si>
    <t>0020313000</t>
  </si>
  <si>
    <t>269965193</t>
  </si>
  <si>
    <t>269962588</t>
  </si>
  <si>
    <t>269975977</t>
  </si>
  <si>
    <t xml:space="preserve">United Kingdom; Worldwide      </t>
  </si>
  <si>
    <t>0026898000</t>
  </si>
  <si>
    <t>269961722</t>
  </si>
  <si>
    <t>0021030000</t>
  </si>
  <si>
    <t>269868325</t>
  </si>
  <si>
    <t>0013706000</t>
  </si>
  <si>
    <t>269913886</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</si>
  <si>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</si>
  <si>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</si>
  <si>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</si>
  <si>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</si>
  <si>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</si>
  <si>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</si>
  <si>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</si>
  <si>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</si>
  <si>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</si>
  <si>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</si>
  <si>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</si>
  <si>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</si>
  <si>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</si>
  <si>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</si>
  <si>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</si>
  <si>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</si>
  <si>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</si>
  <si>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</si>
  <si>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</si>
  <si>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</si>
  <si>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</si>
  <si>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</si>
  <si>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</si>
  <si>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</si>
  <si>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</si>
  <si>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</si>
  <si>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</si>
  <si>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</si>
  <si>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</si>
  <si>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Cognisant Program Director</t>
  </si>
  <si>
    <r>
      <t xml:space="preserve">Signature block: </t>
    </r>
    <r>
      <rPr>
        <sz val="10"/>
        <color theme="5" tint="-0.499984740745262"/>
        <rFont val="Calibri"/>
        <family val="2"/>
        <scheme val="minor"/>
      </rPr>
      <t>Use PD for managing program director.</t>
    </r>
  </si>
  <si>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</si>
  <si>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</si>
  <si>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</si>
  <si>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</si>
  <si>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</si>
  <si>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</si>
  <si>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</si>
  <si>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</si>
  <si>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</si>
  <si>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</si>
  <si>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</si>
  <si>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</si>
  <si>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</si>
  <si>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</si>
  <si>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</si>
  <si>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</si>
  <si>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</si>
  <si>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</si>
  <si>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</si>
  <si>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</si>
  <si>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</si>
  <si>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</si>
  <si>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</si>
  <si>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CCfdata11/17</t>
  </si>
  <si>
    <t>p172027,p170288,p180207,p180208</t>
  </si>
  <si>
    <t>PRC</t>
  </si>
  <si>
    <t>PRC_Description</t>
  </si>
  <si>
    <t>CAREER: FACULTY EARLY CAR DEV</t>
  </si>
  <si>
    <t>7926</t>
  </si>
  <si>
    <t>ALGORITHMS</t>
  </si>
  <si>
    <t>7929</t>
  </si>
  <si>
    <t>COMPUTATIONAL GEOMETRY</t>
  </si>
  <si>
    <t>7933</t>
  </si>
  <si>
    <t>NUM, SYMBOL, &amp; ALGEBRA COMPUT</t>
  </si>
  <si>
    <t>7934</t>
  </si>
  <si>
    <t>PARAL/DISTRIBUTED ALGORITHMS</t>
  </si>
  <si>
    <t>8228</t>
  </si>
  <si>
    <t>CISE Resrch Initiatn Initiatve</t>
  </si>
  <si>
    <t>9150</t>
  </si>
  <si>
    <t>EXP PROG TO STIM COMP RES</t>
  </si>
  <si>
    <t>1749173</t>
  </si>
  <si>
    <t>1749385</t>
  </si>
  <si>
    <t>1749414</t>
  </si>
  <si>
    <t>1749563</t>
  </si>
  <si>
    <t>1749609</t>
  </si>
  <si>
    <t>1749678</t>
  </si>
  <si>
    <t>1749734</t>
  </si>
  <si>
    <t>1749748</t>
  </si>
  <si>
    <t>1749977</t>
  </si>
  <si>
    <t>1750039</t>
  </si>
  <si>
    <t>1750076</t>
  </si>
  <si>
    <t>1750118</t>
  </si>
  <si>
    <t>1750127</t>
  </si>
  <si>
    <t>1750140</t>
  </si>
  <si>
    <t>1750302</t>
  </si>
  <si>
    <t>1750333</t>
  </si>
  <si>
    <t>1750463</t>
  </si>
  <si>
    <t>1750780</t>
  </si>
  <si>
    <t>1751047</t>
  </si>
  <si>
    <t>1751102</t>
  </si>
  <si>
    <t>1751135</t>
  </si>
  <si>
    <t>1751254</t>
  </si>
  <si>
    <t>1751416</t>
  </si>
  <si>
    <t>1755481</t>
  </si>
  <si>
    <t>1755702</t>
  </si>
  <si>
    <t>1755791</t>
  </si>
  <si>
    <t>1755847</t>
  </si>
  <si>
    <t>1755881</t>
  </si>
  <si>
    <t>1755954</t>
  </si>
  <si>
    <t>1755978</t>
  </si>
  <si>
    <t>1756014</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</si>
  <si>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</si>
  <si>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</si>
  <si>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</si>
  <si>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</si>
  <si>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</si>
  <si>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</si>
  <si>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</si>
  <si>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</si>
  <si>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</si>
  <si>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</si>
  <si>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</si>
  <si>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</si>
  <si>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</si>
  <si>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</si>
  <si>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</si>
  <si>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</si>
  <si>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</si>
  <si>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</si>
  <si>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</si>
  <si>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CAR17-18</t>
  </si>
  <si>
    <t>7796</t>
  </si>
  <si>
    <t>JSNOEYI</t>
  </si>
  <si>
    <t>Borgwardt</t>
  </si>
  <si>
    <t>Steffen</t>
  </si>
  <si>
    <t>U of Colorado Denver</t>
  </si>
  <si>
    <t>steffen.borgwardt@ucdenver.edu</t>
  </si>
  <si>
    <t>1045 7926</t>
  </si>
  <si>
    <t>V,F,F,F/P</t>
  </si>
  <si>
    <t>CAREER: Algorithms for Optimal Walks</t>
  </si>
  <si>
    <t>Wang</t>
  </si>
  <si>
    <t>Haitao</t>
  </si>
  <si>
    <t>Utah State University</t>
  </si>
  <si>
    <t>UT</t>
  </si>
  <si>
    <t>haitao.wang@usu.edu</t>
  </si>
  <si>
    <t>1045 7929</t>
  </si>
  <si>
    <t>E,V,G,G/F</t>
  </si>
  <si>
    <t>CAREER: Algorithms for Shortest Paths and Related Problems in Computational Geometry</t>
  </si>
  <si>
    <t>RSHAH</t>
  </si>
  <si>
    <t>Moseley</t>
  </si>
  <si>
    <t>Carnegie Mellon University</t>
  </si>
  <si>
    <t>bmoseley@seas.wustl.edu</t>
  </si>
  <si>
    <t>1045 7934</t>
  </si>
  <si>
    <t>E,E/V,V,G,G</t>
  </si>
  <si>
    <t>CAREER: Scaling Computation via Massively Distributed Algorithms</t>
  </si>
  <si>
    <t>Del Pia</t>
  </si>
  <si>
    <t>Alberto</t>
  </si>
  <si>
    <t>delpia@wisc.edu</t>
  </si>
  <si>
    <t>E/V,V,V,V/G</t>
  </si>
  <si>
    <t>CAREER: Mixed-Integer Quadratic Optimization: Algorithms and Complexity</t>
  </si>
  <si>
    <t>Lee</t>
  </si>
  <si>
    <t>Yin Tat</t>
  </si>
  <si>
    <t>yintat@uw.edu</t>
  </si>
  <si>
    <t>E,E,E/V,V/G</t>
  </si>
  <si>
    <t>CAREER: The Interplay between Combinatorial Optimization and Algorithmic Convex Geometry</t>
  </si>
  <si>
    <t>Im</t>
  </si>
  <si>
    <t>Sungjin</t>
  </si>
  <si>
    <t>U of Cal - Merced</t>
  </si>
  <si>
    <t>sim3@ucmerced.edu</t>
  </si>
  <si>
    <t>V,V,V,G</t>
  </si>
  <si>
    <t>CAREER: New Algorithmic Foundations for Online Scheduling</t>
  </si>
  <si>
    <t>Sidford</t>
  </si>
  <si>
    <t>Aaron</t>
  </si>
  <si>
    <t>Stanford University</t>
  </si>
  <si>
    <t>sidford@stanford.edu</t>
  </si>
  <si>
    <t>E,V,V,V</t>
  </si>
  <si>
    <t>CAREER: Theory of Fast Graph Optimization</t>
  </si>
  <si>
    <t>TKIMBRE</t>
  </si>
  <si>
    <t>Chandrasekaran</t>
  </si>
  <si>
    <t>Karthekeyan</t>
  </si>
  <si>
    <t>U of Ill Urbana-Champaign</t>
  </si>
  <si>
    <t>IL</t>
  </si>
  <si>
    <t>karthe@illinois.edu</t>
  </si>
  <si>
    <t>E/V,V,V,G</t>
  </si>
  <si>
    <t>CAREER: Frontiers in the Algorithmic Theory of Cutting Planes</t>
  </si>
  <si>
    <t>Solomon</t>
  </si>
  <si>
    <t>Justin</t>
  </si>
  <si>
    <t>jsolomon@mit.edu</t>
  </si>
  <si>
    <t>E,V,V/G,F</t>
  </si>
  <si>
    <t>CAREER: Structured Optimization for Geometric Problems</t>
  </si>
  <si>
    <t>Solomonik</t>
  </si>
  <si>
    <t>Edgar</t>
  </si>
  <si>
    <t>solomon2@illinois.edu</t>
  </si>
  <si>
    <t>G,G,G,F</t>
  </si>
  <si>
    <t>CAREER: Scalable algorithms for tensor networks</t>
  </si>
  <si>
    <t>Schroeder</t>
  </si>
  <si>
    <t>Craig</t>
  </si>
  <si>
    <t>U of Cal Riverside</t>
  </si>
  <si>
    <t>craig@ucr.edu</t>
  </si>
  <si>
    <t>1045 7933</t>
  </si>
  <si>
    <t>V,F,F,F</t>
  </si>
  <si>
    <t>CAREER: Addressing robustness in numerical simulation of nonlinear elastic solids through optimization integration and improved collision treatments</t>
  </si>
  <si>
    <t>Li</t>
  </si>
  <si>
    <t>Shi</t>
  </si>
  <si>
    <t>shil@buffalo.edu</t>
  </si>
  <si>
    <t>V,G,G,G/F</t>
  </si>
  <si>
    <t>CAREER: CCF: Approximate Scheduling Algorithms via Mathematical Relaxations</t>
  </si>
  <si>
    <t>Nagarajan</t>
  </si>
  <si>
    <t>Viswanath</t>
  </si>
  <si>
    <t>University of Michigan</t>
  </si>
  <si>
    <t>MI</t>
  </si>
  <si>
    <t>viswa@umich.edu</t>
  </si>
  <si>
    <t>E,V,V,G</t>
  </si>
  <si>
    <t>CAREER: New Mathematical Programming Techniques in Approximation and Online Algorithms</t>
  </si>
  <si>
    <t>Panigrahi</t>
  </si>
  <si>
    <t>Debmalya</t>
  </si>
  <si>
    <t>Duke University</t>
  </si>
  <si>
    <t>NC</t>
  </si>
  <si>
    <t>debmalya.panigrahi@gmail.com</t>
  </si>
  <si>
    <t>CAREER: New Directions in Graph Algorithms</t>
  </si>
  <si>
    <t>Dinitz</t>
  </si>
  <si>
    <t>Johns Hopkins University</t>
  </si>
  <si>
    <t>mdinitz@cs.jhu.edu</t>
  </si>
  <si>
    <t>E/V,V,V/G,V/G</t>
  </si>
  <si>
    <t>CAREER: Optimizing Distances: Compression and Network Design</t>
  </si>
  <si>
    <t>Ene</t>
  </si>
  <si>
    <t>Alina</t>
  </si>
  <si>
    <t>Boston University</t>
  </si>
  <si>
    <t>aene@bu.edu</t>
  </si>
  <si>
    <t>E,E/V,E/V,G</t>
  </si>
  <si>
    <t>CAREER: New Algorithms for Submodular Optimization</t>
  </si>
  <si>
    <t>Raghvendra</t>
  </si>
  <si>
    <t>Sharath</t>
  </si>
  <si>
    <t>VA Polytechnic Inst &amp; St U</t>
  </si>
  <si>
    <t>VA</t>
  </si>
  <si>
    <t>sharathr@vt.edu</t>
  </si>
  <si>
    <t>E/V,V,V/G,G</t>
  </si>
  <si>
    <t>CAREER:Robust and Optimal Algorithms for Real-Time Pick-Up and Delivery Problems</t>
  </si>
  <si>
    <t>Raichel</t>
  </si>
  <si>
    <t>U of Texas Dallas</t>
  </si>
  <si>
    <t>TX</t>
  </si>
  <si>
    <t>Benjamin.Raichel@utdallas.edu</t>
  </si>
  <si>
    <t>CAREER:  AF: Giving Form to Data with a Geometric Scaffold</t>
  </si>
  <si>
    <t>Gibson</t>
  </si>
  <si>
    <t>Matthew</t>
  </si>
  <si>
    <t>U of Texas San Antonio</t>
  </si>
  <si>
    <t>MATTHEW.GIBSON@UTSA.EDU</t>
  </si>
  <si>
    <t>V,G,G/F,F</t>
  </si>
  <si>
    <t>CAREER: A Modern Look at Visibility Problems</t>
  </si>
  <si>
    <t>Vouga</t>
  </si>
  <si>
    <t>Paul</t>
  </si>
  <si>
    <t>U of Texas Austin</t>
  </si>
  <si>
    <t>evouga@cs.utexas.edu</t>
  </si>
  <si>
    <t>CAREER: Simulation and Design of Thin Objects Using Discrete Differential Geometry Algorithms</t>
  </si>
  <si>
    <t>Nayyeri</t>
  </si>
  <si>
    <t>Amir</t>
  </si>
  <si>
    <t>Oregon State University</t>
  </si>
  <si>
    <t>OR</t>
  </si>
  <si>
    <t>nayyeria@eecs.oregonstate.edu</t>
  </si>
  <si>
    <t>V,V,V,V/G</t>
  </si>
  <si>
    <t>CAREER: Mapping Problems in Computational Geometry and Topology</t>
  </si>
  <si>
    <t>Fasy</t>
  </si>
  <si>
    <t>Brittany</t>
  </si>
  <si>
    <t>Montana State University</t>
  </si>
  <si>
    <t>brittany@cs.montana.edu</t>
  </si>
  <si>
    <t>1045 7929 9150</t>
  </si>
  <si>
    <t>CAREER: Foundations and Applications of Statistics in TDA</t>
  </si>
  <si>
    <t>Sitchinava</t>
  </si>
  <si>
    <t>Nodari</t>
  </si>
  <si>
    <t>U of Hawaii</t>
  </si>
  <si>
    <t>nodari@hawaii.edu</t>
  </si>
  <si>
    <t>1045 7934 9150</t>
  </si>
  <si>
    <t>V,V/G,G,G/F</t>
  </si>
  <si>
    <t>CAREER: Locality-Conscious Parallel Algorithms</t>
  </si>
  <si>
    <t>FY18CRII</t>
  </si>
  <si>
    <t>NSF 17-552</t>
  </si>
  <si>
    <t>026Y</t>
  </si>
  <si>
    <t>Kai</t>
  </si>
  <si>
    <t>Ga. Southern Univ. R&amp;S Fdn</t>
  </si>
  <si>
    <t>kwang@georgiasouthern.edu</t>
  </si>
  <si>
    <t>7926 8228</t>
  </si>
  <si>
    <t>G/F,F,F,F</t>
  </si>
  <si>
    <t>CRII: AF: fast maximum edge-weight clique solvers and their applications</t>
  </si>
  <si>
    <t>Charkhgard</t>
  </si>
  <si>
    <t>Hadi</t>
  </si>
  <si>
    <t>U of South Florida</t>
  </si>
  <si>
    <t>FL</t>
  </si>
  <si>
    <t>hcharkhgard@usf.edu</t>
  </si>
  <si>
    <t>G,G,G</t>
  </si>
  <si>
    <t>CRII: AF: Theory and Algorithms for Two Classes of Optimization Problems: Multi-objective Binary Linear Programs and Single-objective Maximum Multiplicative Programs</t>
  </si>
  <si>
    <t>Goswami</t>
  </si>
  <si>
    <t>Mayank</t>
  </si>
  <si>
    <t>CUNY Queens College</t>
  </si>
  <si>
    <t>Mayank.Goswami@qc.cuny.edu</t>
  </si>
  <si>
    <t>V,V,V</t>
  </si>
  <si>
    <t>CRII: AF: RUI: Faster and Cache-Efficient Similarity Filters and Searches for Big Data</t>
  </si>
  <si>
    <t>Sun</t>
  </si>
  <si>
    <t>Ruoyu</t>
  </si>
  <si>
    <t>ruoyus@illinois.edu</t>
  </si>
  <si>
    <t>7933 8228</t>
  </si>
  <si>
    <t>V,V/G,V/G</t>
  </si>
  <si>
    <t>CRII: AF: Towards Faster Algorithms for Large-scale Constrained Optimization</t>
  </si>
  <si>
    <t>San</t>
  </si>
  <si>
    <t>Omer</t>
  </si>
  <si>
    <t>Oklahoma State University</t>
  </si>
  <si>
    <t>osan@okstate.edu</t>
  </si>
  <si>
    <t>7933 8228 9150</t>
  </si>
  <si>
    <t>E/V,G,F</t>
  </si>
  <si>
    <t>CRII: AF: Generalized Deconvolution Algorithms for Coarse-Grained Simulations of Nonlinear Multiscale Systems</t>
  </si>
  <si>
    <t>Hajimirza</t>
  </si>
  <si>
    <t>Shima</t>
  </si>
  <si>
    <t>Texas Engineering Exp Sta</t>
  </si>
  <si>
    <t>shima.hm@tamu.edu</t>
  </si>
  <si>
    <t>V,G,G/F</t>
  </si>
  <si>
    <t>CRII: AF:Bayesian Framework for Efficient Surrogate Modeling and Learning of Probabilistic Functions Based on Large Scale Monte Carlo Simulations</t>
  </si>
  <si>
    <t>Gangammanavar</t>
  </si>
  <si>
    <t>Harsha</t>
  </si>
  <si>
    <t>Southern Methodist Univ</t>
  </si>
  <si>
    <t>harsha@smu.edu</t>
  </si>
  <si>
    <t>V/G,G,F</t>
  </si>
  <si>
    <t>CRII:AF: Stochastic Programming Decomposition Model and Algorithm for Discrete-event Dynamic Systems</t>
  </si>
  <si>
    <t>Lin</t>
  </si>
  <si>
    <t>U of Houston</t>
  </si>
  <si>
    <t>lchen49@central.uh.edu</t>
  </si>
  <si>
    <t>V,V/G,G</t>
  </si>
  <si>
    <t>CRII: AF: Polynomial Time Approximation Schemes Subexponential in the Parameter</t>
  </si>
  <si>
    <t>rec0</t>
  </si>
  <si>
    <t>rec1</t>
  </si>
  <si>
    <t>rec2</t>
  </si>
  <si>
    <t>minScore</t>
  </si>
  <si>
    <t>maxScore</t>
  </si>
  <si>
    <t>PanlString0</t>
  </si>
  <si>
    <t>pnlst0</t>
  </si>
  <si>
    <t>confl0</t>
  </si>
  <si>
    <t>PanlString1</t>
  </si>
  <si>
    <t>pnlst1</t>
  </si>
  <si>
    <t>confl1</t>
  </si>
  <si>
    <t>PanlString2</t>
  </si>
  <si>
    <t>pnlst2</t>
  </si>
  <si>
    <t>confl2</t>
  </si>
  <si>
    <t>Div_name</t>
  </si>
  <si>
    <t>natr_rqst_txt</t>
  </si>
  <si>
    <t>P180207</t>
  </si>
  <si>
    <t>Not Competitive</t>
  </si>
  <si>
    <t>AF CAREER/CRII Panel A</t>
  </si>
  <si>
    <t xml:space="preserve"> V,F,F,F/P</t>
  </si>
  <si>
    <t>31 rated projects: 3 HC, 12 C, 10 LC, 6 NC</t>
  </si>
  <si>
    <t>ALGORITHMIC FOUNDATIONS</t>
  </si>
  <si>
    <t>New Project</t>
  </si>
  <si>
    <t xml:space="preserve">steffen.borgwardt@ucdenver.edu      </t>
  </si>
  <si>
    <t xml:space="preserve"> E,V,G,G/F</t>
  </si>
  <si>
    <t xml:space="preserve">haitao.wang@usu.edu      </t>
  </si>
  <si>
    <t xml:space="preserve"> E,E/V,V,G,G</t>
  </si>
  <si>
    <t>Rahul Shah</t>
  </si>
  <si>
    <t xml:space="preserve">bmoseley@seas.wustl.edu      </t>
  </si>
  <si>
    <t xml:space="preserve"> E/V,V,V,V/G</t>
  </si>
  <si>
    <t xml:space="preserve">delpia@wisc.edu      </t>
  </si>
  <si>
    <t xml:space="preserve"> E,E,E/V,V/G</t>
  </si>
  <si>
    <t xml:space="preserve">yintat@uw.edu      </t>
  </si>
  <si>
    <t xml:space="preserve"> V,V,V,G</t>
  </si>
  <si>
    <t xml:space="preserve">sim3@ucmerced.edu      </t>
  </si>
  <si>
    <t xml:space="preserve"> E,V,V,V</t>
  </si>
  <si>
    <t xml:space="preserve">sidford@stanford.edu      </t>
  </si>
  <si>
    <t xml:space="preserve"> E/V,V,V,G</t>
  </si>
  <si>
    <t>Tracy J. Kimbrel</t>
  </si>
  <si>
    <t xml:space="preserve">karthe@illinois.edu      </t>
  </si>
  <si>
    <t xml:space="preserve"> E,V,V/G,F</t>
  </si>
  <si>
    <t xml:space="preserve">jsolomon@mit.edu      </t>
  </si>
  <si>
    <t xml:space="preserve"> G,G,G,F</t>
  </si>
  <si>
    <t xml:space="preserve">solomon2@illinois.edu      </t>
  </si>
  <si>
    <t xml:space="preserve"> V,F,F,F</t>
  </si>
  <si>
    <t xml:space="preserve">craig@ucr.edu      </t>
  </si>
  <si>
    <t xml:space="preserve"> V,G,G,G/F</t>
  </si>
  <si>
    <t xml:space="preserve">shil@buffalo.edu      </t>
  </si>
  <si>
    <t xml:space="preserve"> E,V,V,G</t>
  </si>
  <si>
    <t xml:space="preserve">viswa@umich.edu      </t>
  </si>
  <si>
    <t xml:space="preserve">debmalya.panigrahi@gmail.com      </t>
  </si>
  <si>
    <t xml:space="preserve"> E/V,V,V/G,V/G</t>
  </si>
  <si>
    <t xml:space="preserve">mdinitz@cs.jhu.edu      </t>
  </si>
  <si>
    <t xml:space="preserve"> E,E/V,E/V,G</t>
  </si>
  <si>
    <t xml:space="preserve">aene@bu.edu      </t>
  </si>
  <si>
    <t xml:space="preserve"> E/V,V,V/G,G</t>
  </si>
  <si>
    <t xml:space="preserve">sharathr@vt.edu      </t>
  </si>
  <si>
    <t xml:space="preserve">Benjamin.Raichel@utdallas.edu      </t>
  </si>
  <si>
    <t xml:space="preserve"> V,G,G/F,F</t>
  </si>
  <si>
    <t xml:space="preserve">MATTHEW.GIBSON@UTSA.EDU      </t>
  </si>
  <si>
    <t xml:space="preserve">evouga@cs.utexas.edu      </t>
  </si>
  <si>
    <t xml:space="preserve"> V,V,V,V/G</t>
  </si>
  <si>
    <t xml:space="preserve">nayyeria@eecs.oregonstate.edu      </t>
  </si>
  <si>
    <t xml:space="preserve">brittany@cs.montana.edu      </t>
  </si>
  <si>
    <t xml:space="preserve"> V,V/G,G,G/F</t>
  </si>
  <si>
    <t xml:space="preserve">nodari@hawaii.edu      </t>
  </si>
  <si>
    <t xml:space="preserve"> G/F,F,F,F</t>
  </si>
  <si>
    <t>Computer and Information Science and Engineering (CISE) Research Initiation Initiative</t>
  </si>
  <si>
    <t>CRII CISE Research Initiation</t>
  </si>
  <si>
    <t xml:space="preserve">kwang@georgiasouthern.edu      </t>
  </si>
  <si>
    <t xml:space="preserve"> G,G,G</t>
  </si>
  <si>
    <t xml:space="preserve">hcharkhgard@usf.edu      </t>
  </si>
  <si>
    <t xml:space="preserve"> V,V,V</t>
  </si>
  <si>
    <t xml:space="preserve">Mayank.Goswami@qc.cuny.edu      </t>
  </si>
  <si>
    <t xml:space="preserve"> V,V/G,V/G</t>
  </si>
  <si>
    <t xml:space="preserve">ruoyus@illinois.edu      </t>
  </si>
  <si>
    <t xml:space="preserve"> E/V,G,F</t>
  </si>
  <si>
    <t xml:space="preserve">osan@okstate.edu      </t>
  </si>
  <si>
    <t xml:space="preserve"> V,G,G/F</t>
  </si>
  <si>
    <t xml:space="preserve">shima.hm@tamu.edu      </t>
  </si>
  <si>
    <t xml:space="preserve"> V/G,G,F</t>
  </si>
  <si>
    <t xml:space="preserve">harsha@smu.edu      </t>
  </si>
  <si>
    <t xml:space="preserve"> V,V/G,G</t>
  </si>
  <si>
    <t xml:space="preserve">lchen49@central.uh.edu      </t>
  </si>
  <si>
    <t>cntxt stmt</t>
  </si>
  <si>
    <t>NSF 00-000</t>
  </si>
  <si>
    <t>12345678</t>
  </si>
  <si>
    <t>1234</t>
  </si>
  <si>
    <t>12345</t>
  </si>
  <si>
    <t>NRFP</t>
  </si>
  <si>
    <t>1234567</t>
  </si>
  <si>
    <t>E,E/V,V,V/G,G,G/F,F,F/P,P</t>
  </si>
  <si>
    <t>This first row is needed so that mail merge formatting will be correct. Please do not remove it.  Mail merge takes its formatting from the first rows of the table............</t>
  </si>
  <si>
    <t>P1234567</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</si>
  <si>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</si>
  <si>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</si>
  <si>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</si>
  <si>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</si>
  <si>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</si>
  <si>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</si>
  <si>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</si>
  <si>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</si>
  <si>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</si>
  <si>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</si>
  <si>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PO signature name string</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</si>
  <si>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</si>
  <si>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</si>
  <si>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</si>
  <si>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</si>
  <si>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</si>
  <si>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</si>
  <si>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</si>
  <si>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</si>
  <si>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</si>
  <si>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</si>
  <si>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 Needs: RA_lead(#myPid)_x000D_
-- DROP TABLE #myPRCs, #myPRCdata_x000D_
SELECT prc.*, id=identity(18), 0 as seq_x000D_
INTO #myPRCdata_x000D_
FROM (SELECT DISTINCT p.prop_id, pa.prop_atr_code_x000D_
    FROM #myPid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</si>
  <si>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RA_lead(#myPid), RA_propPRCs(#myPRCs)_x000D_
--DROP TABLE #myPropBudg, #myProp_x000D_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#myPid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 FROM #myPid pid_x000D_
JOIN csd.prop p ON p.prop_id = pid.prop_id_x000D_
LEFT JOIN #myPRCs prc ON prc.prop_id = pid.prop_id_x000D_
LEFT JOIN #myPropBudg b ON b.prop_id = p.prop_id_x000D_
ORDER BY lead, ILN, pid.prop_id_x000D_
CREATE INDEX myProp_idx ON #myProp(prop_id)_x000D_
SELECT lead, MIN(id) as start INTO #myPropStart FROM #myProp GROUP BY lead_x000D_
UPDATE #myProp SET seq = id-M.start FROM #myProp r, #myPropStart M WHERE r.lead = M.lead_x000D_
DROP TABLE #myPropStart_x000D_
CREATE INDEX myProp_ix ON #myProp(lead)_x000D_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</si>
  <si>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_x000D_
nullif(sum(unrlsbl),0) as Nunrlsbl,nullif(sum(rlsdCDNPS),0) as NrlsdCDNPS, _x000D_
nullif(sum(pendSlct),0) as NpendSlct, nullif(sum(diffFLeJ),0) as NdiffFLeJ 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</si>
  <si>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(SELECT count(*) FROM #myRevs c WHERE confl=1 AND c.panl_id = rp.panl_id AND c.lead = rp.lead )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</si>
  <si>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</si>
  <si>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 Needs: RA_lead(#myPid,#myRA),RA_prop(#myProp,#myPropBudg),RA_revs(#myRevMarks,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#myPid p _x000D_
      UNION ALL SELECT p.prop_id, a.pi_id FROM #myPid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nsf_rcvd_date, prop_stts_txt, nullif(dd_rcom_date,'1900-01-01') AS dd_rcom_date, ra.RAupdate, _x000D_
cntx_stmt_id, prop.pgm_annc_id, prop.org_code, prop.pgm_ele_code,_x000D_
prop.pm_ibm_logn_id as PO, prop_stts_abbr,natr_rqst.natr_rqst_abbr,prop.obj_clas_code,_x000D_
org.dir_div_abbr as Div, p.lead, p.ILN, p.prop_id,_x000D_
p.L AS pi_last_name, p.F AS pi_frst_name, p.I AS inst, p.st_code, p.M as email, _x000D_
p.R as propPRCs, _x000D_
bas_rsch_pct, apld_rsch_pct+educ_trng_pct+land_buld_fix_equp_pct+mjr_equp_pct+non_invt_pct AS other_pct,  _x000D_
nPanl, nPSunmrkd, nPSunrls, RecRkMin, _x000D_
rs.nRev, rs.allReviews, rs.avg_score, rs.last_rev_date,_x000D_
Nunmkd, Nunrlsbl, NrlsdCDNPS, NpendSlct, NdiffFLeJ,_x000D_
prop.rqst_eff_date,prop.rqst_mnth_cnt,_x000D_
p.D AS rqst_tot, b.RN as brevn, b.T as budg_tot,  _x000D_
b.sub_ctr_tot, b.frgn_trav_tot, b.pdoc_tot,b.part_tot_dol, b.grad_tot_cnt, _x000D_
b.sr_tot_cnt, b.sr_sumr_mnths, b.sr_acad_mnths, b.sr_cal_mnths,_x000D_
NfmlPIs,NhispPIs,NhndcpPIs,NnonWhtAsnPIs,_x000D_
prop.prop_titl_txt_x000D_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</si>
  <si>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RA_lead(#myLead,#myRA),RA_propPRCs(#myPRCs),RA_prop(#myProp,#myPropBudg),RA_revs(#myRevs, #myRevMarks, #myRevPanl), RA_panl(#myPanl, #myProjPanl, #myProjPanlSumm)_x000D_
SELECT getdate() AS pulldate, nsf_rcvd_date, _x000D_
nullif(dd_rcom_date,'1900-01-01') AS dd_rcom_date, ra.RAupdate, _x000D_
cntx_stmt_id, prop.pgm_annc_id, prop.org_code, prop.pgm_ele_code,p.PO,_x000D_
prop_stts_abbr,natr_rqst.natr_rqst_abbr,prop.obj_clas_code,org.dir_div_abbr as Div, _x000D_
nPanl, isnull(RecRkMin,99) AS RecRkMin, pn0.RA as rec0, pn1.RA as rec1, pn2.RA as rec2, _x000D_
rs.*, -- lead, Nrev, Nunmkd, min, avg, max scores, allReviews, last_rev_date _x000D_
rm.Nunrlsbl, projTot.rqst_tot,budg_tot,budRevnMax,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PanlString1,pn0.P as pnlst1, pn0.C as confl1,_x000D_
 pn2.I AS panl_id2, pn2.RT AS RCOM_TXT2, pn2.RK AS rank2, pn2.PN AS panl_name2,pn2.E AS panl_end2,pn2.V AS revs2,pn2.S AS PanlString2,pn0.P as pnlst2, pn0.C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 mp WHERE mp.seq = 0) p0 ON p0.lead = p.lead_x000D_
LEFT JOIN (SELECT * FROM #myProp mp WHERE mp.seq = 1) p1 ON p1.lead = p.lead_x000D_
LEFT JOIN (SELECT * FROM #myProp mp WHERE mp.seq = 2) p2 ON p2.lead = p.lead_x000D_
LEFT JOIN (SELECT * FROM #myProp mp WHERE mp.seq = 3) p3 ON p3.lead = p.lead_x000D_
LEFT JOIN (SELECT * FROM #myProp mp WHERE mp.seq = 4) p4 ON p4.lead = p.lead_x000D_
LEFT JOIN (SELECT * FROM #myProp mp WHERE mp.seq = 5) p5 ON p5.lead = p.lead_x000D_
LEFT JOIN (SELECT * FROM #myProp mp WHERE mp.seq = 6) p6 ON p6.lead = p.lead_x000D_
LEFT JOIN (SELECT lead, SUM(D) AS rqst_tot, SUM(T) AS budg_tot, MAX(RN) AS budRevnMax_x000D_
           FROM #myProp GROUP BY lead) projTot ON projTot.lead = p.lead_x000D_
_x000D_
UNION ALL SELECT @olddate,@olddate,@olddate,@olddate -- example to set mail merge format.  _x000D_
,'cntxt stmt','NSF 00-000','12345678','1234','12345678','1234','12345','1234','1234'_x000D_
,0,-0.99999999,'NRFP','NRFP','NRFP','1234567',0,0,1,4.5,9,'E,E/V,V,V/G,G,G/F,F,F/P,P',@olddate, 0_x000D_
,99999999.0,99999999.0,0,@olddate,36_x000D_
,'This first row is needed so that mail merge formatting will be correct. Please do not remove it.  Mail merge takes its formatting from the first rows of the table............'_x000D_
,0,'E,V,G,F,P',@olddate_x000D_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,'P1234567','Dont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retrieved','PO signature name string','Proposal status details','Nature of request full name','Object Class full name','DIR'_x000D_
,'Directorate name retrieved by modified org_code from org. This example is for formatting; please do not remove this line............'_x000D_
,'Email of lead PI on the project','list of all emails for Pis on Lead and non-lead proposals on the project.  Does not include the co-Pis. '_x000D_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</si>
  <si>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</si>
  <si>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 xml:space="preserve">--Needs: RA_lead(#myPid,#myLead),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panl.pm_logn_id, panl_prop_summ.PANL_ID,  ' '+panl.panl_name, panl_rcom_def.RCOM_TXT,_x000D_
convert(varchar,panl_prop_summ.RCOM_SEQ_NUM), convert(varchar,panl_prop_summ.PROP_ORDR), panl.panl_bgn_date, panl_prop_summ.panl_summ_rlse_date,_x000D_
panl_rcom_def.RCOM_ABBR , panl_prop_summ.PANL_SUMM_TXT_x000D_
FROM #myLead p, FLflpdb.flp.panl_prop_summ panl_prop_summ, FLflpdb.flp.panl_rcom_def panl_rcom_def, csd.panl panl_x000D_
WHERE p.lead = panl_prop_summ.PROP_ID AND panl_prop_summ.PANL_ID = panl.panl_id_x000D_
  AND panl_prop_summ.RCOM_SEQ_NUM = panl_rcom_def.RCOM_SEQ_NUM AND panl_prop_summ.PANL_ID = panl_rcom_def.PANL_ID_x000D_
UNION ALL SELECT p.lead, p.L, 'POCmnt', p.PO, p.prop_id, cmt.cmnt_cre_id, '', '', convert(varchar,cmt.cmnt_prop_stts_code), cmt.beg_eff_date, cmt.end_eff_date,'', cmt.cmnt_x000D_
FROM #myPid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#myPid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#myPid p, FLflpdb.flp.ej_diry_note d WHERE d.prop_id = p.prop_id_x000D_
ORDER BY lead, docType, revr_last_name, revr_id_x000D_
</t>
  </si>
  <si>
    <t xml:space="preserve">-- Needs: RA_lead(#myPid),RA_propPRCs(#myPRCs),RA_prop(#myProp,#myPropBudg),RA_revs(#myRevs, #myRevMarks, #myRevPanl), RA_panl(#myPanl, #myProjPanl, #myProjPanlSumm)_x000D_
--DROP TABLE #myCtry, #myCovrInfo, #myBudgPRC_x000D_
SELECT prop_id,R,id=identity(18), 0 as 'seq'_x000D_
INTO #myBudgPRC FROM (SELECT DISTINCT p.prop_id,bpr.pgm_ref_code AS R_x000D_
      FROM #myPid p_x000D_
      JOIN csd.budg_pgm_ref bpr ON bpr.prop_id = p.prop_id) bpr_x000D_
ORDER BY prop_id,R_x000D_
SELECT prop_id,MIN(id) as 'start'INTO #mySt2 FROM #myBudgPRC _x000D_
GROUP BY prop_id_x000D_
UPDATE #myBudgPRC set seq = id-M.start FROM #myBudgPRC rb, #mySt2 M_x000D_
WHERE rb.prop_id = M.prop_id _x000D_
CREATE INDEX myBudgPRC ON #myBudgPRC(prop_id, seq)_x000D_
drop table #mySt2_x000D_
_x000D_
_x000D_
SELECT p.prop_id, ctry.ctry_name, id=identity(18), 0 as 'seq' _x000D_
INTO #myCtry FROM #myPid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CASE WHEN PC.VERT_DATE is not NULL THEN convert(varchar(10),PC.VERT_DATE,1) WHEN PC.vrtb_date_pend_flag='Y' THEN 'Pend' END AS vrtb_date_x000D_
INTO #myCovrInfo FROM #myPid p_x000D_
JOIN csd.prop_subm_ctl_vw psc ON psc.prop_id = p.prop_id_x000D_
JOIN FLflpdb.flp.PROP_COVR PC ON PC.TEMP_PROP_ID = psc.TEMP_PROP_ID_x000D_
CREATE INDEX myCovrInfo_ix ON #myCovrInfo(prop_id)_x000D_
_x000D_
-- checking those recommended for award_x000D_
SELECT nsf_rcvd_date, prop_stts_txt, nullif(dd_rcom_date,'1900-01-01') AS dd_rcom_date, ra.RAupdate, _x000D_
cntx_stmt_id, prop.pgm_annc_id, prop.org_code, prop.pgm_ele_code,_x000D_
p.PO, prop_stts_abbr,natr_rqst.natr_rqst_abbr,prop.obj_clas_code,ai.awd_istr_abbr as rcom_istr_abbr,_x000D_
org.dir_div_abbr as Div, p.lead, p.ILN, p.prop_id,_x000D_
p.L AS pi_last_name, p.F AS pi_frst_name, p.I AS inst, p.st_code, p.M as email,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#myBudgPRC bp WHERE bp.prop_id = p.prop_id) AS bPRCs,_x000D_
c.humn_date, c.vrtb_date,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prop.rqst_eff_date,prop.rqst_mnth_cnt,_x000D_
p.D AS rqst_tot, b.RN as brevn, b.T as budg_tot, _x000D_
nullif((SELECT sum(budg_splt_tot_dol) FROM csd.budg_splt s _x000D_
        WHERE s.prop_id = p.prop_id),0) as splt_tot, _x000D_
b.sub_ctr_tot, b.frgn_trav_tot, b.pdoc_tot,b.part_tot_dol, b.grad_tot_cnt, _x000D_
b.sr_tot_cnt, b.sr_sumr_mnths, b.sr_acad_mnths, b.sr_cal_mnths,_x000D_
prop.prop_titl_txt,a.abst_narr_txt_x000D_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</si>
  <si>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 xml:space="preserve">--Needs: RA_lead(#myPid,#myRA), RA_propPRCs, RA_prop(#myPropBudg,#myProp), RA_budgPRCs(#myBudgPRC)_x000D_
--DROP TABLE #myBSprc_x000D_
SELECT prop_id,splt_id,budg_yr,R,id=identity(18), 0 as 'seq'_x000D_
INTO #myBSprc FROM (SELECT DISTINCT p.prop_id,splt_id,budg_yr,bpr.pgm_ref_code AS R_x000D_
      FROM #myPid p_x000D_
      JOIN csd.budg_pgm_ref bpr ON bpr.prop_id = p.prop_id) bpr_x000D_
ORDER BY prop_id,splt_id,budg_yr,R_x000D_
SELECT prop_id,splt_id,budg_yr,MIN(id) as 'start'INTO #myBSst FROM #myBSprc _x000D_
GROUP BY prop_id_x000D_
UPDATE #myBSprc set seq = id-M.start FROM #myBSprc rb, #myBSst M_x000D_
WHERE rb.prop_id = M.prop_id AND rb.splt_id=M.splt_id AND rb.budg_yr=M.budg_yr_x000D_
CREATE INDEX myBSprc ON #myBSprc(prop_id,splt_id,budg_yr, seq)_x000D_
DROP TABLE #myBSst_x000D_
_x000D_
SELECT nsf_rcvd_date, prop_stts_txt, nullif(dd_rcom_date,'1900-01-01') AS dd_rcom_date, ra.RAupdate, _x000D_
cntx_stmt_id, prop.pgm_annc_id, prop.org_code as pOrg, bs.org_code as bOrg, _x000D_
prop.pgm_ele_code as pPEC,bs.pgm_ele_code as bPEC,p.PO as pPO, bs.pm_ibm_logn_id as bPO,_x000D_
prop_stts_abbr,natr_rqst.natr_rqst_abbr,prop.obj_clas_code,bs.obj_clas_code,_x000D_
ai.awd_istr_abbr as rcom_istr_abbr, org.dir_div_abbr as Div, p.lead,p.ILN,bs.awd_id,_x000D_
p.L AS pi_last_name, p.F AS pi_frst_name, p.I AS inst, p.M as email,_x000D_
bs.prop_id, bs.budg_yr, bs.splt_id, bs.budg_splt_tot_dol,b.*,p.R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 _x000D_
    WHERE bp.prop_id = bs.prop_id AND bp.budg_yr = bs.budg_yr _x000D_
          AND bp.splt_id = bs.splt_id ) AS bPRCs,_x000D_
prop.prop_titl_txt_x000D_
FROM #myProp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csd.budg_splt bs on bs.prop_id=p.prop_id _x000D_
LEFT JOIN csd.awd_istr ai on prop.rcom_awd_istr = ai.awd_istr_code_x000D_
LEFT JOIN #myRA ra ON ra.lead = p.lead_x000D_
LEFT JOIN #myPropBudg b ON b.prop_id = p.prop_id_x000D_
ORDER BY p.lead, p.ILN, p.prop_id, bs.budg_yr, bs.splt_id_x000D_
</t>
  </si>
  <si>
    <t xml:space="preserve">--Needs: RA_lead(#myPid), RA_propPRCs(#myPRCs)_x000D_
--DROP TABLE #myBudg_x000D_
SELECT p.lead, p.prop_id, eb.revn_num, eb.budg_seq_yr, eb.budg_tot_dol, _x000D_
eb.sr_pers_cnt, eb.sr_summ_mnth_cnt, eb.pdoc_grnt_dol, eb.frgn_trav_dol, eb.part_dol_x000D_
INTO #myBudg FROM #myPid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prc.R as PRCs_x000D_
FROM #myPid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prc.R _x000D_
FROM #myPid pid_x000D_
JOIN csd.prop p ON p.prop_id = pid.prop_id_x000D_
LEFT OUTER JOIN #myPRCs prc ON prc.prop_id = pid.prop_id_x000D_
ORDER BY pid.lead, pid.ILN, pid.prop_id, eb.budg_seq_yr _x000D_
</t>
  </si>
  <si>
    <t>RA_pidSelect</t>
  </si>
  <si>
    <t xml:space="preserve">SET NOCOUNT ON _x000D_
SELECT DISTINCT CASE WHEN p.lead_prop_id IS NULL THEN 'I' WHEN p.lead_prop_id &lt;&gt; p.prop_id THEN 'N' ELSE 'L' END AS ILN, pm_ibm_logn_id AS PO,_x000D_
isnull(p.lead_prop_id,p.prop_id) AS lead, p.prop_id, p.pi_id, pi_last_name as L, pi_frst_name as F, inst_shrt_name as I, inst.st_code, pi_emai_addr AS M_x000D_
INTO #myPid FROM csd.prop p_x000D_
LEFT JOIN csd.pi_vw pi ON pi.pi_id = p.pi_id AND pi.prim_addr_flag='Y'_x000D_
LEFT JOIN csd.inst inst ON inst.inst_id = p.inst_id_x000D_
</t>
  </si>
  <si>
    <t xml:space="preserve">-- DROP TABLE #myPid, #myLead, #myRA_x000D_
CREATE INDEX myPid_idx ON #myPid(prop_id)_x000D_
INSERT INTO #myPid _x000D_
SELECT DISTINCT CASE WHEN p.lead_prop_id IS NULL THEN 'I' WHEN p.lead_prop_id &lt;&gt; p.prop_id THEN 'N' ELSE 'L' END AS ILN,pm_ibm_logn_id AS PO,_x000D_
isnull(p.lead_prop_id,p.prop_id) AS lead, p.prop_id, p.pi_id, pi_last_name as L, pi_frst_name as F, inst_shrt_name as I, inst.st_code, pi_emai_addr AS M_x000D_
FROM #myPid pid_x000D_
JOIN csd.prop p ON p.lead_prop_id = pid.lead_x000D_
LEFT JOIN csd.pi_vw pi ON pi.pi_id = p.pi_id AND pi.prim_addr_flag='Y'_x000D_
LEFT JOIN csd.inst inst ON inst.inst_id = p.inst_id_x000D_
WHERE pid.ILN &lt; 'M' AND NOT EXISTS (SELECT * FROM #myPid px WHERE px.prop_id = p.prop_id)_x000D_
-- project leads_x000D_
SELECT p.ILN, p.PO, p.lead, p.L_x000D_
INTO #myLead FROM #myPid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</si>
  <si>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AF CAREER/CRII Panel A</t>
  </si>
  <si>
    <t>22</t>
  </si>
  <si>
    <t xml:space="preserve"> Panel Summary       
 SUMMARY OF PROPOSED RESEARCH ACTIVITY_x000D_
_x000D_
Description : Given the constraints and a scoring function for an optimization problem, a current feasible solution, and an optimal solution, what is the "best" way to move from the current to the optimal solution? The PI illustrates the problem with a scenario of land redistribution where steps must be implemented that have to satisfy area and fairness constraints. The PI plans to design optimal walks using methods that stem from polyhedra theory along with his own previous research. _x000D_
_x000D_
_x000D_
INTELLECTUAL MERIT_x000D_
_x000D_
_x000D_
Strengths_x000D_
_x000D_
_x000D_
+ The panel thought that the research proposed is interesting and found it very positive that the PI is brave enough to tackle a problem that is not well-formulated or established. The panel appreciated this new research direction proposed._x000D_
+ Panels could easily call to mind other instances where adoption of a better solution was prevented by lack of a path, including the way software development teams consider switching from one platform/solution to another. _x000D_
+ The panel thought that the plan to have an assessment scheme is a really nice addition to the proposal._x000D_
_x000D_
_x000D_
Weaknesses_x000D_
_x000D_
- The panel was  concerned that the research directions were not completely thought through/ well conveyed. There seem to be a lot of questions that should have been addressed in the proposal: what is the tradeoff between shortest distance and "smooth transition"? what is the cost of change? are there always solutions? is the path always feasible?_x000D_
- The panel feels that the PI would have benefited from a concrete direction on how to connect the PI's research with practice and present a plan to connect with practitioners._x000D_
- The panel thought that it was not well conveyed at which point the PI proposed to do theoretical/foundations work versus heuristic work on the suggested algorithms. It would help to have seen some theoretical formulation that distinguishes the algorithms proposed from heuristics._x000D_
_x000D_
_x000D_
BROADER IMPACTS_x000D_
_x000D_
_x000D_
_x000D_
Strengths_x000D_
_x000D_
+ The panel thought that the PI's plan to use the project to raise awareness about the need to go beyond finding an optimal solution but rather make sure we can transition from one solution to another smoothly is really nice._x000D_
+ The panel found merit in the prospect of some communities benefiting from this work_x000D_
_x000D_
Weaknesses_x000D_
_x000D_
- The panel found the broader educational impacts somewhat weak_x000D_
- There seems to be no real plan laid out to reach out to the communities that would benefit from the work_x000D_
_x000D_
CAREER SOLICITATION-SPECIFIC REMARKS:_x000D_
_x000D_
Letter of institutional commitment. adequate_x000D_
_x000D_
Integration of research and education: adequate_x000D_
_x000D_
 _x000D_
_x000D_
ADDITIONAL REMARKS_x000D_
_x000D_
Research plan: Proposal includes a detailed time line of various components of the project_x000D_
_x000D_
Collaboration plan: adequate._x000D_
_x000D_
_x000D_
Data Management Plan: adequate._x000D_
_x000D_
Results of prior support:  No prior support._x000D_
_x000D_
 _x000D_
_x000D_
Suggestions to PI:_x000D_
_x000D_
 _x000D_
_x000D_
Justification for Panel Rating: The panel really liked the direction the PI proposed to investigate. However, the panel felt that the proposal was lacking in rigorous mathematical formulation._x000D_
_x000D_
 _x000D_
_x000D_
Panel Rating: _x000D_
_x000D_
_ Highly Competitive_x000D_
_x000D_
_ Competitive_x000D_
_x000D_
_Low Competitive_x000D_
_x000D_
X_ Not Competitive_x000D_
_x000D_
The summary was read by/to the panel and the panel concurred that the summary accurately reflects the panel discussion._x000D_
</t>
  </si>
  <si>
    <t>XB0890913</t>
  </si>
  <si>
    <t>Ceberio</t>
  </si>
  <si>
    <t>mceberio@utep.edu</t>
  </si>
  <si>
    <t xml:space="preserve">In the context of the five review elements, please _x000D_
evaluate the strengths and weaknesses of the proposal with respect to intellectual merit._x000D_
_x000D_
An interesting proposal, on an important topic, but with shortcomings._x000D_
_x000D_
Intellectual merit:_x000D_
Strengths:_x000D_
+ The PI has conducted prior work in the area he plans to work on._x000D_
+ The proposal is well written (except for maybe Subsection 1.3 which appears to be a repeat of Section 3)._x000D_
+ The proposal addresses a very important point in decision-making. It kind of originates in the same rationale as explanations in AI._x000D_
+ The PI provides a good motivation for the work he proposes to tackle._x000D_
+ The fact that the PI plans for an assessment team is an interesting and thoughtful feature of this project. _x000D_
_x000D_
Weaknesses_x000D_
- No timeline._x000D_
- A number of questions seem unanswered in this proposal. For instance, is the shortest distance best for smooth transitions? Are there additional criteria to be imposed? Is there a cost of change (for each step) taken into account for the choice of a walk? (Is this even possible?) Are there always solutions to the optimal walk with additional properties?   _x000D_
- The PI mentions that the some additional properties should be enforced 'if possible'. Does that mean that such properties would be considered preferences rather than constraints? If so what is the strategy to handle them and guarantee that they are not satisfied only in the case when they truly cannot be satisfied, and not just when the solver may fail to satisfy them? _x000D_
_x000D_
_x000D_
In the context of the five review elements, please _x000D_
evaluate the strengths and weaknesses of the proposal with respect to broader impacts._x000D_
_x000D_
Strengths_x000D_
+  The PI lists a number of areas that would benefit from the results of this project. _x000D_
+ The PI plans to use this project to raise awareness about the need to go 'beyond the solution'.  _x000D_
_x000D_
Weaknesses_x000D_
- However, it is not clear how the results will be disseminated to said communities._x000D_
- The outreach plan is weak._x000D_
_x000D_
_x000D_
Please evaluate the strengths and _x000D_
weaknesses of the proposal with respect to any additional solicitation-specific review criteria, if _x000D_
applicable_x000D_
_x000D_
Integration of Research and Education: _x000D_
This plan is pretty similar to Section 3 of the proposal on Education and Outreach._x000D_
Strengths_x000D_
+ The PI plans to teach classes, to recruit students, and to hold several outreach activities._x000D_
+ The PI has a plan for an assessment committee._x000D_
_x000D_
Weaknesses_x000D_
- It is not clear at which level (graduate or undergraduate) the PI will teach his topics course on Algorithms for Optimal Walks._x000D_
- The mentoring plan for the PI seems very conventional. There is no plan to recruit underrepresented students. The PI's plan to recruit 'especially strong senior undergraduate students' seems like a missed opportunity to recruit earlier students and possibly weaker ones who tend to grow tremendously when given such opportunities. _x000D_
- Overall, the education and outreach plan is weak: the PI lists a number of events he plans to participate in. This does not show a strong and organic commitment to outreach._x000D_
_x000D_
Data Management Plan_x000D_
The Data Management Plan seems appropriate. _x000D_
_x000D_
_x000D_
Summary Statement_x000D_
_x000D_
Overall, a proposal on a very interesting topic, which needs to be addressed. However, the plan does not seem ready enough as many questions are left unanswered._x000D_
_x000D_
</t>
  </si>
  <si>
    <t>TP0813600</t>
  </si>
  <si>
    <t>Goel</t>
  </si>
  <si>
    <t>ashishg@stanford.edu</t>
  </si>
  <si>
    <t xml:space="preserve">In the context of the five review elements, please _x000D_
evaluate the strengths and weaknesses of the proposal with respect to intellectual merit._x000D_
_x000D_
The PI proposes to develop a general theory (along with special applications) of 'circuit walks', which are walks among feasible solutions of a problem to discover optimum or improved solutions. These walks could have additional structure, such as pivoting in simplex, or the central path._x000D_
_x000D_
The examples are interesting, specially the one that concerns land-use. But the PI is not proposing to tackle substantive general theoretical problems. That leads to the following concern: given that we have a target solution, and an initial solution, and constraints on the walk, this becomes too much like heuristic search, since the allowed walk steps can be thought of as 'game moves'. Central questions in the field, such as the Hirsch conjecture, are not being considered. Of course not every proposal needs to consider every problem, so this comment should be looked upon as illustrative of the kind of theoretical constructs that would distinguish this work from heuristic search._x000D_
_x000D_
_x000D_
In the context of the five review elements, please _x000D_
evaluate the strengths and weaknesses of the proposal with respect to broader impacts._x000D_
_x000D_
The PI has a strong education and outreach plan. Along with starting a course, there is also discussion of leading a ML club, and of having a booth every year at the Denver Science fair. The research itself does not appear to have a significant broad impact across disciplines._x000D_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</si>
  <si>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RC0906270</t>
  </si>
  <si>
    <t>Immorlica</t>
  </si>
  <si>
    <t>nicimm@gmail.com</t>
  </si>
  <si>
    <t xml:space="preserve">In the context of the five review elements, please _x000D_
evaluate the strengths and weaknesses of the proposal with respect to intellectual merit._x000D_
_x000D_
This proposal studies walks between vertices of polyhedra that satisfy certain properties: e.g., don't take too many steps, don't take too large steps, are monotone in a certain sense.  Such walks can be used to transform an existing solution (e.g., a clustering) into a new optimal solution (a new clustering) without making drastic changes.  _x000D_
_x000D_
As an example, the PI mentions his experience in reallocating farmland to reduce costly fragmentation.  To minimize disruption to their livelihoods, the farmers require the require a gradual transition to the new ownership scheme.  A solution to this problem will impact many similar practical settings that use LPs to find updated solutions to logistical problems, and must transition between them slowly.  _x000D_
_x000D_
The problem formulation is highly creative.  There is not much existing literature on this topic with this motivation, but the PI does an excellent job demonstrating the need for such solutions.  Furthermore, by formulating the problem in the context of polyhedral domains, the PI is able to leverage his existing expertise on diamter calculations to tackle these problems._x000D_
_x000D_
The proposal could be strengthened by an explicit connection to practice, in lines with the prior project of the PI on reallocating farmland.  One potential application is the formation of wildlife tracts.  It would be especially compelling if the PI could connect to such groups (or others) and see that his solutions have practical impact.  Without that, it might be difficult to prioritize different solutions on paths.  _x000D_
_x000D_
I also wonder, for settings with no feasible paths between the start and end points, is it possible to re-optimize and find a feasible point between the start and an approximately-optimal end point?  That is, can we sacrifice optimality and thereby construct paths?_x000D_
_x000D_
The proposal has a high-level plan, of the form "add additional constraints and see if we can still find feasible paths, perhaps in specialized polyhedral", but there is no sense of what problems will be tackled in what years.  There is an assessment mechanism consisting of a committee of senior faculty.  I think there could be other metrics of success, like integration into practice, publications, etc._x000D_
_x000D_
_x000D_
In the context of the five review elements, please _x000D_
evaluate the strengths and weaknesses of the proposal with respect to broader impacts._x000D_
_x000D_
The PI plans to develop courses and mentor graduate and undergraduate students.  He also is the faculty advisor of the machine learning club, which, as part of its activities, creates projects for the Denver Science Fair.  This fair is attended by middle and high school students, and seems like a great way to reach the K-12 community (along with the STEMposium).  The PI mentions metrics for the broader impacts, including evaluations of the activities by the target populations._x000D_
_x000D_
Please evaluate the strengths and _x000D_
weaknesses of the proposal with respect to any additional solicitation-specific review criteria, if _x000D_
applicable_x000D_
_x000D_
None._x000D_
_x000D_
Summary Statement_x000D_
_x000D_
Quite nice proposal, should be funded if possible.  There could be minor improvements if the PI ends up resubmitting, along the lines of fleshing out the new research directions and their connections to new applications, see comments above._x000D_
_x000D_
</t>
  </si>
  <si>
    <t>PP0982329</t>
  </si>
  <si>
    <t>Kolla</t>
  </si>
  <si>
    <t>akolla@illinois.edu</t>
  </si>
  <si>
    <t xml:space="preserve">In the context of the five review elements, please _x000D_
evaluate the strengths and weaknesses of the proposal with respect to intellectual merit._x000D_
_x000D_
strengths:_x000D_
+ The proposal adresses optimization problems that seem to be directly related with real world applications and might have significant impact_x000D_
+ The PI has been able to apply his prior relevant expertise in practice already, and has helped solve significant real world problems using it. He is well qualified to conduct the research suggested._x000D_
+the problems studied, namely looking for gradual transitions between optimal solutions of important optimization problems, are interesting and useful_x000D_
_x000D_
Weaknesses: _x000D_
- The projects seems to be of a narrower scope than what I would expect a CAREER proposal to be._x000D_
- The problems seem to be of great practical significance, but the PI does not make a very convincing case of whether the project is also of great theoretical significance and would advance TCS as a whole._x000D_
-The proposal is written in an unconventional way, which resembles more of a research paper rather than a grant proposal in a few parts. Moreover, it is somewhat repetitive in both he educational and research aspects of it. There are a few typos that are hard to miss, which gives the impression that it might have been written hastily. _x000D_
- The PI gives a lot of examples of where the questions he is studying would be applied to, but little suggestions of concrete approaches he would use to solve the questions he poses._x000D_
_x000D_
In the context of the five review elements, please _x000D_
evaluate the strengths and weaknesses of the proposal with respect to broader impacts._x000D_
_x000D_
strengths:_x000D_
+ There seem to be a number of educational and outreach activities the PI is planning to participate in._x000D_
_x000D_
+ The project would have significant practical impact in real world applications_x000D_
_x000D_
weaknesses:_x000D_
- educational aspect is somewhat boilerplate. Even though the PI is involved in outreach and educational events, there does not seem to be  a more global plan on how to keep contributing in those areas for the duration of the award._x000D_
_x000D_
Please evaluate the strengths and _x000D_
weaknesses of the proposal with respect to any additional solicitation-specific review criteria, if _x000D_
applicable_x000D_
_x000D_
_x000D_
_x000D_
Summary Statement_x000D_
_x000D_
The proposed research is focused on the following task: given an often application-derived optimization problem, and a potential solution to it, what is the "best" way to move from that solution to another solution. The quality of this walk between solutions, is evaluated according to the application at hand.  In order to design such optimal walks, the PI is planning to use methods stemming from polyhedra theory along with his own previous research. While the problems studied are interesting and of seemingly large practical importance, and while the PI is well-qualified to conduct the research suggested,  the proposal is lacking the depth and breath I would expect from a CAREER proposal._x000D_
_x000D_
</t>
  </si>
  <si>
    <t>Informed decision-making based on the results of optimization algorithms is a powerful approach to applications. But the computation of optimal solutions is not enough. Practitioners often need a gradual transition to a new optimal transportation plan, a new schedule, a new routing plan._x000D_
_x000D_
For the linear and integer linear problems in combinatorial optimization, this transition between an old and a new solution can be modeled as a so-called circuit walk. Circuits are the support-minimal vectors in the kernel of the matrix defining a polyhedron. For the highly structured problems we are interested in, they allow for a rich interpretation in terms of the underlying problem: Each step of a circuit walk is a meaningful step towards the new, optimal solution._x000D_
_x000D_
Our plan for an improvement on the state-of-the-art is to develop and study algorithms for the construction of circuit walks. We will use methods of mathematical programming to impose properties on these walks: Take few steps, take similar steps, take only improving steps. We look to applications to drive our decision which types of walks to study and which properties to impose on them. The ultimate goal of this research is to establish and promote a new direction of research: optimization algorithms for constructing optimal walks. We acknowledge that this is an ambitious, open-ended question. In the five years of the award period, we plan to build the educational and research foundations to pursue this direction of research for a long time._x000D_
_x000D_
The current state of our research allows for an immediate integration of research and education. Our educational activities and outreach aim at the whole range from graduate training down to K-12. Graduate research assistants will be supported and mentored as phd advisor. We will design and hold a specialized classroom lecture that prepares graduate student for research in the proposed field. For undergraduate students, we offer one-credit readings classes, in which we jointly prepare contributions to the Denver Science Fair, the Front Range Student Conference, and the STEMposium. These outreach activities have the goal to foster the interaction of K-12 students and undergraduate students in different STEM fields. Further, we will support the interdisciplinary student-run machine learning club at CU Denver and the CU Denver Chapter of SIAM. _x000D_
_x000D_
For both our research and education, we will archive the state of the art, produce reference implementations of algorithms, and make our work publically available in a repository and a webpage. The success of our research and education activities will be assessed by external committees.The proposed research is a natural extension of our previous research on diameters and on data analytics through polyhedral theory. It will introduce a new perspective to transform the studies of diameters to a framework for the design and study of algorithms that solve important practical applications of operations research. The project will advance the community's knowledge of how to implement research results in applications. Our research will first to a good understanding of the optimality criteria for walks in different applications and then to exact and approximate optimization algorithms to find these and their inherent limitations.We propose to enable an effective dissemination of our research through the integrated education component. The project will raise awareness about having to go beyond just solving a problem in the scientific community. We expect a significant impact in the machine learning, optimization, and operations research communities interested in algorithm design and analysis, as well as for practitioners and applications scientists. The broader impact of the education component will be the promotion of CISE and of data analytics through optimization, through graduate training and outreach activities for the undergraduate and K-12 level.</t>
  </si>
  <si>
    <t>13</t>
  </si>
  <si>
    <t xml:space="preserve"> Panel Summary       
 SUMMARY OF PROPOSED RESEARCH ACTIVITY_x000D_
_x000D_
This project focuses on developing fast algorithms for computing_x000D_
optimal paths in a two-dimensional polygonal domain. It builds_x000D_
on the PI's previous grant on similar topics. The proposal_x000D_
mentions a number of classical problems in this area, such as_x000D_
answering shortest path queries, geodesic center, geodesic_x000D_
diameter, shortest path computation, and minimum-link paths._x000D_
_x000D_
It has four thrusts: (1) an approximate three-order-of-magnitude_x000D_
speedup for shortest path query data structures, geodesic_x000D_
centers, and geodesic diameters, by more carefully analyzing the_x000D_
combinatorial complexity of an underlying curve arrangement; (2)_x000D_
saving a logarithmic factor in the space complexity of_x000D_
st-shortest path computation; (3) algorithms with time O(n +_x000D_
poly(#holes)) for medial axes, minimum link paths,_x000D_
shortest-to-visibility paths, and polygon triangulations; and_x000D_
(4) algorithms for paths without blind turns and with refueling_x000D_
constraints._x000D_
_x000D_
_x000D_
INTELLECTUAL MERIT_x000D_
_x000D_
Strengths:_x000D_
_x000D_
+ This proposal aims to make progress on classical, "old school"_x000D_
problems_x000D_
_x000D_
+ It is a well thought-out proposal, one that includes detailed_x000D_
plans for solving its open problems_x000D_
_x000D_
+ In contrast to past work on L1 distances, the proposal's focus_x000D_
on L2 is more natural._x000D_
_x000D_
+ The PI has a strong track record of research and publications_x000D_
on these topics and the proposed plan of research is insightful,_x000D_
making success and advancement of basic knowledge in the field_x000D_
likely._x000D_
_x000D_
Weaknesses:_x000D_
_x000D_
- The proposed solutions did not seem to provide any big ideas,_x000D_
fundamental insights, or even generalizable techniques._x000D_
_x000D_
- The parameterized complexity and log shaving parts of the_x000D_
proposal were too incremental._x000D_
_x000D_
- The proposal did not adequately explain the concepts it used_x000D_
to non-specialists._x000D_
_x000D_
_x000D_
BROADER IMPACTS_x000D_
_x000D_
The broader impacts section of the proposal includes the_x000D_
development of courses in algorithms and computational geometry,_x000D_
emphasizing applications to generate broad interest in these_x000D_
topics, together with a distance learning component, leveraging_x000D_
the existing programs at his institution for outreach._x000D_
_x000D_
Strengths:_x000D_
_x000D_
+ The plan to provide distance education to remote_x000D_
underrepresented groups was creative and interesting._x000D_
_x000D_
+ Many of the research problems have real-world applications_x000D_
related to geographic navigation._x000D_
_x000D_
Weaknesses:_x000D_
_x000D_
- Even with the speedup, the shortest path query structure and_x000D_
related problems would have too high exponents to be practical._x000D_
_x000D_
- The existence of fast approximation algorithms also makes_x000D_
these improvements not so interesting from the practical point_x000D_
of view. In particular, these problems would once have been seen_x000D_
as interesting for robotics, but robotics has moved on to other_x000D_
areas._x000D_
_x000D_
_x000D_
CAREER SOLICITATION-SPECIFIC REMARKS:_x000D_
_x000D_
Letter of institutional commitment: Included._x000D_
_x000D_
Integration of research and education: Provided through the_x000D_
course development and distance education aspects of the_x000D_
proposal._x000D_
_x000D_
_x000D_
ADDITIONAL REMARKS_x000D_
_x000D_
Research plan: This is a five-year CAREER proposal whose major_x000D_
expenses include one month of summer salary for the PI and two_x000D_
graduate student researchers for each of its five years, as well_x000D_
as conference travel._x000D_
_x000D_
Data Management Plan: This is a theoretical proposal with little_x000D_
actual data, but the data management plan provides for grant_x000D_
products including research publications, software, and course_x000D_
materials, specifies data formats for them, and states that the_x000D_
software and course materials will be open access._x000D_
_x000D_
Results of prior support: The proposal clearly states the prior_x000D_
support of the PI, which has already ended its term, and briefly_x000D_
summarizes its results. The prior support was on similar topics_x000D_
and successful; the current proposal leverages its success._x000D_
_x000D_
_x000D_
Suggestions to PI:_x000D_
_x000D_
The proposal would have been stronger if the path-planning_x000D_
problems arising in modern robotics applications were also_x000D_
proposed, rather than fully focusing on classical problems._x000D_
_x000D_
Additionally it would have benefited from a more ambitious scope_x000D_
that included a larger number of big open problems in this area_x000D_
and fewer incremental goals._x000D_
_x000D_
_x000D_
Justification for Panel Rating: Although this is a strong_x000D_
proposal that appears likely to make significant progress on_x000D_
some classical problems, it was not as visionary and exciting as_x000D_
it might have been; the inclusion of goals that were too_x000D_
incremental weighed it down._x000D_
_x000D_
_x000D_
Panel Rating:_x000D_
_x000D_
_ Highly Competitive_x000D_
_x000D_
_ Competitive_x000D_
_x000D_
_X_ Low Competitive_x000D_
_x000D_
_ Not Competitive_x000D_
_x000D_
_x000D_
The summary was read by/to the panel and the panel concurred_x000D_
that the summary accurately reflects the panel discussion._x000D_
_x000D_
</t>
  </si>
  <si>
    <t>EZ0601720</t>
  </si>
  <si>
    <t>Agarwal</t>
  </si>
  <si>
    <t>pankaj@cs.duke.edu</t>
  </si>
  <si>
    <t xml:space="preserve">In the context of the five review elements, please _x000D_
evaluate the strengths and weaknesses of the proposal with respect to intellectual merit._x000D_
_x000D_
This project focuses on developing fast algorithms for  computing optimal paths in a two-dimensional polygonal domain. It builds on the PI's previous grant on, broadly speaking, the same topic.  The proposal mentions a number of classical problems in this area, such as answering shortest path queries, geodesic center, geodesic diameter, shortest path computation, and minimum-link paths. In some cases, the goal is to substantially improve the worst-case performance (e.g. shortest path queries, geodesic diameter) and in other cases the goal is to refine the existing algorithm and get a slightly improved performance, e.g., improving the space complexity of the shortest-path-computation algorithm from O(nlogn) to O(n). A few new problems are also mentioned but they are less interesting._x000D_
_x000D_
The PI has done extensive work on these problems and has obtained a number of results and gained some interesting insights into these problems. The last point is clear from the detailed ideas he has presented in the proposal._x000D_
_x000D_
Although some application domains are mentioned for these problems, the proposal is interesting purely from theoretical point of view. Significantly faster approximation algorithms are known for these problems, the kind of path one wants to compute in robotics and GIS are more complex than the simple criteria mentioned in the proposal, and also the setting is more complex (e.g. moving a non-point object in 2.5 or 3d environment). Therefore the practical impact of the proposed research will be limited._x000D_
_x000D_
Even from theoretical point of view, it's not clear the broad impact of the proposed research beyond obtaining the improved algorithms. Will new interesting techniques be developed that would be beneficial for other problems? _x000D_
_x000D_
Nevertheless from an intellectual point of view, it would be useful to see some progress on these classical problems._x000D_
_x000D_
In the context of the five review elements, please _x000D_
evaluate the strengths and weaknesses of the proposal with respect to broader impacts._x000D_
_x000D_
The broader impact section is fairly standard. In terms of circular development, the PI will develop courses in algorithms and computational geometry. He plans to emphasize on applications to generate broad interest in these topics. His  mentoring plan is adequate. He plans to leverage the existing programs at his institution for outreach activities._x000D_
_x000D_
Please evaluate the strengths and _x000D_
weaknesses of the proposal with respect to any additional solicitation-specific review criteria, if _x000D_
applicable_x000D_
_x000D_
_x000D_
_x000D_
Summary Statement_x000D_
_x000D_
A solid proposal on classical problems in 2d path planning. The PI has extensive experience on the proposed problems and has interesting insights into the proposed problems. It would be good to see progress on some of these classical problems for which the existing algorithms have very large complexity. The problems for which the goal is to slightly improve the performance are less interesting. _x000D_
_x000D_
The proposal would have been stronger if the path-planning problems arising in modern robotics applications were also proposed, rather than fully focusing on classical problems._x000D_
_x000D_
_x000D_
</t>
  </si>
  <si>
    <t>XH0803196</t>
  </si>
  <si>
    <t>Chan</t>
  </si>
  <si>
    <t>tmc@illinois.edu</t>
  </si>
  <si>
    <t xml:space="preserve">In the context of the five review elements, please _x000D_
evaluate the strengths and weaknesses of the proposal with respect to intellectual merit._x000D_
_x000D_
The proposal deals with a host of fundamental probems about shortest paths in polygonal domains (polygons with h holes). The PI has already done extensive work on the topic in the past, e.g., on L_1 shortest path algorithms and data structures, rectilinear min-link paths, computing visibility polygons, and new Euclidean shortest path algorithms for small h. These resulted in 4 SoCG papers and many other conference publications -- the PI is recognized as an expert on the topic._x000D_
_x000D_
The proposal gives plans towards resolving more major problems in the area, e.g., improving data structures for Euclidean shortest path queries from n^10 to maybe n^6 space, improving the space usage of Hershberger and Suri's well-known O(n log n) Euclidean shortest path algorithm, improving algorithms for Voronoi diagrams of point sites inside a polygonal domain, improving min-link path algorithms from near n^2 to n+h^2 complexity, etc._x000D_
_x000D_
This is a unified collection of tough, classical (old school) problems from computational geometry. Besides the success of the PI's past research, one strength of the proposal is that it provides very detailed, well-thought-out plans for tackling many of the open problems. The project will certainly advance basic knowledge in the field._x000D_
_x000D_
_x000D_
In the context of the five review elements, please _x000D_
evaluate the strengths and weaknesses of the proposal with respect to broader impacts._x000D_
_x000D_
One concern is that these algorithms could be too complicated for implementation, especially if the complexity is high (like the n^6 space data structure). Approximation algorithms could have more practical impact, which the proposal briefly mentions, but shifts focus away from. _x000D_
_x000D_
The education plan describes curriculum development and graduate student training at Utah State, and outreach to underrepresented groups in remote and rural areas._x000D_
_x000D_
_x000D_
Please evaluate the strengths and _x000D_
weaknesses of the proposal with respect to any additional solicitation-specific review criteria, if _x000D_
applicable_x000D_
_x000D_
_x000D_
_x000D_
Summary Statement_x000D_
_x000D_
Good past work and detailed future research plan. (Practical significance of the problems unclear.)_x000D_
_x000D_
_x000D_
</t>
  </si>
  <si>
    <t>US0729183</t>
  </si>
  <si>
    <t>Eppstein</t>
  </si>
  <si>
    <t>eppstein@uci.edu</t>
  </si>
  <si>
    <t xml:space="preserve">In the context of the five review elements, please _x000D_
evaluate the strengths and weaknesses of the proposal with respect to intellectual merit._x000D_
_x000D_
The proposal considers multiple problems involving shortest paths among geodesic distances or paths through obstacles, often with high computational complexity, and proposes to study algorithms to reduce their complexity. Specifically, it proposes an approximate three-order-of-magnitude reduction in the exponents for three problems (shortest path query data structure construction, geodesic centers, and geodesic diameters) by by more carefully analyzing the combinatorial complexity of an underlying curve arrangement._x000D_
It also proposes improving the space complexity of st-shortest path computation in this context (for algorithms with time O(n log n)) to linear, smaller by a logarithmic factor than known bounds. Additionally, it seeks algorithms with time O(n + poly(#holes)) for computing medial axes, minimum link paths, shortest-to-visibility paths, and polygon triangulations. Finally, it proposes to study algorithms for previously unstudied problems on paths without blind turns and on paths with refueling constraints._x000D_
_x000D_
Haitao Wang is a prolific researcher in computational geometry with recent works in both the top conference in the field (two papers in the 2017 Symp. Comp. Geom.) and the top journal ("Computing the L1 Geodesic Diameter", Discrete &amp; Comput. Geom. 2017), and many additional publications in other conferences and journals that are still very selective. He is well equipped to make progress in any computational geometry problem, especially one involving geodesic distances or paths through obstacles._x000D_
_x000D_
_x000D_
In the context of the five review elements, please _x000D_
evaluate the strengths and weaknesses of the proposal with respect to broader impacts._x000D_
_x000D_
As the proposal indicates, many of these problems have real-world applications related to geographic navigation._x000D_
_x000D_
The proposal includes development of courses on algorithms and computational geometry, and (a more novel aspect) the use of Utah State's distance education facilities to provide the course to underrepresented groups in rural areas, focusing on applications in order to motivate student interest._x000D_
_x000D_
_x000D_
Please evaluate the strengths and _x000D_
weaknesses of the proposal with respect to any additional solicitation-specific review criteria, if _x000D_
applicable_x000D_
_x000D_
_x000D_
_x000D_
Summary Statement_x000D_
_x000D_
The proposal seems certain to lead to multiple publications that advance knowledge within its subject area. Advances on any problem in this proposal would produce a publishable result, and the proposal contains a good balance between problems with a concrete solution plan and more open-eneded problems, enough to fill out the research period._x000D_
_x000D_
_x000D_
</t>
  </si>
  <si>
    <t>HP0981050</t>
  </si>
  <si>
    <t>Sidiropoulos</t>
  </si>
  <si>
    <t>sidiropo@gmail.com</t>
  </si>
  <si>
    <t xml:space="preserve">In the context of the five review elements, please _x000D_
evaluate the strengths and weaknesses of the proposal with respect to intellectual merit._x000D_
_x000D_
Strengths:_x000D_
_x000D_
The problems proposed fall within classical computational geometry. Therefore progress in this problems could influence other problems in this area. For example, the proposal seeks to address problems related to shortest path computations in polygonal domains. Research on polygonal domains has a long history in the computational geometry literature. Shortest path computations are a basic step used in many algorithms. Thus, improving existing algorithms and data structures for shortest paths, could lead to similar improvements for many other problems._x000D_
_x000D_
The plan for carrying out the proposed activities is very thought out. In fact, for some of the problems, the PI provides convincing preliminary parts of the technical work (for example, the use of corridor structure of polygonal domains)._x000D_
_x000D_
The PI has conducted research on problems very closely related to the ones proposed, and has obtained numerous results. He is therefore very well qualified to conduct the proposed research._x000D_
_x000D_
Weaknesses:_x000D_
_x000D_
I believe that the proposal could have been more ambitious in its overall goals. For example, a large portion of the problems involved improving the performance of existing algorithms for polygonal domains, when the number of holes is small. This is of course a natural and important problem. However, I would have expected an emphasis on a wider range of questions for such a long-term project._x000D_
_x000D_
Furthermore, some of the suggested problems only seek to obtain what appears to be incremental improvements over previous results. For example, in Euclidean shortest paths, the goal is to improve O(n log n) time and space algorithm to O(n). The high level idea plan is to improve an existing algorithm that uses persistent data structures, but grouping together n/log(n) events. Similarly, on Voronoi diagrams the goal is to improve the time from O(n log(n)) to O(n + h*log(h)). For triangulations, the goal is to improve the time from O(n + h*log^{1+eps}(h)) to O(n + h*log(h)), which is arguably a small improvement._x000D_
_x000D_
The Shortest Lookahead Paths is a new problem (proposed by Mitchell in a personal communication). It is simple to state, but it is unclear how important it is (both from a theoretical and a practical point of view)._x000D_
_x000D_
The proposal does not consider approximate solutions. As the PI points out, some of the problems considered have improved (1+eps)-approximate solutions, which would be desirable in practice. This is a weakness of the proposed work._x000D_
_x000D_
_x000D_
In the context of the five review elements, please _x000D_
evaluate the strengths and weaknesses of the proposal with respect to broader impacts._x000D_
_x000D_
Strengths:_x000D_
Some of the problems considered (for example, Voronoi diagrams), have important applications in practice. Polygonal domains can be used to model various physical systems (e.g., maps in navigation systems). Therefore, obtaining improved solutions in some of these problems could lead to faster algorithms._x000D_
_x000D_
Weaknesses: _x000D_
The lack of consideration of (1+eps)-approximate solutions limits the potential applicability of the obtained improvements in practice._x000D_
_x000D_
Please evaluate the strengths and _x000D_
weaknesses of the proposal with respect to any additional solicitation-specific review criteria, if _x000D_
applicable_x000D_
_x000D_
_x000D_
_x000D_
Summary Statement_x000D_
_x000D_
The proposal outlines a set of problems in 2-dimensional computational geometry on polygonal domains. The research plan seems plausible, but the proposed research agenda is somewhat limited in its scope._x000D_
_x000D_
</t>
  </si>
  <si>
    <t>Computational geometry is the branch of theoretical computer science devoted to the design, analysis, and implementation of algorithms and data structures for solving geometric problems. Tremendous progress has been made in computational geometry for a few decades. However, there are still many problems in the field that do not have good algorithms. These problems deserve further study._x000D_
_x000D_
This project proposes to develop efficient algorithms for solving shortest paths and related problems in computational geometry. These fundamental problems have many applications in other areas, such as facility locations, geographic information systems, transportation, robotic motion planning, VLSI design, etc. While some new problems related to shortest paths are proposed, our target problem set also includes several classical problems in computational geometry. Based on new insights and observations, this project proposes novel ideas and algorithmic techniques that are expected to give significantly better solutions for these problems than previously attained. Some of the proposed algorithms may solve problems that have been open for several decades. This project will provide better understandings on the geometric structures of the target problems, which may be useful for solving other related problems as well._x000D_
_x000D_
As an integration of education and research, an education plan on course development and student research training is proposed. Courses on algorithms and computational geometry will be developed. Two Ph.D students (one female) will be trained by the project and they are expected to finish their degrees with the support of the project._x000D_
_x000D_
Keywords: computational geometry; algorithms and data structures; polygonal domains; polygons with holes; geometric paths; shortest paths.This project is expected to advance knowledge and understanding within the field of computational geometry and make a number of transformative contributions: (1) providing in-depth understanding on the geometric structures of shortest paths and related problems; (2) introducing novel algorithmic techniques for solving a number of fundamental problems in computational geometry, enriching this area, and prodding further development of geometric techniques; (3) presenting new approaches (combined with geometric techniques) and challenging problems to other areas such as combinatorial optimization and operations research, and bringing interesting applications to these areas.This project is expected to advance discovery and understanding while promoting teaching, training, and learning. This project will produce efficient algorithms for solving a number of fundamental problems in the field of computational geometry. The project includes two Ph.D students (one female) as participants and will provide the students with a unique opportunity to study and practice in designing algorithms in computational geometry. The students will be encouraged to attend scientific events such as conferences and workshops. The PI will develop algorithm and computational geometry courses and introduce the proposed algorithms in class. These courses may also be provided to underrepresented groups of students in remote and rural areas through Utah State University RCDE (Regional Campuses and Distance Education) system. The students involved in the project will be encouraged to participate in teaching. All research results produced in the project will be disseminated to the public.</t>
  </si>
  <si>
    <t xml:space="preserve"> Panel Summary       
 SUMMARY OF PROPOSED RESEARCH ACTIVITY_x000D_
_x000D_
Description :_x000D_
_x000D_
This project will develop algorithmic techniques for massively distributed computing (eg. Hadoop)._x000D_
-- Develop meta-algorithms that take as input a sequential algorithm and output a fast distributed simulation. _x000D_
-- Bioinformatics sequence alignment problems, typically ones that are solved using dynamic programs, edit distance being a canonical example_x000D_
-- Shortest Paths_x000D_
-- Matchings_x000D_
The model that they consider for most of the paper is a popular model, which essentially looks at reducing space. The shortest path work is more applied, with the goal being to  develop something that can be implemented in real-life settings._x000D_
_x000D_
INTELLECTUAL MERIT_x000D_
_x000D_
Strengths_x000D_
_x000D_
+ The PI is qualified to lead this research effort. He has obtained some important results in the area, and he has received a best-paper award at SPAA for related problems_x000D_
+ The research agenda is far-reaching, as it seeks to improve algorithmic solutions of important problems, according to some members of the panel. Moreover, it includes both short-term and long-term goals._x000D_
+ The PI proposes to develop and also implement his solutions. He has support from experts in the target areas (bioinformatics and online maps) that will help in formulating problems, discovering solutions, and bringing those solutions to practice._x000D_
_x000D_
Weaknesses_x000D_
_x000D_
- The PI has played an important role in developing this area, but this proposal appears to a great extent like it was written five years ago, or even before. For example, the proposal does not seem to take into account recent platforms, and the model of computation  does not seem appropriate for bioinformatics problems_x000D_
- With the exception of the shortest path algorithms, the problems discussed here appear incremental to some panel members_x000D_
_x000D_
BROADER IMPACTS_x000D_
_x000D_
Strengths_x000D_
_x000D_
+ In addition to the education plan at the University level, the PI also teaches a class to K-12 students, and is developing maker-lab projects, which will lead to an interesting one day workshop for K-12 students._x000D_
+ The PI will also write a book on massively parallel algorithms, which will be a major contribution._x000D_
+ The PI is advising undergraduate students, including two women. This undergraduate mentoring is well thought out._x000D_
+ The PI also has a record of tech transfer (k-means++ is in Cloudera)_x000D_
_x000D_
Weaknesses_x000D_
_x000D_
- The education plan is not as creative as it could have been with this research plan, but this was a minor point, not something that was viewed as a substantial drawback_x000D_
 _x000D_
_x000D_
CAREER SOLICITATION-SPECIFIC REMARKS:_x000D_
_x000D_
Letter of institutional commitment._x000D_
_x000D_
There is a strong letter of commitment from Michael Trick, Senior Associate Dean of Faculty and Research at CMU._x000D_
_x000D_
Integration of research and education:_x000D_
_x000D_
The education plan is very good: the proposal includes plans to develop a K-12 technology course, organize a bi-annual workshop between theory and practice, and write a book. The undergraduate mentoring plan is strong. The PI will incorporate previously uncovered topics on linear and integer programming, dynamic programming, network analysis and approximation algorithms in a new course on optimization._x000D_
_x000D_
ADDITIONAL REMARKS_x000D_
_x000D_
Research plan:_x000D_
_x000D_
The funding, duration, and evaluation plan are appropriate._x000D_
_x000D_
Collaboration plan:_x000D_
_x000D_
The collaboration plan is very strong, particularly with accomplished researchers at Google, who have provided letters of commitment to the collaboration._x000D_
_x000D_
Data Management Plan:_x000D_
_x000D_
This is adequate, and well thought out. The data generated from this project will be the implementation of algorithms and the analyzing of publicly available data sets.  The PI commits to make all substantial research data available to the research community_x000D_
_x000D_
Results of prior support:_x000D_
_x000D_
These are clearly stated. The most relevant grant is_x000D_
	AF: Small: Collaborative Research: Algorithmic and Computational Frontiers of MapReduce for Big Data Analysis_x000D_
which resulted in much progress, both in terms of intellectual merit and broad impact. This is ongoing._x000D_
_x000D_
Suggestions to PI:_x000D_
_x000D_
Some members of the panel felt that this proposal is somewhat backwards looking, building incrementally on the PI's work (and his previous NSF grant), whereas a career proposal should have substantial new ground being broken. The panel was unanimous in admiring the PI's strong collaborations, and the broad impacts section._x000D_
_x000D_
Justification for Panel Rating:_x000D_
_x000D_
The panel felt that this PI had a substantial track record, and is working in an important area. At the same time, this proposal seemed incremental and backwards looking._x000D_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</si>
  <si>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looks at multiple problems in large scale distributed and parallel computation. The problems proposed are of theoretical interest, and in the case of the ones in bioinformatics, also of applied interest. The problems proposed will expand the field, but are not transformative. Broadly, two type of problems are suggested here: (a) A general theory of distributed algorithms along with classical optimization problems such as matchings, and (b) Specific dynamic programming problems in bioinformatics. The most interesting theoretical problem is simulation ù how can you automatically convert a sequential program into a distributed one. And the most representative bioinformatics problems are edit distance/sequence alignment, typically solved using dynamic programming. The proposal also discusses massively parallel algorithms for shortest path distances._x000D_
_x000D_
As a theory proposal, this looks at problems which are interesting, but perhaps not all the problems considered are at the cutting edge. Efficient distributed/map-reduce algorithms are known for various types of matchings and flows, and extending the literature feels a bit incremental. The practical part, with the exception of shortest paths where the PI has a credible implementation plan, feels a little too stylized to have actual practical impact. For example, while popular and used by many others, it is not clear how the model of computation used in this proposal is relevant to bioinformatics. That model talks primarily about using sub-linear memory, whereas a typical edit distance problem is not memory constrained. This proposal will benefit from getting more applied down to details of the application domain._x000D_
_x000D_
The PI has played an important role in developing this area, but this proposal appears to a great extent like it was written five years ago, or even before. For example, the proposal mentions simulating streaming algorithms using map-reduce. But what is described seems more like characterization, which is surprising given that (a) It is by now well established that a sketch results in both a good streaming algorithms and a good map-reduce or bsp algorithm and (b) for several years, there are popular software systems **already used in industry** such as the combination of (algebird, summingbird, scalding) or spark-streaming which allow users to write streaming and map-reduce algorithms at the same time._x000D_
_x000D_
Of course, a theoretical proposal does not need to demonstrate familiarity with all the systems out there. But in that case, the proposal needs to demonstrate more theoretical depth and modeling effort._x000D_
_x000D_
_x000D_
_x000D_
In the context of the five review elements, please _x000D_
evaluate the strengths and weaknesses of the proposal with respect to broader impacts._x000D_
_x000D_
In addition to the education plan at the University level, the PI also teaches a class to K-12 students, and is developing maker-lab projects, which will lead to an interesting one day workshop for K-12 students. The PI will also write a book on massively parallel algorithms, which will be a major contribution. The PI has strong collaborations at places like google and Yahoo! The PI is advising undergraduate students, including two women. This undergraduate mentoring is well thought out. The PI also has a record of tech transfer (k-means++ is in Cloudera)._x000D_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</si>
  <si>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1,2) This proposal studies algorithms for massively parallel computing.  The overarching goal is to create a black-box transformation that takes, as input, a sequential algorithm and outputs a polytime parallel one with a small number of rounds and memory requirements.  Such a transformation would greatly advance a wide array of fields which, overrun with big data, are no longer able to run sequential algorithms in practice.  _x000D_
_x000D_
3) This goal is overly ambitious, and there might not be a single transformation that works for all algorithms.  Instead, the PI proposes several classes of algorithms for particular target applications, and suggests approaches to parallelizing those.  These approaches are based on past work, and are very convincing (albeit perhaps a bit too convincing; in places, I was left wondering what obstacles remain in the proof sketches).  _x000D_
_x000D_
4) Past work on parallelization has provided solutions for dynamic-programming based sequential algorithms as well as greedy sequential algorithms (including work by the PI).  These solutions as well as other more tailored ones have been deployed and have had substantial influence in practice._x000D_
_x000D_
5) The PI proposes to develop and also implement his solutions.  He has support from experts in the target areas (bioinformatics and online maps) that will help in formulating problems, discovering solutions, and bringing those solutions to practice._x000D_
_x000D_
In the context of the five review elements, please _x000D_
evaluate the strengths and weaknesses of the proposal with respect to broader impacts._x000D_
_x000D_
4) The PI has a track record of broader impacts, including successful REUs, course development, and K-12 outreach.  _x000D_
_x000D_
1) The proposal includes plans for the PI to further develop these broader impacts.  The suggested teaching (in course instruction, advising capacities, and a textbook) will advance societal knowledge of the key target areas of the proposal.  Furthermore, the deployment of new parallel algorithms for common computing tasks will impact important industries._x000D_
_x000D_
3) The broader impact plan is well-reasoned, including explanations of how different levels of students (K-12, undergrad, and grad) can participate in and learn from the research goals of the projects.  _x000D_
_x000D_
5) The PI has accounted for the required resources in his proposal, including a request for REU support._x000D_
_x000D_
2) While the broader impact plan is not particularly creative, I still think it has great value._x000D_
_x000D_
Please evaluate the strengths and _x000D_
weaknesses of the proposal with respect to any additional solicitation-specific review criteria, if _x000D_
applicable_x000D_
_x000D_
None._x000D_
_x000D_
Summary Statement_x000D_
_x000D_
This is an excellent proposal.  I think it should certainly be funded._x000D_
_x000D_
</t>
  </si>
  <si>
    <t>PU0973340</t>
  </si>
  <si>
    <t>Kortsarz</t>
  </si>
  <si>
    <t>guyk@camden.rutgers.edu</t>
  </si>
  <si>
    <t xml:space="preserve">In the context of the five review elements, please _x000D_
evaluate the strengths and weaknesses of the proposal with respect to intellectual merit._x000D_
_x000D_
The PI addresses an important concept: making computation of big data,_x000D_
massively parallel. _x000D_
The main model suggested is Map Reduce and so I will focus _x000D_
on that._x000D_
_x000D_
People at Google invented the Map Reduce model. You have m processors. The problem is divided _x000D_
into roughly m relatively disjoint parts._x000D_
_x000D_
Each processor is assigned space N/m for m=^n^1-\delta._x000D_
This means that the number of machines is polynomial in the _x000D_
data size and may look suspect. However, I heard from Vahab_x000D_
Mirrokni (Google NY) that he is able to run many _x000D_
machines in parallel. If I correctly remember the number_x000D_
he gave was 10000. Thus, its possible  that the number _x000D_
of machines is reasonable. In map reduce the computation is in rounds._x000D_
Thus, we have more than the usual one step for a processor to _x000D_
work serially on the data that is given._x000D_
_x000D_
After that, the processors communicate. And then a new round starts._x000D_
_x000D_
_x000D_
Note: There was a decline in the interest _x000D_
in parallel computing because of the over head in the communication._x000D_
_x000D_
The PI does not address that. And he should have. Making _x000D_
practical impact is part of the suggested broader impact._x000D_
From the proposal it highly unclear if the proposal will have _x000D_
impact on the industry._x000D_
_x000D_
A good point is that the PI intends to work with an accomplished scholar from Google, namely, _x000D_
Ravi Kumar from Google. In addition some of the references _x000D_
suggest that some practical advances have been obtained._x000D_
But the PI should have discussed that in details._x000D_
_x000D_
The PI want to apply this model to solve several problems on massive data._x000D_
_x000D_
A very general task is to run in parallel several different_x000D_
algorithms. Since I do not think the number of algorithms would be that high, this should be an attainable goal._x000D_
_x000D_
A second goal is to Identify classes of algorithms that can be transformed into fast distributed methods._x000D_
_x000D_
This is vague and too general to evaluate. Classes of algorithms?_x000D_
On the plus side the PI was able to achieve a similar goal twice._x000D_
The PI's past showed that it can be done for a class of sequential greedy algorithms. This is paper 63 which won best paper award in SPAA_x000D_
2014._x000D_
_x000D_
A second success is by giving a general scheme to make solution that use Dynamic programming highly parallel. See paper 57 by Sungjin Im, Benjamin Moseley, and Xiaorui Sun which is a STOC paper._x000D_
In fact most of the paper of the PI are in rather theoretical conferences, and _x000D_
its hard to know if they are practical._x000D_
_x000D_
The next goal is streaming. In this situation you have a massive collection of massive data is streamed and a much smaller memory is available. The idea is to try to preserve in the small memory a function of the data read so far, so that at the end, a certain property of the Data could be approximated (well known initial examples were approximating the average and if I remember correctly, the variance as well)._x000D_
_x000D_
If I understand correctly, the PI want to make the streaming computation massively parallel. And thus the stream is divided among many processors._x000D_
_x000D_
An important goal is to try and make algorithms for strings highly parallel. In particular the edit distance (which is a metric) is in my opinion a very important notion from a practical point of view. The PI also suggest a (maybe harder task of) making string alignment algorithms highly parallel._x000D_
_x000D_
The PI in particular works on questions from Biology. This seems promising as the PI works with a person from the industry._x000D_
_x000D_
The PI suggest the highly ambitious goal of making the computation of _x000D_
an approximation for the distances in a graph, massively parallel._x000D_
This is the part from the proposal to be shred with Ravi Kumar._x000D_
_x000D_
Note that approximation of distances may not be the practical measure, and that the path are usually stochastic with some distribution._x000D_
_x000D_
Here the PI suggest the deal with the seminal goal of being scalable._x000D_
This means that if the input significantly grows, the algorithms still would run efficiently. _x000D_
_x000D_
Note that in Map reduce,  like in the class NC, the number of rounds at worse should be at most polylogarithmic._x000D_
_x000D_
The PI ultimate goal is to give a 1+epsilon approximation for the shortest path problem, in O(log n) rounds._x000D_
A simple randomized approach is presented for sqrt{n} rounds,_x000D_
and the PI suggest some ways that may turn the number of rounds to polylog._x000D_
_x000D_
An interesting goal is to approximate the maximum matching on a bipartite graph via massively parallel system._x000D_
The author uses a theorem that indicates that if all augmenting paths are large, the matching is already close to be maximum. _x000D_
_x000D_
As one could expect from a researcher of CMU, the PI is a strong researcher. A lot of papers in STOC/FOCS/SODA. As a student, the PI got a best student paper SODA paper award which is impressive._x000D_
_x000D_
The goals of the proposal if attainable may be important._x000D_
It looks like the PI should be able to solve at least some of the _x000D_
problem suggested. In fact in page 16 the author promises to improve a ratio of 1/2 to 1-epsilon. This may indicate that some preliminary work has been done._x000D_
_x000D_
In the context of the five review elements, please _x000D_
evaluate the strengths and weaknesses of the proposal with respect to broader impacts._x000D_
_x000D_
The author suggest several things as broader impact._x000D_
_x000D_
1) Develop a course and write a book on the topic._x000D_
This is rather standard._x000D_
_x000D_
2) The author has several practical papers with undergraduate students._x000D_
I am not surprised the CMP students would be able to program._x000D_
A more difficult goal is to achieve a theoretical paper with _x000D_
an undergraduate student. This has been done_x000D_
and is not impossible. I do not see this part as especially impressive._x000D_
_x000D_
3) The authors hints that his work may have practical applications. But this simply can not be deduced from the information in the proposal._x000D_
_x000D_
The Broader impact here is not strong. Perhaps the word I should use is reasonable._x000D_
_x000D_
Please evaluate the strengths and _x000D_
weaknesses of the proposal with respect to any additional solicitation-specific review criteria, if _x000D_
applicable_x000D_
_x000D_
As I said, the weaknesses is the lack of discussion of the overhead_x000D_
in massively parallel computing, the lack of clarification of how much will the proposal affect the industry (not all project of google gets to be a software that is sold). And the Broader impact is not strong._x000D_
_x000D_
Summary Statement_x000D_
_x000D_
The PI is a very strong researcher. The problems are essential._x000D_
The PI seems to be capable to handle such questions._x000D_
And for the somewhat weak point see above._x000D_
_x000D_
_x000D_
_x000D_
</t>
  </si>
  <si>
    <t xml:space="preserve">In the context of the five review elements, please _x000D_
evaluate the strengths and weaknesses of the proposal with respect to intellectual merit._x000D_
_x000D_
Strengths:_x000D_
_x000D_
The proposed research seeks to design improved algorithms for fundamental problems in parallel systems such as MapReduce._x000D_
_x000D_
The research agenda is far-reaching, as it seeks to improve algorithmic solutions of important problems. Moreover, it includes both short-term and long-term goals. For example, some of the short-term goals include obtaining a (1+eps)-approximate shortest paths algorithm with polylog(n) rounds is an important, and optimistic goal. The broader goals include obtaining general methods for transforming a divide &amp; conquer algorithm to a MapReduce algorithm. It is worth noting that the PI has obtained a similar meta-theorem in the past regarding greedy algorithms._x000D_
_x000D_
Based on their high-level description, the technical approaches that will be explored to solve the proposed problems, seem plausible. The implementation goal seems to be planned thoroughly. The budget includes funds for purchasing processing time in large systems for evaluation purposes._x000D_
_x000D_
The PI is qualified to lead this research effort. He has obtained some important results in the area, and he has received a best-paper award at SPAA. _x000D_
_x000D_
_x000D_
In the context of the five review elements, please _x000D_
evaluate the strengths and weaknesses of the proposal with respect to broader impacts._x000D_
_x000D_
Strengths:_x000D_
The work of the PI transcends the boundaries of theory, as demonstrated by his work on k-means clustering that has been implemented and included in machine learning software package._x000D_
_x000D_
The proposal outlines specific collaboration plans with Google on designing algorithms for shortest paths. This has the potential to transfer ideas between theory and practice._x000D_
_x000D_
_x000D_
_x000D_
Please evaluate the strengths and _x000D_
weaknesses of the proposal with respect to any additional solicitation-specific review criteria, if _x000D_
applicable_x000D_
_x000D_
The education plan is very good: the proposal includes plans to develop a K-12 technology course, organize a bi-annual workshop between theory and practice, and write a book._x000D_
_x000D_
_x000D_
Summary Statement_x000D_
_x000D_
This is a well thought-out proposal. It seeks to address important algorithmic problems in an exciting new direction. Progress on the outlined problems could likely lead to improved algorithms in practice._x000D_
_x000D_
</t>
  </si>
  <si>
    <t>HB1006554</t>
  </si>
  <si>
    <t>Singh</t>
  </si>
  <si>
    <t>mohitsinghr@gmail.com</t>
  </si>
  <si>
    <t xml:space="preserve">In the context of the five review elements, please _x000D_
evaluate the strengths and weaknesses of the proposal with respect to intellectual merit._x000D_
_x000D_
The proposal considers designing algorithms for parallel model of computation like mapreduce. The proposal aims to develop generic methods to convert a class of sequential algorithms to such parallel models. PI also aims to look at string matching problems in the model as well a matching and shortest path problems. _x000D_
_x000D_
PI is an expert in the area and gives a good plan for proposed research. The main drawback of the work is lack of potentially transformative ideas and focuses narrowly on particular problems. PI has restricted the proposal to a particular model proposed in previous work. The proposal does not take a critical look at the models that have been proposed and are being proposed and whether they need to be revised given the ongoing advances in technology._x000D_
_x000D_
In the context of the five review elements, please _x000D_
evaluate the strengths and weaknesses of the proposal with respect to broader impacts._x000D_
_x000D_
PI has proposed interaction with companies and code development to ensure research is incorporated in new technologies. The PI also plan to develop coursework and write a book to disseminate the work._x000D_
_x000D_
Please evaluate the strengths and _x000D_
weaknesses of the proposal with respect to any additional solicitation-specific review criteria, if _x000D_
applicable_x000D_
_x000D_
_x000D_
_x000D_
Summary Statement_x000D_
_x000D_
The proposal is technically strong and aims to develop new algorithms for multiple problems in the parallel models of computation. The main drawback is the narrow outlook to restrict the work to a certain specific model proposed in literature._x000D_
_x000D_
</t>
  </si>
  <si>
    <t>This project will develop an algorithmic foundation for massively parallel computing frameworks such as Spark and MapReduce. The project's goal is to give scalable massively parallel algorithms for problems such as matchings, flows, shortest-paths and sequence-comparison. The methods developed will overcome common barriers in scalable algorithm design by leveraging the unique features of massively parallel computing frameworks.Massively distributed frameworks such as Spark and MapReduce are commonly used in industry for large scale computing. These technologies and their use have been developed mostly by practitioners and applied researchers. This project will offer new insights into the use of these frameworks through theoretical algorithmic investigation. The theoretical work in this project will influence practice similarly to other areas such as parallel computing and streaming computations._x000D_
_x000D_
Massively distributed frameworks were originally developed for simple types of computations, but the technologies have the potential to be useful for a rich class of applications. This project will demonstrate this by developing scalable methods for central problems in large data analysis. This project has the following goals. For each goal, preliminary work discussed in this proposal shows that the direction is promising and likely to be successful._x000D_
_x000D_
-Develop meta-algorithms that take a sequential method as input and output a fast distributed simulation. Target classes to simulate include divide-and-conquer and streaming algorithms. Such meta-algorithms will give a systematic approach to scale existing methods._x000D_
_x000D_
-Develop scalable methods for computing near optimal matchings, b-matchings and bipartite flows. These techniques will lead to efficient large scale solutions for assignment problems such as mapping ads to webspace._x000D_
_x000D_
-Reveal scalable methods for sequence comparison problems arising in bioinformatics including edit-distance, longest common subsequence, and subsequence alignment. The methods will efficiently produce provably near-optimal solutions for comparing large sequences. This will scale whole genome comparison and related problems._x000D_
_x000D_
-Develop scalable methods for near optimal shortest path computations, a central challenge in operations research. This will reveal new directions for scalable shortest-path algorithm design by investigating the applicability of massively parallel frameworks for the problem._x000D_
_x000D_
Achieving these goals can influence methods in production similarly to past massively distributed algorithmic investigations for problems such as clustering. Successfully addressing these challenges requires a background in distributed algorithm design, modeling, and hands-on cluster computing experience.  The PI brings this background to the project.The PI has been given permission to integrate current approaches for data analytics into the core undergraduate optimization course and this course will be redesigned in this project. A graduate course on massively distributed computing will be developed. The PI will develop a K-12 technology course on robotics. Graduate and undergraduate students will be trained during the project._x000D_
_x000D_
Techniques developed will be summarized in a book. This book will make the key ideas for massively distributed algorithm design accessible to the community. The PI will organize a bi-annual workshop bringing practitioners and theoreticians together to advance algorithm design.</t>
  </si>
  <si>
    <t xml:space="preserve"> Panel Summary       
 SUMMARY OF PROPOSED RESEARCH ACTIVITY_x000D_
_x000D_
Description :_x000D_
_x000D_
The proposal aims to design algorithms for mixed integer quadratic programs. One goal is to find polynomial time algorithms for convex/quasi-convex MIQP when the number of integer variables is fixed and obtain approximation schemes for concave MIQP under similar assumptions. Another is to solve the general MIQP in fixed dimensions. In addition, the proposal aims to look at MIQP when the constraint matrix is structured such as TU/TDI etc. Development of cutting plane algorithms is also proposed. _x000D_
_x000D_
INTELLECTUAL MERIT_x000D_
_x000D_
Strengths_x000D_
_x000D_
+ The proposed problems are fundamental problems in optimization and their resolution will add to the rich and classical theory of algorithms for (mixed) integer programming in fixed dimensions._x000D_
+ PI is well qualified to work on the problems proposed and has significant preliminary results. _x000D_
+ The plan of work is very well organized (although there is no precise timeline). _x000D_
+ The PI plans for 'plan B' options: he discusses what he would do if what he plans does not work, which illustrates the level of readiness of this project. _x000D_
_x000D_
_x000D_
Weaknesses_x000D_
_x000D_
- The research proposed is creative, but perhaps not transformative -- many of the concepts and techniques are well established in the optimization literature_x000D_
_x000D_
_x000D_
BROADER IMPACTS_x000D_
_x000D_
Strengths_x000D_
_x000D_
+ The work has potential for impact on solvers that aim to solve these problems in practice. _x000D_
+ The educational and outreach activities are creative and extremely well thought out and articulated and the PI seems to be very passionate and involved with outreach, as well as educating younger students._x000D_
+ The PI has designed detailed hands on optimization activities at the K-12 level, and these morph into optimization puzzles for undergraduate students_x000D_
_x000D_
Weaknesses_x000D_
_x000D_
- The suggested techniques seem to be more restricted to the field, rather than advance knowledge across different fields_x000D_
- The PI could have provided more details of past education and outreach activities_x000D_
_x000D_
_x000D_
CAREER SOLICITATION-SPECIFIC REMARKS:_x000D_
_x000D_
Letter of institutional commitment._x000D_
_x000D_
There is a strong letter of commitment from Jeff Linderoth, Department Chair, Department of Industrial and Systems Engineering, at the University of Wisconsin-Madison._x000D_
_x000D_
Integration of research and education:_x000D_
_x000D_
The panel was unanimous that the research and education plan of this proposal are very well integrated, with a strong optimization education component from K-12, to undergraduate, all the way to the advanced PhD level._x000D_
 _x000D_
_x000D_
ADDITIONAL REMARKS_x000D_
_x000D_
Research plan:_x000D_
_x000D_
The research plan, duration, and budget are appropriate for the proposed research._x000D_
_x000D_
Collaboration plan:_x000D_
_x000D_
Two letters of collaboration have been provided from partners who are crucial for the education and outreach components; this collaboration is planned out in detail, which the panel appreciates. _x000D_
_x000D_
Data Management Plan:_x000D_
_x000D_
The PI anticipates that the only end product of the proposed research will be research papers, which will be disseminated online via preprint services such as arxiv. This is adequate for this proposal._x000D_
_x000D_
Results of prior support:_x000D_
_x000D_
The PI mentions the most relevant NSF grant as_x000D_
_x000D_
	Structural Properties and Strong Relaxations for Mixed Integer Polynomial Optimization_x000D_
_x000D_
Several papers have resulted from that project. The PI mentions potential important applications in optimization software, but does not provide any evidence that he is working towards realizing this potential._x000D_
_x000D_
Suggestions to PI:_x000D_
_x000D_
For the applied problems, the PI should provide more detail for why other heuristics/approximations will not work as well as the MIQP-based approach. Also, for the educational section, it would be good if the PI could also provide details of past activities in addition to future plans, specially with regards to K-12._x000D_
_x000D_
Justification for Panel Rating:_x000D_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PI is well qualified to approach the problems proposed and has significant results in the problems proposed. _x000D_
_x000D_
Panel Rating:_x000D_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</si>
  <si>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A very good proposal setting clear questions and a nice plan of action. Excellent educational plan._x000D_
_x000D_
Intellectual merit:_x000D_
Strengths:_x000D_
+ The PI has conducted prior work in the area he plans to work on. He has prior NSF support in the same general area._x000D_
+ The research questions identified by the PI are ambitious, yet very clear and on point. _x000D_
+ The success of this proposal will contribute to an increased understanding of MIQP, theoretically, and practically with an enhanced toolbox for practitioners._x000D_
+ The plan of work is very well organized (although there is no precise timeline). _x000D_
+ The PI plans for 'plan B' options: he discusses what he would do if what he plans does not work, which illustrates the level of readiness of this project._x000D_
_x000D_
Weaknesses_x000D_
- No timeline._x000D_
- Except for discussed alternative plans, there is no clear assessment plan. _x000D_
_x000D_
_x000D_
In the context of the five review elements, please _x000D_
evaluate the strengths and weaknesses of the proposal with respect to broader impacts._x000D_
_x000D_
Strengths_x000D_
+ The success of this project will have tremendous impact on a wide variety of practitioners as solvers are expected to be greatly enhanced._x000D_
+ The PI plans to use his affiliation with the Wisconsin Institute for Discovery to help disseminate his work to a variety of fields. _x000D_
+ The PI plans to put together outreach activities for pre-college students and other competitions for undergraduate and graduate students._x000D_
+ He plans to create a course centered on the topic of his proposed work, which he plans to use as a starting point for a monograph._x000D_
_x000D_
Weaknesses_x000D_
- None_x000D_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very creative educational plan._x000D_
+ His education plan is substantial, ambitious, well thought-out, and creative. The depth of the proposed activities and focus show a drive for integrating research and education._x000D_
_x000D_
Weaknesses_x000D_
- None_x000D_
_x000D_
Data Management Plan_x000D_
The Data Management Plan seems appropriate. _x000D_
_x000D_
_x000D_
Summary Statement_x000D_
_x000D_
Overall, an excellent proposal with a strong and ambitious research agenda and an excellent education plan. _x000D_
_x000D_
_x000D_
</t>
  </si>
  <si>
    <t xml:space="preserve">In the context of the five review elements, please _x000D_
evaluate the strengths and weaknesses of the proposal with respect to intellectual merit._x000D_
_x000D_
The proposal looks at multiple problems in the general class of mixed integer quadratic programs. Just the integer part, or just the quadratic part, are enough to make the problem intractable. But there are many special cases that can be solved efficiently, such as when the number of integer variables is small and the quadratic objective is in fact convex (e.g. when the quadratic part is positive semi-definite). The PI proposes to expand the set of special cases which are known to be tractable, and develop heuristic (e.g. cutting plane methods) in other cases. This is a widely applicable problem, with nice connections to classical optimization. Thus this has substantial intellectual merit. The research proposed is creative, but perhaps not transformative -- many of the concepts and techniques are well established in the optimization literature. The PI is well qualified, and one of the foremost experts in MIQP, and the program of research has a high chance of success._x000D_
_x000D_
In the context of the five review elements, please _x000D_
evaluate the strengths and weaknesses of the proposal with respect to broader impacts._x000D_
_x000D_
The education plan is specially creative, with hands-on components. The PI proposes interactive activities to encourage the study and understanding of optimization for K-12 students and interested adults. These are highly innovative, e.g. students will solve shortest path problems in a parking lot. This morphs into optimization puzzles for undergrads smoothly_x000D_
_x000D_
The project (specially the cutting planes part) has the potential to advance the state of MIQP solvers._x000D_
_x000D_
_x000D_
Please evaluate the strengths and _x000D_
weaknesses of the proposal with respect to any additional solicitation-specific review criteria, if _x000D_
applicable_x000D_
_x000D_
_x000D_
_x000D_
Summary Statement_x000D_
_x000D_
This is a high quality proposal in all respects. But there is some concern that the theory proposed is not transformative, and the practical impact is somewhat removed from a concrete application (e.g. it is in terms of solvers, but not in terms of actual problems on the ground) so there is some risk that alternate, more direct approaches may be available in the underlying application domains._x000D_
_x000D_
</t>
  </si>
  <si>
    <t xml:space="preserve">In the context of the five review elements, please _x000D_
evaluate the strengths and weaknesses of the proposal with respect to intellectual merit._x000D_
_x000D_
strengths:_x000D_
+ The proposed research questions are both theoretically important and will have significant practical applications if resolved. The techniques that the PI plans to develop to solve those questions could advance knowledge and understanding within the field._x000D_
+ The PI is very well positioned to conduct the suggested research_x000D_
+ The proposal is very well written and I enjoyed reading it._x000D_
+ The proposed research plan is well thought out._x000D_
_x000D_
weaknesses:_x000D_
- other than the great  practical implications of the work, the suggested techniques seem to be more restricted to the field, rather than advance knowledge across different fields_x000D_
_x000D_
In the context of the five review elements, please _x000D_
evaluate the strengths and weaknesses of the proposal with respect to broader impacts._x000D_
_x000D_
strengths:_x000D_
+ the educational plan is stellar. The educational and outreach activities are extremely well thought out and articulated and the PI seems to be very passionate and involved with outreach, as well as educating younger students. I found absolutely no weaknesses in this aspect of the proposal._x000D_
_x000D_
Please evaluate the strengths and _x000D_
weaknesses of the proposal with respect to any additional solicitation-specific review criteria, if _x000D_
applicable_x000D_
_x000D_
_x000D_
_x000D_
Summary Statement_x000D_
_x000D_
The proposal aims to advance the design and analysis of algorithms for Mixed Integer Quadratic Programming. While for Mixed Integer Linear Programming, a lot is known, there is very little progress in understanding complexity and algorithmic aspects of MIQP. The proposed activities are well thought out and explained, and the problems that the PI aims to solve are both theoretically and practically interesting, albeit perhaps of a somewhat narrow scope. The educational plan of the PI is exceptional. Overall a very good proposal_x000D_
_x000D_
</t>
  </si>
  <si>
    <t xml:space="preserve">In the context of the five review elements, please _x000D_
evaluate the strengths and weaknesses of the proposal with respect to intellectual merit._x000D_
_x000D_
The proposal aims to design algorithms for mixed integer quadratic integer programs. The proposal aims to find polynomial time algorithms for convex/quasi-convex MIQP when the number of integer variables is fixed and obtain approximation schemes for concave MIQP under similar assumptions. The proposal also aims to solve the general MIQP in fixed dimensions. In addition, the proposal aims to look at MIQP when the constraint matrix is structured such as TU/TDI etc. Development of cutting plane algorithms is also proposed. _x000D_
_x000D_
The proposed problems are fundamental problems in optimization and their resolution will add to the rich and classical theory of algorithms for (mixed) integer programming in fixed dimensions. The work also has potential for impact on solvers that aim to solve these problems in practice. _x000D_
PI is a well qualified to approach the problems proposed and has significant results in the problems proposed. _x000D_
_x000D_
_x000D_
In the context of the five review elements, please _x000D_
evaluate the strengths and weaknesses of the proposal with respect to broader impacts._x000D_
_x000D_
The proposal outlines various avenues of broader impact including education, outreach to k-12, graduate and undergraduate student involvement. The PI will also aim to disseminate research to relevant companies developing software solutions for MIQPs as well as writing a book/monograph and developing a new course._x000D_
_x000D_
Please evaluate the strengths and _x000D_
weaknesses of the proposal with respect to any additional solicitation-specific review criteria, if _x000D_
applicable_x000D_
_x000D_
_x000D_
_x000D_
Summary Statement_x000D_
_x000D_
The proposal aims to find efficient exact or approximate algorithms for various versions of MIQP. The proposal will advance the understanding of computatability of MIQPs fundamentally._x000D_
_x000D_
</t>
  </si>
  <si>
    <t>The goal of the proposed research is to advance the design and the analysis of algorithms for Mixed-Integer Quadratic Programming (MIQP). The relevance of MIQP is twofold. On the one side, many important applications can be naturally modeled as MIQPs. On the other side, MIQP is a prototypical Mixed-Integer Nonlinear Programming (MINLP) model, as it captures the critical elements of those models, but in the simplest possible way, making it the natural first step to construct efficient algorithms for MINLP._x000D_
In particular, MIQP subsumes Mixed-Integer Linear Programming (MILP). Over the past 60 years the field of MILP has achieved great success from a theoretical, computational, and applied point of view. Such a level of maturity has not been reached when one considers MIQP. The objective of the proposed research is to close this gap on a theoretical level. Specifically, the goals are: (i) Design exact and approximation algorithms that run in polynomial time for important classes of MIQP problems; (ii) Identify classes of MIQP problems for which it is NP-hard to find exact and approximate solutions; (iii) Design cutting plane algorithms for wide classes of MIQP problems. By leveraging on the extensive MILP and Quadratic Programming (QP) literature, for the first time novel directions are proposed for extending a variety of powerful MILP and QP methods to the vastly different MIQP setting._x000D_
To promote interest in optimization among precollege students and the general public, interactive activities will be developed and delivered. At the undergraduate level, an optimization puzzle competition will stimulate interest in optimization, and a new module will expose students to core MIQP problems. At the graduate level, a new algorithmic course on MIQP will be introduced, and it will be used as the starting material for the design of a monograph on MIQP.The success of this project will shed light on the fundamental limits of computation in MIQP and will expose large classes of MIQP problems that can be solved efficiently within those limits. Moreover, it will significantly enhance the mathematical toolkit used by researchers for the design and analysis of algorithms for MIQP. The success of this project could also lead to resolving some fundamental open questions regarding computational complexity such as: (a) Does there exist a Fully Polynomial-Time Approximation Scheme (FPTAS) for MIQP, provided that the number of integer variables and the number of negative eigenvalues of the objective function are fixed? (b) Does there exist a polynomial-time exact algorithm for MIQP in fixed dimension?Seminal work in algorithms for MILP is the key component that led to the development of highly efficient and robust solvers for MILP that are used by thousands of organizations for solving large scale optimization problems. In spite of their significant impact in a variety of fields, there exist a multitude of important applications that cannot be formulated as MILP problems. A large number of these applications, in areas such as engineering, computer science, physics, biology, finance, and economics can be modeled as MIQPs. However, state-of-the-art MIQP solvers are currently not comparable to MILP solvers. Like in the MILP case, the proposed algorithmic framework for MIQP could have a significant impact in our ability to enhance state-of-the-art solvers that will eventually solve real-world MIQP problems. Moreover, this work will lay the foundations for the design of solution methods for the more general class of MINLP problems. The PI's affiliation with the Wisconsin Institute for Discovery will play a key role in spreading the impact of this research among neighboring fields._x000D_
The proposed interactive activities will increase the number of decision-makers in industry, government, and general public that choose to use optimization tools to make better decisions. The optimization puzzle competition and the new undergraduate module will foster an environment for undergraduate research in optimization. The new graduate course on MIQP will enrich an already vibrant environment for graduate research. This course, and the corresponding monograph, will also disseminate the state-of-the-art theory and solution methodologies for MIQP, and will get more researchers involved in this promising area of research.</t>
  </si>
  <si>
    <t xml:space="preserve"> Panel Summary       
 SUMMARY OF PROPOSED RESEARCH ACTIVITY_x000D_
_x000D_
Description :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is to investigate some avenues from convex geometry, such as resolve the KLS conjecture,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_x000D_
_x000D_
 INTELLECTUAL MERIT_x000D_
_x000D_
_x000D_
Strengths_x000D_
_x000D_
+ The panel unanimously thought that this was an excellent research direction and the execution plan of the suggested research was very well thought out._x000D_
+ The proposal was well written and pleasing to read_x000D_
+ plan of attack is there with details_x000D_
+ The PI has an excellent track record and has done stellar research in the field, thus the panel was confident that (some of) the goals of the proposal, even though ambitious, will come to fruition._x000D_
_x000D_
Weaknesses_x000D_
_x000D_
- The panel found no apparent drawbacks in the research and intellectual merit aspects of the proposal._x000D_
_x000D_
BROADER IMPACTS_x000D_
_x000D_
_x000D_
_x000D_
Strengths_x000D_
_x000D_
+ The panel thought that the research proposed had great potential of shaping the way we think of optimization_x000D_
+ The panel liked how the PI proposed to include the proposed research ideas in curriculum_x000D_
+ The panel appreciated the fact that the PI gave examples of concrete people he has influenced _x000D_
+ The PI's attempts to develop an interdisciplinary curriculum, and the multi-disciplinary workshops he has organized at STOC and ICCOPT bridging the discrete and continuous optimization communities is indicative of strong outreach across fields._x000D_
_x000D_
_x000D_
_x000D_
Weaknesses_x000D_
_x000D_
- While some panel members felt the educational and broader impacts section was adequate, some others were unsatisfied with it and would have liked to see a better developed educational plan. Some panel members saw it was a significant drawback that there was not enough effort to reach undergrads, K-12 and minority students._x000D_
_x000D_
- The panel thought that the mention of the empirical study was very short, making it unclear if the research will have impacts in the applications domains. It would be best if the PI expanded on the empirical part, or removed it._x000D_
 _x000D_
_x000D_
CAREER SOLICITATION-SPECIFIC REMARKS:_x000D_
_x000D_
Letter of institutional commitment. adequate_x000D_
_x000D_
Integration of research and education: The curriculum development the PI proposes is integrating his very important research with teaching. The panel thought that was really nice.  _x000D_
_x000D_
 _x000D_
_x000D_
ADDITIONAL REMARKS_x000D_
_x000D_
Research plan: clear_x000D_
_x000D_
Collaboration plan: adequate_x000D_
_x000D_
_x000D_
Data Management Plan: adequate_x000D_
_x000D_
Results of prior support:  Clearly stated_x000D_
_x000D_
 _x000D_
_x000D_
Suggestions to PI: _x000D_
 _x000D_
_x000D_
Justification for Panel Rating: The panel thought the research directions of the PI are excellent. However, the panel felt that the proposal was somewhat lacking in the outreach and broader educational aspect._x000D_
_x000D_
 _x000D_
_x000D_
Panel Rating:_x000D_
_x000D_
X_ Highly Competitive_x000D_
_x000D_
_ Competitive_x000D_
_x000D_
_ Low Competitive_x000D_
_x000D_
_ Not Competitive_x000D_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</si>
  <si>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This proposal seeks to better understand connections between sampling and convex optimization, and in particular to attack the conjecture of Kannan, Lovasz and Simonovits according to which, after rounding a convex body by an appropriate affine transformation, all bisections have at least constant boundary measure. This question is closely related to the running time of ellipsoid-based optimization methods and resolving it positively would lead to significant improvements in many related problems of sampling, volume estimation, membership testing, and optimization for convex bodies. Relatedly, the proposal seeks to reduce the number of iterations for these methods, beyond the improvement from sqrt(m) to sqrt(n) already achieved by the proposer and others (where here n is the number of variables and m the number of constraints). The proposal offers several promising and specific pathways to achieve progress in this area, which, while possibly not leading to a full proof of the conjecture, could make significant progress on known bounds for these problems. It also proposes work on important related problems including isoperimetry for 0-1 polytopes and mixing of random walks on manifolds._x000D_
_x000D_
Yin Tat Lee has an extremely strong record of recent theory publications with three FOCS papers in 2015, two STOC and two SODA papers in 2016, and four STOC papers and one FOCS paper in 2017._x000D_
_x000D_
_x000D_
In the context of the five review elements, please _x000D_
evaluate the strengths and weaknesses of the proposal with respect to broader impacts._x000D_
_x000D_
The PI has a track record of working to facilitate cross-disciplinary collaboration and plans to continue in these efforts. In particular, there are close connections from these topics to machine learning. Additionally, the proposal includes efforts to make the topics of the proposal more widely accessible through survey papers and online resources._x000D_
_x000D_
_x000D_
Please evaluate the strengths and _x000D_
weaknesses of the proposal with respect to any additional solicitation-specific review criteria, if _x000D_
applicable_x000D_
_x000D_
_x000D_
_x000D_
Summary Statement_x000D_
_x000D_
This is an ambitious proposal on cutting-edge problems in convex optimization. The central problem of concern here (the KLS conjecture) is hard, so there is a reasonably high risk that it will not be completely resolved by the proposed line of research, but given the PI's track record and concrete plans for approaching the project it seems likely that this proposal will nevertheless lead to significant advances._x000D_
_x000D_
</t>
  </si>
  <si>
    <t xml:space="preserve">In the context of the five review elements, please _x000D_
evaluate the strengths and weaknesses of the proposal with respect to intellectual merit._x000D_
_x000D_
The PI proposes to study some of the most fundamental problems in convex optimization, and has a credible path of attack. The problems proposed can be divided into three categories: (a) Convex geometry ù here, the main problems are to understand efficient approximations of polyhedra by ellipsoids, and to understand how to get fast samples from a convex set. (b) Combinatorial algorithms, most notable fast algorithms for linear programs, and (c) Convex optimization, where insights from (a) and (b) are used to get taster cutting plane methods._x000D_
_x000D_
This is a high quality proposal in all regards, and deserves to be supported. The division of problems into convex and combinatorial seems somewhat arbitrary, but the PI has a strong track record, and as long as there is progress on these problems, it is not going to matter much how we characterize them._x000D_
_x000D_
This is a high risk proposal in that many of the problems proposed may result in impossibility results as opposed to algorithmic progress; however even negative results will be intellectually exciting, and the PI absolutely deserves to be supported in this attempt._x000D_
_x000D_
In the context of the five review elements, please _x000D_
evaluate the strengths and weaknesses of the proposal with respect to broader impacts._x000D_
_x000D_
The broad impact is strong, including a survey on sampling algorithms.The PI has a strong research and outreach plan._x000D_
_x000D_
At the same time, the empirical section is a bit of a throw-away. Given the importance of these problems, it is best to either just focus on the theory (which is very compelling, and is likely to lead to many practical advances) or devote substantial effort to practice; the proposal seems to assume that the journey from theory to broad impact in practice is likely to be helped by a few lines of code divorced from an application, which seems unrealistic._x000D_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</si>
  <si>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_x000D_
The proposal studies convex optimization and the related problems of convex geometry and combinatorial optmization.  The PI suggests studying several classic conjectures and hard long-term open problems.  The main one is the KLS conjecture, which asks how well an elipsoid approximates a convex shape.  Improving these bounds immediately improves the running time guarantees of important optimization algorithms.  Another problem studied in the proposal is sampling uniformly from a convex shape.  These are all classic and very difficult problems.  However, the PI has made amazing progress in these directions in recent years.  He outlines some creative new approaches in his proposal, building on his current work but also involving significant new ideas (see, e.g., page 7).  I would normally say the proposed research agenda is too ambitious, but it is a problem that deserves significant attention from the community, and the PI is clearly the right person to be doing this._x000D_
_x000D_
In the context of the five review elements, please _x000D_
evaluate the strengths and weaknesses of the proposal with respect to broader impacts._x000D_
_x000D_
The broader impacts are rather minimal.  The PI mentions several standard things, including curriculum development and workshops (I didn't see any discussion of mentoring).  The most interesting part of the broader impacts was a brief discussion of how the PI has helped faculty members from other universities incorporate convex optimization topics into their advanced algorithms courses._x000D_
_x000D_
Please evaluate the strengths and _x000D_
weaknesses of the proposal with respect to any additional solicitation-specific review criteria, if _x000D_
applicable_x000D_
_x000D_
None._x000D_
_x000D_
Summary Statement_x000D_
_x000D_
The PI is a clear superstar, and we should do all we can to support his career.  I only wish he had a more developed broader impacts section._x000D_
_x000D_
</t>
  </si>
  <si>
    <t xml:space="preserve">In the context of the five review elements, please _x000D_
evaluate the strengths and weaknesses of the proposal with respect to intellectual merit._x000D_
_x000D_
strengths_x000D_
+ the proposal poses extremely interesting questions that, if answered, will both result to much faster algorithms as well as new mathematical techniques that would benefit theoretical CS as well as application fields._x000D_
+the PI has an excellent track record on the topics proposed, which puts him in a unique position to conduct and succeed in the proposed research_x000D_
+ Even though the goals are very ambitious, I believe that this is one of the cases where it is likely that they could be achieved by the PI_x000D_
_x000D_
weaknesses:_x000D_
- I found the proposal a little dense and not very polished. A few parts were intertwined in a not-so-clear way. I would have liked to see a little cleaner write up._x000D_
_x000D_
In the context of the five review elements, please _x000D_
evaluate the strengths and weaknesses of the proposal with respect to broader impacts._x000D_
_x000D_
strengths:_x000D_
+ the proposed research is somewhat interdisciplinary and could bring together researchers from various fields, both theoretical and practical._x000D_
+ The PI is planning to develop interesting new courses that would incorporate some of the research and I believe would be beneficial for students and other researchers alike._x000D_
_x000D_
weaknesses:_x000D_
- I found the educational and outreach aspect of the proposal largely sub-par. I would have given it an "excellent" rating for the intellectual merit, but as far as the educational and broader impacts aspect go, there is not enough for a CAREER proposal and I would give it a "fair/poor" rating for that aspect only._x000D_
_x000D_
Please evaluate the strengths and _x000D_
weaknesses of the proposal with respect to any additional solicitation-specific review criteria, if _x000D_
applicable_x000D_
_x000D_
_x000D_
_x000D_
Summary Statement_x000D_
_x000D_
The proposal investigates methods for developing faster and more efficient algorithms for continuous and discrete optimization problems such as breaking the current iteration barrier for solving linear programming and designing efficient cutting plane methods for optimization. A key component towards those goals, if to investigate some avenues from convex geometry, such as resolve the KLS conjecture. The research and intellectual aspect of the proposal are excellent, thought I would have liked it to be a bit more well-written. The PI is uniquely qualified to conduct the research suggested and succeed. However, the educational and broader impact part of the proposal are poor and barely present in the proposal._x000D_
_x000D_
</t>
  </si>
  <si>
    <t>Over the past five years, computer scientists have made considerable progress understanding the theory and practice of convex optimization and its application to various fields, including computer science, operations research, statistics, economics, and mathematics. Breakthroughs such as the Laplacian paradigm have yielded faster algorithms for massive graph problems over a large class of linear systems. Specific problems where long-standing running time barriers have been broken include linear programming and maximum flow. A common theme underlying these results is the power of combining techniques from both continuous and discrete optimization. Evidence suggests that these techniques can be taken even further. _x000D_
_x000D_
The proposed research seeks to develop faster, more efficient algorithms for continuous and discrete optimization. A major obstacle here is the lack of understanding of convex geometry. The PI intends to use the problem of sampling points from convex sets to better explain this topic. Sampling and convex optimization problems are two sides of the same coin. One problem asks how to effectively explore convex sets; the other requires binary searches on them. To date, the best existential reductions from convex problems to linear systems were often related to sampling. _x000D_
_x000D_
This research focuses on three key topics and related goals: _x000D_
_x000D_
Algorithmic Convex Geometry. Understand how well we can approximate convex sets by ellipsoids (KLS conjecture). Develop faster algorithms for sampling points for general convex sets. Explore ways to deform an explicit given polytope as a Riemannian manifold and use the deformations to develop faster polytope sampling algorithms. _x000D_
_x000D_
Combinatorial Optimization. Break the sqrt(n)-iterations barrier for solving linear programming by: understanding the relation of the KLS conjecture and certain interior point methods; approximating polytopes by other shapes; incorporating stochastic optimization techniques in interior point methods; and developing a fine-grained complexity for interior point methods. _x000D_
_x000D_
Convex Optimization. Investigate cutting plane methods via the geometry of localization sets. Develop efficient cutting plane methods via algorithmic convex geometry. Identify non-convex optimizations via sampling algorithms.This project will propose various approaches to attack significant problems in convex geometry and convex optimization, such as the KLS conjecture and the sqrt(n)-iterations barrier for linear programming, via the lens of geometry. Many of these approaches cross domains, including combinatorial optimization, convex optimization, convex geometry, spectral graph theory, Riemannian geometry, stochastic processes, differential equations and randomized linear algebra. Thus, this research will promote the transfer of knowledge among many fields and further solidify the foundations of convex optimization.Given the use of convex optimization techniques in machine learning, statistics, operator research, and industry in general, the techniques developed here will likely have an impact that extends well beyond theoretical computer science. To disseminate the research widely, the PI plans to develop new courses and write surveys on this topic. Furthermore, the PI will continue to organize workshops for both optimization and theoretical computer science communities and to maximize the impact of the proposed research on empirical data science via presentations, collaborations, and implementations.</t>
  </si>
  <si>
    <t>10</t>
  </si>
  <si>
    <t xml:space="preserve"> Panel Summary       
 _x000D_
SUMMARY OF PROPOSED RESEARCH ACTIVITY _x000D_
Description: _x000D_
_x000D_
The PI proposes the development of a general framework for solving online scheduling problems, focused on ideas around gradient descent. Scheduling problems appear in a large number of industrial and engineering applications, and the PI hopes to make improvements in our understanding of some very difficult scheduling problems._x000D_
_x000D_
INTELLECTUAL MERIT _x000D_
_x000D_
Strengths _x000D_
+ The PI has done exceptional work on the theory of scheduling, and is well qualified to work on the problems proposed.  _x000D_
+ Scheduling algorithms are needed in many real world applications._x000D_
+ The PI appears to have worked out a coherent theory of how his new algorithms would function and how they might be analyzed._x000D_
_x000D_
_x000D_
Weaknesses _x000D_
- The PI needs to convey his theory better in the proposal.  The proposal did not explain how this gradient descent approach would really be different from attempting to minimize a potential function in an online manner. The discussion of potential functions was not clear, and would have been better if it were preceded by an explanation of how they are used._x000D_
-  The proposal did not outline a convincing route to solving the multi-dimensional bin packing problem.  _x000D_
_x000D_
BROADER IMPACTS _x000D_
Strengths _x000D_
+ Scheduling algorithms are critical in many real world applications._x000D_
+ Teaching at UC Merced will give the PI opportunities to reach many underrepresented minorities._x000D_
+ The PI plans to engage local highschool students through the UC Merced Frontiers of Science and Engineering seminar series._x000D_
+ The PI also plans to help train future K-12 teachers through the CalTeach/UC Science and Math Initiative._x000D_
_x000D_
_x000D_
CAREER SOLICITATION-SPECIFIC REMARKS: _x000D_
Letter of institutional commitment was fine._x000D_
_x000D_
Integration of research and education: The PI plans to integrate his research agenda into his undergraduate courses, and to advise undergraduate and graduate students on related research projects._x000D_
_x000D_
_x000D_
ADDITIONAL REMARKS _x000D_
_x000D_
The Data Management Plan is above threshold for this project. _x000D_
_x000D_
The results of prior support are clearly stated. _x000D_
_x000D_
_x000D_
Suggestions to PI: _x000D_
It would be better if the PI explained some of the uses of scheduling in Computer Science, Engineering, and Industry.  The implication of importance of scheduling implied at the beginning through the sentence, "For example, it is widely observed that even a small delay in processing web search or big data analytics queries could result in significant revenue loss" was both suspect and unsupported._x000D_
_x000D_
When comparing fields, the utility of stochastic models in scheduling was too quickly dismissed.  It has had a substantial impact on the design of algorithms that are used in practice._x000D_
_x000D_
The proposal could have clarified what the eventual framework might look like.  It would be helpful to give examples of other successful frameworks as a proof of concept._x000D_
_x000D_
_x000D_
Justification for Panel Rating: _x000D_
This is a proposal by a very strong researcher to work on problems in his area of expertise.  The proposal would benefit from better framing and a better exposition of its approach._x000D_
_x000D_
Panel Rating:_x000D_
_ Highly Competitive _x000D_
_XCompetitive _x000D_
_ Low Competitive _x000D_
_ Not Competitive _x000D_
The summary was read by/to the panel and the panel concurred that the summary accurately reflects the panel discussion._x000D_
</t>
  </si>
  <si>
    <t>YB0880523</t>
  </si>
  <si>
    <t>Bender</t>
  </si>
  <si>
    <t>bender@cs.stonybrook.edu</t>
  </si>
  <si>
    <t xml:space="preserve">In the context of the five review elements, please _x000D_
evaluate the strengths and weaknesses of the proposal with respect to intellectual merit._x000D_
_x000D_
This proposal explores new techniques for solving online scheduling.  The proposal is structured around the following problems (with emphasis on the first):_x000D_
_x000D_
- Online scheduling via gradient descent.  How can a scheduling problem be expressed in a form so that gradient descent can be applied? This means finding good potential functions, approximate formulations using time-indexed linear programming, etc. The PI considers scheduling instances where all jobs need to be completed, different machines models, and metrics based on completion time and  arrival time.  I find the technical arguments here compelling. I like the structure of giving some of the big challenging problems in scheduling and explaining why the techniques in this section might chip away at those problems. _x000D_
_x000D_
- Preemptive online packing in the service of maximizing the throughput.  There exist methods for online scheduling in the nonpreemptive case. But these do not naturally extend to the preemptive setting. _x000D_
_x000D_
- Low-level low-dimensional scheduling. The PI is interested in the multidimentional bin packing for small dimension. Apparently, many of the facets of the problem--both what makes it easy and hard--do not seem to naturally translate to small dimension. This is a compelling problem, as the PI says, because it is what happens in virtualized environments where you want to pack multiple workloads onto the same machine. _x000D_
_x000D_
- Deeper understanding of the power of resource augmentation. _x000D_
_x000D_
I have lots of positive impressions of the proposal, especially the technical aspects. The PI is a fantastic researcher, who is doing high quality work.  He has an impressive vision about scheduling theory. _x000D_
_x000D_
The proposal is well organized and the problems are exciting. The PI successfully shows how he thinks and demonstrates techniques that could be used. Part of writing a good proposal is to justify the area of research. This happens nicely in the introduction (though not the summary). _x000D_
_x000D_
I now give suggestions for improving the writing. _x000D_
_x000D_
First of all, it's worth doing a proofread. The proposal is sloppy in places---sometimes very sloppy._x000D_
_x000D_
I think that there are writing issues because the PI is trying to write what he thinks the panel wants to hear, rather than what he earnestly believes.  _x000D_
_x000D_
The proposal seems to be unnecessarily critical early on. For example:_x000D_
"We do not have a framework for systematic algorithmic design although we have some analysis tools."  This doesn't really seem believable. Better to say positive things rather than negative ones at least until we know the intellectual setting of the proposal. _x000D_
_x000D_
I don't even know what a "framework" is, or if I do, I think that there are fantastic frameworks for online scheduling (e.g., total work plus critical path plus work stealing in online parallel scheduling).  Surely there's some technical nugget that can be communicated early on to explain what the PI means._x000D_
_x000D_
Overall, I really like the proposal._x000D_
_x000D_
In the context of the five review elements, please _x000D_
evaluate the strengths and weaknesses of the proposal with respect to broader impacts._x000D_
_x000D_
Scheduling is an important area, and the PI is a leader in the field. I believe that by working with practitioners, this PI will be able to improve many aspects of system design. The techniques in this proposal will also have impact on other areas of combinatorial optimization._x000D_
_x000D_
The educational component is nice._x000D_
_x000D_
_x000D_
Please evaluate the strengths and _x000D_
weaknesses of the proposal with respect to any additional solicitation-specific review criteria, if _x000D_
applicable_x000D_
_x000D_
_x000D_
_x000D_
Summary Statement_x000D_
_x000D_
I view this as a VG proposal. There is a deep and principled look at a bunch of scheduling problems and a good teaching statement._x000D_
_x000D_
_x000D_
</t>
  </si>
  <si>
    <t>SM1006553</t>
  </si>
  <si>
    <t>He</t>
  </si>
  <si>
    <t>xinhe@buffalo.edu</t>
  </si>
  <si>
    <t xml:space="preserve">In the context of the five review elements, please _x000D_
evaluate the strengths and weaknesses of the proposal with respect to intellectual merit._x000D_
_x000D_
The project studies new algorithmic approaches for solving online_x000D_
scheduling problems in various settings. A main approach is_x000D_
"gradient descent". While it is not completely new, the applications_x000D_
of this method in several variations discussed in the proposal present_x000D_
new challenges. Admission control is a critical scheduling component._x000D_
Within preemptive setting, little is known. The PI proposes to_x000D_
develop new algorithmic tools for solving these problems._x000D_
_x000D_
A set of closely related problems are discussed. Each is well motivated,specific goals are clearly described. The concrete approach for attacking them is somehow vague._x000D_
_x000D_
In the context of the five review elements, please _x000D_
evaluate the strengths and weaknesses of the proposal with respect to broader impacts._x000D_
_x000D_
Scheduling algorithms are needed in many of real world systems. The resultsfrom this project may have potential applications in these applications._x000D_
_x000D_
Education Plan: the PI works in a minority serving institution._x000D_
The proposal discussed concrete plans for involvement in K-12 education, undergraduate training, and graduate student mentoring. The PI supervised an undergraduate student through a previous REU program with good result._x000D_
_x000D_
Please evaluate the strengths and _x000D_
weaknesses of the proposal with respect to any additional solicitation-specific review criteria, if _x000D_
applicable_x000D_
_x000D_
_x000D_
_x000D_
Summary Statement_x000D_
_x000D_
The proposed project studies a set of interrelated problems._x000D_
Each sub-area is well motivated and specific goals are clearly_x000D_
described. The concrete approach for attacking them is vague sometimes._x000D_
_x000D_
The PI has done good work in this area, and is well qualified for_x000D_
the proposed research. The project seems fit the PI's long term_x000D_
research agenda well._x000D_
_x000D_
The Departmental letter of support shows strong commitment of the_x000D_
school for the professional development of the PI._x000D_
_x000D_
</t>
  </si>
  <si>
    <t xml:space="preserve">In the context of the five review elements, please _x000D_
evaluate the strengths and weaknesses of the proposal with respect to intellectual merit._x000D_
_x000D_
The project is an ambitious project on fundamental problems in on-line algorithms. It attempts to provide a rather general scheme to deal with such problems._x000D_
_x000D_
In particular the PI tries to define some axioms that will imply that a certain problem can have good competitive ratio, using Gradient Descent._x000D_
_x000D_
This tool is highly natural and I think was not used enough._x000D_
It was used at times even in sequential algorithms_x000D_
(such as the minimization of a Submodular function under Matroid Constrains. See a paper by Vondrak)._x000D_
_x000D_
In Gradient Descent you define a function of the time that includes the length and release date of the jobs seen so far. _x000D_
The decisions are based on the derivative of this function (as a function of t). In section 3, the PI suggest  a (quite reasonable) general scheme for working with Gradient Descent._x000D_
_x000D_
The PI gives a *sufficient* collection of properties (see page 12) that will allow for a good analysis under the Gradient Descent idea._x000D_
One of the questions asked is if these _x000D_
conditions necessary? My guess would be that these conditions are not necessary._x000D_
_x000D_
The author wants to propose  competitive on-line algorithms for some notoriously difficult optimization problems._x000D_
The first is  called MINIMIZING THE FLOW TIME. This is the sum over all tasks of the processing time minus the arrival time.  _x000D_
Even in sequential algorithms this problem is highly complex to approximate. It was given some competitive ratio under the augmentation of resources model (this is a paper by Khanna and Chekuri). The challenge is to give an O(1) competitive ratio using _x000D_
Gradient Descent. With all the positive things I see in the suggested method, this may be too much to ask. However, I can not rule_x000D_
out a success since there are no lower bounds. _x000D_
_x000D_
The same questions are suggested within _x000D_
several models. One of them is the myopic model. In the myopic model the algorithm does not track in detail the scheduling decisions it has made. Rather,_x000D_
it only tracks and uses myopic information such as how much each job has been processed and how much_x000D_
workload is left for the job, and the job's arrival time._x000D_
_x000D_
Another natural question for Flow time is to study it under different metric than L_1, namely L_k for k&gt;1._x000D_
_x000D_
Next the PI suggest again a notoriously hard second question._x000D_
Multidimensional packing problems. In this problem there are D resources (machines), each of which exists in limited supply._x000D_
Each job j has a demand vector v_{jd} from machine number d,_x000D_
This results in a weighted bipartite graph. _x000D_
For a processor p_d and a job i there is a processing speed   _x000D_
a_{i,d}. The overall processing speed is the minimum over d _x000D_
of a_{id}/v_{id} (the finish time of the job)._x000D_
_x000D_
This model contains as one of the simple special cases the multidimensional Knapsack problem that admits a PTAS in the offline case. But the algorithm is complex._x000D_
There are no good existing competitive algorithms._x000D_
The PI aims for an O(1) approximation by the tools above._x000D_
I would imagine that in the most general model, this is not possible (see below). Instead perhaps for the most general version,_x000D_
it is possible to prove lower bounds. The PI suggested this himself. _x000D_
_x000D_
Another problem type is  maximizing  the throughput (giving up on some jobs) An example is preemptive on-line packing problems._x000D_
_x000D_
Another basic problem discussed is routing on graphs._x000D_
Edges have capacities. It is assumed that jobs have no deadlines._x000D_
_x000D_
Requests arrive over time. A request is a pair (s_i,t_i) _x000D_
with some demand. It is required to send a flow demand between a source s_i and a sink t_i. The goal is to schedule the requests online, so that capacities are not violated and _x000D_
the throughput is maximized. Namely, some jobs are discarded _x000D_
and we loose their demand. This is a problem that is more general than the disjoint path problem, which admits very poor (offline!) approximation if capacities are not violated and are equal to the demands. To deal with that the PI suggest that the capacities will be _x000D_
much larger than the demands. The goal is to improve the O(log m) ratio known in this case. The PI suggest some ideas for this problem as well. Finally the authors suggest studying these problems for few machines. For more information, see the proposal._x000D_
_x000D_
The researcher is a strong researcher. The discussed problems are essential._x000D_
Even if some times the goal posed seem to be a very hard open questions. It seems clear that the PI will be able to produce some papers on *variants* of the problems in this proposal. The idea of using gradient descent is interesting if_x000D_
successful. The proposal has large potential for good theoretical results._x000D_
_x000D_
In the context of the five review elements, please _x000D_
evaluate the strengths and weaknesses of the proposal with respect to broader impacts._x000D_
_x000D_
The broader impact suggested is the merit of the proposal itself._x000D_
This is not satisfactory. If for no other reason, because it in not a sure thing that these problems will be solved._x000D_
_x000D_
The university is rather interesting. Very new (2005). The PI is the only_x000D_
theory person in the whole department._x000D_
It is  not located in an area of privileged _x000D_
students. The PI states: the university serves _x000D_
ethnically and economically diverse population of California's San Joaquin Valley. The PI also states that over half of the students are the first in their families to attend a university._x000D_
All this is a clear positive for the proposal._x000D_
_x000D_
With all that the University has some marks of a big enough _x000D_
university, such as graduate students._x000D_
_x000D_
Being the only theory person in the department may allow the PI _x000D_
to improve the way the theory courses are taught._x000D_
_x000D_
Please evaluate the strengths and _x000D_
weaknesses of the proposal with respect to any additional solicitation-specific review criteria, if _x000D_
applicable_x000D_
_x000D_
The lack of Broader impact suggested is a weakness._x000D_
_x000D_
_x000D_
_x000D_
Summary Statement_x000D_
_x000D_
A clearly competitive proposal_x000D_
_x000D_
</t>
  </si>
  <si>
    <t>HS0880526</t>
  </si>
  <si>
    <t>Spielman</t>
  </si>
  <si>
    <t>spielman@cs.yale.edu</t>
  </si>
  <si>
    <t xml:space="preserve">In the context of the five review elements, please _x000D_
evaluate the strengths and weaknesses of the proposal with respect to intellectual merit._x000D_
_x000D_
The goal of the proposal is very ambitious: the development of a systematic approach to solving scheduling problems.    _x000D_
I fear that it may be too ambitious: I do not know of any area of algorithm design that is amenable to such a systematic approach.  They all seem to require the creativity and insight that the proposed approach seeks to avoid._x000D_
_x000D_
The proposal begins by suggesting that improvements in scheduling algorithms would have a large impact on science and business.  I am suspect, especially about the practical utility of the adversarial scheduling models which the PI prefers to stochastic models._x000D_
_x000D_
The main approach proposed to deriving a general framework for scheduling algorithms is through the use of gradient descent.  The PI seems to have thought this through carefully.  However, it is not explained in sufficient detail for me to be able to understand it.  For example, I did not understand the definition of a "residual TF objective".  Similarly, I could not make sense of the abstract description of a potential function in section 3.2.  It would help if it were preceded with an explanation of how such potential functions are used._x000D_
_x000D_
The PI has proposed some particular scheduling problems to solve.  This should help the development of the general theory he seeks.  _x000D_
_x000D_
I would suggest that in future proposals the PI better defines the problems he aims to study.  For example, Vector Scheduling is not defined._x000D_
_x000D_
_x000D_
In the context of the five review elements, please _x000D_
evaluate the strengths and weaknesses of the proposal with respect to broader impacts._x000D_
_x000D_
The PI will participate in some programs for educating local high school students.  As he is teaching at UC Merced, he will have the opportunity to reach many undergraduates who are from minorities that are underrepresented in computer science._x000D_
_x000D_
_x000D_
Please evaluate the strengths and _x000D_
weaknesses of the proposal with respect to any additional solicitation-specific review criteria, if _x000D_
applicable_x000D_
_x000D_
_x000D_
_x000D_
Summary Statement_x000D_
_x000D_
The PI proposes to continue his work in the design of scheduling algorithms.  The main goal of a systematic approach to their design is ambitious.  But, it is difficult to evaluate its success probability._x000D_
_x000D_
</t>
  </si>
  <si>
    <t>Scheduling is increasingly challenging and important as the resources to be allocated over time become more diverse and timely scheduling decisions become more critical in a large number of applications. Online scheduling, which studies dynamic scheduling settings, has received increasing attention and interest as a result of its wide appearance in practice and its study has produced a plethora of new exciting results for various online scheduling problems. Unfortunately, despite all this success, our understanding of online scheduling remains far from being satisfactory. First of all, we do not have a framework for systematic algorithmic design although we have some analysis tools. Designing online scheduling algorithms still requires non-trivial amounts of creativity. There is a critical need to find algorithm design strategies that can keep pace with the changing scheduling environments. _x000D_
_x000D_
The main thrust of this proposal is to find a systematic way of developing online scheduling algorithms, which will give powerful tools to both theoreticians and practitioners. The new algorithmic toolkits will be flexible enough to address the changing scheduling environments. The new approaches will be used to address key challenges in scheduling, which are also of fundamental importance in theoretical computer science, in terms of  problems themselves or technical challenges._x000D_
_x000D_
Keywords: scheduling, online and approximation algorithms, and algorithmic framework.Despite recent great success in developing online scheduling algorithms for various problems and new analysis tools, our understanding of online scheduling remains limited. Further, as modern scheduling is becoming increasingly more complicated and dynamic, it is becoming more challenging to develop algorithms for new scheduling environments or adapt the developed algorithms to real-world scheduling. What is missing in the current online scheduling research and is imperatively needed to change the current situation is a framework that enables deriving scheduling algorithms in a systematic and principled way. Such a framework will speed up the process of developing and analyzing new scheduling algorithms and the algorithms developed in a unified manner are likely to be easily adapted to new scheduling environments and run together smoothly. _x000D_
_x000D_
This proposal will discover new algorithmic approaches for scheduling, which could significantly improve our understanding of online scheduling and have practical impact. To achieve this goal, fundamental questions in online and offline scheduling will be explored or revisited with new angles. Due to the fundamental importance of the questions to be explored, this proposal will not only advance scheduling theory but also enrich various areas in theoretical computer science.Our daily life increasingly relies on cloud computing, social networking, and web data query, etc., whose technological innovations have recently been a powerhouse for industry and economy. While these applications require effective scheduling, because of the increasing complexity of the scheduling environments, it has become challenging to develop new scheduling algorithms. To continuously fuel the powerhouse, it is imperative to find a systematic way of developing scheduling algorithms on the ground of solid theory. This proposal has the potential to have practical impact on real-world scheduling. The proposed work will discover a new lens through which scheduling will will be seen as transparent. The research findings will give an alternative way of educating students on scheduling in a more broad context, which will have a significant impact on CS curriculum. The PI seeks to equip the next-generation of students with the relevant algorithmic skills and theories via effective teaching and mentorship, as well as broadly disseminate the proposed work via organizing workshops, writing tutorials, and developing new courses. Special efforts will be made to broaden the participation of under-represented groups in science and engineering.</t>
  </si>
  <si>
    <t xml:space="preserve"> Panel Summary       
 SUMMARY OF PROPOSED RESEARCH ACTIVITY_x000D_
Description: _x000D_
_x000D_
This proposal aims to tackle a number of fundamental challenges in graph algorithms and convex optimization. The PI wants to advance the state of the art in this context by pursuing the following three thrusts:_x000D_
_x000D_
1) Using the fast solver for directed Laplacian systems that the PI recently developed to obtain new algorithms for directed graph and hypergraph problems. The intention of the PI is to build on the great success of graph algorithmic techniques that relied on fast solvers for symmetric Laplacian systems._x000D_
_x000D_
2) Simplifying and extending the graph algorithmic approach that are based on first order methods. The particular new problems of interest here relate to l_p-flows and Markov decision processes._x000D_
_x000D_
3) Making progress on the provable convergence bounds for interior point methods, which are a fundamental tool for fast solving of linear programs. _x000D_
_x000D_
_x000D_
INTELLECTUAL MERIT_x000D_
_x000D_
Strengths_x000D_
+ The panel viewed the objectives that the proposal identifies as very ambitious and worth pursuing. Many of them are recognized as outstanding questions in the field and making progress on them would likely have transformational effect._x000D_
+ The PI has a truly impressive track record and is very well positioned to pursue the outlined directions. In fact, each of these directions builds on the previous work of the PI.  _x000D_
_x000D_
_x000D_
Weaknesses_x000D_
- The research plan was fairly vague on the exact approaches the PI intends to take to attack the stated goals. There was not much of discussion of the challenges that need to be overcome either._x000D_
_x000D_
BROADER IMPACTS_x000D_
_x000D_
Strengths_x000D_
+ The research agenda spans a number of different disciplines and is likely to bring these disciplines closer together. _x000D_
+ The PI intends to design courses as well as write a textbook that will make it easier for others to pursue such an interdisciplinary research._x000D_
_x000D_
_x000D_
Weaknesses:_x000D_
- Beyond the interdisciplinary aspect of the PI's research, there seems to be little in terms of non-standard broader impact activities presented._x000D_
- Some of the panelists were concerned that writing a textbook might constitute a significant time commitment that might overly detract the PI from pursuing the stated research goals._x000D_
_x000D_
_x000D_
CAREER SOLICITATION-SPECIFIC REMARKS:_x000D_
Letter of institutional commitment included._x000D_
Integration of research and education: _x000D_
_x000D_
The research agenda of the PI will be tightly intertwined with the undergraduate and graduate courses he will be teaching as well as the PI's advising of undergraduate and graduate students._x000D_
_x000D_
_x000D_
ADDITIONAL REMARKS_x000D_
Data Management Plan: Adequate_x000D_
Results of prior support: No prior support (except NSF graduate fellowship)_x000D_
_x000D_
Suggestions to PI:_x000D_
The PI is strongly advised to significantly expand and flesh out the specific approaches that he intends to employ to achieve the stated goals. _x000D_
_x000D_
Also, per NSF policy, the PI should include his name in the list of authors on the list of products provided in the biographical sketch. --&gt;_x000D_
The NSF instructions on Biosketches (https://www.nsf.gov/pubs/policydocs/pappg17_1/pappg_2.jsp#IIC2fic) say, "Each product must include full citation information including names of all authors..." _x000D_
_x000D_
The panel needed to spend some time to verify that the listed papers were the PI's. _x000D_
_x000D_
Justification for Panel Rating: _x000D_
_x000D_
The panel recognized the research goals as very ambitious and the PI as having a very strong track record in the relevant domains. However, the actual research plan was viewed as very underdeveloped and, in particular, it did not provide much information on the approaches the PI intends to employ to pursue the stated goals. After some discussion, the panel reached a consensus that this is a significant weakness of the proposal._x000D_
_x000D_
_x000D_
Panel Rating: _x000D_
_ Highly Competitive_x000D_
X_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</si>
  <si>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proposal concerns fast algorithms for classical graph problems such as maximum flow. Flow has long been known to be polynomial time, but with algorithms that scale quadratically (for sparse graphs), making them difficult to use for large instances._x000D_
On the other hand, problems such as pagerank or multidimensional scaling that can be expressed in terms of the eigenvectors of an associated sparse matrix can often be solved much more quickly, in near-linear time by using iterative methods. There are difficulties involving the speed of convergence of these methods, but they have largely been overcome for graph Laplacians, a standard matrix for these sorts of problems; see reference [65]._x000D_
_x000D_
The proposal seeks to extend these methods in three ways: First, by extending the graph Laplacian approach from undirected graphs to directed graphs and hypergraphs; second, by generalizing the proposer's previous work that found near-linear flow algorithms using first order methods, graph decompositions, and cut approximators; and third, by combining interior point methods for convex optimization with the specific structure of graph problems, allowing previous concordance-based limits to be avoided. The details are left very vague._x000D_
_x000D_
Sidford has a very strong recent record of publications at top-level theory conferences (three STOC/FOCS papers in 2016, and three again in 2017). He has also frequently published at COLT, ICML, and other machine learning venues._x000D_
_x000D_
_x000D_
In the context of the five review elements, please _x000D_
evaluate the strengths and weaknesses of the proposal with respect to broader impacts._x000D_
_x000D_
The proposal contains the usual "I will achieve broader impacts by teaching this material to students" boilerplate. However, it also proposes that the PI write a textbook on this subject, an undertaking that for most authors would occupy most of their time for at least a year, leaving little for research._x000D_
_x000D_
_x000D_
Please evaluate the strengths and _x000D_
weaknesses of the proposal with respect to any additional solicitation-specific review criteria, if _x000D_
applicable_x000D_
_x000D_
_x000D_
_x000D_
Summary Statement_x000D_
_x000D_
This is an ambitious proposal without enough detail to provide a clear picture of whether it can succeed. But the proposer's past record of success is evidence that it can, and if it can make significant progress on the main open problem in this area (directed flow) it will be an important addition to the field._x000D_
_x000D_
</t>
  </si>
  <si>
    <t xml:space="preserve">In the context of the five review elements, please _x000D_
evaluate the strengths and weaknesses of the proposal with respect to intellectual merit._x000D_
_x000D_
strengths:_x000D_
+ The research proposed is very timely relevant and aims to attack open questions in large graph optimization that are of great interest._x000D_
+Providing faster algorithms for a plethora of both classical and modern optimization problems, would advance the state of the art in both theory and practice of CS._x000D_
+ A lot of interesting research directions that would have great impact in the field._x000D_
+the PI is very well positioned to conduct the research proposed as shown by his track record._x000D_
_x000D_
_x000D_
weaknesses:_x000D_
- there does not seem to be a very well articulated technical content of this proposal. Namely, the PI does not explain how he is planning to achieve his goals_x000D_
_x000D_
_x000D_
In the context of the five review elements, please _x000D_
evaluate the strengths and weaknesses of the proposal with respect to broader impacts._x000D_
_x000D_
Strengths: _x000D_
+The research is fairly interdisciplinary and would result to better collaborations between different fields of math and CS, which would further expand research possibilities. _x000D_
+ The PI has and is planning to develop a few courses that would incorporate his research on optimization and enable students to train on the intersection of a few different areas, making them well-positioned to conduct future research._x000D_
_x000D_
_x000D_
Weaknesses:_x000D_
- The Educational part of the proposal focuses quite a lot on past work of the PI (e.g. courses that are already developed) while there is little mention of future concrete educational projects. _x000D_
- The main thread of the educational aspect is the interdisciplinary nature of the work, and the PI's passionate approach to reach out to as many areas of math and CS as possible in order to promote research. While this goal is definitely very important (and also a strength of the proposal as noted above), it seems that the PI has spent a good chunk of the educational part repeating the importance of his research (which is also a strength, but has appeared previously in the intellectual merit part) and not giving very concrete plans on how to educate, promote diversity, and make a difference to the lives of students, apart from the research component of it._x000D_
_x000D_
Please evaluate the strengths and _x000D_
weaknesses of the proposal with respect to any additional solicitation-specific review criteria, if _x000D_
applicable_x000D_
_x000D_
_x000D_
_x000D_
Summary Statement_x000D_
_x000D_
The proposal is focusing on new techniques for efficiently solving classical and modern graph optimization problems, which would have large impact both in theory and in practice, especially when it comes to dealing with very large input graphs. The research suggested in the proposal is very innovative and interesting, and the PI is well positioned to conduct the research. One of the main key broader impacts of the suggested research is its interdisciplinary nature, which would advance collaboration between different fields and hopefully change the lights under which we think about graph optimization. Unfortunately, the PI does not give a concrete plan on how he plans to answer a lot of the very intriguing questions he is asking. Moreover, he does not seem to have a very broad educational plan, which mostly focuses on the interdisciplinary nature of the research and its (very positive) concequences._x000D_
_x000D_
</t>
  </si>
  <si>
    <t xml:space="preserve">In the context of the five review elements, please _x000D_
evaluate the strengths and weaknesses of the proposal with respect to intellectual merit._x000D_
_x000D_
The PI deals with some of the techniques that in the front burner in algorithms. The PI is an expert on the Laplacian method _x000D_
(even though I do not like the fact that the PI fails to explain even the most basic details)._x000D_
_x000D_
I will explain a bit on the Laplacian of a graph for the case that its needed._x000D_
Its the matrix D-G with D a diagonal matrix having the degrees of the vertices, minus the incidence Matrix of the graph. Its extremely useful._x000D_
For example it is positive semi definite. Starting about 2003 or so _x000D_
a paper by Spielman and Teng (that seems to be a very big breakthrough) showed almost linear time algorithm to solve a linear system if the matrix is a Laplacian (by factoring basically)._x000D_
_x000D_
This started an effort to try and solve famous problem using fast solving_x000D_
of linear systems. There is progress on many classical problems._x000D_
The PI is involved in many of them. For example Almost-linear-time algorithms for Markov chains, acceleration of Gradient Descent _x000D_
and related problems (computing cuts etc). This tries to overcome_x000D_
the now long standing upper bound on the multiplication of two matrices. The author also discussed interior point methods._x000D_
_x000D_
It is very impressive that the PI was involved in two best students paper awards from FOCS (one paper by two students, and the other by _x000D_
three students) and one best paper award from SODA with 4 authors. The results are indeed very strong. In general, the papers of the PI tend to have many authors. His last STOC 2017 paper has 7 authors! In such a case it can not be that everybody contributed the same and the contribution of the PI is less clear._x000D_
I would suggest to the author to make at least one strong single author paper before his next promotion is considered._x000D_
_x000D_
The proposal is ambitious, to say the least. It is suggested to generalize the techniques to directed graphs. Note that for example the partitioning problems that can be solved using spectral theory and related issues are provably hard in directed graph (this applies to directed multicut and I think to directed sparsest multicut as well)._x000D_
Hence, you can not generalize everything to directed graphs._x000D_
The mixing time or cover time for directed graph also is problematic (its exponential). The PI states that he hopes to develop tools for directed graph and for hypergraphs by numerical method _x000D_
continuous optimization and spectral graph theory. I am not sure that the latter tool can be of much help, but the PI knows this subject better than me. I have no idea what is a Laplacian of an hypergraph._x000D_
I am not sure its defined._x000D_
_x000D_
The author also suggest to generalize his best SODA paper on_x000D_
An Almost-Linear-Time Algorithm approximation for flow_x000D_
to more general questions such as flow in directed graphs,_x000D_
Machine learning and related problems that correspond to the Laplacian of directed graphs._x000D_
_x000D_
Solving the directed Laplacian fast is possible. The applications are hard. There are almost no sparsification results for directed graph,_x000D_
and I expect this to be a very hard task._x000D_
Getting a good sparsification is a barrier that is required _x000D_
for applications for problem on directed graphs._x000D_
Sparsification is quite easy on undirected graphs._x000D_
_x000D_
The authors suggest to try to use the well known application for _x000D_
partitioning, on hypergraphs. I do not exactly understand how._x000D_
This also needs sparsification results for hypergraphs._x000D_
The PI speaks also on faster optimization for Bipartite matching that I would assume is a hard question (there was progress recently)._x000D_
_x000D_
The PI speaks about challenges in interior point methods. I am less familiar with this material. But again the goal is very ambitious,_x000D_
namely finding faster interior point solvers. But in a FOCS 2014 paper the PI has some advance in this open question (even though I think this question is not fully solved)._x000D_
_x000D_
The PI has no current grant from NSF. His request of 500000 dollars_x000D_
seems to be almost standard for a career award._x000D_
_x000D_
I do not know if the problems that the PI suggests are solvable. But he is an extremely able researcher. If someone solves them, he has as a chance as most other researchers._x000D_
_x000D_
The good thing of the proposal is that it speaks on some_x000D_
of the most active and important subjects in solving problems exactly or approximating problems that have polynomial time solutions._x000D_
_x000D_
The second very good point is that the PI seems a very very strong researcher. _x000D_
_x000D_
_x000D_
_x000D_
In the context of the five review elements, please _x000D_
evaluate the strengths and weaknesses of the proposal with respect to broader impacts._x000D_
_x000D_
I will not give the top score to proposals that do not take the _x000D_
broader impact seriously. We can fund the PI this time,_x000D_
since the PI did not get a lot of money from NSF and for the first time _x000D_
I can cope with the fact that he does not almost bother to _x000D_
state a broader impact, but the work itself._x000D_
_x000D_
I am skeptical that the Laplacian methods will really be used in the industry. They use numerical methods that I know quite well._x000D_
The proposal can move forward the theory of the subject considerably._x000D_
But a broader impact is beyond the proposal itself._x000D_
_x000D_
The PI just says that he may work with students and develop courses _x000D_
and that is not particularly strong._x000D_
_x000D_
The PI does not seem to take Broader impact seriously._x000D_
_x000D_
Please evaluate the strengths and _x000D_
weaknesses of the proposal with respect to any additional solicitation-specific review criteria, if _x000D_
applicable_x000D_
_x000D_
Even if the broader impact is a bit weak _x000D_
this is understandable for a very young researcher_x000D_
_x000D_
This is probably one of the stronger proposals at the end of the day._x000D_
_x000D_
Summary Statement_x000D_
_x000D_
I would expect that this proposal would have more than just 50 percent approval probability._x000D_
_x000D_
</t>
  </si>
  <si>
    <t>NP0987734</t>
  </si>
  <si>
    <t>Madry</t>
  </si>
  <si>
    <t>madry@mit.edu</t>
  </si>
  <si>
    <t xml:space="preserve">In the context of the five review elements, please _x000D_
evaluate the strengths and weaknesses of the proposal with respect to intellectual merit._x000D_
_x000D_
This proposal aims to advance the state of the art on a number of fundamental challenges in graph algorithms and convex optimization. Specifically, the PI outlines a plan of attack on three main directions: _x000D_
_x000D_
* Extending the, extremely successful so far, so called Laplacian paradigm from symmetric to directed and hypergraph settings. Here, the PI intends to build on a host of preliminary results, including his recent work that presented the first close to linear time solver for directed Laplacian system. _x000D_
_x000D_
* Simplifying the existing first order based graph algorithmic techniques and broadening their reach to a new class of problems, such as Markov Decision Processes and l_p-flows. _x000D_
_x000D_
* Improving general running time bounds for interior point method. Beyond what the classic self-concordance theory can achieve._x000D_
_x000D_
The above directions are ambitious and touch on some of the most central and pressing problems in graph algorithms and convex optimization. In particular, many of the more concrete objectives specified in this proposal target longstanding questions progress on which would constitute a true breakthrough in the field. _x000D_
_x000D_
The PI has also an unusually strong track record in this domain. With multiple truly impressive results that make progress on most classic questions in the area. In fact, many of the proposed advances would build directly on the trailblazing work of the PI.  _x000D_
_x000D_
The only criticism I have is that the proposal seems to lack a bit in terms of fleshing out the exact approaches that the PI intends to use to tackle the outlined objectives as well as what the exact barriers to achieving these objectives now are. _x000D_
_x000D_
As a result, the proposal reads more like a catalogue of important open problems that could be within our reach given the recent advances in the area than a concrete and thought out plan of attacking them._x000D_
_x000D_
Still, given the PI's track record, I view this as a rather minor weakness._x000D_
_x000D_
_x000D_
In the context of the five review elements, please _x000D_
evaluate the strengths and weaknesses of the proposal with respect to broader impacts._x000D_
_x000D_
The broader impacts aspects of this proposal are good. _x000D_
_x000D_
A particularly interesting component is the educational plan that the PI outlines. The goal of integrating recent advances in the field into a textbook and making an effort to connect better the fields of theoretical computer science, numerical analysis, and operations research seems very timely and important._x000D_
_x000D_
_x000D_
Please evaluate the strengths and _x000D_
weaknesses of the proposal with respect to any additional solicitation-specific review criteria, if _x000D_
applicable_x000D_
_x000D_
_x000D_
_x000D_
Summary Statement_x000D_
_x000D_
This is an ambitious, exciting and timely research plan, commensurate with the track record of the PI._x000D_
_x000D_
</t>
  </si>
  <si>
    <t xml:space="preserve"> Panel Summary       
 _x000D_
SUMMARY OF PROPOSED RESEARCH ACTIVITY_x000D_
_x000D_
The proposed research focuses on developing provably good algorithms for optimization problems, and on obtaining provable guarantees for cutting-plane based heuristics that are successful in practice._x000D_
_x000D_
_x000D_
INTELLECTUAL MERIT_x000D_
_x000D_
Strengths_x000D_
_x000D_
+ The proposed problems concern foundational issues the algorithmic theory of the cutting planes method. Despite significant efforts, surprisingly little is known in theory. Thus the proposal, if successful, would make progress in closing this large gap._x000D_
_x000D_
+ For certain problems, the known polynomial-time algorithms use elipsoid, and are thus highly impractical. Developing cutting plane algorithms, with provable guarantees, is a promising direction for obtaining probably good algorithms that are also practical._x000D_
_x000D_
+ The cutting planes method is very successful in practice (e.g. in algorithms for TSP). The proposed research plan could lead to a theoretical justification for this phenomenon._x000D_
_x000D_
+ The problem is challenging, but the suggested research plan seems reasonable. The idea of trying to interpret primal/dual algorithms as cutting plane is interesting._x000D_
_x000D_
+ The PI has made some progress on understanding the cutting plane methods in his prior work (for matchings). This is a promising sign for the future of this research agenda._x000D_
_x000D_
Weaknesses_x000D_
_x000D_
- There is too much focus on the subtour elimination LP for TSP. The plan of attack for some of the other problems is not explained in detail._x000D_
_x000D_
- The proposed line of attack might be too optimistic. Furthermore, whether the technical connection to primal-dual is strong enough is somewhat unclear._x000D_
_x000D_
BROADER IMPACTS_x000D_
_x000D_
Overall, the broader impacts seem adequate._x000D_
_x000D_
Strengths_x000D_
_x000D_
+ Progress on understand the cutting planes method could provide theoretical justification for the success of various heuristics. This could have broader implications in the design of practical algorithms, and therefore in applied domains._x000D_
_x000D_
+ The PI seems invested in undergraduate advising._x000D_
_x000D_
+ The PI has plans for teaching high-school students, with an emphasis on particularly diverse groups._x000D_
_x000D_
Weaknesses_x000D_
_x000D_
CAREER SOLICITATION-SPECIFIC REMARKS:_x000D_
_x000D_
Letter of institutional commitment. Present_x000D_
_x000D_
Integration of research and education:_x000D_
_x000D_
+ The PI plans to integrate the results of his research to the curriculum of optimization courses._x000D_
_x000D_
+ The PI is committed in and has plan for advising undergraduate students on research projects related to this research._x000D_
_x000D_
+ The PI has attended a teaching program at UIUC aimed at improving teaching techniques in engineering._x000D_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proposal could be improved by explaining in more detail the plan of attack for problems other than TSP._x000D_
_x000D_
 _x000D_
_x000D_
Justification for Panel Rating: The panel concluded that this is a promising research direction, with possible important applications both in theory and in practice. The proposal can be improved if the PI provides more details on how he plans to attack some of the most challenging problems._x000D_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</si>
  <si>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outlines a serious attempt to build a theory for analyzing the complexity of cutting-plane methods. These methods constitute a fundamental tool in real world linear and integer programming and integer solving, but despite decades of study in operations research their theoretical aspects are still fairly poorly understood. _x000D_
_x000D_
The PI plans to focus first on understanding the cutting plane method in the context of problems that are known to be "easy" (in particular, polynomial-time solvable) and well understood already from other perspectives, such as optimizing over the TSP Subtour Elimination Polytope and Matroid Intersection Polytope. He then plans to tackle a much more ambitious goal of developing an efficient algorithm for optimizing over a polytope whose Chvatal-Gomory rank is one._x000D_
_x000D_
+ the proposal addresses a very important area that is definitely missing in current mainstream theoretical computer science research_x000D_
+ the PI has good background in this area as well as possesses a good grasp and interest in both its theoretical and practical aspects_x000D_
+ the described concrete objectives, including the connection to primal dual algorithms, are quite compelling and constitute solid foundations for a systematic plan of attack_x000D_
_x000D_
- the proposal would be much stronger if the PI presented some more concrete ideas on how he wants to achieve the outlined goals. Of course, this is in principle not required, but it is somewhat worrisome that the discussion of promising approaches is fairly basic and boils down to not much more than presenting well-known insights and difficulties._x000D_
_x000D_
In the context of the five review elements, please _x000D_
evaluate the strengths and weaknesses of the proposal with respect to broader impacts._x000D_
_x000D_
The broader impacts component is good. Its two main points are: _x000D_
_x000D_
* the desire to bringing the theory and practice closer together in the context of cutting plane methods; and _x000D_
* outreach activities with regard to undergraduate and high school students, including minorities._x000D_
_x000D_
Please evaluate the strengths and _x000D_
weaknesses of the proposal with respect to any additional solicitation-specific review criteria, if _x000D_
applicable_x000D_
_x000D_
_x000D_
_x000D_
Summary Statement_x000D_
_x000D_
This proposal constitutes a systematic attempt to build theoretical foundations of a very important, but so far mostly neglected by the TCS community, topic. _x000D_
_x000D_
The main weakness of the proposal is that the described approaches to making the progress do not seem to go much beyond fairly well known insights._x000D_
_x000D_
</t>
  </si>
  <si>
    <t xml:space="preserve">In the context of the five review elements, please _x000D_
evaluate the strengths and weaknesses of the proposal with respect to intellectual merit._x000D_
_x000D_
Strengths:_x000D_
_x000D_
The proposal seeks to obtain new algorithms for fundamental combinatorial optimization problems using the cutting planes method. _x000D_
This method has been proved successful in practice, but lacks theoretical justification in most cases. Therefore, the possible benefits from the proposed research agenda are two-fold: (i) the design of better algorithms for existing well-studied problems, and (ii) the theoretical justification of practical heuristics (e.g. the cutting planes algorithm for TSP). As such, the resolution of some of the problems could lead to better algorithms in practice._x000D_
_x000D_
A main goal is to give cutting plane algorithms for solving certain LPs that can currently only be solved via the ellipsoid method, which is inefficient in practice._x000D_
_x000D_
The proposal considers important optimization problems, such as TSP and Matroid Intersection (finding the maximum common independent set in k matroids). This is an ambitious plan, and any positive results could likely lead to ideas of interest to other problems._x000D_
_x000D_
I find the high-level description of the method for inserting and removing constraints, in the context of Matroid Intersection, to be quite natural and interesting. I believe this is a research direction worth pursuing._x000D_
_x000D_
The PI is an expert in combinatorial optimization, and specifically in the cutting plane method. He is well qualified to lead the research effort._x000D_
_x000D_
Weaknesses:_x000D_
_x000D_
A few of the suggested problems might not have immediate algorithmic applications. For example, the problem of improving the 2^n bound on the number of cuts required to solve integer programs, does not seem to be very well motivated. It is of course a natural and interesting question from the mathematical point of view. However, since it is not possible to compute a polynomially large set of cuts, in polynomial time, that yield a solution to an arbitrary IP (unless P=NP), the algorithmic applications of this particular question seem less appealing._x000D_
_x000D_
_x000D_
_x000D_
In the context of the five review elements, please _x000D_
evaluate the strengths and weaknesses of the proposal with respect to broader impacts._x000D_
_x000D_
Strengths:_x000D_
_x000D_
Since cutting plane methods are successful in practice, the proposal could lead to new insights for obtaining faster heuristics. This could be true also for specific problem instances (e.g. series-parallel, or other restricted graph classes for the subtour elimination polytope)._x000D_
_x000D_
_x000D_
Please evaluate the strengths and _x000D_
weaknesses of the proposal with respect to any additional solicitation-specific review criteria, if _x000D_
applicable_x000D_
_x000D_
_x000D_
_x000D_
Summary Statement_x000D_
_x000D_
The proposal outlines a research plan to study fundamental algorithmic questions related to the cutting planes method in combinatorial optimization. This is a method of importance both in theory and in practice._x000D_
_x000D_
</t>
  </si>
  <si>
    <t xml:space="preserve">In the context of the five review elements, please _x000D_
evaluate the strengths and weaknesses of the proposal with respect to intellectual merit._x000D_
_x000D_
PI proposes research in developing cutting plane algorithms for linear programs arising from study of combinatorial optimization problems. In particular, the focus is on the subtour elimination polytope for TSP, matroid intersection and similar problems. The PI also proposes to also looks at linear programs for structured linear programs._x000D_
_x000D_
Obtaining a better understanding of cutting plane methods is important due to their use in commercial solvers as well as better understanding leading to faster algorithms theoretically as well as practically. _x000D_
_x000D_
The proposed research is slightly narrow. The main focus of the proposal is the subtour lp (and matroid intersection). The proposal also mentions solving problems with CG rank 1. This is a hard problem but no roadmap for this direction is given._x000D_
_x000D_
In the context of the five review elements, please _x000D_
evaluate the strengths and weaknesses of the proposal with respect to broader impacts._x000D_
_x000D_
The broader impact of the research undertaken can be tremendous due to applicability of cutting plane methods in solvers. The proposal also gives an outreach and detailed education plan that will be impactful._x000D_
_x000D_
Please evaluate the strengths and _x000D_
weaknesses of the proposal with respect to any additional solicitation-specific review criteria, if _x000D_
applicable_x000D_
_x000D_
_x000D_
_x000D_
Summary Statement_x000D_
_x000D_
Overall the proposal is on a good topic but the research questions proposed and directions given are slightly narrow._x000D_
_x000D_
</t>
  </si>
  <si>
    <t xml:space="preserve">In the context of the five review elements, please _x000D_
evaluate the strengths and weaknesses of the proposal with respect to intellectual merit._x000D_
_x000D_
The PI proposes the development of a theory for cutting plane algorithms.  Cutting planes are one of the most effective ways of solving Integer Programming problems in practice, and have been in use for over 50 years.  However, there is almost no theory explaining how or why they work._x000D_
_x000D_
The PI proposes to develop such a theory.  This is an ambitious goal, but it is grounded in concrete problems.  The first of these is an attempt to develop a provably fast cutting plane algorithm for optimization over the subtour polytope.  The proposed approaches to the problem seem reasonable, and the PI's prior work indicates that he would be well suited to solve the problem._x000D_
_x000D_
The PI also suggests optimization over the 2-edge connected subgraph polyhedron.  This seems to be an easier problem, but one that is still interesting enough to be a good starting point._x000D_
_x000D_
The next problem the PI proposes solving is the development of a cutting planes algorithm for optimizing over the intersection of 2 or 3 matriod polytopes.  The problem of optimizing over the intersection of 2 matriod polytopes is solvable in polynomial time in a number of ways.  So, it is reasonable to hope that one might be able to analyze a cutting plane method for solving this problem.  This is a well thought out problem, and its solution could be very informative._x000D_
_x000D_
The third problem the PI will attempt to solve is the derivation of a polynomial time algorithm for solving integer linear programs in matrices with strong Chvatal rank 1.  For this problem, he also identifies important subcases whose solution would be of interest._x000D_
_x000D_
_x000D_
In the context of the five review elements, please _x000D_
evaluate the strengths and weaknesses of the proposal with respect to broader impacts._x000D_
_x000D_
Cutting planes methods are used to solve integer linear programs in a huge number of industrial and scientific applications.  If the PI makes significant advances in this area, it could greatly accelerate the solution of these problem.  _x000D_
_x000D_
Educational efforts of the PI include developing courses related to the proposed research, production of a monograph based on these courses, and supervising teams of undergraduates on projects in optimization.  The PI will continue to participate in activities at UIUC designed to recruit underrepresented minorities.  He will also help design and supervise activities for high school students. _x000D_
_x000D_
_x000D_
Please evaluate the strengths and _x000D_
weaknesses of the proposal with respect to any additional solicitation-specific review criteria, if _x000D_
applicable_x000D_
_x000D_
_x000D_
_x000D_
Summary Statement_x000D_
_x000D_
This is a strong proposal by an accomplished researcher with a refreshing breadth of prior work.  He proposes the development of a theory of cutting planes algorithms.  While many researchers have tried and failed to do this over the last 50 years, the PI has had rare prior success and outlines a credible approach to success._x000D_
_x000D_
The broader impacts include potential industrial and scientific applications of the work, as well as outreach activities, curriculum development, and supervision of valuable projects for undergraduates._x000D_
_x000D_
_x000D_
</t>
  </si>
  <si>
    <t>Integer Linear Programming (IP) is a powerful formulation used to model and solve discrete optimization problems. The linear programming (LP) relaxation of an IP formulation serves as an indispensable tool to bound the optimum value of the IP. For this reason, the LP-relaxation is often solved as a first step towards solving the IP. For several combinatorial optimization problems, the constraints in the IP formulation are implicit and overwhelmingly large in number. Consequently, there is no hope to even load the corresponding LP-relaxation in a computer's working memory, let alone solve it to optimality. A practical way to solve such large LP instances is the cutting plane method: start by solving a subproblem that imposes a small number of constraints and repeatedly add a constraint (cut) that is violated by the current optimum and re-solve until there are no more violated constraints. The primary focus of this research program is the following:_x000D_
_x000D_
Project Goal. Design efficient cutting plane algorithms to solve the LP-relaxation of fundamental combinatorial optimization problems. _x000D_
_x000D_
We plan to thoroughly understand the efficacy of cutting plane methods both for combinatorial optimization problems as well as more general structured integer programs. We will focus on problems that have served as exemplars for progress in the field. Concrete problems of interest include:_x000D_
1) Optimizing over relaxations of combinatorial polytopes including the subtour polytope of the TSP (traveling salesman problem) formulation, and the intersection of three matroid polytopes._x000D_
2) Solving structured IPs--in particular, IPs over polytopes whose Chvatal-Gomory rank is one._x000D_
_x000D_
As a proof of concept, the PI had earlier demonstrated that the primal-dual approach can be leveraged to design a provably efficient cutting plane algorithm for matching. The PI intends to study and develop this methodology to its formal maturity in order to address fundamental problems as well as understand its limits._x000D_
Keywords: combinatorial optimization; polyhedral theory; traveling salesman problem; matroid intersection; cutting planes; Chvatal-Gomory rank.The practical use of cutting plane methods has often been ad hoc. There is no systematic theory that identifies problems for which the method is provably efficient. The program proposes to develop a systematic algorithmic theory of cutting planes. The major technical challenge in the design and analysis of cutting plane algorithms is identifying structural properties of optimum solutions to the intermediate LP-relaxations and designing cuts to control these properties in order to quantify the progress of the algorithm. Furthermore, the structural properties of optimum solutions to LP-relaxations have been a principal workhorse in the design of approximation algorithms. Thus, successful identification of structural properties and the ability to control them through cuts will substantially transform our ability to design and implement approximation algorithms.IP formulations and LP-relaxations have been vital tools in Operations Research and Mathematical Programming. While cutting plane methods have become more widespread and commonly implemented in commercial IP and LP solvers, there are very few problems with theoretical convergence guarantees. The cutting plane method is indeed the backbone of Concorde, the current fastest TSP solver. A systematic algorithmic theory of the cutting plane method to be developed in this program will bridge this gap between theory and practice and have a direct and lasting impact on these solvers. Faster solvers in turn have far ranging applications in optimization. On the educational side, the program will drive the integration of polyhedral theory and its algorithmic applications in the courses currently taught by the PI. The PI will also engage high-school students through outreach activities that focus on inculcating the simplicity of algorithm design through intellectually stimulating puzzles.</t>
  </si>
  <si>
    <t xml:space="preserve"> Panel Summary       
 _x000D_
SUMMARY OF PROPOSED RESEARCH ACTIVITY_x000D_
_x000D_
The proposed research focuses on geometric optimization problems where the objective is to find a geometric object/space that optimized a certain function. There are three main categories of problems: smooth, combinatorial, and stochastic. The problems under consideration are of importance in various application domains, such as computer graphics. The main goal is to derive algorithms based on gradient-descent._x000D_
_x000D_
_x000D_
INTELLECTUAL MERIT_x000D_
_x000D_
The PI attacks problems that are important and challenging. However, it seems that the PI has chosen to explore his method of attack before clarifying the foundational aspects of the problems. This led panelists to question the fit to Algorithmic Foundations. _x000D_
_x000D_
Strengths_x000D_
_x000D_
+ The problems that the proposal seeks to address are hard and of importance in practical domains. Despite their importance, not much combinatorial work has been done._x000D_
_x000D_
Weaknesses_x000D_
_x000D_
- On the class of smooth problems, the PI plans to explore provable convergence for certain algorithms based on gradient-descent, but never discusses the quality of the solutions that they converge to. It should first be resolved whether convergence is to a local or a global optimum -- for many optimization problems it is NP-hard to compute a global optimum solution, even though a local optimum might be easy to find. _x000D_
_x000D_
- It is not clear what is precisely the technical algorithmic contribution that the PI is proposing. The proposal seems to be written with a non-AF audience in mind._x000D_
_x000D_
- The questions considered in the section on stochastic algorithms seem similar, at least in spirit, to problems studied in the area of learning probability distributions. This area has received a lot of attention in recent years in the theory community. The PI does not comment on how his approach differs from that line of work._x000D_
_x000D_
_x000D_
BROADER IMPACTS_x000D_
_x000D_
Overall, the broader impacts section is quite good, and he seems to have a strong track record._x000D_
_x000D_
Strengths_x000D_
_x000D_
+ The problems under consideration are important and have practical applications._x000D_
_x000D_
_x000D_
CAREER SOLICITATION-SPECIFIC REMARKS:_x000D_
_x000D_
Letter of institutional commitment. Present_x000D_
_x000D_
Integration of research and education: Adequate_x000D_
_x000D_
_x000D_
ADDITIONAL REMARKS_x000D_
_x000D_
Research plan: Adequate_x000D_
_x000D_
Collaboration plan: Adequate_x000D_
_x000D_
Postdoc Mentoring plan:_x000D_
_x000D_
Data Management Plan: Adequate_x000D_
_x000D_
Results of prior support:  Clearly stated_x000D_
_x000D_
 _x000D_
_x000D_
Suggestions to PI: The panel concluded that, even though the proposed research is important, it does not fit, in its current form, in algorithmic foundations. In order for the proposal to be more competitive in this area, it would have to be written with an AF audience in mind. Furthermore, the algorithmic goals would have to be restated so that they can be evaluated under more standard algorithmic measures of performance (e.g. convergence to a global optimum)._x000D_
_x000D_
 _x000D_
_x000D_
Panel Rating:_x000D_
_x000D_
_ Highly Competitive_x000D_
_x000D_
_ Competitive_x000D_
_x000D_
X_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</si>
  <si>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fast numerical algorithms for geometric optimization problems, involving smooth  problems, mixed smooth-discrete problems, and stochastic optimization. The proposed research will combine techniques from many areas including numerical optimization, differential geometry, topology, and discrete optimization. Although the goal is to develop general techniques, they are motivated by interesting problems such as surface parametrization, surface to surface mapping, and optimal transport._x000D_
_x000D_
A successful outcome of the project will lead to a major progress in the field and likely to have significant impact. The PI is well qualified to pursue the proposed research, as he already has made important contributions to this area._x000D_
_x000D_
In the context of the five review elements, please _x000D_
evaluate the strengths and weaknesses of the proposal with respect to broader impacts._x000D_
_x000D_
The proposal lays out a comprehensive and well thought out plan how the PI will ensure to disseminate the research to a broad community and how to integrate it with various educational and mentoring activities. What he has accomplished in this direction in relatively short period is impressive, and I am sure he will continue to do so in the coming years._x000D_
_x000D_
Please evaluate the strengths and _x000D_
weaknesses of the proposal with respect to any additional solicitation-specific review criteria, if _x000D_
applicable_x000D_
_x000D_
_x000D_
_x000D_
Summary Statement_x000D_
_x000D_
It's a strong proposal  on an important topic by a highly successful young researcher who has demonstrated that he is capable of pursuing the proposed research. The PI has clear vision how his research agenda will unfold and how he will combine it with his educational, mentoring, and outreach activities._x000D_
_x000D_
</t>
  </si>
  <si>
    <t xml:space="preserve">In the context of the five review elements, please _x000D_
evaluate the strengths and weaknesses of the proposal with respect to intellectual merit._x000D_
_x000D_
This proposal is on a proposal that I would have thought out of scope for this area: the numerical optimization of systems of parameters describing the shape of an object, by local optimization or random search procedures that provide neither the guarantees on runtime nor the guarantees on near-optimal solution quality demanded by optimization work in theoretical computer science. Even their "most ambitious goal" of establishing theoretical guarantees on the convergence rate of numerical optimization algorithms would only establish that the algorithm converges to something, not that what it converges to is optimal._x000D_
_x000D_
Solomon does not seem to have a record of publishing in theory venues. His recent publications are in machine learning and computer graphics._x000D_
_x000D_
_x000D_
In the context of the five review elements, please _x000D_
evaluate the strengths and weaknesses of the proposal with respect to broader impacts._x000D_
_x000D_
The class of problems considered here is very broad, and so has many applications in other areas. Some that the proposal mentions specifically include texture mapping in computer graphics, brain visualization, engineering simulation, and supply chain optimization. Correspondingly, though, optimization methods for those problems in these applications are already well-established._x000D_
_x000D_
Please evaluate the strengths and _x000D_
weaknesses of the proposal with respect to any additional solicitation-specific review criteria, if _x000D_
applicable_x000D_
_x000D_
_x000D_
_x000D_
Summary Statement_x000D_
_x000D_
I think this is too far out of scope to be fairly evaluated as a theory proposal. My score reflects the poor fit of the proposal to the program, rather than its intellectual merits as a proposal in its proper subject._x000D_
_x000D_
</t>
  </si>
  <si>
    <t xml:space="preserve">In the context of the five review elements, please _x000D_
evaluate the strengths and weaknesses of the proposal with respect to intellectual merit._x000D_
_x000D_
strengths:_x000D_
+ ambitious goals, well motivated from practice. It would be really nice to develop a self-contained theory for geometric optimization_x000D_
+ the PI has done a lot of work in the area and is well qualified to conduct the research._x000D_
+ He proposes a rich set of techniques that seem novel and will result to quality work._x000D_
+ significant practical applications with the faster algorithms the PI is proposing in all aspects that require geometric optimization_x000D_
weaknesses:_x000D_
- I found the proposal a little dense. For a non-expert in the field such as myself, I would have liked a little more background and I would have liked concepts more thoroughly explained and goals more clearly stated. _x000D_
- Following up on the above comment, I would also like the new techniques to be more pronounced, so that the non-expert can understand what is the key contribution that the PI is planning to achieve._x000D_
-perhaps, even if the proposed research is of theoretical nature, it wold be better suited for some other solicitation, given its tremendous practical implications?_x000D_
_x000D_
In the context of the five review elements, please _x000D_
evaluate the strengths and weaknesses of the proposal with respect to broader impacts._x000D_
_x000D_
strengths:_x000D_
+good educational aspect. the PI is involved in a  lot of educational activities including outreach and early age education_x000D_
+ good interplay between theory and practice, the research could bring together people from a few areas_x000D_
_x000D_
_x000D_
Please evaluate the strengths and _x000D_
weaknesses of the proposal with respect to any additional solicitation-specific review criteria, if _x000D_
applicable_x000D_
_x000D_
_x000D_
_x000D_
Summary Statement_x000D_
_x000D_
The proposed research revolves around developing efficient and stable numerical algorithms for general classes of geometric optimization problems. The PI is planning to develop both theory and algorithms for geometrically structures numerical optimization, which has implications in many areas such as simulation, manufacturing, graphics. I found the proposal to be a very good proposal, with ambitious yet achievable goals. The PI is well qualified to conduct the research, has an excellent track record, suggested and the proposal is well written, with a very nice educational aspect. On the other hand, I thought the proposal was somewhat dense, and perhaps of more interest to a solicitation outside AF, such as one that has more focus on graphics perhaps? This is why I am only giving it Very Good rating._x000D_
_x000D_
</t>
  </si>
  <si>
    <t xml:space="preserve">In the context of the five review elements, please _x000D_
evaluate the strengths and weaknesses of the proposal with respect to intellectual merit._x000D_
_x000D_
Strengths:_x000D_
_x000D_
The proposal outlines a research agenda for advancing the state of the art in geometric optimization in various problem domains. The main goals are on continuous, discrete, and stochastic optimization. All the considered problems are important and have attracted a lot of attention. Progress in any of the proposed problems would be an important achievement._x000D_
_x000D_
The PI is an expert in geometric optimization and is very well positioned to conduct the proposed research._x000D_
_x000D_
Weaknesses:_x000D_
_x000D_
Even though the main problem categories are clear, I would have liked to see a more systematic exposition of the methods that the PI plans to pursue. Moreover, some of the problems are only defined in general terms. For example, in the stochastic optimization setting, what exactly is the objective and the input space?_x000D_
_x000D_
The stochastic optimization setting seems closely related to problems considered in the area of learning probability distributions. It would have been nice if the PI had included a brief comparison explaining how the proposed research plan differs from work in that area._x000D_
_x000D_
_x000D_
In the context of the five review elements, please _x000D_
evaluate the strengths and weaknesses of the proposal with respect to broader impacts._x000D_
_x000D_
Strengths:_x000D_
_x000D_
The problems considered are of importance in applied domains, such as engineering. The PI outlines a plan for transferring the findings to applications through collaboration with domain experts, and implementations._x000D_
_x000D_
Please evaluate the strengths and _x000D_
weaknesses of the proposal with respect to any additional solicitation-specific review criteria, if _x000D_
applicable_x000D_
_x000D_
Strengths:_x000D_
_x000D_
The PI has received a teaching award and seems committed to teaching. He is also actively pursuing a leadership role in dissemination of his findings through workshops._x000D_
_x000D_
Summary Statement_x000D_
_x000D_
Overall, this proposal outlines a research agenda that seeks to improve the solutions to fundamental problems in geometric optimization. I would have liked to see more details for the approach that the PI will pursue for some of the problems._x000D_
_x000D_
</t>
  </si>
  <si>
    <t>Numerical optimization is a critical component of the modeling toolbox for computational applications from machine learning to computer-aided design. While geometry is intertwined with optimization in theory and application, modern developments in optimization have had limited effect on computerized geometry processing, since problems where the unknown is a shape rarely satisfy statistical assumptions needed to apply modern machine learning methods._x000D_
_x000D_
This project will develop efficient, stable numerical algorithms for geometric optimization problems. The primary goal is development of theory and algorithms for geometrically-structured variables, cutting across applications like simulation, manufacturing, graphics, and operations. The theoretical and empirical parts of this work will demonstrate that geometric structure in a continuum problem implies structure in its discretization, suggesting new efficient algorithms.The project is divided into stages involving smooth problems, combinatorial variables, and stochasticity. Each broadens the scope of geometric optimization while developing underlying theory of conditioning and efficiency for problems whose unknown is a shape._x000D_
_x000D_
For smooth problems, the team will consider first-order manifold methods for which Riemannian gradient descent generates meaningful shape deformations at each step. It is conjectured that after discretization, the number of iterations to convergence depends more on geometric complexity than on the number of unknowns. Next, the team will consider mixed combinatorial-smooth problems, allowing for topological constraints. Finally, the project considers stochastic algorithms, with the goal of sampling from the minimizer of a variational problem without minimizing explicitly over an infinite dimensional space. _x000D_
_x000D_
The intellectual merit of this project involves fundamental developments for understanding/applying optimization to geometric variables, including fine-grained notions of convergence, complexity, and sampling. Effort also is dedicated to interface with applications including surface-to-surface mapping, deformation, meshing, and optimal transport, to demonstrate how the proposed developments can be used in practice.Developments in geometry/optimization have broad scientific impact across disciplines, from medical imaging to graphics to machine learning. Dr. Solomon has extensive experience sharing with other communities and will continue during CAREER support._x000D_
_x000D_
Dr. Solomon's career benefited from early mentorship, and he includes collaborators at all levels to encourage careers in math/computing. He mentors high school students (Research Science Institute), undergraduates (UROP), and PhD/masters students.  Teaching is an integral part of the proposed agenda. Dr. Solomon is designing courses on computer graphics and shape analysis, sharing all materials, notes, a textbook, and video lectures online. He also advocates for K-12 computing education through the ACM Future of Computing Academy._x000D_
_x000D_
Dr. Solomon and his group (co-)organize educational and outreach events, including the Geometry of Redictricting Workshop, international tutorials on optimal transport, the New England Symposium on Graphics, and a BIRS conference on spectral geometry. They host international visitors for long-term research stays and visit foreign laboratories regularly._x000D_
_x000D_
Dr. Solomon plans to leverage his position to support STEM outreach in the community and among pre-college students via community lectures and providing materials/presentations of themes from the proposed research to support high school geometry lesson plans.</t>
  </si>
  <si>
    <t xml:space="preserve"> Panel Summary       
 SUMMARY OF PROPOSED RESEARCH ACTIVITY_x000D_
_x000D_
Description : _x000D_
In this proposal, the PI plans to address the problem of scaling tensor algorithms. In particular, the PI proposes to look at parallel tensor network contraction algorithms and derive lower and upper bounds of their communication complexity as well as other metrics. This is an important problem to address as it generalizes, e.g., matrix multiplication, and, in general, communication complexity is a major issue in large-scale scientific computing._x000D_
 _x000D_
INTELLECTUAL MERIT_x000D_
_x000D_
Strengths_x000D_
+ Progress in the targeted area would have significant impact._x000D_
+ The PI is well qualified to conduct work in this area as he has a strong track record._x000D_
+ The PI offers a very nice introduction to tensor networks._x000D_
_x000D_
Weaknesses_x000D_
- It is not clear how the PI plans to obtain his bounds on communication complexity and other metrics, since the PI gives little indication about how he plans to proceed. _x000D_
- It is not clear how the PI proposes to apply his results to neural networks._x000D_
- After the clear introduction about tensor networks, the rest of the proposal reads like a list of results and potential problems. There is not much indication of what, exactly, the PI is planning to do to address the proposed goal. Furthermore, lost in the list of potential problems, it is not clear anymore what the goals are and what the research plan consists of. For example, among the large problems he listed, what are the small problems he plans to attack first? _x000D_
- There is no clear indication of what the problems the PI might solve are, or what a solution might look like._x000D_
_x000D_
BROADER IMPACTS_x000D_
_x000D_
The broader impacts are fairly narrow and conventional._x000D_
_x000D_
Strengths_x000D_
+ There are applications of the proposed work in many domain sciences. In particular, the PI has a track record of contributions to computational chemistry._x000D_
+ The PI plans to make his code open-source. He expects his work to lead to the development of a library of parallel algorithms for tensor networks. He has a track record of implementation impact._x000D_
_x000D_
Weaknesses _x000D_
- More on broader impacts, apart from training graduate students, is expected from a CAREER submission._x000D_
_x000D_
_x000D_
CAREER SOLICITATION-SPECIFIC REMARKS:_x000D_
_x000D_
Letter of institutional commitment: is provided, along with the proposal._x000D_
_x000D_
Integration of research and education: The PI plans to develop a bootcamp for undergraduate students around his work on tensors, and to use his research work as projects for undergraduate students. He also plans to develop a new intro course about tensors. He seems to put a lot of emphasis on undergraduate students. However, his integration plan, like his Broader Impact, is pretty conventional and thin._x000D_
 _x000D_
ADDITIONAL REMARKS_x000D_
_x000D_
Research plan: The panel found the research plan should be spelled out more.  _x000D_
_x000D_
Data Management Plan: was deemed adequate by the panel._x000D_
 _x000D_
Suggestions to PI: The introduction about tensors as the first part of the proposal is really interesting and clear. However, the panel strongly advises the PI to spend more time on detailing his research plan. Without a clear research plan, the panel cannot be convinced of and/or assess the feasibility of the proposed work. In particular, the proposal would be better if it explained the potential scientific impact of the research._x000D_
More efforts should also be spent on identifying and sharing the expected broader impacts of the proposed work, as well as on explaining how the PI plans to integrate research and education. Both areas of the proposal are weak._x000D_
 _x000D_
Justification for Panel Rating: _x000D_
The problem the PI proposes to address is very important and it is desirable that people work on it. However, the PI did not clearly convey his actual research plan and left the panel unconvinced. As a result, the panel ranked this proposal in the low competitive category. _x000D_
 _x000D_
Panel Rating:_x000D_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</si>
  <si>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_x000D_
The PI proposes to (1) develop a theoretical framework for analyzing the scalability of tensor algorithms, (2) use it to guide the development of a high-performance tensor programming library, (3) use this expertise and infrastructure to develop tensor-based learning modules._x000D_
_x000D_
The PI is heavily application driven. _x000D_
_x000D_
The proposal gives a really nice summary of the area, which is likely not be in many people's bailiwick. _x000D_
_x000D_
The proposal claims to have an interest in these important performance metrics: _x000D_
(1) I/O complexity in the I/O and cache-oblivious models, and in related models._x000D_
(2) Communication in BSP and LogP models. _x000D_
(3) Communication complexity. _x000D_
There does not seem to be much detail establishing that the PI has experienced reasoning in these models, which I found disappointing._x000D_
_x000D_
On the other hand, the PI has lots of experience building  software, which suggests some knowledge of how to use whatever is relevant about the models. _x000D_
_x000D_
The research problems seem to be very general E.g.,: _x000D_
"Find lower and upper bounds for the communication complexity of any structured tensor network contraction." _x000D_
"For what types of structured tensor network contractions can cost be reduced by having processors compute pieces of multiple contractions between synchronizations?"_x000D_
_x000D_
The proposal did a great job of introducing the research area. _x000D_
_x000D_
But I think that there also should be more explanation about how the PI plans to solve the problems.  For example, after these very general research problems, what are some smaller problems to attack first?_x000D_
_x000D_
While a discussion of the tensor thinking was great, one of the parts of the proposal that attracted me was how to analyze various algorithms in the context of the metrics mentioned above.  Do existing approaches for matrices generalize to tensors? More worked out examples, like the ones in the beginning would be great._x000D_
_x000D_
_x000D_
_x000D_
In the context of the five review elements, please _x000D_
evaluate the strengths and weaknesses of the proposal with respect to broader impacts._x000D_
_x000D_
The broad impact section itself seems unnecessarily thin, even though I think that there is potential for a big impact. Nonetheless, the proposal does a great job  of explaining how an understanding of tensors can help other areas of computer science. _x000D_
_x000D_
The educational component is also very thin._x000D_
_x000D_
_x000D_
Please evaluate the strengths and _x000D_
weaknesses of the proposal with respect to any additional solicitation-specific review criteria, if _x000D_
applicable_x000D_
_x000D_
_x000D_
_x000D_
Summary Statement_x000D_
_x000D_
Given the compelling area in research problems coupled with the concerns mentioned above, I view this as a good proposal._x000D_
_x000D_
_x000D_
</t>
  </si>
  <si>
    <t xml:space="preserve">In the context of the five review elements, please _x000D_
evaluate the strengths and weaknesses of the proposal with respect to intellectual merit._x000D_
_x000D_
In this work, the PI proposes to study and develop parallel tensor algorithms. _x000D_
_x000D_
Intellectual merit:_x000D_
Strengths:_x000D_
+ The PI has conducted work that makes him qualified for the proposed work. _x000D_
+ The focus on communication complexity is key to improving the scalability of tensor algorithms.  _x000D_
+ The proposed study will result in new algorithms for tensor networks, and will be tested on problems, e.g., from computational chemistry._x000D_
_x000D_
Weaknesses_x000D_
- The timeline of proposed work is fairly coarse._x000D_
- There is no assessment plan._x000D_
- The proposed plan is somehow aligned with the goals of the proposal, but no real smaller-step plan is provided and the likelihood of reaching the goals is not discussed._x000D_
_x000D_
_x000D_
In the context of the five review elements, please _x000D_
evaluate the strengths and weaknesses of the proposal with respect to broader impacts._x000D_
_x000D_
Broader impact:_x000D_
Strengths_x000D_
+ The PI plans to support a PhD student and an undergraduate student through this project._x000D_
+ He plans to make his code open-source._x000D_
+ He expects his work to result in a library of parallel algorithms for tensor networks._x000D_
_x000D_
Weaknesses_x000D_
- There is no mention of efforts to recruit underrepresented students._x000D_
- The broader impacts appear quite narrow._x000D_
_x000D_
_x000D_
Please evaluate the strengths and _x000D_
weaknesses of the proposal with respect to any additional solicitation-specific review criteria, if _x000D_
applicable_x000D_
_x000D_
Integration of Research and Education: _x000D_
Strengths_x000D_
+  The PI plans to develop a bootcamp for undergraduate students around his work on tensors._x000D_
+  He plans to integrate his research work as projects for undergraduate students._x000D_
+ The PI seems to put a lot of emphasis on undergraduate students. _x000D_
+ The PI plans to develop a new intro course about tensors._x000D_
_x000D_
Weaknesses_x000D_
- The plan for integrating research and teaching is pretty conventional and thin._x000D_
_x000D_
_x000D_
Data Management Plan_x000D_
The Data Management Plan is appropriate, although very brief. _x000D_
_x000D_
_x000D_
Summary Statement_x000D_
_x000D_
Overall, this proposal fails to fully convince and has a weak education plan._x000D_
_x000D_
</t>
  </si>
  <si>
    <t xml:space="preserve">In the context of the five review elements, please _x000D_
evaluate the strengths and weaknesses of the proposal with respect to intellectual merit._x000D_
_x000D_
This proposal aims to develop lower and upper bounds on communication complexity of structured tensor network contraction. Tensor network contraction is a problem that generalizes a number of fundamental computational primitives, such as matrix multiplication. _x000D_
_x000D_
+ Communication complexity is an important consideration in modern large scale scientific computing, so progress here could have significant impact._x000D_
+ The PI has a solid track record working in this domain._x000D_
_x000D_
- The proposal is quite cryptic as to the exact nature and details of planned research, as well as the significance of achieving its (largely unstated) goals. Sprinkling pieces of the information on that throughout the introductory part makes it hard to extract any useful global view. _x000D_
_x000D_
The PI is thus strongly advised to significantly shorten the introductory part of the proposal description and spend more time on fleshing out the actual research plan. (The fact that the section "Research questions" starts only on page 10 is definitely not optimal.)_x000D_
_x000D_
In the context of the five review elements, please _x000D_
evaluate the strengths and weaknesses of the proposal with respect to broader impacts._x000D_
_x000D_
The broader impacts are fairly boilerplate._x000D_
_x000D_
Please evaluate the strengths and _x000D_
weaknesses of the proposal with respect to any additional solicitation-specific review criteria, if _x000D_
applicable_x000D_
_x000D_
_x000D_
_x000D_
Summary Statement_x000D_
_x000D_
This proposal touches on an important topic with potential for a lot of impact. Unfortunately, the proposal makes it hard to assess what would be the exact nature and possible outcomes of the planned research._x000D_
_x000D_
</t>
  </si>
  <si>
    <t xml:space="preserve">In the context of the five review elements, please _x000D_
evaluate the strengths and weaknesses of the proposal with respect to intellectual merit._x000D_
_x000D_
The proposal is well written in that it explains a lot of material about tensor algorithms, giving clear background and an explanation of the desired results.  However, these results are stated in an unfortunately abstract manner that makes it difficult to estimate how they would impact the design of any concrete algorithm._x000D_
_x000D_
The proposal would be better if it gave more examples of results that have been proved in this framework, and better expounded on those it does provide.  For example, when stating results for matrix multiplication (Theorem 3.1 and 3.2), the reader is left wondering what the implications of these results are for those who wish to multiply matrices.  This reader also wanted to know the meaning of the parameter H in the statements of those theorems, and to understand its meaning in the theorems._x000D_
_x000D_
The goal of the proposal is to derive tight lower and upper bounds (algorithms) on the communication complexity of tensor network contraction.  The proposal would be clearer if it suggestion possible outcomes.  Would these bounds allow one to obtain faster algorithms, or just learn that currently implemented algorithms are fast enough?_x000D_
_x000D_
Some indication of possible results comes from the list of places where tensor appear.  However, for the only one that this reviewer knows wellùneural networksùit is very difficult to imagine how the-ro posed  bounds for tensor contraction would tell us anything important about them.  The PI gives some evidence that his work in computational chemistry has been well received by experts in that field._x000D_
_x000D_
_x000D_
In the context of the five review elements, please _x000D_
evaluate the strengths and weaknesses of the proposal with respect to broader impacts._x000D_
_x000D_
The PI will work with undergraduates._x000D_
_x000D_
_x000D_
Please evaluate the strengths and _x000D_
weaknesses of the proposal with respect to any additional solicitation-specific review criteria, if _x000D_
applicable_x000D_
_x000D_
_x000D_
_x000D_
Summary Statement_x000D_
_x000D_
The PI has a strong record of publications in this area and won a distinguished awardùthe Householder awardùin numerical linear algebra.  This proposal would allow him to continue this work.  However, it is not clear what the technological benefits would be._x000D_
_x000D_
_x000D_
</t>
  </si>
  <si>
    <t>Tensor algebra is an abstract notation for nonlinear transformations of data. The formalism can be used as a representation for numerical and combinatorial algorithms alike. These algebraic representations are convenient because they are understandable, analyzable, and implementable. Generally, the computational complexity and numerical stability of these algorithms can be expressed in terms of basic characteristics of the tensors involved in solving or evaluating the tensor equations. This project aims to provide a better theoretical characterization of the parallel scalability of algorithms for tensor network contractions. _x000D_
_x000D_
The parallel scalability of these algorithms is described by the communication and synchronization complexity of the data movement they perform. The goal of the research is to infer lower and upper bounds on these complexities based on properties of the tensors arising in the equations. These theoretical questions target constructive results that yield performance models for a large class of application problems. Success in laying a systematic quantitative evaluation approach would lay the groundwork for development of automatic algorithmic exploration and tuning.Tensor representations are prevalent in computational chemistry, fast integral solvers, and neural networks, as well as high-order versions of finite-element methods and Markov chain analysis. Different factorizations of the tensor equations involved in these methods lead to algorithms with different numerical and complexity characteristics. A number of important fundamental tensor operations (matrix multiplication, tensor contraction, convolution) can be expressed as bilinear tensor equations, defining trilinear identities, namely factorizations of a third-order tensor. The factor tensors define the algorithm and encode all of its characteristics. Networks and nests of fundamental tensor operations (bilinear algorithms) are abstractions that encapsulate a yet more comprehensive and complicated set of tensor methods.The merits of `tensor thinking` (the use of tensor representations for problems and algorithms) are in exposing the problem to general analytical and computational tools. This notion holds especially high value in the educational domain, as a methodology for problem-solving with numerical data. Structural properties of tensors and tensor networks provide mathematical and visual descriptions for the characteristics of large data sets. The target research, namely to automatic determination of the scalability of algebraic tensor expressions, paves the path for the development of automated exercise modules in parallel programming for numerical methods.</t>
  </si>
  <si>
    <t xml:space="preserve"> Panel Summary       
  SUMMARY OF PROPOSED RESEARCH ACTIVITY_x000D_
_x000D_
Description : The PI proposes the development of algorithms for_x000D_
non-convex optimization and collision detection in physical simulations._x000D_
 _x000D_
_x000D_
INTELLECTUAL MERIT_x000D_
_x000D_
Strengths_x000D_
_x000D_
+ Both the problems of non-convex optimization and collision detection are very important._x000D_
_x000D_
Weaknesses_x000D_
_x000D_
- Neither the problems nor the approaches to solving them are_x000D_
sufficiently well specified.  The discussion of and contrast with prior work on the problems is minimal._x000D_
- It is not clear what types of non-convex problems one should expect the proposed approach to solve.  _x000D_
- The discussion of collision detection was simply too vague, and was not put in context of prior work. _x000D_
_x000D_
_x000D_
BROADER IMPACTS_x000D_
_x000D_
Strengths_x000D_
_x000D_
+The PI is incorporating active learning and competition into his_x000D_
graphics courses._x000D_
+ The PI is involved in a local science fair, both as a speaker and as a judge._x000D_
+ The PI will give public lectures on graphics research, a topic that is likely to generate excitement._x000D_
 _x000D_
_x000D_
CAREER SOLICITATION-SPECIFIC REMARKS:_x000D_
_x000D_
Letter of institutional commitment is present._x000D_
_x000D_
Integration of research and education: The plans to integrate the PI research into public lectures and courses was good._x000D_
 _x000D_
_x000D_
Suggestions to PI:_x000D_
_x000D_
This proposal could be substantially improved by being placed in the context of prior work, including concrete descriptions of the problems to be solved (and perhaps some specific examples), and including more concrete explanations of the proposed algorithms._x000D_
_x000D_
There is a lot of work on the solution of non-convex optimization_x000D_
procedures.  The sort of work in this area that the Algorithmic_x000D_
Foundations program would support typically gives concrete problems to be solved, or concrete qualities that the problems to be solved should have.  Less theoretical proposals should be supported with preliminary experimental results._x000D_
_x000D_
_x000D_
_x000D_
Justification for Panel Rating: _x000D_
_x000D_
The proposal did not contain sufficient context or detail._x000D_
_x000D_
Panel Rating:_x000D_
_x000D_
_ Highly Competitive_x000D_
_x000D_
_ Competitive_x000D_
_x000D_
_ Low Competitive_x000D_
_x000D_
X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</si>
  <si>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Goals of project: improve the robustness of physically based simulation by _x000D_
_x000D_
1. developing a numerical solver that can handle a wider range of forces and _x000D_
2. designing an improved collision algorithm that will not miss collisions but also has favorable visual properties. _x000D_
_x000D_
The proposal makes the case that physical simulation is becoming increasingly important and increasingly common in daily life._x000D_
_x000D_
I have some suggestions for improving this proposal.  _x000D_
_x000D_
Most importantly, put the proposed work in context. Both of the goals of the project are extremely common in numerical optimization and physical simulation.  But even until on page 2 there aren't citations or references to other people's work. It is not until page 3 that there are citations, but these are mostly to the PIs own work, and do not give a sense of what's going on in the rest of the field._x000D_
_x000D_
This proposal also doesn't feel foundational. The past work of the PI is nice. But if we are going to learn something fundamental about the underlying areas of collision detection and optimization, we need to know how this fits in with other techniques in computer graphics, physical simulation, and computational geometry._x000D_
_x000D_
_x000D_
In the context of the five review elements, please _x000D_
evaluate the strengths and weaknesses of the proposal with respect to broader impacts._x000D_
_x000D_
The proposal topics, well executed, have the potential for a large impact. I'm concerned that the impact might be diluted in the particular project given the lack of a broader perspective on the field._x000D_
_x000D_
Please evaluate the strengths and _x000D_
weaknesses of the proposal with respect to any additional solicitation-specific review criteria, if _x000D_
applicable_x000D_
_x000D_
_x000D_
_x000D_
Summary Statement_x000D_
_x000D_
Based on the important topics of the proposal, the limited algorithmic foundations, and the lack of vision about the field as a whole, I view this is a fair proposal._x000D_
_x000D_
_x000D_
</t>
  </si>
  <si>
    <t xml:space="preserve">In the context of the five review elements, please _x000D_
evaluate the strengths and weaknesses of the proposal with respect to intellectual merit._x000D_
_x000D_
The work proposed by the PI is concerned with the quality of numerical simulations of physic-based systems. He is in particular concerned with their robustness, namely the ability of the solvers to successfully run simulations and the ability of handle collision correctly._x000D_
_x000D_
Intellectual merit:_x000D_
Strengths:_x000D_
+ The proposed foci are relevant: we do want effective simulations and simulations that can handle collision. _x000D_
+ The problem of collision poses other problems (about floating-point operations) whose resolution will significantly enrich research in mathematical programming._x000D_
+ The PI has sufficient experience in the field of study to handle the proposed work._x000D_
+ The timeline for the proposed work seems reasonable._x000D_
+ The PI provides references for validation: what will a successful work look like? for each of the research directions he sets to consider. This is very good._x000D_
+ The proposal is very well written._x000D_
+ The PI looks at the problems he proposes to attack in a new and creative way. So, really new knowledge might come out of his work: in particular, his proposed work on non-smooth areas of a simulation is relevant to optimization in general, not just for the problems he proposes to address._x000D_
_x000D_
Weaknesses_x000D_
- I am interested in but also worried about the work on collision detection and in particular the proposed work about floating-point computations. I see the theoretical relevance of it, but in practice, computations will be rounded so enforcing a floating-point gap may not be relevant after all. _x000D_
- It is not completely clear how the PI plans to handle non-smooth patches._x000D_
- It is not clear how kink discovery scales up._x000D_
- The PI assumes that we will want to look at large steps for the sake of time. However, there are other approaches to simulation that allow taking smaller steps and still performing fast. I am surprised that the PI did not talk about it, at least as a comparison._x000D_
- The underlying assumption is that the solver will be based on some Newton-like approach. Other approaches have been proposed (admittedly with some flaws too) that allow to part away from Newton, non-always convergent, approaches._x000D_
_x000D_
_x000D_
In the context of the five review elements, please _x000D_
evaluate the strengths and weaknesses of the proposal with respect to broader impacts._x000D_
_x000D_
Broader impact:_x000D_
Strengths_x000D_
+ The PI demonstrates a deep understanding of the need of students from underrepresented minorities and possibly first generation, taking into account education of the parents as well. _x000D_
+ The success of this work will impact communities relying on the ability to simulate complex dynamic systems, including collision. The new solving techniques are expected to allow more complex problems to be solved, hence providing more insight._x000D_
+ The PI plans to create teaching online module that will be freely available, hence allowing the spreading of his work more widely.  In the same fashion, he is planning to give public lectures on computer graphics to reach out to a broad audience to motivate students to learn math. In doing this, he recognizes how crucial it is to attract a broad new generation of STEM students._x000D_
+ The PI also plans to reach out to students via his involvement in students chapters at UCR, like ACM and IEEE._x000D_
_x000D_
Weaknesses_x000D_
- In addition to an already very solid plan, may I suggest that the PI considers reaching out to industry, or even ARL, where his work could be applied and tested further?_x000D_
_x000D_
_x000D_
Please evaluate the strengths and _x000D_
weaknesses of the proposal with respect to any additional solicitation-specific review criteria, if _x000D_
applicable_x000D_
_x000D_
Integration of Research and Education: _x000D_
Strengths_x000D_
+ The PI plans to integrate his research into a new optimization course and projects for his students  on optimization, floating-point error, and validation). _x000D_
+ He will organize a rendering competition to further integrate his research into educational activities and further attract students to his research area._x000D_
+ He will develop freely available online teaching modules on computer graphics._x000D_
_x000D_
Weaknesses_x000D_
- Where will the online modules be available? _x000D_
_x000D_
Data Management Plan_x000D_
The Data Management Plan is appropriate. _x000D_
_x000D_
_x000D_
Summary Statement_x000D_
_x000D_
Overall, this is a very interesting proposal, pointing out important sore points of non-smooth simulations and laying out an interesting plan of work to address them. The educational plan is solid and seems rooted in the PI's habit to be sensitive to the integration of research into teaching as well as his understanding of the need for outreach._x000D_
_x000D_
</t>
  </si>
  <si>
    <t xml:space="preserve">In the context of the five review elements, please _x000D_
evaluate the strengths and weaknesses of the proposal with respect to intellectual merit._x000D_
_x000D_
_x000D_
This proposals aims to advance the area of numerical simulations by developing an efficient Newton-based solver that is robust to non-smoothness of the objective function it optimizes. The main approach suggested is to make the progress steps "follow the kinks" as opposed to getting stuck at them._x000D_
_x000D_
+ numerical simulations is an important domain to study, and development of conceptually new algorithms could have a great impact_x000D_
+ the PI has relevant expertise_x000D_
+ the objectives laid out touch on fundamental problems_x000D_
+ the PI includes clear criteria for assessing the success of pursued goals_x000D_
_x000D_
- the proposal never seems to precisely define the exact theoretical questions the PI intends to pursue_x000D_
- the "following the kinks" idea is never formally specified either, beyond providing fairly vague intuitions and examples. In particular, is the key novelty of this idea the fact that we do not treat the objective function as a black box? _x000D_
- the discussion of prior work seems to be missing important elements. Minimizing non-smooth functions constitutes a whole area of continuous optimization and it is not clear how all the work in that area relates to the goals outlined in this proposal._x000D_
_x000D_
In the context of the five review elements, please _x000D_
evaluate the strengths and weaknesses of the proposal with respect to broader impacts._x000D_
_x000D_
Broader impacts aspects are good and involve heavy involvement in outreach activities, particularly to students representing underrepresented minorities._x000D_
_x000D_
Please evaluate the strengths and _x000D_
weaknesses of the proposal with respect to any additional solicitation-specific review criteria, if _x000D_
applicable_x000D_
_x000D_
_x000D_
_x000D_
Summary Statement_x000D_
_x000D_
This proposal pursues an important topic but requires significantly more work on fleshing out the underlying algorithmic questions that it intends to pursue._x000D_
_x000D_
</t>
  </si>
  <si>
    <t xml:space="preserve">In the context of the five review elements, please _x000D_
evaluate the strengths and weaknesses of the proposal with respect to intellectual merit._x000D_
_x000D_
The PI proposes to improve numerical optimization algorithms and collision detection algorithms for physical simulation.  _x000D_
_x000D_
The proposal contains an interesting idea in numerical optimization: examining the code realizing the black-box function to be optimized to detect "kinks" that must be followed in the objective space.  However, much more detail or preliminary work would be required before I could consider this a good idea.  It is not clear to me that it could work on many problems of interest._x000D_
_x000D_
The second thrust of the proposal is the detection of collisions in physical simulations, with mainly graphics in mind.  _x000D_
_x000D_
Both parts of the proposal would be better evaluated in a program dedicated to graphics or scientific simulation.  _x000D_
_x000D_
_x000D_
In the context of the five review elements, please _x000D_
evaluate the strengths and weaknesses of the proposal with respect to broader impacts._x000D_
_x000D_
The broader impacts are strong: in addition to developing curricula and teaching the diverse student body at his university, the PI would expand participation in local science fairs focusing on mathematical modeling._x000D_
_x000D_
_x000D_
Please evaluate the strengths and _x000D_
weaknesses of the proposal with respect to any additional solicitation-specific review criteria, if _x000D_
applicable_x000D_
_x000D_
_x000D_
_x000D_
Summary Statement_x000D_
_x000D_
This proposal belongs in a more applied program, not in Algorithmic Foundations._x000D_
_x000D_
</t>
  </si>
  <si>
    <t>Numerical simulation plays a critical role in pushing the frontiers of engineering, science, and technology.  As simulations become an integrated part of mission critical tools, the robustness of simulations becomes more important. This problem will become increasingly pronounced as physics simulation becomes integrated with autonomous or mission critical systems, where simulation failure could have severe consequences.  The PI proposes to address robustness with two separate but complementary thrusts, both addressing major problems that occur in physics-based simulation at the large time steps required for interactive or real-time simulation: (1) developing a numerical solver that can handle a wider range of forces without failing to converge and (2) designing an improved collision algorithm that will not miss collisions between objects but also has favorable physical properties at large time steps.Among the most robust integrators for elastic solids are implicit methods that formulate the momentum equations as an optimization problem, for which convergence is guaranteed if the forces are smooth.  Many force models, especially collision forces, are not smooth, causing these optimization algorithms to get stuck.  Thrust (1) will extend efficient Newton-based optimization solvers to handle non-smooth, non-convex optimization problems by following kinks in the objective rather than getting stuck at them.  This is expected to yield a solver with rapid convergence in the smooth case but which also will not fail in the non-smooth case.  In particular, this method is expected to be more efficient than state-of-the-art methods for non-smooth problems.  Thrust (2) will develop a continuous collision detection (CCD) algorithm that can be used at large time step sizes.  This will be split into two thrusts: (2a) detecting collisions and close approaches in a way that is provably robust to floating point errors and (2b) resolving these collisions in a physically-based and unbiased manner by formulating it as an optimization problem.  Thrust (2b) improves upon the state of the art by allowing CCD to be run at large time steps while achieving physically and visually plausible results.  Thrust (2a) extends the state of the art by also being able to detect close approaches, a property critical to the success of (2b).This project will provide new efficient and robust optimization and collision algorithms, which will have applications to a wide variety of domains, from manufacturing to health and engineering to operations research, and will contribute to U.S. technological leadership.  The PI will integrate this research into his training and educational efforts. The PI will recruit students from the highly diverse student population of the University of California, Riverside, one of America's few accredited research-intensive Hispanic Serving Institutions. This will enable him to encourage materials science, materials engineering, and computer science students to persist to the bachelor's degree and beyond, and it will contribute to a larger, more diverse, and more interdisciplinary U.S. science and technology workforce.  The PI will bring his work to the community through public lectures on computer graphics and through involvement with local and regional science fairs.  The PI will prepare and disseminate materials to bring the utility of mathematical modeling within reach of students and their parents, enabling them to apply these methods in their science fair projects.  The PI is engaged in on-campus undergraduate student programs.  The PI will foster creativity among undergraduate students in his computer graphics course by introducing a ray-tracing competition, where students will be encouraged to use skills they learned in the course to produce stunning images.  Finally, the PI is experimenting with more engaging course design ideas to improve the learning experience, especially for underrepresented minorities that have been shown to benefit most from these interventions.</t>
  </si>
  <si>
    <t xml:space="preserve"> Panel Summary       
 SUMMARY OF PROPOSED RESEARCH ACTIVITY _x000D_
_x000D_
The PI suggests to approximate some classical  scheduling problems using mathematical programming. _x000D_
_x000D_
The first problem has to do with scheduling unit-length jobs on a constant number of machines.  There was a breakthrough for this problem recently: a 1+epsilon algorithm with a time that is superpolynomial. The 1+epsilon algorithm for unit jobs and constant number of machine is by itself very complex. The PI intends to extend it to non-uniform job sizes and to improve the complexity. _x000D_
_x000D_
Another old classic problem has to do with obtaining an LP based 1+epsilon approximation scheduling algorithm based on Knapsack inequalities. The challenge lies in getting the knapsack inequalities to work even in the presence of precedence constraints.  There is some work such as the work of  Carr et all that shows that adding Knapsack covering inequalities to some LP gives a better integrality gap. Can some of these ideas be extended to scheduling? _x000D_
_x000D_
Another problem, also among the most difficult ones in scheduling is to minimize the flow time. This problem is so hard that at its time, a quasi-polynomial 1+epsilon ratio algorithm was considered a breakthrough. Now the _x000D_
best known ratio is O(\log\log P) with P the maximum number. The PI wishes too get an O(1) approximation algorithms. The other subjects are Parallel Job scheduling in a DAG, Co-flow scheduling, and scheduling in large clusters._x000D_
_x000D_
_x000D_
INTELLECTUAL MERIT  _x000D_
_x000D_
_x000D_
Strengths _x000D_
+ The panel was impressed with the strong research history of the PI. _x000D_
+ The panel believes that the PI will make significant progress towards the problems in the proposal. _x000D_
 _x000D_
_x000D_
Weaknesses _x000D_
- Some members of the panel were concerned that the classical problems that have been open for so long may be hard to solve.   _x000D_
_x000D_
- Several panelists pointed out that the proposal is poorly written and contains an unacceptable number of typos and poor English.  _x000D_
_x000D_
- While the panel was more confident about theoretical part, the practical component was less convincing._x000D_
_x000D_
BROAD IMPACTS _x000D_
  _x000D_
Strengths _x000D_
_x000D_
+ The PI plans to recruit female and underrepresented students. _x000D_
_x000D_
Weaknesses _x000D_
- The broader impacts are pretty conventional and weak. _x000D_
_x000D_
CAREER SOLICITATION-SPECIFIC REMARKS: _x000D_
_x000D_
Letter of institutional commitment: is present, along with the proposal. _x000D_
_x000D_
Integration of research and education: The PI has a reasonably strong plan for integrating research and education. The PI plans to develop two courses. He also mentors Ph.D. students by meeting with them frequently. He also plans to participate in scheduled outreach activities organized by his department. _x000D_
_x000D_
_x000D_
ADDITIONAL REMARKS _x000D_
_x000D_
_x000D_
Data Management Plan: is adequate. _x000D_
_x000D_
Results of prior support: The PI has published strong previous papers from projects supported by NSF. _x000D_
_x000D_
Suggestions to PI: Make the broader impact stronger, and substantially improve the writing._x000D_
_x000D_
_x000D_
Panel Rating: _x000D_
_ Highly Competitive _x000D_
_ Competitive _x000D_
X Low Competitive _x000D_
_ Not Competitive _x000D_
_x000D_
The summary was read by/to the panel and the panel concurred that the summary accurately reflects the panel discussion. _x000D_
_x000D_
_x000D_
</t>
  </si>
  <si>
    <t xml:space="preserve">In the context of the five review elements, please _x000D_
evaluate the strengths and weaknesses of the proposal with respect to intellectual merit._x000D_
_x000D_
_x000D_
The PI proposes to work on some of the hardest scheduling problems, and makes a strong case that new techniques based on LP relaxation can help. The PI is one of the top young researchers in scheduling theory and approximation algorithms. He has an impressive vision of the field and is doing wonderful work. The PI also describes some of his practical research in scheduling._x000D_
_x000D_
What I like about the proposal is that the PI seems to have a clear sense of scheduling theory, has a plan for attacking the hardest problems in the field, and does a nice job of demonstrating that he knows techniques that may work. _x000D_
_x000D_
Here are some open problems that the PI proposes to solve: _x000D_
_x000D_
- scheduling precedence-constrained jobs on O(1) identical machines to minimize makespan.  There was a recent breakthrough in scheduling.  A nearly polynomial time  1+epsilon approximation scheme for scheduling unit-size precedence-constrained jobs on a constant number of machines. The PI would like to extend these results to jobs with non-constant sizes, and proposes some techniques that he may want to try._x000D_
_x000D_
- (1 + epsilon)-approximations for scheduling based on knapsack inequalities. The PI hopes to extend some old results on strengthening the knapsack inequalities and use this new power to solve some of the classic open problems in scheduling (e.g., weighted flow time with preemption)._x000D_
_x000D_
- Time-indexed linear programming relaxation for non-preemptive scheduling._x000D_
_x000D_
- Implementation of algorithms for scheduling in large clusters._x000D_
_x000D_
The PI says that he wants to apply algorithmic techniques to practical problems.  In general, the practical aspects of the proposal  don't show the deep understanding that comes across in the theoretical aspects of the proposal._x000D_
_x000D_
Minor suggestion for improvement: please improve the writing, especially in the summary. Initially I was put off by it. _x000D_
_x000D_
_x000D_
_x000D_
In the context of the five review elements, please _x000D_
evaluate the strengths and weaknesses of the proposal with respect to broader impacts._x000D_
_x000D_
Although the broader impact sections are quite thin, I think the broader impact of the research is not. The proposed techniques are powerful and will advance the field of scheduling theory and other aspects of resource optimization. _x000D_
_x000D_
The educational component is fine. _x000D_
_x000D_
_x000D_
Please evaluate the strengths and _x000D_
weaknesses of the proposal with respect to any additional solicitation-specific review criteria, if _x000D_
applicable_x000D_
_x000D_
_x000D_
_x000D_
Summary Statement_x000D_
_x000D_
I view this as a very good proposal.  The PI clearly has a vision about what's going on in the scheduling literature and has a well articulated plan of attack._x000D_
_x000D_
_x000D_
</t>
  </si>
  <si>
    <t xml:space="preserve">In the context of the five review elements, please _x000D_
evaluate the strengths and weaknesses of the proposal with respect to intellectual merit._x000D_
_x000D_
Intellectual merit:_x000D_
Strengths:_x000D_
+ The PI has conducted prior work in the area he plans to work on. He has a CRII on a very closely related topic._x000D_
+ The proposal flows well, although it should be spellchecked. _x000D_
+ The PI picked a good set of research questions to study and identified for each a few concrete problems to check his results on._x000D_
_x000D_
Weaknesses_x000D_
- No timeline._x000D_
- Except for the work presented in Section 5, it is not clear whether the proposed work will be a purely theoretical study or if the approaches will be tested experimentally on the identified problems. _x000D_
- Despite the PI's experience in the area, the proposed work sounds overly ambitious and possibly too risky._x000D_
_x000D_
_x000D_
In the context of the five review elements, please _x000D_
evaluate the strengths and weaknesses of the proposal with respect to broader impacts._x000D_
_x000D_
Strengths_x000D_
+  The PI has on-going collaborations and is planning to use this project to expand on them. _x000D_
+ The PI plans to encourage the participation of women and minorities in his work. He is set to mentor a female student starting in fall 2017._x000D_
_x000D_
Weaknesses_x000D_
- Except for the one female PhD student he will start working with in fall 2017, it is not clear how the PI plans to recruit more women or minority students. _x000D_
- Overall, the broader impacts are weak._x000D_
_x000D_
_x000D_
Please evaluate the strengths and _x000D_
weaknesses of the proposal with respect to any additional solicitation-specific review criteria, if _x000D_
applicable_x000D_
_x000D_
Integration of Research and Education: _x000D_
Strengths_x000D_
+ The PI currently has PhD students, with whom he will continue working._x000D_
+ The PI plans to integrate some of his work ideas as projects in a course he is already teaching. He plans something similar in another course that he is scheduled to teach in spring 2018._x000D_
+ Over the next 5 years, the PI plans to design a new course focused on algorithms for large scale data._x000D_
+ The PI will participate in scheduled outreach activities._x000D_
+ He also plans to present his work at upcoming conferences._x000D_
_x000D_
Weaknesses_x000D_
- The plan to mentor students is weak: the PI lists his current graduate students (so, no plan for new recruits there) and finishes by saying that 'in the future', he plans to involve undergraduate students: this comes as an after-thought and no plan to make this happen or ideas about how to do that are proposed._x000D_
- The PI mentions courses he already teaches. Integrating research in teaching is very important but these two examples are very conventional as he relies on existing activities._x000D_
- The outreach activities mentioned by the PI are organized by his department. It is not clear what his part is in such activities and how he plans to use this opportunity to recruit? Mentor? Engage students?_x000D_
- Overall, the education plan is very weak: over the 5 years duration of the project, it should be expected that the PI be able to demonstrate proactivity and creativity in educating, recruiting, and mentoring. _x000D_
_x000D_
Data Management Plan_x000D_
Overall, the Data Management Plan seems appropriate. However, the PI mentions at some point that there will not be code for his work, but later that there will be some. This ambiguity should be addressed._x000D_
_x000D_
_x000D_
Summary Statement_x000D_
_x000D_
Overall, an interesting proposal with a reasonable research plan, although ambitious and not completely well thought-out. This proposal suffers from a very weak education plan._x000D_
_x000D_
</t>
  </si>
  <si>
    <t xml:space="preserve">In the context of the five review elements, please _x000D_
evaluate the strengths and weaknesses of the proposal with respect to intellectual merit._x000D_
_x000D_
The PI proposes to develop new mathematical programming techniques for scheduling problems. Recently, hierarchical relaxations have been used to obtain surprising results in precedence-constrained scheduling of unit sized jobs on constant number of machines, and the PI proposes to expand it to the weighted case. The PI also proposes studying other problems such as knapsack covering._x000D_
_x000D_
While the problems are interesting, and the PI is well equipped to solve them, several of the proposed problems are very special cases of a vast landscape of scheduling problems, and hence, the intellectual merit of this proposal is likely to be in new LP-relaxation techniques, specially hierarchical relaxations. Such techniques have the potential of bridging cutting plane heuristics and LP-relaxation approximation algorithms, and would represent an exciting advance. However, the PI does not propose to study these connections in depth beyond the specific problems proposed._x000D_
_x000D_
The PI also proposes to study properties of the time indexed LP, and proposes to apply theoretical insights from this proposal to scheduling in parallel clusters. This proposal could benefit from either more emphasis on the applied aspects, or more emphasis on the properties of hierarchical relaxations._x000D_
_x000D_
_x000D_
In the context of the five review elements, please _x000D_
evaluate the strengths and weaknesses of the proposal with respect to broader impacts._x000D_
_x000D_
The proposal involves a strong collaboration plan with applied researchers, and thus has the potential of strong broad impact. The education plan is strong, including development of a course on algorithms for large data, and participation in summer camps for high school students._x000D_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</si>
  <si>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I do not know how significant is the following: there are some mistakes in English and some typos. For me its not significant because I do not want to discriminate between people whose mother thong is English, and others._x000D_
_x000D_
As its seems usual for a career awards the proposal is hugely ambitious. Promises a revolution._x000D_
_x000D_
It regards scheduling problems I have been hearing about for 25 years or so. Several belong to the famed 15 most important open problems in scheduling devised some time ago._x000D_
_x000D_
Scheduling precedence-constrained jobs on m machines,_x000D_
with the objective of minimizing the makespann_x000D_
may be one of the most classic scheduling problem there is._x000D_
_x000D_
Graham in 1966 gave a ratio 2 for the problem, based _x000D_
on a simple method that was coined as "list scheduling"._x000D_
It was one of the first approximation algorithms  ever (this is the famous Graham. The friend of Erdos). No better ratio is known even _x000D_
for quasi-poly time._x000D_
_x000D_
A relatively recent breakthrough may explain this difficulty._x000D_
If the number of machines m is part of the input, _x000D_
an approximation better than 2 is not possible._x000D_
This is based on a slightly stronger conjecture than the unique game conjecture. _x000D_
The stronger conjecture says that the graph is  "slightly expanding" _x000D_
(it can not be an expander as unique game is easy on expanders. But slight expansion is not an expander)._x000D_
However, this lower bound does not hold _x000D_
if the number of machines is a constant._x000D_
_x000D_
There is a 1+epsilon algorithm in quasi polynomial time for unit time jobs._x000D_
The PI presents two highly difficult challenges._x000D_
_x000D_
The first is to make the running time polynomial._x000D_
I want to note that under  the exponential time hypothesis P=\neq Quasi(P) so it may well be that such an approximation does not exist._x000D_
_x000D_
A second challenge is to generalize the result (even in quasi poly time) for arbitrary length jobs. _x000D_
_x000D_
The 1+epsilon algorithm (and basically all algorithms presented here)_x000D_
is very complex. It uses complex dynamic programming algorithm._x000D_
It uses sketching at the end. Sketching is a way to unite an exponential number of subproblems to very few _x000D_
so that is two subproblems have the same sketching, their value is is about the same (a very nice recent tool in my opinion). _x000D_
Its basically like equivalence classes._x000D_
_x000D_
The PI explains how he hopes to extend this to general processing time. This will not be easy, if possible._x000D_
Seems complicated._x000D_
_x000D_
Knapsack covering is to find items of minimum cost_x000D_
that have  a volume larger than some given R._x000D_
_x000D_
There are papers that use many knapsack covering constraint._x000D_
For every S, if its (factional) volume is v(S) the volume of the _x000D_
rest of the elements must be at least R-vol(S)._x000D_
_x000D_
A paper by Carr showed many Knapsack covering valid constrains that_x000D_
can turn a bad LP into a good one._x000D_
The PI suggest several ways to give an LP based _x000D_
PTAS. A very old open question and apparently very difficult._x000D_
The PTAS is done by dynamic programming._x000D_
The PI talks on finding polytope with minimum number of constrains as a tool. Alternatively other  Knapsack inequalities may lead _x000D_
to an LP based 1+epsilon approximation._x000D_
I somewhat doubt it._x000D_
_x000D_
Single machine scheduling to minimize flow time is a very hard problem (in particular a small change in the input can cause a large change in the output). The goal to minimize is the flow time,_x000D_
namely the sum over all jobs of the time they were scheduled minus their arrival time. There is a loglog P (quite complex) approximation algorithm for this problem. P can be thought of as the maximum job size._x000D_
_x000D_
The problem is regarded so hard, that a quasi-polynomial PTAS (by Chekuri and Khanna) seemed highly interesting at the time it was done_x000D_
15 years ago. The PI want to try and use the LP of The loglog P algorithm, with covering Knapsack inequalities for the ambitious task of _x000D_
getting a polynomial time O(1) approximation for this problem._x000D_
Again a huge challenge._x000D_
_x000D_
Scheduling a single machine with an arbitrary function on the completion time is also considered. Again a huge challenge._x000D_
Other models are the open shop scheduling and some problems are define within this model. _x000D_
_x000D_
I did not understand for sure what is unrelated machine scheduling._x000D_
Is the issue that you cant schedule them on parallel._x000D_
Is this the way the problem is different from scheduling unrelated parallel machines?_x000D_
There are many more problems and I will not describe all of them._x000D_
_x000D_
The PI seems to assume hugely difficult task and hopes to solve very long time standing problems. The proposal may be such that some of the problems are unlikely to be solved._x000D_
_x000D_
The PI is a very strong researcher and once got a best FOCS paper_x000D_
joined with Chuzhoy._x000D_
_x000D_
_x000D_
In the context of the five review elements, please _x000D_
evaluate the strengths and weaknesses of the proposal with respect to broader impacts._x000D_
_x000D_
There is no serious try to create broader impact._x000D_
_x000D_
Please evaluate the strengths and _x000D_
weaknesses of the proposal with respect to any additional solicitation-specific review criteria, if _x000D_
applicable_x000D_
_x000D_
_x000D_
_x000D_
Summary Statement_x000D_
_x000D_
It seems to me more likely than not that this  proposal _x000D_
will not be funded._x000D_
_x000D_
_x000D_
</t>
  </si>
  <si>
    <t>The problems of scheduling a set of possibly dependent tasks over a collection of machines rise in many application domains. Despite of the intensive study, the status of many fundamental scheduling problems remains widely open. One major goal of the PI's research is to leverage the cutting-edge techniques to close the gaps in our understanding of these problems. A main tool that the PI will use to is mathematical programming, which has been very successful in designing numerous approximation algorithms over the last 3 decades. Some highlights of this proposed research include:_x000D_
LP hierarchy on scheduling precedence-constrained jobs on O(1) identical machines to minimize makespan. The recent breakthrough result of Levey and Rothvoss gave a (1 + epsilon)-approximation algorithm for this problem for unit-size jobs, with a slightly super-quasi-polynomial time algorithm. The PI intends to extend it to non-uniform job sizes._x000D_
LP-based (1+epsilon)-approximation for knapsack covering problem. Knapsack covering constraints appear naturally in many scheduling and other types of problems. To better understand the approximability of these problems, the PI shall study whether we can get a (1+epsilon)-approximation algorithm for Knaspack covering based on an LP relaxation. Resolving it may result in better algorithms for many scheduling problems._x000D_
Time-indexed linear programming relaxation for non-preemptive scheduling. Time-indexed LP relaxations are natural relaxations for many non-preemptive scheduling algorithms. Following his recent work, the PI will further investigate the power of these LP relaxations in deriving improved algorithms for these problems._x000D_
Implementation of algorithms for scheduling in large clusters. The broader impacts of this research include collaboration with researchers from distributed computing community. In a project with his colleagues, the PI has designed a practical algorithm for scheduling data-dependent jobs in large computing clusters. Implementation of a part of the algorithm shows that it runs much faster. For a different part, the PI shall apply a list-scheduling algorithm that is long known to the theory community.Successful completion of the project will yield improved approximation algorithms the scheduling problems studied in the proposal, many of whom possess longstanding gaps in the approximability. Moreover, it will lead to a better understanding of the advanced mathematical relaxation techniques such as LP/SDP hierarchy and round-or-cut paradigm. The new techniques resulted from the research can be broadly applicable in the field of approximation algorithms.This project will involve collaborations with the PI's colleagues in other areas. In a collaboration with Prof. Tevfik Kosar (data-intensive distributed computing), Prof. Atri Rudra (theory) and Prof Jaric Zola (scalable computing), the PI has designed a practical algorithm for a scheduling problem in large data center. Part of the algorithm has been implemented and it works well. The PI plans to continue and expand the collaboration to facilitate more communications between theory and other communities, by applying the algorithmic techniques from theory community to more problems in practice._x000D_
This project will provide research and educational opportunities to both graduate and undergraduate students. The course materials resulted from this research project will be made freely accessible online.</t>
  </si>
  <si>
    <t xml:space="preserve"> Panel Summary       
  SUMMARY OF PROPOSED RESEARCH ACTIVITY_x000D_
_x000D_
_x000D_
_x000D_
PI proposes to develop new methodologies to obtain approximation and online algorithms for large class of combinatorial optimization problems using  the following three themes._x000D_
1. Approximation algorithm via LP/SDP hierarchies. PI proposes to obtain improved approximation for k-median, precedence constrained scheduling and graph mapping problems. PI aims to obtain these results using the strength of stronger LP and SDP hierarchies. _x000D_
2. Discrepancy based methods. PI proposes to develop and use discrepancy based rounding methods to obtain approximation algorithms for problems including unsplittable flow,  degree constrained arborescence and related problems. PI aims to obtain optimal approximation algorithms for these problems via methods that combine iterative rounding and randomized rounding. _x000D_
3. Online algorithms. PI proposes to generalize the online primal-dual schema to problems with convex objectives. PI aims to develop a general framework characterizing the class of convex objectives where the online primal-dual schema applies and gives provable guarantees._x000D_
_x000D_
INTELLECTUAL MERIT_x000D_
Strengths_x000D_
 Many of the problems being attacked by the PI are long standing open problems in the area of approximation and online algorithms. Progress on them would greatly enhance our understanding of the area. The approach outlined for many of the problems by the PI is creative and has significant depth and understanding of the problems at hand.  PI is a strong researcher in the area with a great publication record and is adequately supported by his department and collaborators.  _x000D_
_x000D_
Weaknesses_x000D_
_x000D_
There was concern by some panelists that the list of problems is slightly disjointed. PI gives three themes uniting them but it is not completely clear whether they are as coherent together as the proposal mentions. Other panelists did not consider this an issue._x000D_
_x000D_
_x000D_
Moreover, some of the problems mentioned are long standing open problems. PI has given some ideas to attack it but it is not clear whether the plan is significantly different from previous work. _x000D_
_x000D_
BROADER IMPACTS_x000D_
_x000D_
Strengths_x000D_
_x000D_
The research has potential of significant impact in industry. PI has collaborations with IBM as well as a track record of using new theoretical ideas in practice while an employee at IBM. The online algorithms section is highly relevant to many problems in practice.  PI is also advising female graduate students. PI also proposes k-12 outreach for students as well as high school teachers in a well thought out plan._x000D_
_x000D_
Weaknesses_x000D_
 Some parts of the proposal (algorithms via hierarchies) will have limited impact in practice. PI can be clear when he talks about them in the broader impact section about what he envisions the influence in practice will be. _x000D_
_x000D_
CAREER SOLICITATION-SPECIFIC REMARKS:_x000D_
_x000D_
Letter of institutional commitment. _x000D_
Yes. Adequate._x000D_
_x000D_
Integration of research and education:_x000D_
_x000D_
PI gives a well-thought plan for integrating research and education at multiple levels. He is developing a graduate course on the topic of the proposal. He is also developing an undergraduate course which intersects with the theme of the proposal. PI regularly gives tutorials at various short  schools for graduate students. PI also will outreach to k-12 students and teachers for one-day workshops to expose them to algorithmic concepts. _x000D_
 _x000D_
_x000D_
ADDITIONAL REMARKS_x000D_
_x000D_
Research plan: _x000D_
Adequate. _x000D_
_x000D_
Collaboration plan: _x000D_
Multiple collaborations in industry and academia._x000D_
_x000D_
_x000D_
Data Management Plan: _x000D_
Adequate._x000D_
_x000D_
Results of prior support:  _x000D_
None._x000D_
 _x000D_
_x000D_
Suggestions to PI: _x000D_
The proposal is overall well written. PI can be a bit clearer in outlining how the attack on the various problems in any particular theme are related. Also, be clearer in the broader section about the plan to take algorithms from theory to practice.  _x000D_
_x000D_
Justification for Panel Rating: _x000D_
_x000D_
This is a strong proposal which aims to extend the state of the art in approximation and online algorithms._x000D_
_x000D_
Panel Rating: _x000D_
_x000D_
_ Highly Competitive_x000D_
_x000D_
X_ Competitive_x000D_
_x000D_
_ Low Competitive_x000D_
_x000D_
_ Not Competitive_x000D_
_x000D_
The summary was read by/to the panel and the panel concurred that the summary accurately reflects the panel discussion._x000D_
_x000D_
_x000D_
 _x000D_
</t>
  </si>
  <si>
    <t xml:space="preserve">In the context of the five review elements, please _x000D_
evaluate the strengths and weaknesses of the proposal with respect to intellectual merit._x000D_
_x000D_
Viswanath Nagarajan is the only person I know his work well._x000D_
Among all reports I had to do. I never met him but _x000D_
I know many of his papers._x000D_
_x000D_
The proposal suggests one technique called lift and project_x000D_
as a try to  solve many central problems (all problems suggested,_x000D_
are very hard and open for a very long time)._x000D_
_x000D_
In the Sherali-Adams method round t speaks on all subsets _x000D_
of size t. Thus the algorithm can apply only a constant number of rounds. There seems to be low probability that a constant number_x000D_
of rounds will change things but to my surprise it does_x000D_
and we got better approximation for many problems._x000D_
_x000D_
In the Sherali-Adams method we can think on the values of sets of size t as a distribution. If U\cup V=x\cup Y  then we need _x000D_
consistency constrains so that U\cup V will have the same value of _x000D_
X\cup Y. These constrains are called consistency constrains._x000D_
_x000D_
There is another lift and project method with PSD programs that is more general than Sherali-Adams. Its called the _x000D_
Lasserre method. But its harder to analyze I think._x000D_
Moreover if you want to implement it,_x000D_
good luck with finding a fast way to solve PSD programs._x000D_
_x000D_
For each lift and project method after polynomial many _x000D_
rounds it gives an exact solution. but they the time is exponential._x000D_
Many time logarithmic number of rounds is enough giving quasi-polynomial running time._x000D_
_x000D_
The first problem that the PI suggests is the classic K-median problem. For a long time, a beautiful 3+\epsilon local search algorithm was the best known._x000D_
Recently this was improved by lift and project Sherali-Adams_x000D_
techniques._x000D_
_x000D_
The authors wants a tight ratio. The lower bound is 1+2/e. A tight ratio? This will takes years if at all. This seems over promising._x000D_
Nevertheless it is rather likely that the PI can improve the best known ratio. It seems that one of the main tools used here _x000D_
is filtering (even if the PI does not describe it this way)._x000D_
_x000D_
Knapsack median is similar except that the centers have weights _x000D_
and the sum of weights of selected centers must be at most k._x000D_
Because the last element in the greedy algorithm _x000D_
usually can not be added, the LP has unbounded integrality gap._x000D_
Even if you add all covering Knspsack constrains._x000D_
The PI suggest a technique similar to filtering_x000D_
gives a constant gap, and says that its equivalent to 2 levels SA lift and project. An interesting observation._x000D_
_x000D_
Constrained MAX-CSP is a very large collection of problems that contain the max cut problem. The max cut problem is well understood_x000D_
in the sense that for every value of the optimum there is an optimal _x000D_
approximation given the unique game conjecture._x000D_
_x000D_
However if you impose cardinality constrains there are no known tight ratios as far as I know._x000D_
_x000D_
The question posed here is if we add constrains that related to the graph, can you give 1/2 ratio for bounded tree width. The PI and his Ph. D. student have some preliminary results._x000D_
_x000D_
The next problem is perhaps the most classic in scheduling._x000D_
Scheduling jobs on m machines with precedence constrains._x000D_
Note that because there is a hardness for general M,_x000D_
the question is only on constant number of machines._x000D_
There is an algorithm mentioned in another proposal that gives _x000D_
a 1+epsilon approximation in time higher than quasipoly (but subexponential). The PI suggest two Sherali-Adams algorithms that _x000D_
look promising. Even though I doubt if they will give polynomial time. _x000D_
_x000D_
The PI states that: will investigate new rounding algorithms based on hierarchies_x000D_
that can handle a variety of global constraints such as connectivity_x000D_
_x000D_
First of all please write we and not I. Second, I do not understand what this means. The t round constrains can not give anything beyond distribution on sets of size t._x000D_
_x000D_
One nice things about these lift and project is that almost always not all variables are used and in fact sometimes very few variables are used. A very nice example in a ratio 2 for the sparsest cut on bounded tree width graphs (Gupta et al). This very significantly improves a previous approximation that used basically all variables. _x000D_
_x000D_
The next problem is also general._x000D_
The input to the graph mapping problem_x000D_
(GraphMap) consists of two graphs H = (V,E) and G = (U, F). The GraphMap problem involves_x000D_
assigning vertices of the graph G (referred to as guest) to vertices of graph H (referred to as host) so as_x000D_
to minimize the total "stretch" incurred by edges of G. namely the distance in the new graph (or the distance on the new graph over the length of e in the original graphs in the weighted case)._x000D_
_x000D_
The challenge by the Author is to find polynomial time polylog ratio  _x000D_
for this very general problem via the Lasserre kift and project  technique. This seems required. The sparsest cut LP has integrality gap log n but the Negative metric SDP has O(\sqrt{log n}) gap._x000D_
_x000D_
This looks as a bit too hard of a challenge. But for specific _x000D_
examples its quite possible that the PI will improve the ratio._x000D_
_x000D_
All the discussion of the Diirected Steiner tree looks bogus to me. _x000D_
The lift and project techniques do not give better than the _x000D_
greedy techniques. I am quite sure that the Directed Steiner problem has  no polynomial time polylog ratio._x000D_
_x000D_
The PI states several other long open question such as the _x000D_
Beck-Fiala Problem on Matroids and the directed tree with minimum maximum  degree. IT is frustrating that unlike undirected graphs,_x000D_
we have to violate the maximum degree by 2. Many tried to improve it to 1._x000D_
Its a very difficult and by now long time open question._x000D_
And several other seminal open questions including some _x000D_
in on-line algorithms._x000D_
_x000D_
In the context of the five review elements, please _x000D_
evaluate the strengths and weaknesses of the proposal with respect to broader impacts._x000D_
_x000D_
There is no broader impact. The PI says that _x000D_
his improve results may be used in a practical setting. _x000D_
The PI also reminds us of his years in IBM._x000D_
_x000D_
I am not sure the PI is serious here. Lift and project techniques _x000D_
can not be implemented in nearly linear time which is the only thing_x000D_
the industry will accept (also small constants etc)._x000D_
_x000D_
I do not think that the lack of Broader impact should be _x000D_
a problem for the first grant submission. But I would expect_x000D_
that the NSF would just reject future grants if the PI does such a poor job in the broader impact section._x000D_
_x000D_
Please evaluate the strengths and _x000D_
weaknesses of the proposal with respect to any additional solicitation-specific review criteria, if _x000D_
applicable_x000D_
_x000D_
The strength is that the problem are central. The PI is a very strong researcher, and the proposal is likely to produce high level theoretical_x000D_
papers. The weakness of lack of broader impact could be forgiven in my opinion in the first grant proposal. Every very strong researcher _x000D_
should have an approve proposal without broader impact (they are young._x000D_
We cant expect much broader impact). But not in any future proposals._x000D_
_x000D_
The PI as usual promises more than he is likely to solve._x000D_
If you think this is an issue, then its a weakness._x000D_
_x000D_
Summary Statement_x000D_
_x000D_
It seems relatively speaking _x000D_
an above the average (for this panel) proposal._x000D_
Solid question. Solid explanation on how_x000D_
these problems may be solved._x000D_
_x000D_
</t>
  </si>
  <si>
    <t xml:space="preserve">In the context of the five review elements, please _x000D_
evaluate the strengths and weaknesses of the proposal with respect to intellectual merit._x000D_
_x000D_
Strengths:_x000D_
_x000D_
The propose seeks to address several fundamental problems in the theory of approximation algorithms via mathematical programming relaxations. All of the problems have attracted significant attention and therefore any progress would be of interest in the approximation algorithms community._x000D_
_x000D_
The PI has obtained several important results in approximation algorithms, so I believe he is well-qualified to conduct the proposed research._x000D_
_x000D_
Weaknesses:_x000D_
_x000D_
I believe the main weakness of the proposal is that it feels as a collection of (very interesting) open problems, with very little in common. The PI has organized the problems in three main categories, but I don't see a significant amount of shared methods and ideas. Most importantly, I did not understand what is the overreaching goal of this proposal, apart from making progress on individual problems._x000D_
_x000D_
The proposed method for obtaining an improved approximation algorithm for the Directed Steiner Tree problem is not described in adequate detail. It is therefore hard to evaluate how plausible the research plan is for this particular problem._x000D_
_x000D_
Similarly, the plan for addressing Single-Source Unsplittable Flow is lacking._x000D_
_x000D_
_x000D_
In the context of the five review elements, please _x000D_
evaluate the strengths and weaknesses of the proposal with respect to broader impacts._x000D_
_x000D_
Strengths:_x000D_
_x000D_
The PI is a former research staff member at IBM, and some of his research work on scheduling has been implemented in one of IBM's products. Therefore, he is in a position to transfer his findings to applied domains._x000D_
_x000D_
Please evaluate the strengths and _x000D_
weaknesses of the proposal with respect to any additional solicitation-specific review criteria, if _x000D_
applicable_x000D_
_x000D_
The outreach component of the proposal seems adequate._x000D_
_x000D_
Summary Statement_x000D_
_x000D_
Overall, this proposal seeks to address important problems in the theory of approximation algorithms. The main weakness is the lack of a "bigger picture" that would transform this collection of open problems to a cohesive long-term research agenda._x000D_
_x000D_
</t>
  </si>
  <si>
    <t xml:space="preserve">In the context of the five review elements, please _x000D_
evaluate the strengths and weaknesses of the proposal with respect to intellectual merit._x000D_
_x000D_
PI proposes to develop new algorithmic techniques to use mathematical programs for approximation and online algorithms. For approximation algorithms, PI focuses on obtaining improved algorithms using hierarchies of mathematical programming relaxation for problems ranging from constrained satisfaction problems to scheduling. The other direction is to use discrepancy based algorithms and resolving some long standing open problems. _x000D_
_x000D_
There have been very few results that have obtained positive results using hierarchies and this proposal gives some concrete directions in that regard. _x000D_
_x000D_
PI also proposes to generalize the online primal-dual framework by incorporating convex objectives. This approach has been very successful in the last few years and PI has already obtained some preliminary results generalizing it. _x000D_
_x000D_
PI is an expert in the area of research proposed and is adequately supported._x000D_
_x000D_
In the context of the five review elements, please _x000D_
evaluate the strengths and weaknesses of the proposal with respect to broader impacts._x000D_
_x000D_
PI proposes various methods for broader impact, including k-12 outreach for students and teachers. PI also developing courses at undergraduate and graduate level and is actively advising students. The research of the proposal will have significant impact on the area of approximation and online algorithms._x000D_
_x000D_
Please evaluate the strengths and _x000D_
weaknesses of the proposal with respect to any additional solicitation-specific review criteria, if _x000D_
applicable_x000D_
_x000D_
_x000D_
_x000D_
Summary Statement_x000D_
_x000D_
The proposal aims to advance the state of the art in the area of approximation and online algorithms._x000D_
_x000D_
</t>
  </si>
  <si>
    <t xml:space="preserve">In the context of the five review elements, please _x000D_
evaluate the strengths and weaknesses of the proposal with respect to intellectual merit._x000D_
_x000D_
The PI proposes a study of approximation and on-line algorithms for optimization problems.  These are areas in which the PI has had a steady rate of solid contributions over many years.  _x000D_
_x000D_
Approximation algorithms have been one of the most-studied topics in TOC over the last two decades.  The PI proposes to advance the area by exploiting LP and SDP hierarchies and recent advances in discrepancy theory.  These are also hot topics in the field.  _x000D_
_x000D_
If the proposed research is successful, it will advance our ability to solve many optimization problems.  Of the problems the PI intends to tackle using hierarchies, I think the k-median, precedence constrained scheduling and graph mapping problems are the most promising.  I found the graph-constrained Max-CSP problem to be poorly motivated: I can not figure out why I would want to solve this problem.  Of the problems to be solved using discrepancy, I consider the single-source unsplittable flow problem to be of most interest._x000D_
_x000D_
The proposed research on online primal-dual algorithms looks very interesting and looks like it could be very useful in many practical domains._x000D_
_x000D_
For each of the problems listed, the PI has provided evidence that he has a reasonable approach to solving it either through past success or a sketch of an approach.  So, I believe that the PI will be capable of solving many of these problems.  _x000D_
_x000D_
_x000D_
In the context of the five review elements, please _x000D_
evaluate the strengths and weaknesses of the proposal with respect to broader impacts._x000D_
_x000D_
The broader impacts of the proposal are very strong.  The PI will give guest lectures in a local high school and provide workshops for math teachers.  At the undergraduate level,  the PI has created a valuable course and will advise undergraduates.  Graduate and masters students who work with the PI will have terrific job prospects._x000D_
_x000D_
The PI also has active collaborations with industry which should help bring the results of his research into practice._x000D_
_x000D_
_x000D_
Please evaluate the strengths and _x000D_
weaknesses of the proposal with respect to any additional solicitation-specific review criteria, if _x000D_
applicable_x000D_
_x000D_
_x000D_
_x000D_
Summary Statement_x000D_
_x000D_
This is a strong proposal for work in approximation algorithms by a researcher who has made steady progress in the area for almost a decade.  The broader impacts are also unusually strong._x000D_
_x000D_
_x000D_
</t>
  </si>
  <si>
    <t>Numerous applications in areas such as logistics, telecommunication, robotics, machine learning and healthcare, are routinely modeled and solved as combinatorial optimization problems. In today's digital age, data collection and storage is inexpensive. The bottleneck lies in our ability to solve increasingly larger problem instances efficiently. For most of these problems, it is intractable to design exact algorithms due to computational and/or informational limitations. Approximation and online algorithms offer a way around this difficulty, by computing provably near-optimal solutions. This proposal will develop new techniques in this area by investigating:_x000D_
1. Algorithms based on convex-programming hierarchies._x000D_
2. New rounding algorithms based on recent advances in algorithmic discrepancy._x000D_
3. Online primal-dual framework for convex objectives._x000D_
This proposal involves designing general algorithmic techniques (and identifying problem classes to which these apply) as well as solving specific open problems (eg. k-Median, directed Steiner tree, the Beck-Fiala conjecture, unsplittable flow and online multicommodity routing)._x000D_
_x000D_
Keywords: approximation algorithms, online algorithms, mathematical programming, rounding, network design.This proposal will significantly advance mathematical-programming techniques used in approximation and online algorithms. If successful, this would resolve fundamental open questions in theoretical computer science, and also expand the applicability of these techniques to other areas such as combinatorics and operations research. Our approach will establish and strengthen connections of theoretical computer science to various fields of mathematics such as discrepancy theory, geometry, graph theory, optimization, linear algebra and probability.The specific problems studied here are directly relevant to applications in cloud computing, telecommunication, robotics and supply-chain management. For these applications, the PI will draw on his prior industry experience and collaborate with several industry colleagues to disseminate the research and assess its practical impact. The educational aspect of this proposal involves training undergraduate and graduate students, developing new course material and organizing a workshop for high-school teachers.</t>
  </si>
  <si>
    <t xml:space="preserve"> Panel Summary       
 SUMMARY OF PROPOSED RESEARCH ACTIVITY_x000D_
Description: _x000D_
_x000D_
This proposal aims to investigate a number of new aspects of classic graph algorithmic problems. These aspects are motivated by modern real world applications of graph algorithms. The research plan is organized around the following three directions: _x000D_
_x000D_
(1) Network Design under Uncertainty._x000D_
(2) Correlated Network Effects._x000D_
(3) Fast Algorithms for Large Networks._x000D_
_x000D_
INTELLECTUAL MERIT_x000D_
_x000D_
Strengths_x000D_
+ The research goals pursued are touching on important aspects and limitations of the existing graph algorithmic framework. Progress on them would likely lead to development of interesting new techniques._x000D_
+ The PI has a strong track record in graph algorithms research._x000D_
+ The indicated directions of inquiry are likely to address important challenges that real world graph algorithms are currently facing._x000D_
_x000D_
_x000D_
_x000D_
Weaknesses_x000D_
- The stated research objectives were compelling, but given the PI's track record, there was an impression that an even more ambitious research plan could have been proposed._x000D_
_x000D_
BROADER IMPACTS_x000D_
_x000D_
Strengths_x000D_
+ The PI is heavily involved in outreach activities both for non-CS majors and high school students. _x000D_
+ The PI has a strong desire and experience in connecting to industry, with the goal of making some of the theoretical research in graph algorithms have an actual real world impact._x000D_
_x000D_
CAREER SOLICITATION-SPECIFIC REMARKS:_x000D_
Letter of institutional commitment. _x000D_
Integration of research and education: _x000D_
_x000D_
The research agenda of the PI is well integrated with his teaching and advising activities._x000D_
_x000D_
_x000D_
ADDITIONAL REMARKS_x000D_
Research plan: _x000D_
Collaboration plan: _x000D_
Postdoc Mentoring plan: _x000D_
Data Management Plan: Adequate_x000D_
Results of prior support: Adequate_x000D_
_x000D_
Suggestions to PI:_x000D_
Overall, the proposal was viewed as well written. The main aspect that could be improved is relating to the lack of goals that would have a truly transformational potential._x000D_
_x000D_
Also, the sentence "The PI will continue to actively recruit women and other underrepresented groups in his research group." could be viewed as a blanket and even somewhat patronizing statement. _x000D_
_x000D_
Justification for Panel Rating: _x000D_
_x000D_
The panel recognized and appreciated the PI's commitment to connecting his theoretical research to actual real world graph algorithmic problems. The resulting research plan was viewed as compelling, even though it is focusing on relatively modest goals. _x000D_
_x000D_
_x000D_
Panel Rating: _x000D_
_ Highly Competitive_x000D_
X_ Competitive_x000D_
_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</si>
  <si>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project considers several inter-connected groups of graph problems._x000D_
(a) Network Design under Uncertainty. Essentially, this area is dynamicalgorithms trying to achieve good online performance ratio._x000D_
(b) Correlated Network Effects. It studies connectivity problems_x000D_
under the assumption that vertex/edge failures are dependent (called_x000D_
hedge connectivity)._x000D_
(3) Fast Algorithms for Large Networks. Given a large graph, it is allowed topre-process it so that certain problems can be solved in sub-linear time afterwards._x000D_
_x000D_
While some of these problems are not completely new, they are_x000D_
interesting problems worth investigation. For each area, the PI_x000D_
considers a group of connected problems. They are well motivated_x000D_
and interesting. The methods for solving them are vague sometimes._x000D_
_x000D_
In the context of the five review elements, please _x000D_
evaluate the strengths and weaknesses of the proposal with respect to broader impacts._x000D_
_x000D_
The proposed problems have real world applications, which will_x000D_
benefit from the results of this project. The PI is currently_x000D_
conducting research with industrial collaborators._x000D_
_x000D_
The proposal discussed plans for undergraduate training, and_x000D_
graduate student mentoring. A new course partially based on the_x000D_
problems discussed in this proposal is planed._x000D_
_x000D_
_x000D_
Please evaluate the strengths and _x000D_
weaknesses of the proposal with respect to any additional solicitation-specific review criteria, if _x000D_
applicable_x000D_
_x000D_
_x000D_
_x000D_
Summary Statement_x000D_
_x000D_
The proposed project studies a set of closely related problems._x000D_
Each area is well motivated and specific goals are clearly_x000D_
described. The concrete approach for attacking them is somehow vague._x000D_
_x000D_
The PI has two current/previous NSF grants, and has done good work in_x000D_
this area. He is well qualified for the proposed research. This_x000D_
project seems fit the PI's long term career goal well._x000D_
_x000D_
The Departmental letter shows strong support and commitment_x000D_
for the professional development of the PI._x000D_
_x000D_
</t>
  </si>
  <si>
    <t xml:space="preserve">In the context of the five review elements, please _x000D_
evaluate the strengths and weaknesses of the proposal with respect to intellectual merit._x000D_
_x000D_
strengths:_x000D_
+ This is a nice proposal, and the research suggested is very timely, given the advent of large networks/big data._x000D_
+ the problems that will be studied will provide improved and faster algorithms that could be a great practical importance in network design._x000D_
+ the problems studied are also interesting theoretically, and the research, if successful will advance knowledge in online/dynamic  algorithms, as well as answer some theoretical graph and hyper graph questions_x000D_
+ well written proposal, the PI is very qualified to conduct the proposed research_x000D_
_x000D_
weaknesses:_x000D_
- There is not concrete plan of attack of many of the questions suggested. _x000D_
_x000D_
_x000D_
_x000D_
In the context of the five review elements, please _x000D_
evaluate the strengths and weaknesses of the proposal with respect to broader impacts._x000D_
_x000D_
strengths:_x000D_
+ there are a lot of practical applications, and the PI is already collaborating with industry to implement his algorithms and ideas._x000D_
+ potential large impact in industry and practical applications_x000D_
+ the PI is involved with undergrad advising, which has been very successful._x000D_
_x000D_
weaknesses:_x000D_
-I found the educational aspect adequate for an NSF "small" proposal, but somewhat lacking for a 5-year CAREER educational plan._x000D_
-somewhat boilerplate mention of "female and minority" recruitment. I did not see a significantly large involvement of the PI with outreach (in what he explains in the proposal), so I would rather have avoided sec boilerplate statements._x000D_
_x000D_
Please evaluate the strengths and _x000D_
weaknesses of the proposal with respect to any additional solicitation-specific review criteria, if _x000D_
applicable_x000D_
_x000D_
_x000D_
_x000D_
Summary Statement_x000D_
_x000D_
This proposal studies graph algorithms in relevance to "modern" network needs. The main thrusts of the proposal are network design under uncertainty (online/changing over time requirements), correlated network effects (links that fail not independently) and "big data" algorithms for large networks.  It is a nice proposal, with a lot of potential practical applications, that would be proven very useful in today's large network world. The educational aspect is nice, though somewhat lacking in outreach and other aspects. Overall a good proposal._x000D_
_x000D_
_x000D_
</t>
  </si>
  <si>
    <t xml:space="preserve">In the context of the five review elements, please _x000D_
evaluate the strengths and weaknesses of the proposal with respect to intellectual merit._x000D_
_x000D_
One of the better proposals. The subjects discussed _x000D_
are among the latest rage. A real Broader impact is possible._x000D_
_x000D_
The first subject is network design under uncertain future._x000D_
Clearly this is closer to model real industry projects._x000D_
_x000D_
What happens to connectivity problems when demands change in the middle of the computation? This is a good and realistic question._x000D_
_x000D_
The first task suggested is on-line algorithms for connectivity problems _x000D_
when terminals may arrive or depart. The algorithm is given some_x000D_
latitude in changing some previous decisions. This is usually called on-line algorithms with regret and is not that new._x000D_
The number of decisions that can be changed is usually proportional _x000D_
to the number of terminals._x000D_
_x000D_
Another problem which may be difficult is Steiner network,_x000D_
when demands change. If the algorithm has O(1) _x000D_
ability to change per terminal, its not known if there is an _x000D_
on-line constant competitive ratio._x000D_
_x000D_
Dynamic problem are offline problems that, however, require_x000D_
to be able to change the solutions if the demands change. _x000D_
Like dealing with queries._x000D_
The PI instead suggest the possibility of changing previous decisions._x000D_
In this case the Steiner tree problem is suggested and the question _x000D_
is if when a change occur, can we change our solution_x000D_
by revoking a constant number of previous decisions and get a good ratio?_x000D_
Including in the case that the graph changes._x000D_
The optimum goal would be to give O(1) update time if the algorithm _x000D_
is allowed to a limited regret. _x000D_
_x000D_
What the PI speaks about is closely connected to Robust optimization. For example in the two stages robust_x000D_
optimization the algorithm does not know the demands _x000D_
For example consider the Steiner Forest _x000D_
problem. The algorithm needs to make decisions _x000D_
before it knows who the pairs are. _x000D_
The algorithm has to buy (cheaply) in advance some "universal" collection of edges. After this buy, the prices go up. _x000D_
Then the pairs to be connected _x000D_
are revealed and then the algorithm needs to update _x000D_
the solution into a feasible one. This means that the first chosen_x000D_
edges are "universal" in some sense. They help any scenario _x000D_
that arrives._x000D_
_x000D_
A one shot version of this model is a solution that has to be a good _x000D_
solution for various inputs (with some restriction on the inputs allowed). The latter model is interesting for facility location problem for example. The former model (two stage) model was studied for shortest path, Steiner Tree, Steiner forest, min cut and many other problems._x000D_
_x000D_
A seemingly new model is decomposing the edges to subsets and _x000D_
having a subset working or failing. Usually this is only studied _x000D_
for one edge sets. The minimum cut under this model can be solved _x000D_
in polynomial time but not much more can. Node failures lead to non submodular minimization. The PI (not surprisingly) et al show that _x000D_
if we deal with global cuts, the problem is much simpler._x000D_
Still finding minimum cut under node failures is an open problem._x000D_
_x000D_
In addition the edges may have probabilities to fail (this was studied quite a lot). Edges that fail may cause other edges to fail since _x000D_
these edges can overload other edges. The PI calls this cascading cuts._x000D_
_x000D_
In the big data type of problems the PI suggest something very popular _x000D_
right now. Under almost near-linear time, give approximating  approximation algorithms for the Steiner tree and Steiner forest problems. A typical goal is _x000D_
to Obtain a near-linear time algorithm for the Steiner tree problem with an approximation factor_x000D_
of 2-&amp;#949; for some constant &amp;#949; &gt; 0, or show that this is impossible._x000D_
_x000D_
Recently there was a lot of work about showing time lower bound for problems. As usual its under assumption that come from the fact that certain problems seem to resist better running times. Lets say that all pairs shortest paths can not be solved better than Omega(N^3)._x000D_
What lower bound can we prove? _x000D_
It turns out that many lower bounds can be proven._x000D_
The PI, if _x000D_
he knows those studies could use them. I would suggest a  question: Show that if only linear time is allowed,_x000D_
vertex cover is 2-inapproxiamable._x000D_
_x000D_
In the context of the five review elements, please _x000D_
evaluate the strengths and weaknesses of the proposal with respect to broader impacts._x000D_
_x000D_
I know a lot of the work on this PI. The on-line algorithm for Steiner forest via disk painting is a lovely paper. We are talking on an unusually strong researcher._x000D_
_x000D_
This a proposal may indeed lead to software _x000D_
that will be sold in the market. The author is engaging in practical_x000D_
real time application with Bruce Maggs from Akamai._x000D_
They do not do theory i Akamai as far as I know._x000D_
_x000D_
The PI also spends time in designing _x000D_
real-time route-planning problems in large networks_x000D_
with Ravi Kumar and others in google. Again this seems to indicate_x000D_
that the PI inserted hiself into a truly practical project._x000D_
_x000D_
Please evaluate the strengths and _x000D_
weaknesses of the proposal with respect to any additional solicitation-specific review criteria, if _x000D_
applicable_x000D_
_x000D_
The PI has a lot of money and got a lot of money from NSF_x000D_
The PI asks for 600000 dollars which will make his total grant money _x000D_
well over a million dollars._x000D_
_x000D_
Is this the reason that people from say universities ranked below 50 in the USA are not even submitting career grants etc?_x000D_
_x000D_
Summary Statement_x000D_
_x000D_
In my opinion a highly competitive proposal._x000D_
_x000D_
</t>
  </si>
  <si>
    <t xml:space="preserve">In the context of the five review elements, please _x000D_
evaluate the strengths and weaknesses of the proposal with respect to intellectual merit._x000D_
_x000D_
This proposal aims to advance the state of the art of graph algorithms in three directions:_x000D_
_x000D_
* Network design under uncertainty_x000D_
* Correlated network effects_x000D_
* Fast algorithms for large networks_x000D_
_x000D_
These direction touch on some of the emerging challenges that the graph algorithms face in the real world. The questions they lead to are quite intriguing from a purely theoretical view too. In particular, they seem to stretch the existing, classic algorithms frameworks in a new and interesting way. This suggests that work on resolving them might lead to new tools and techniques. _x000D_
_x000D_
Also, the PI has a strong track record in this domain. It is also clear that he has a good grasp of what are the underlying difficulties in pursing the goals he outlined. _x000D_
_x000D_
The main criticism is that, even though the proposed research agenda is genuinely interesting, it also feels only moderately ambitious. That is, this agenda seems to aim to "merely" expand the current landscape of graph algorithms in an important but somewhat natural way. Given the nature and goals of the CAREER awards, one would expect that at least some of the proposed directions also tried to transform the landscape of graph algorithms or make progress on central challenges in the field._x000D_
_x000D_
This weakness might stem from the fact that the author has keen interest in transferring some of the developed ideas to industrial setting. And that's an important goal and merit by itself. (It would be helpful though to have the plans in that regard fleshed out a bit more.)_x000D_
_x000D_
In the context of the five review elements, please _x000D_
evaluate the strengths and weaknesses of the proposal with respect to broader impacts._x000D_
_x000D_
The broader impacts aspect of the proposal is strong. Two points that particularly stand out:_x000D_
_x000D_
* The PI's desire to ensure that the theoretical research in graph algorithms has also a real world impact. His track record and industrial connections suggest that he is genuinely committed in that regard. And this kind of efforts are important, rare and very much needed._x000D_
_x000D_
* The PI is heavily engaged in outreach activities. Both at the undergraduate (reaching out to non-CS majors) and high-school level._x000D_
_x000D_
Please evaluate the strengths and _x000D_
weaknesses of the proposal with respect to any additional solicitation-specific review criteria, if _x000D_
applicable_x000D_
_x000D_
_x000D_
_x000D_
Summary Statement_x000D_
_x000D_
This is an interesting proposal. It has some shortcomings. But these shortcomings might be due to its a bit unusual profile that stems from the PI's desire to connect his theoretical research to real world applications._x000D_
_x000D_
</t>
  </si>
  <si>
    <t>For more than fifty years, graph algorithms have played a central role in the advancement of computer science, both from a theoretical and a practical perspective. Modern networks have evolved in scale, structure, and functionality, inspiring new models, problems, and algorithms. This proposal focuses on three research thrusts for modern network algorithms: the need to handle uncertainty, network correlations, and unprecedented scale. The overarching goal of this research is to devise an intellectually richer, more robust, and practically useful theory of graph algorithms._x000D_
(a) Network design under uncertainty: In real-world networks, the requirements of a network as well as its underlying graph theoretic structure can change over time. Moreover, in some situations such as future network planning, the requirements are mere predictions, which can be inaccurate. This proposal gives two algorithmic models for handling such uncertainty, limited recourse and range-robust optimization, and identifies the key algorithmic challenges in these settings. _x000D_
(b) Correlated network effects: The vast literature in graph algorithms assumes independent failure of network links, whereas real world networks typically exhibit strong correlation based on geographical proximity, common ownership and management, or simply cascade effects. This proposal outlines a comprehensive study of graph connectivity and reliability under correlated network failure. _x000D_
(c) Fast algorithms for large networks: Modern networks are gigantic, and often allow dynamic control (e.g., via SDN) requiring network algorithms to be highly efficient. In this context, one often desires near-linear running times, leading to fine-grained complexity requirements beyond polynomial solvability. This proposal explores highly efficient algorithms for classical problems in global connectivity and network design, focusing on the role of approximation in improving algorithmic efficiency by bringing recent insights in randomized and spectral techniques in play.This project aims to advance the state-of-the-art in graph algorithms. Networks lie at the heart of much of modern computer science, from data centers to deep neural nets to social computing. This project aims to identify a set of salient, unifying features of modern networks (uncertainty, correlation, and scale) that lead to fundamental and novel algorithmic challenges. Successful completion of the project will push the boundaries of theoretical computer science by developing an intellectually richer theory of graph algorithms, bring this theory closer to the real world by making it more practical and robust, and help build bridges with practitioners in multiple domains where networks play a central role. The proposal includes a mix of new models and problem domains, and new approaches to tackle classical questions. The first class of problems helps expand the role of graph algorithms and create new lines of inquiry contributing to the breadth of the field, while research of the second kind inspires new ideas and tools adding to the depth of the area. Furthermore, the PI expects that techniques developed in the proposed research will also be widely applicable to algorithms in other domains.Graph algorithms benefit a wide range of researchers, technologists, decision makers, and the broader population in everyday activities, and the proposed research will enhance the capabilities of this diverse set. The PI has current collaborations with industry colleagues in Google and Akamai on route planning in large networks and network expansion planning projects respectively that will benefit from the proposed research. The research program in this proposal also ties in with the teaching goals of the PI, including a new graduate course in graph algorithms that the PI has developed at Duke University. The PI is also organizing a workshop that will bring together researchers under the theme: Networks: Algorithms, Data, and Systems. This proposal will also help recruit and train students at Duke University in theoretical computer science, both at the graduate and undergraduate levels, with particular emphasis on gender diversity and participation from under-represented groups. The results obtained in this project will be widely disseminated via publications in top-tier journals such as JACM, SICOMP, etc. and conference proceedings of FOCS, STOC, SODA, etc.</t>
  </si>
  <si>
    <t xml:space="preserve"> Panel Summary       
 _x000D_
SUMMARY OF PROPOSED RESEARCH ACTIVITY_x000D_
_x000D_
Description:_x000D_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(1) T-spanners, (2) distance oracles, and (3) distance bounded network design. _x000D_
_x000D_
The PI will continue his work with (especially networking) practitioners. _x000D_
_x000D_
 _x000D_
_x000D_
INTELLECTUAL MERIT_x000D_
_x000D_
Strengths_x000D_
_x000D_
+ The description of the research area was beautifully written. _x000D_
+ The topic of the proposal is appealing._x000D_
+ The connection to networking was interesting._x000D_
+ The PI's prior work on this topic is impressive._x000D_
+ The PI Highlights many problems that fit within a unified framework. He seems to be the right person to attack these problems in a unified way. _x000D_
_x000D_
_x000D_
Weaknesses_x000D_
_x000D_
- The panel was concerned that the proposed work didn't seem to be as exciting or groundbreaking as the PI's prior work on the topic.  It seemed as though the PI broke new ground in prior work, and the proposed work is less ambitious. Said differently, there are lots of variations on existing problems without enough vision.  This impression was shared by most members of the panel, and was strengthened because the proposal spends a large proportion of space describing the PI's prior accomplishments. Perhaps the PI is not looking far enough into the future or not going deep enough into target applications._x000D_
_x000D_
_x000D_
BROADER IMPACTS_x000D_
_x000D_
_x000D_
Strengths_x000D_
_x000D_
+ The panel greatly appreciated the PI's interest in diversity._x000D_
+ The PI is working with other systems researchers. _x000D_
_x000D_
_x000D_
Weaknesses_x000D_
_x000D_
- What are the connections between the proposal areas and other areas? Under what circumstances would researchers in applied areas care about these techniques?_x000D_
_x000D_
_x000D_
ADDITIONAL REMARKS_x000D_
_x000D_
The research plan is clear and appropriate. _x000D_
_x000D_
The Data Management Plan is above threshold for this project._x000D_
_x000D_
The results of prior support are clearly stated._x000D_
_x000D_
 _x000D_
_x000D_
Suggestions to PI:_x000D_
_x000D_
As discussed above, the panel would have liked to see a research plan that is as ambitious/visionary as the PI's past work._x000D_
_x000D_
_x000D_
 _x000D_
_x000D_
Justification for Panel Rating: _x000D_
_x000D_
This is a well written and organized proposal. The panel found the research topic compelling, but had some concern about the proposed problems.  The panel appreciated the educational and broad impacts on the project. Consequently, the panel rated this proposal as low competitive. _x000D_
_x000D_
Panel Rating: 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</si>
  <si>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This is a beautifully crafted and well written proposal. It explains the problem, gives a sense of the high level techniques, and conveys excitement. _x000D_
_x000D_
The proposal focuses on compression of graphs and metric spaces. The objectives are different from the usual work on graph compression, metric embedding, and spanners. The objective is to optimize the compression for each instance, rather than achieving universal guarantees. These results complement most existing work in the literature, which is about universal guarantees._x000D_
_x000D_
Topics in this proposal include: _x000D_
_x000D_
- T-spanners. These are sparsified graphs. The idea is to remove edges and obtain a graph where the distances have a stretch bound of t. Variations/metrics include: minimizing the max degree, achieving fault tolerance, improving basic bounds for specific graphs, and spanners only for certain pairs of nodes._x000D_
_x000D_
- Distance oracles. These are data structures that efficiently encode distances.  Variations include: minimizing space, time, the distance approximation, etc. _x000D_
_x000D_
- Distance bounded network design. Here the objective is to find subgraphs where the distance between particular pairs is at most (rather than approximates) some quantity._x000D_
_x000D_
The PI is well qualified, and the proposal is well reasoned and truly a pleasure to read. _x000D_
_x000D_
_x000D_
In the context of the five review elements, please _x000D_
evaluate the strengths and weaknesses of the proposal with respect to broader impacts._x000D_
_x000D_
The proposal addresses problems, which the PI is well-positioned to solve. Solutions from this research project have the potential to help other areas of computer science and engineering. While much of the proposed work is theoretical, the PI has a sincere interest in application areas (e.g., networking), and he works with more systems colleagues._x000D_
_x000D_
_x000D_
Please evaluate the strengths and _x000D_
weaknesses of the proposal with respect to any additional solicitation-specific review criteria, if _x000D_
applicable_x000D_
_x000D_
_x000D_
_x000D_
Summary Statement_x000D_
_x000D_
Because of the important research problems, the highly qualified PI, and the beautifully crafted proposal, I view this as a VG/E proposal._x000D_
_x000D_
</t>
  </si>
  <si>
    <t xml:space="preserve">In the context of the five review elements, please _x000D_
evaluate the strengths and weaknesses of the proposal with respect to intellectual merit._x000D_
_x000D_
This proposal studies graph spanners and distance oracles.  The standard question in this setting is: given a dense graph (or metric space), find a small representation in which no pairwise distance is inflated by more than some factor.  Most work fixes the desired size and tries to minimize the distortion.  The proposal suggests looking at the dual problem: fix the distortion and find the smallest representation that guarantees that target distortion.  The PI also looks at related problems, like finding a small representation that is accurate for a subset of vertex pairs, or has bounded max degree, etc.  _x000D_
_x000D_
The PI does a good job explaining the problems and proposed work.  The work seems to have applications in other fields, as indicated by a paper of the PI, and could be transformative in those fields. The PI clearly has the right background to address these questions._x000D_
_x000D_
However, the proposal does not seem to include any substantially new direction; it is heavily based off prior work of the PI.  The suggested approaches are fairly obvious things to try given the state of the art, and there is little explanation of why some approaches are more tractable than others.  I also missed discussion of which problems are short, medium, or long-term goals, despite a discussion towards the beginning of how the plan is to work on short and long-term goals simultaneously as a hedging strategy (nothing wrong with that; I just wanted to know which problems were which)._x000D_
_x000D_
In the context of the five review elements, please _x000D_
evaluate the strengths and weaknesses of the proposal with respect to broader impacts._x000D_
_x000D_
The PI has a clear passion for broader impacts, particularly for promoting diversity in CS.  I was pleased to learn about his role as "diversity ambassador" at his institution.  This broader impact was accompanied by teaching and mentoring-related impacts.  The PI also demonstrated a passion for these activities._x000D_
_x000D_
Please evaluate the strengths and _x000D_
weaknesses of the proposal with respect to any additional solicitation-specific review criteria, if _x000D_
applicable_x000D_
_x000D_
_x000D_
_x000D_
Summary Statement_x000D_
_x000D_
While there is room for improvement as outlined above, this is still a good proposal, and the PI has a promising career.  It should be funded if possible._x000D_
_x000D_
</t>
  </si>
  <si>
    <t xml:space="preserve">In the context of the five review elements, please _x000D_
evaluate the strengths and weaknesses of the proposal with respect to intellectual merit._x000D_
_x000D_
Strengths:_x000D_
_x000D_
The proposal outlines a research agenda for exploring optimization problems related to compression and network design in metric spaces. The problem of compressing a metric space has received a lot of attention, both in mathematics and in computer science. The high-level goal is to simplify the metric space by embedding it into a simpler host space, or a simpler (e.g. sparse) graph, while preserving all pairwise distances up to some small factor. For many important cases, prior work has established tight or nearly-tight bounds for the worst-case. For example, what is the best possible trade-off between distortion and edge density. The proposal focuses on optimization problems that seek to obtain the best possible trade-off for a specific input metric space._x000D_
_x000D_
Many of the problems considered are very natural, yet appear to be completely unexplored. For example, nothing is known for bi-criteria approximation algorithms for t-Spanners (i.e. when we are allowed to increase the distortion by some small factor)._x000D_
_x000D_
The problem of approximating the best distance oracle of a certain type seems natural and important. It is worth noting that most worst-case examples of graphs for t-spanners (that is, graphs that require many edges for a certain value of the dilation), come from extremal graph theory. Arguably, in many scenarios, the graphs could have a much nicer structure which would allow for better t-spanners. Moreover, this line of research leads to a whole new class of related optimization questions, such as approximating labeling schemes, routing schemes, and so on. Therefore, the proposed work could lead to exciting new research directions._x000D_
_x000D_
Another important point is that many of the worst-case questions on this type have been considered in the mathematics community. This is perhaps one of the reasons that the optimization variants have a much shorter history._x000D_
_x000D_
The PI has obtained several important results in this area and is therefore well-qualified to conduct the proposed research._x000D_
_x000D_
Weaknesses:_x000D_
_x000D_
The problem of improving the approximation ratio for SLSN is a natural one. However, the existing lower bound suggests that a polylogarithmic approximation is not possible. So, it is not clear whether an improved polynomial approximation would be of broader interest._x000D_
_x000D_
_x000D_
In the context of the five review elements, please _x000D_
evaluate the strengths and weaknesses of the proposal with respect to broader impacts._x000D_
_x000D_
Strengths: _x000D_
_x000D_
Spanners have applications in many areas, such as property testing, distributed computing, and networks. Therefore, any new algorithms obtained in this project could be of interest in these areas._x000D_
_x000D_
The mathematics community has traditionally considered mostly the worst-case type of questions for the compression of metric spaces. New developments in the optimization type questions have the potential to attract the interest of the mathematics community._x000D_
_x000D_
The PI has co-authored work which won a best-paper award in a systems conference. Therefore, it is reasonable to expect that the results from this project could lead to interesting applied work as well._x000D_
_x000D_
_x000D_
Please evaluate the strengths and _x000D_
weaknesses of the proposal with respect to any additional solicitation-specific review criteria, if _x000D_
applicable_x000D_
_x000D_
Strengths:_x000D_
_x000D_
The PI has received a teaching award at the university level. This suggests that he is dedicated to teaching._x000D_
_x000D_
The PI seems actively invested on promoting issues of diversity in his institution._x000D_
_x000D_
_x000D_
Summary Statement_x000D_
_x000D_
Overall, an important strength of this proposal is that it seeks to address, in a unified way, optimization problems centered around metric compression. So far, the results on this type of questions have been sporadic, and the proposed research could lead to a unified set of tools for solving these problems. Such a development would be of great value both in theory and in practice._x000D_
_x000D_
</t>
  </si>
  <si>
    <t xml:space="preserve">In the context of the five review elements, please _x000D_
evaluate the strengths and weaknesses of the proposal with respect to intellectual merit._x000D_
_x000D_
This proposal is mostly about graph spanners and related structures.  The PI has done a lot of work on the design of graph spanners, and this proposal is mostly about extending it._x000D_
_x000D_
The approach taken in this proposal to create novel spanner problems is to ask whether one can find polynomial time algorithms that find spanners of approximately minimum size.  In a previous work, the PI proved a strong inapproximability result for constructing minimal t-spanners.  However, this result does not quite match the present upper bounds.  The PI proposes finding better algorithms, using either the SA hierarchy or by relaxing the problem to find bicriteria approximation algorithms._x000D_
_x000D_
The PI then proceeds to suggest designing algorithms to find spanners that are minimal in other ways, such as having an upper bound on the maximum degrees of vertices that appear, or being approximately minimal in some norm of the degrees.  The PI has had some prior success for doing this for 2-spanners.  This seems less interesting.  Other variations proposed by the PI are finding minimal f-fault tolerant t-spanners, and distance preservers.  Of these, I think the most interesting question is how the graph of distances to be preserved impacts the construction of distance preservers._x000D_
_x000D_
The other main topics of the proposal are distance oracles and network design._x000D_
_x000D_
1. The PI proposes to design minimally sized distance oracles of a given quality.  Rather than approaching the entire problem, he proposes to do it for certain classes of distance oracles, such as those constructed by Thorup and Zwick.  He previously did some good work on this problem._x000D_
_x000D_
The effort in Network Design, to build better Shallow-Light Steiner Networks, is partially motivated by his use of these in a networking paper that on a best paper prize at ICSCS 2017.  SLSNs are required to keep distances between some pairs of nodes less than some absolute bound.  The PI proposes examining the importance of the structure of the pairs for which it must preserve distances._x000D_
_x000D_
The main drawback of the proposal is that the problems to be solved seem less exciting than those the PI has already solved._x000D_
_x000D_
In the context of the five review elements, please _x000D_
evaluate the strengths and weaknesses of the proposal with respect to broader impacts._x000D_
_x000D_
The broader impacts of the research stem mainly from it potentially applications in networking.  The PI has also created many new graduate courses and is taking a leadership role in JHU in the recruitment of underrepresented minorities in computer science._x000D_
_x000D_
_x000D_
Please evaluate the strengths and _x000D_
weaknesses of the proposal with respect to any additional solicitation-specific review criteria, if _x000D_
applicable_x000D_
_x000D_
_x000D_
_x000D_
Summary Statement_x000D_
_x000D_
The PI has a long track record of designing spanners, distance oracles, and related structures, and has recently won a best paper award at a distributed computing conference.  He proposes building in all these areas._x000D_
_x000D_
_x000D_
</t>
  </si>
  <si>
    <t>This proposal involves research and educational activities related to optimization involving distance information.  Given a graph or metric space, we consider the related questions of compression and network design, and focus in particular on their intersection.  By network design, we mean problems that involve finding subgraphs which satisfy some type of distance constraint.  By their very nature these are optimization problems and are usually NP-hard, so we focus on approximation algorithms.  By compression, we mean finding a smaller representation which approximately preserves the distances.  Unfortunately, even allowing for distortion in the compression, there are fundamental limits to the quality of universal guarantees: if we want to compress all metric spaces, we still need large space.    Motivated by this fact, we take inspiration from network design and look at compression through the lens of optimization.  In other words, rather than prove statements of the form "all metric spaces can be compressed into space x with distortion y", can we prove "there is an efficient algorithm which, given a metric space and an allowed distortion, finds the smallest representation within the given distortion"?_x000D_
_x000D_
Much of the research in this proposal is focused on graph spanners, which are at the intersection of compression and network design. In a  spanner we compress a metric space by only storing a subset of the distances.  Spanners are a basic algorithmic building block which are used widely throughout theoretical computer science, so we have a good understanding of their limitations and tradeoffs.  On the other hand, we are only beginning to understand the optimization problems: can we actually find (approximately) optimal spanners?  In what settings?  Making progress on these questions is a core aspect of this proposal.  Then, using the ideas that we develop for spanners as a building block, we will attack a variety of related questions in both compression and network design.  In particular, we will focus on two other types of compression (distance oracles and metric embeddings) and one other type of distance-constrained network design (shallow-light Steiner networks).  For all of these problems, we will use the ideas we have developed for spanners to ask new questions about optimization.Compressing distances and network design under distance constraints are fundamental mathematical questions, and there is significant previous work on them.  But there are still many important gaps, particularly with respect to the optimization aspects of compression.  For example, while there has been sporadic progress through the years, only recently has there been significant and sustained progress on approximation algorithms for spanners (including some of the PI's research).  Making progress on the huge number of remaining open problems will not only increase our knowledge of spanners and compression more generally, but will also involve developing new algorithmic techniques which we believe will be a significant contribution in their own right and will be useful for non-compression network design questions.  We also believe that even some of our definitions (particularly of optimizing distance oracles) will be important and transformative, as they open the door to new research avenues that have not previously been considered.The broader impacts of this proposal fall into three broad categories: impacts of the research itself, educational activities, and activities related to broadening participation and diversity.  Distance compression, and particularly graph spanners and metric embeddings, are used as an algorithmic building block throughout theoretical computer science, so this research will immediately impact mainstream algorithms research.  The research in this proposal will also impact other, more applied research communities, particularly since the network design questions we will consider have proved to be critical in recent systems work by the PI on Internet transport.  This proposal also has a significant educational and training program, including the development of courses on approximation algorithms, metric spaces, and other areas relating distance compression.  Finally, it also includes significant diversity diversity efforts (where the PI has taken a leadership role at JHU), including mentoring women at both the graduate and undergraduate level (both of which the PI has a history of doing).</t>
  </si>
  <si>
    <t xml:space="preserve"> Panel Summary       
 Description: _x000D_
_x000D_
The PI is going to solve submodular optimization problems.  These problems are core theoretical problems, and we have seen a lot of progress in this area recently, much of it from the PI.  The PI will tackle these questions using continuous and combinatorial optimization techniques._x000D_
_x000D_
INTELLECTUAL MERIT:_x000D_
_x000D_
Strengths_x000D_
_x000D_
+ The PI poses problems that are challenging and will lead to truly new and interesting proof techniques and algorithms._x000D_
+ Closing the gap for constrained submodular maximization would be transformative and, while ambitious, the fact that the PI broke the 1/e barrier in prior work makes the panel hopeful that this goal might be achieved._x000D_
+ The proposal explores exciting connections between continuous and combinatorial optimization._x000D_
+ For the submodular minimization problems, the PI gives a well-explained and compelling plan of attack by describing where the difficulties lie and how they might be overcome._x000D_
+ The proposal is generally coherent and well-written, although some panel members felt more could have been done to define the terms used._x000D_
+ The PI is a very strong researcher with a great track record on related problems._x000D_
_x000D_
Weaknesses_x000D_
_x000D_
- The PI talks about the worst case being not representative, but the analysis metrics are all worst-case._x000D_
- There were questions about how practical the improved algorithms would be; both in that some of the running times still seem high (like n^3/2) and it is not clear that existing submodular minimization algorithms are indeed practical._x000D_
_x000D_
BROADER IMPACTS_x000D_
_x000D_
Strengths_x000D_
_x000D_
+ The PI has a track record of mentoring undergrad/masters students, including women._x000D_
+ The PI is involved in outreach organizations like Girls Who Code and Women in Theory._x000D_
+ The PI demonstrates a passion for diversity in STEM._x000D_
+ The education plan discusses how to incorporate research area into undergrad and grad classes._x000D_
_x000D_
Weaknesses_x000D_
_x000D_
* None._x000D_
_x000D_
CAREER SOLICITATION-SPECIFIC REMARKS:_x000D_
_x000D_
Letter of institutional commitment._x000D_
_x000D_
* The proposal includes a letter of institutional commitment._x000D_
_x000D_
Integration of research and education:_x000D_
_x000D_
* The PI indicates a clear plan for how to incorporate research and education in the context of both undergrad and grad course development._x000D_
_x000D_
ADDITIONAL REMARKS_x000D_
_x000D_
Research plan: _x000D_
_x000D_
* The PI has a solid research plan, with short and long-term goals that seem substantial enough to sustain a 5-year research program._x000D_
_x000D_
Data Management Plan: _x000D_
_x000D_
* There is a data management plan._x000D_
_x000D_
Results of prior support:  _x000D_
_x000D_
* The PI mentions prior support on submodular maximization, disjoint from this proposal._x000D_
_x000D_
Suggestions for improvements:_x000D_
_x000D_
* The PI could do more to explain involvement in diversity programs: how will you interact with these organizations? what concrete original/creative activities do you propose to help them grow?_x000D_
_x000D_
* Submodular maximization is an interesting and important direction, but the PI could have done more to explain the plan of attack here._x000D_
_x000D_
Justification for Panel Rating:_x000D_
_x000D_
The PI has a clear and important research agenda, mentions approaches, and has the expertise to deliver. _x000D_
_x000D_
Panel Rating: _x000D_
_x000D_
X Highly Competitive_x000D_
_ Competitive_x000D_
_ Low Competitive_x000D_
_ Not Competitive_x000D_
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</si>
  <si>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The proposal investigates submodular optimization.  This is a fundamental problem in both theory and practice within computer science, and will impact other fields as well such as economics._x000D_
_x000D_
For submodular minimization, the PI notes current ellipsoid-based methods are too slow to have impact in practice.  Furthermore, many problems of interest in practice have substantial structure that is not leveraged by these general techniques.  The PI focuses on one particular such structure: decomposable submodular functions.  Each submodular function in the decomposition can then be optimized over separately.  The PI suggests in prior work a graph representation of each submodular function where capacities are related to the function, and looks for flows in this graph representation.  The current proposal suggests using this idea together with stronger tools from graph optimization to get faster algorithms for submodular function minimization.  The PI draws inspiration from convex optimization as well, and suggests trying to combine these techniques as their strengths seem complimentary.  I really liked this part of the proposal.  It was based on prior work, but the PI made clear that significant extensions are required, and also suggested approaches that seemed convincingly reasonable.  Later on, the PI also talks about submodular labeling which has applications to image segmentation._x000D_
_x000D_
The second part of the proposal studies algorithms for maximizing submodular functions.  In contrast to the minimization case, this is NP-hard in general.  In what seems to be a breakthrough result, the PI broke a 1/e barrier for maximizing non-monotone submodular functions.  Here the PI proposes tackling several long-standing open problems, but I didn't feel that the PI had any particular approaches in mind._x000D_
_x000D_
_x000D_
In the context of the five review elements, please _x000D_
evaluate the strengths and weaknesses of the proposal with respect to broader impacts._x000D_
_x000D_
The proposal has an adequate, though not exceptional, broader impacts section.  The PI seems passionate and committed to diversity in STEM and mentions several avenues for supporting this diversity, including the Women in Theory workshop and mentoring activities through Girls Who Code.  I would have appreciated more detail on these activities outlining how the PI will push these organizations to achieve more, e.g., by suggesting new programs or recruitement techniques.  The broader impacts also included standard curriculum development, dissemination, and mentoring activities, as well as commentary in the impact on other disciplines in theory and practice._x000D_
_x000D_
_x000D_
Please evaluate the strengths and _x000D_
weaknesses of the proposal with respect to any additional solicitation-specific review criteria, if _x000D_
applicable_x000D_
_x000D_
None_x000D_
_x000D_
Summary Statement_x000D_
_x000D_
This is a strong proposal, especially the part on submodular function minimization.  We should fund it if at all possible._x000D_
_x000D_
</t>
  </si>
  <si>
    <t xml:space="preserve">In the context of the five review elements, please _x000D_
evaluate the strengths and weaknesses of the proposal with respect to intellectual merit._x000D_
_x000D_
_x000D_
_x000D_
Remark: some symbols used not defined before._x000D_
_x000D_
Submodular function may be looked at as the anloge for convexity in the discrete setting._x000D_
The main reason for that is that we have polynomial time  _x000D_
CONVEX extension._x000D_
In recent years (?), they invented a multi-linear extension_x000D_
for submodular functions that is concave (and thus NP-Hard to compute) and is very useful_x000D_
for the NP-hard problem of maximizing a submodular function._x000D_
Remark: they always say that there are many submodular functions._x000D_
I do not know many that are not monotone (and I asked experts. They do not know either)._x000D_
_x000D_
Submodular functions have applications in_x000D_
machine learning and computer vision. _x000D_
They are very important._x000D_
_x000D_
All algorithms to minimize submodular functions _x000D_
are not practical. The author aim to give better running times _x000D_
for minimizing decomposable submodular function. However_x000D_
the aim of O(n^{3/2) will probably not do._x000D_
In practice they usually run only almost linear algorithms._x000D_
_x000D_
The PI should also speak a bit more on the importance of such decomposeable submodular functions_x000D_
that cover large parts of the proposal._x000D_
_x000D_
There are tools for solving the submodular minimization _x000D_
with blocking flows techniques_x000D_
(that resulted in the Dinic algorithm). The PI have some thoughts on how to use the above to give practical solution or approximation._x000D_
_x000D_
A possibly hard challenge is to design algorithms with strongly polynomial running times that combine coordinate gradient_x000D_
descent with dimension reduction techniques. I am not sure_x000D_
that "descent" algorithms can be made combinaatorial._x000D_
Here the PI should have defined things like local support she used widely and some notation used widely here. I could not _x000D_
fully understand this part._x000D_
_x000D_
The exact ratio for maximizing a continuous submodular _x000D_
function is not known. The PI had a recent breakthrough._x000D_
Breaking the 1/e threshold. _x000D_
A perhaps hard question is to settle the _x000D_
approximation for maximizing continuous submodular function._x000D_
_x000D_
Remark: The PI gave the first algorithm for maximizing a monotone submodular function subject to a knapsack constraint that achieves a nearly optimal (1 - 1/e - epsilon) approximation in linear time. There is a chance that this will be practical.  Vey good._x000D_
_x000D_
Vondrak gave a continuous greedy algorithm with ratio of 1-1/e _x000D_
for maximizing a submodular function under Matroid constrains._x000D_
Solving a 30 years old problem. The algorithm is highly unpractical though (based on slight improvements using partial derivatives). _x000D_
_x000D_
Its a true challenge to give approximation that run in almost linear time. Some progress have been already achieved, but the problem in general is not simple._x000D_
_x000D_
Submodular labeling is a very high level generalization of the multiway cut problem. There is a cost for every vertex and label._x000D_
You pay for edges with different labels. A very well known in CS is the problem of metric labeling. This is a special case of the above_x000D_
with the property that the distance is a metric (the distance is part of the pay if the labels are distinct)._x000D_
_x000D_
A hard challenge is to give linear or almost linear approximation _x000D_
algorithm for this problem._x000D_
The PI has some thoughts on how would this be possible._x000D_
_x000D_
In the context of the five review elements, please _x000D_
evaluate the strengths and weaknesses of the proposal with respect to broader impacts._x000D_
_x000D_
The broader impact is claimed to be practical algorithms._x000D_
Possibly such that will be used in the industry._x000D_
I am not convinced the proposal merits such hope._x000D_
At least get in touch with someone from the industry._x000D_
_x000D_
At this stage probably the PI can get away with no _x000D_
broader impact (albeit she already got almost 1/2 a million in grants)._x000D_
But after that a proposal with no broader impact should not be accepted._x000D_
_x000D_
Please evaluate the strengths and _x000D_
weaknesses of the proposal with respect to any additional solicitation-specific review criteria, if _x000D_
applicable_x000D_
_x000D_
The PI is a very strong researcher (advised by Chandra Chekuri and they did great work together)._x000D_
_x000D_
Summary Statement_x000D_
_x000D_
A very competitive proposal._x000D_
_x000D_
</t>
  </si>
  <si>
    <t xml:space="preserve">In the context of the five review elements, please _x000D_
evaluate the strengths and weaknesses of the proposal with respect to intellectual merit._x000D_
_x000D_
This proposal aims to advance state of the art on a number of fundamental questions in submodular optimization. The key directions the PI pursues are:_x000D_
_x000D_
* Faster and simpler algorithms for minimization of an important sub-class of submodular functions: submodular decomposable functions. Such functions arise in particular in the context of graph cut problems. _x000D_
* Understanding the exact approximability of submodular function maximization. _x000D_
* Advancing and broadening the reach of the submodular labeling framework, a framework that captures a natural and fairly broad class of image segmentation problems. _x000D_
_x000D_
+ The presented research plan is well-thought out and covers a broad spectrum of interesting problems. It has potential to not only make progress on these problems but also to develop conceptually new approaches to them._x000D_
+ The PI has a strong track record in the domain of submodular optimization. In fact, some of the proposed directions build directly on the (excellent) previous work of the PI._x000D_
+ The PI not only has a good grasp of the difficulties each of the research goals poses but also often provides concrete ideas for overcoming them._x000D_
_x000D_
_x000D_
In the context of the five review elements, please _x000D_
evaluate the strengths and weaknesses of the proposal with respect to broader impacts._x000D_
_x000D_
Broader impacts aspect is adequate (but not much more than that)._x000D_
_x000D_
Please evaluate the strengths and _x000D_
weaknesses of the proposal with respect to any additional solicitation-specific review criteria, if _x000D_
applicable_x000D_
_x000D_
_x000D_
_x000D_
Summary Statement_x000D_
_x000D_
This is a strong proposal that outlines a well thought out and interesting plan of attack on important and challenging problems._x000D_
_x000D_
</t>
  </si>
  <si>
    <t xml:space="preserve">In the context of the five review elements, please _x000D_
evaluate the strengths and weaknesses of the proposal with respect to intellectual merit._x000D_
_x000D_
PI proposes several relevant and important directions in submodular optimization that are fundamental in nature as well as highly relevant in applications. _x000D_
Submodular function minimization (SFM) is one of the cornerstone problems in combinatorial optimization and the PI aims to look at decomposable SFM an interesting model that captures relevant applications of SFM in vision applications. The paper also proposes developing algorithms for submodular labeling and maximization. _x000D_
_x000D_
The proposed research will have significant impact on the highly relevant topic of submodular optimization and will bring new understanding and algorithm in discrete and continuous optimization. _x000D_
PI is an expert in the area of the research proposed and has ongoing collaborations and prior work on the directions proposed._x000D_
_x000D_
In the context of the five review elements, please _x000D_
evaluate the strengths and weaknesses of the proposal with respect to broader impacts._x000D_
_x000D_
_x000D_
PI proposes a detailed plan for education for graduate and undergraduate students and their continuous involvement in the research._x000D_
_x000D_
PI has also shown promise of broader impact in many different directions, including avenues to look for research impact in other areas, female participation and mentorship._x000D_
_x000D_
Please evaluate the strengths and _x000D_
weaknesses of the proposal with respect to any additional solicitation-specific review criteria, if _x000D_
applicable_x000D_
_x000D_
_x000D_
_x000D_
Summary Statement_x000D_
_x000D_
This is an excellent research proposal on fundamental problems in submodular function optimization with broad impact on applications and education._x000D_
_x000D_
</t>
  </si>
  <si>
    <t xml:space="preserve"> Panel Summary       
 SUMMARY OF PROPOSED RESEARCH ACTIVITY_x000D_
_x000D_
Description:_x000D_
_x000D_
The proposal studies the k-server problem, matching, transportation, and the transshipment problem.  These are fundamental problems, and progress on these problems would be transformational in theoretical computer science.  The special cases have many applications, and progress on those would inform practice.  The goal of the activity is to design algorithms and prove theorems about their performance, both in terms of competitive ratio and a more fine-grained analysis.  The PI will do this using proof ideas including, for example, the LP-WFA._x000D_
_x000D_
INTELLECTUAL MERIT_x000D_
_x000D_
Strengths_x000D_
_x000D_
+ The proposal looks at different objectives which capture performance in practice, as opposed to just the standard ones._x000D_
+ The list of short and medium-term problems were interesting and important._x000D_
+ The PI has the background and knowledge to tackle the proposed short and medium-term problems._x000D_
_x000D_
Weaknesses_x000D_
_x000D_
- The panel found the plan of attack for the proposed long term problem (k-server) unclear.  The panel would be more convinced of the long-term plan if the PI discussed bottlenecks of the current approaches.  The current discussion (bottom of page 9) is not clear (see individual reviews for more detail)._x000D_
- The claims about bridging theory and practice could be more substantiated; there is little discussion of actually transferring the technologies developed in the proposal into practice._x000D_
- While some panelists liked the list of problems organized into short, medium, and long-term goals, others found it unfocused and not well-organized._x000D_
_x000D_
BROADER IMPACTS_x000D_
_x000D_
Strengths_x000D_
_x000D_
+ The PI has good diversity efforts, including two women students with high quality papers._x000D_
+ The PI has put effort into devising an interesting project, the parking problem, that will involve and excite graduate students._x000D_
_x000D_
Weaknesses_x000D_
_x000D_
- Parking as broader impacts is not sufficient for a five year project; the PI might try to have one such project per year, and might consider encouraging undergrads as well as grads to compete._x000D_
- In general, the project lacks undergraduate involvement._x000D_
 _x000D_
_x000D_
CAREER SOLICITATION-SPECIFIC REMARKS:_x000D_
_x000D_
Letter of institutional commitment._x000D_
_x000D_
* The letter of institutional support is satisfactory, and includes teaching release conditional upon receiving the reward._x000D_
_x000D_
Integration of research and education: _x000D_
_x000D_
* The PI discusses the development of graduate curriculum.  More details should be given about undergraduate course development, including the efforts to incorporate more foundations early on. _x000D_
_x000D_
ADDITIONAL REMARKS_x000D_
_x000D_
Research plan: _x000D_
_x000D_
* The research plan is clearly stated and tractable._x000D_
_x000D_
Data Management Plan: _x000D_
_x000D_
* There is a data management plan._x000D_
_x000D_
Results of prior support:  _x000D_
_x000D_
* The PI clearly states the results of prior NSF support. _x000D_
_x000D_
Justification for Panel Rating: _x000D_
_x000D_
The panel generally liked the short and medium term, but felt they could be better organized.  The panel felt the need for some long term goals as well, but were worried that the specific long term goal addressed by the proposal was poorly articulated._x000D_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</si>
  <si>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_x000D_
_x000D_
This well-reasoned project studies routing (including pickup and delivery) algorithms in planar and geometric settings. _x000D_
_x000D_
The PI will study both classic and new problems in these settings. Problems include k-server problems, capacitated k-server problems (e.g., trucks, have limited  capacity), the transshipment, probabilistic well-separated pair decomposition, graph-compression,  bipartite matching, and flow problems._x000D_
_x000D_
The PI proposes to use ideas from optimization, computational geometry, and machine learning._x000D_
_x000D_
The PI also mentions the application of allocating parking spaces to cars on the PI's campus._x000D_
_x000D_
The proposal begins by discussing modeling issues with pickup and delivery algorithms. In particular, theoretical computer science and operations research have very different request-generation models. The theoretical models from TCS are often too adversarial, meaning that the algorithm often needs to make poor decisions to protect itself from unlikely but worst-case inputs. In contrast, the OR models are often too predictable and restrictive in request generation, and so the algorithms often don't perform well on real-life data._x000D_
_x000D_
The PI claims "to bridge the gap between theory and practice." This seems to be some combination of trite and farfetched.  On the other hand, the generation models that  allow for adversarial inputs plus some amount of randomization are nice._x000D_
_x000D_
In general, the PI proposes to make progress on big, well known, and hard problems, but the PI has a history of solving problems in the past. The PI is one of the top researchers in the field working  these sorts of problems._x000D_
_x000D_
The proposal is slightly repetitive and not as clean as it might be.  There were a bunch of places where I really did not enjoy the writing. On the other hand, I was particularly interested in the research problems that the PI proposes._x000D_
_x000D_
_x000D_
_x000D_
In the context of the five review elements, please _x000D_
evaluate the strengths and weaknesses of the proposal with respect to broader impacts._x000D_
_x000D_
The broader impact section of the proposal is weak compared to what it should be.  In a seven-line Broad Impact section,  I would not waste a line or two talking about parking spaces. Nonetheless, the solutions to the problems in this proposal have the potential for broad impact in computer science and other fields. _x000D_
_x000D_
_x000D_
Please evaluate the strengths and _x000D_
weaknesses of the proposal with respect to any additional solicitation-specific review criteria, if _x000D_
applicable_x000D_
_x000D_
_x000D_
_x000D_
Summary Statement_x000D_
_x000D_
I view this as a VG proposal, based on the research directions, the proposal story, and the prior research successes of the PI._x000D_
_x000D_
_x000D_
</t>
  </si>
  <si>
    <t xml:space="preserve">In the context of the five review elements, please _x000D_
evaluate the strengths and weaknesses of the proposal with respect to intellectual merit._x000D_
_x000D_
The PI proposes to address the problem of real-time pick-up and delivery. This is a problem for which any improvement would have many repercussions in practical applications, including for emergency response. This work is geared towards robust optimization algorithms. _x000D_
_x000D_
Intellectual merit:_x000D_
Strengths:_x000D_
+ The PI has conducted prior work in the area he plans to work on. He has prior NSF support in the same general area._x000D_
+ The PI identifies interesting research questions to be investigated about the delivery problem. His discussion and planned work on a new way of analyzing online algorithms is very interesting. The proposed work is definitely worth investigating and has fundamental components, which, if the research is successful, will be significant contributions to algorithm design and to understanding of classical problems in this area._x000D_
+ The proposal is well written._x000D_
_x000D_
Weaknesses_x000D_
- No timeline._x000D_
- Many research questions (6 short-term questions) are identified and the proposal seems to lack focus. All proposed work, of course, falls under the goal of contributing to the delivery problem, but the diversity of the directions and the openness of some of the questions is somehow a concern. The repetition of the questions and problem statement across the proposal makes it hard to keep a focus on the goal and objectives of this work._x000D_
- There is no mention of work in the same general area of Dynamic Vehicle Routing, e.g., by Bent &amp; Van Hentenryck, or by Solomon. _x000D_
_x000D_
_x000D_
In the context of the five review elements, please _x000D_
evaluate the strengths and weaknesses of the proposal with respect to broader impacts._x000D_
_x000D_
Broader impact:_x000D_
Strengths_x000D_
+ The topic of the proposed research is very relevant to many applications, hence giving the success of this project impact on practical applications, which include new insights in the solution of emergency response situations. _x000D_
+ The PI plans to make his codes public. _x000D_
+ The PI plans to use this project to attract students to research in algorithms, in particular underrepresented students. _x000D_
_x000D_
Weaknesses_x000D_
- It is not clear how the PI plans to put emphasis on recruiting underrepresented students. _x000D_
- How will the code made public be disseminated to be used by a wide variety of practitioners? _x000D_
_x000D_
_x000D_
Please evaluate the strengths and _x000D_
weaknesses of the proposal with respect to any additional solicitation-specific review criteria, if _x000D_
applicable_x000D_
_x000D_
Integration of Research and Education: _x000D_
Strengths_x000D_
+ The PI proposes a creative educational plan. In particular, I like the coding project he plans to propose to students, which aims to address a parking problem at his institution. _x000D_
+ The PI's plan is based on prior experience and evidence of involving students. In particular, he plans to recruit graduate students via project-based courses, as he has done in the past. _x000D_
_x000D_
Weaknesses_x000D_
- How long does the PI plan to use the parking problem? Has he thought about subsequent real-life problems relevant to students to follow up with?_x000D_
- His plan to work with students in research is heavily geared towards graduate students. Why not plan to engage more undergraduate students?_x000D_
- The educational plan that concerns undergraduate students is not very developed and overall pretty conventional. _x000D_
_x000D_
Data Management Plan_x000D_
The Data Management Plan is appropriate but lacks information about where the code the PI and his team will develop will be made publicly available. _x000D_
_x000D_
_x000D_
Summary Statement_x000D_
_x000D_
Overall, an interesting proposal with good research questions and some good ideas in the educational plan.  However, I find it to lack focus._x000D_
_x000D_
</t>
  </si>
  <si>
    <t xml:space="preserve">In the context of the five review elements, please _x000D_
evaluate the strengths and weaknesses of the proposal with respect to intellectual merit._x000D_
_x000D_
1) This proposal studies the classic k-server problem and variants, as well as min-cost flow.  The k-server problem is important both in its applications to practical problems, and as a test bed for online algorithm techniques that have the potential to be ported to other online problems.  _x000D_
_x000D_
Motivated by applications in transportation such as Amazon instant delivery and Uber, the proposal chooses to focus on metric planar graphs (or graphs with a small separator) that have good competitive ratios and also good performance on average, given the topology and distribution of server requests.   _x000D_
_x000D_
2) This is an important and active research area.  The majority of the proposal involves extending existing techniques to new settings, and analyzing them with new metrics for success.  For example, the classic k-server algorithm uses a work function algorithm together with a greedy algorithm to obtain bounded competitive ratio.  The PI suggested, in prior work, using an LP-formulation of the work function algorithm, called LP-WFA, and now proposes improving its analysis (SQ1/SQ2/MQ1/SQ3). Thus, while the proposed research is perhaps not deeply creative or original, it certainly has the potential to be transformative, both in the online algorithms and planar graphs communities and in practice._x000D_
_x000D_
3) The proposal is very well-written, and has a clear and tractable plan with a healthy mix of short and medium term goals._x000D_
_x000D_
4) The PI has a proven track record of strong publications in this area, several joint with Ph.D. students.  I have full confidence in his ability to carry out the proposed work._x000D_
_x000D_
5) There are adequate resources for the work at the PI's home institution._x000D_
_x000D_
_x000D_
In the context of the five review elements, please _x000D_
evaluate the strengths and weaknesses of the proposal with respect to broader impacts._x000D_
_x000D_
The PI has a good broader impacts section.  He proposes the standard things: designing new curriculum at both the graduate and undergraduate level, exerting effort to work with women and minority students (he has already graduated two women), and organizing conferences/workshops/etc.  The most interesting part of the broader impact is a suggested project/competition to improve parking on campus.  This seems pretty exciting, well thought-out, and I suspect will create a lot of interest among students in theoretical computer science and its applications._x000D_
_x000D_
_x000D_
Please evaluate the strengths and _x000D_
weaknesses of the proposal with respect to any additional solicitation-specific review criteria, if _x000D_
applicable_x000D_
_x000D_
None_x000D_
_x000D_
Summary Statement_x000D_
_x000D_
This is a strong proposal with transformative research directions and a good broader impacts section._x000D_
_x000D_
</t>
  </si>
  <si>
    <t xml:space="preserve">In the context of the five review elements, please _x000D_
evaluate the strengths and weaknesses of the proposal with respect to intellectual merit._x000D_
_x000D_
PI proposes to design new online and offline algorithms for flow and matching related problems. In the online setting, PI proposes to look at problems including k-server problem and online matching problem under different measures to measure performance. PI also aims to design fast algorithms for matching problems in planar and geometric graphs.  One of the nice features of the proposal is also to look at other measures than the standard competitive analysis for online algorithms._x000D_
_x000D_
PI has worked on many of problems proposed and is well suited. _x000D_
_x000D_
One of the main lines of work in online algorithms over the past decade has been the online primal-dual framework. PI does not compare his proposed methodology with this framework.  The discussion on the general k-server problem is not clear. The discussion about previous work is not accurate enough. Moreover, the approach for the problem is not clear at all. _x000D_
_x000D_
_x000D_
In the context of the five review elements, please _x000D_
evaluate the strengths and weaknesses of the proposal with respect to broader impacts._x000D_
_x000D_
PI proposes incorporating components of the research in graduate courses and projects. PI aims to to recruit underrepresented communities._x000D_
_x000D_
Please evaluate the strengths and _x000D_
weaknesses of the proposal with respect to any additional solicitation-specific review criteria, if _x000D_
applicable_x000D_
_x000D_
_x000D_
_x000D_
Summary Statement_x000D_
_x000D_
Overall, a quality proposal._x000D_
_x000D_
</t>
  </si>
  <si>
    <t>In the era of instant gratification, consumers expect to receive delivery of goods and services on demand. There is a similar expectation for delivery of life-saving services in disaster and war_x000D_
zones. In an effort to address these needs, service providers have adopted allocation and routing algorithms with only limited guarantees that yield higher costs than desired. There are two major difficulties in finding cost-effective solutions. First, in many cases, routing decisions need to be made with partial or no information on the future requests. Second, even if all required information is available in advance, it could take several hours to compute an efficient route_x000D_
making real-time routing almost impossible. This project investigates the design of robust algorithms for real-time delivery in geometric, metric and planar settings with a fine-grained analysis of optimality across different types of input and request generation models.This project will study a wide range of optimization problems in geometric, metric and planar settings. The PI will design exact, approximation and online algorithms that provide robust performance guarantees by exploiting properties of these settings. Existing techniques have severe limitations that restrict their applicability to a more general class of pick-up and delivery problems. The problems studied will not only touch upon several decades-old conjectures_x000D_
including the adversarial and randomized k-server conjectures but will also introduce new algorithms. New solutions will include approximate and probabilistic version of the work function algorithm, probabilistic well-separated pair decomposition and new graph compression techniques. The proposed techniques lead to a fine-grained measure of optimality for online algorithms. The project will also introduce and integrate several novel techniques from various areas including computational geometry, optimization and machine learning that will assist in the design and analysis of these algorithms. Finally, the PI_x000D_
and his students will also focus on integrating these solutions with applications including the modeling and design of algorithms for an efficient assignment of parking spaces to cars in a college campus.The project considers algorithms for allocation and routing problems in geometric, metric and planar settings that arise in logistics while exploring the possibility of a future unified framework in the logistics space.  In terms of broader impact, the PI and his students will implement, test,_x000D_
optimize and make software available for the benefit of both the public and private sectors.  The PI will motivate young researchers by introducing a practically relevant problem of assigning parking spaces at Virginia Tech through a competitive project as part of a graduate level class._x000D_
In this project, the students will model, design and implement robust online algorithms. The PI will build on the growing algorithms program at Virginia Tech and bring together young researchers including women and minorities from diverse backgrounds such as computer science, mathematics and operations research.</t>
  </si>
  <si>
    <t xml:space="preserve"> Panel Summary       
 SUMMARY OF PROPOSED RESEARCH ACTIVITY_x000D_
_x000D_
Description: _x000D_
_x000D_
The proposal examines a collection of problems, about how to summarize or embed data into simpler spaces. The first part concerns data factorization and data sparsification. The second part is about algorithms to compute minimum-distortion embeddings (for example, from finite metric spaces to the line or plane or trees). The third part is on a metric violation distance problem (modifying distances to obtain a metric)._x000D_
_x000D_
_x000D_
INTELLECTUAL MERIT_x000D_
_x000D_
Strengths_x000D_
_x000D_
+ The proposal contains many interesting and important problems in geometric data analysis, especially in the first two parts._x000D_
+ PI has an excellent track record, and the proposal builds on the PI's past success on data sparsification and metric embedding._x000D_
_x000D_
Weaknesses_x000D_
_x000D_
- On the other hand, as the proposal builds on PI's past work, some of the proposed problems feels a bit incremental._x000D_
_x000D_
BROADER IMPACTS_x000D_
_x000D_
The broader impact section is adequate (including organizing seminars, developing courses, participating in workshops to promote interdisciplinary collaboration, and using department-level connection for outreach to local secondary school students)._x000D_
_x000D_
_x000D_
CAREER SOLICITATION-SPECIFIC REMARKS:_x000D_
_x000D_
Letter of institutional commitment: Present._x000D_
_x000D_
Integration of research and education: The education plan,_x000D_
in promoting a theory culture at the PI's institution through seminars, developing courses, and outreach to middle and high school students, is good._x000D_
 _x000D_
_x000D_
ADDITIONAL REMARKS_x000D_
_x000D_
Data Management Plan: Adequate._x000D_
_x000D_
Results of prior support:  Clearly stated._x000D_
_x000D_
Suggestions to PI: _x000D_
_x000D_
In writing proposals, emphasize a combination of both new challenges in his current research direction and new directions of research._x000D_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</si>
  <si>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geometric data analysis, and the proposal is divided into three parts. The first part focuses on computing a sparse representation of data, the second part on metric embeddings, and the third part on metric violation distance -- namely how close a data set is from another one that has metric properties. The proposal lists interesting problems in each of the three areas. Although there is some connection between different parts, not much attempt was made to connect them together either through common questions or through common applications._x000D_
_x000D_
The proposal builds in a natural way on the PI's past work, and he has made some interesting contributions in each of the three areas. Although the questions posed in the proposal, especially in the first area, are of incremental nature. It would been more interesting if some new directions were proposed here. _x000D_
_x000D_
In the metric violation distance, why choosing the minimum number of points instead of the total sum of the motion is the right objective function? The latter has been studied in the past. Without a clear motivation for this variant of the problem, it's hard to appreciate this line of work beyond a useful intellectual exercise._x000D_
_x000D_
_x000D_
In the context of the five review elements, please _x000D_
evaluate the strengths and weaknesses of the proposal with respect to broader impacts._x000D_
_x000D_
There is an adequate description of the educational activities.  The PI is developing a new algorithms course and a new course on computational geometry. Considering the number of computational geometers the department has,  I am surprised that they haven't thought beyond one computational geometry course. The seminar that the PI is developing seems interesting. _x000D_
_x000D_
There is also some discussion on interdisciplinary collaboration and how he plans to disseminate some of his work to a broader community. The outreach plans are vague. He mentions that he had co-organized a workshop last year, but no such activities are proposed._x000D_
_x000D_
_x000D_
Please evaluate the strengths and _x000D_
weaknesses of the proposal with respect to any additional solicitation-specific review criteria, if _x000D_
applicable_x000D_
_x000D_
_x000D_
_x000D_
Summary Statement_x000D_
_x000D_
Overall it's a solid proposal on geometric data analysis. A closer connection between the section along with some compelling applications in which these problems arise would have made the proposal more compelling. Nevertheless, a number of interesting problems are proposed, and a successful outcome will advance the field in a significant manner. _x000D_
_x000D_
The PI is a strong young researcher in computational geometry and is more than capable of pursuing the proposed problems. I am sure, he will continue to produce interesting results. I urge him to think more about his educational vision and how it ties up with his research agenda._x000D_
_x000D_
_x000D_
_x000D_
</t>
  </si>
  <si>
    <t xml:space="preserve">In the context of the five review elements, please _x000D_
evaluate the strengths and weaknesses of the proposal with respect to intellectual merit._x000D_
_x000D_
The proposed research explores several topics related to the theme of embedding points into simpler structures: data factorization (related to finding the best k-dimensional linear subspace fitting a high dimensional point set), data sparsification (e.g., finding small coresets for hulls with approximation guarantees), metric embedding (e.g., exact/approximation algorithms for mapping from finite metric spaces to lines/planes/trees/... minimizing distortion), and metric violation distances (how many distance values can be modified arbitrarily so that the given distances become a metric)._x000D_
_x000D_
Overall the proposal is well written and coherent, addressing timely topics. The part on data sparsification is a continuation of the PI's SODA'16 work with Blum and Har-Peled. The part on metric embedding builds on the PI's earlier work with Nayyeri (FOCS'15, SODA'17). On the metric violation distance, the PI and students some recent results on hardness of approximation already. The PI has had many high quality papers at SoCG and other major conferences, and the proposal will likely result in many more, contributing to the foundations of the field. _x000D_
_x000D_
_x000D_
In the context of the five review elements, please _x000D_
evaluate the strengths and weaknesses of the proposal with respect to broader impacts._x000D_
_x000D_
With topics like data factorization, the proposal has potential to build connections from computational geometry to machine learning and big data, and "modernize" CG._x000D_
_x000D_
The broader impacts section of the proposal describes ways to promote a theory culture at UT Dallas, as well as develop new courses, collaborate with other departments, and provide education outreach._x000D_
_x000D_
_x000D_
Please evaluate the strengths and _x000D_
weaknesses of the proposal with respect to any additional solicitation-specific review criteria, if _x000D_
applicable_x000D_
_x000D_
_x000D_
_x000D_
Summary Statement_x000D_
_x000D_
Well-put-together proposal, and good past research record._x000D_
_x000D_
_x000D_
</t>
  </si>
  <si>
    <t xml:space="preserve">In the context of the five review elements, please _x000D_
evaluate the strengths and weaknesses of the proposal with respect to intellectual merit._x000D_
_x000D_
This proposal considers three problems on geometric data: Approaching low-rank approximation of data as a problem of selecting a representative sample from a geometric data set; the parameterized complexity of metric embeddings; and recovering metric distance matrices from noisy data._x000D_
_x000D_
The connection between low-rank approximation (standard in FOCS/STOC/SODA theory) and coresets for convex hulls (standard at SoCG but rarer at FOCS/STOC) was new to me, and interesting. The PI has already published several works on this connection, and proposes to generalize these works from Hausdoff distance (natural in computational geometry) to Frobenius norm (more standard in machine learning), to consider other hull-like structures (Voronoi diagrams or skylines), and to study hardness of approximation of these and related problems._x000D_
_x000D_
Raichel has a very strong recent record of publication on topics including Voronoi diagrams, sampling-based approximation, Frechet distance, and metric embedding. He published a FOCS paper, two SoCG papers, a JACM paper, and a paper in Discrete &amp; Computational Geometry in 2015 (the top venues in both computational geometry and theory more broadly). He has a SODA and SoCG paper in 2016 and two more DCG papers. In 2017 he has papers in SODA and SoCG again._x000D_
_x000D_
_x000D_
In the context of the five review elements, please _x000D_
evaluate the strengths and weaknesses of the proposal with respect to broader impacts._x000D_
_x000D_
As well as the usual "I will teach my students" boilerplate, the proposal includes participation in workshops that mix industry with academia. It also cites the existence of department-level connections to local secondary schools and to programs for underrepresented groups._x000D_
_x000D_
_x000D_
Please evaluate the strengths and _x000D_
weaknesses of the proposal with respect to any additional solicitation-specific review criteria, if _x000D_
applicable_x000D_
_x000D_
_x000D_
_x000D_
Summary Statement_x000D_
_x000D_
Much of the proposal has the feel of follow-on work, describing in detail past successes and then listing the obvious open problems that those successes raised. Nevertheless, the cited past work clearly was a success, and follow-on work in those areas would  likely be a very productive line of research. Given the PI's past track record of high-quality research, a successful outcome seems very likely._x000D_
_x000D_
</t>
  </si>
  <si>
    <t xml:space="preserve">In the context of the five review elements, please _x000D_
evaluate the strengths and weaknesses of the proposal with respect to intellectual merit._x000D_
_x000D_
The project studies several interrelated topics concerning_x000D_
finding/representing large data sets (represented as points in high_x000D_
dimension space) by using simpler geometric structures._x000D_
(a) "Factorization and Sparsification": how to represent_x000D_
the points by using lower dim vectors. Several approaches are discussed: approximate matrix factorization, finding conic, convex hulls and other relevant hulls, etc._x000D_
(b) Embedding metric spaces into simpler, and more structured spaces_x000D_
(such as tree metric, R^d)._x000D_
(c) Metric Violation Distance (MVD): We are given a point set S_x000D_
and a set D of distances between point pairs in S. But (S,D) is_x000D_
not a metric space (triangle inequality is not satisfied by some_x000D_
distances in S). The task is to modify as few distances in D as_x000D_
possible so that (S,D) becomes a metric space._x000D_
The PI initiated MVD research with convincing motivations. In many_x000D_
real world application, (S,D) should be a metric space, but is not_x000D_
(due to data error, outlier etc). The question is how to recover_x000D_
the original metric space? Once (S,D) becomes a metric space, more_x000D_
algorithmic tools can be used for solving problem defined for (S,D)._x000D_
_x000D_
Each thrust consists of a set of interesting interrelated problems._x000D_
The PI also describes the approach for solving them._x000D_
_x000D_
In the context of the five review elements, please _x000D_
evaluate the strengths and weaknesses of the proposal with respect to broader impacts._x000D_
_x000D_
The problems discussed in this proposal have real world applications._x000D_
_x000D_
The PI plans to incorporate the problems in this proposal into_x000D_
new graduate course and seminars._x000D_
_x000D_
Please evaluate the strengths and _x000D_
weaknesses of the proposal with respect to any additional solicitation-specific review criteria, if _x000D_
applicable_x000D_
_x000D_
_x000D_
_x000D_
Summary Statement_x000D_
_x000D_
The project studies several interrelated topics concerning_x000D_
finding/representing large data sets by using simpler geometric_x000D_
structures. The thrust of MVD is novel and particularly interesting._x000D_
Each research area consists of a set of interesting closely related_x000D_
problems. The PI also describes the approach for solving them._x000D_
Broader open questions are raised within in each area. It seems_x000D_
that this project fits PI's long term research agenda well._x000D_
_x000D_
The PI has a current CRII grant, and has done good work in this_x000D_
area. He is well qualified for the proposed research._x000D_
_x000D_
The Departmental letter shows strong commitment of the_x000D_
department/school for the professional development of the PI._x000D_
_x000D_
</t>
  </si>
  <si>
    <t>Geometric structure in the natural world has been observed and exploited throughout human history. This proposal applies this age old practice of identifying geometric structure to the large and high dimensional data sets of the modern world, with the ultimate goal of utilizing this structure to facilitate various computational tasks. Finding a smaller and lower dimensional subset of the data points approximately preserving geometric structure, such as the extrema or linear span of the points, not only improves running time performance but also can remove extraneous features. Representing the interpoint distances of a general metric space by a more structured space such as the Euclidean plane allows for visualization of the data, or such as a tree allows for more efficient computation due to hierarchical structure. _x000D_
_x000D_
This proposal focuses on several interrelated topics concerning geometric structure, which lie at the intersection of big data, geometry, and machine learning. Specifically, data factorization and sparsification, metric embeddings for structured spaces, and metric violation distance are considered. More broadly, given a data set the goal is to specify its geometric structure, use this structure to summarize and embed into simpler spaces where computations can be done efficiently, and when this is not possible, identify how to minimally fix the data to facilitate these tasks.The ultimate purpose of the proposed research, concerning structure discovery and data embedding, is to develop better algorithms for handling data, ranging from better clustering algorithms to better classification algorithms, and more. Such algorithms are nowadays used everywhere, and as such any progress on them has the potential for significant real world impact. Furthermore, not only does the proposed work further the classical field of computational geometry, through the study of problems such as metric embeddings, but it also seeks to modernize and advance the field by connecting it to areas such a big data and machine learning. By studying foundational problems in these and other areas, the goal is also to contribute to these other fields and more closely tie them with computational geometry. Successful initial investigations by the PI have not only demonstrated an ability to perform the proposed research, but have also provided the background necessary to identify critical broader open problems in these areas that require the longer term study outlined in this proposal.The PI has been fortunate enough to have started advising two excellent PhD students this past year, who contributed to initial investigations forming the foundation of this proposal. However, recruiting these students has laid bare the challenges in the essential task of finding students with the right mindset for algorithms research. Rather than seeking these students out directly, the PI will focus on growing the visibility of algorithms and theoretical computer science at UT Dallas, which in addition to helping recruit new students will also promote a strong group culture. Concrete steps will be taken to achieve this goal. In particular, this fall the PI will organize a regular algorithms seminar, present at many top universities but currently lacking at UTD. Towards the same end, the PI will continue his cross-disciplinary outreach on campus, and developing new courses for theory curious students, incorporating topics from this proposal. The PI will publish work produced from this proposal in high impact venues, and will travel with students to these and other venues to promote the visibility of the research in this proposal and make connections. The PI will also encourage undergraduate research, both in his own group, and by involvement in the department's extracurricular research activities. For younger students, the PI will leverage the Computer Science Education Center, which is connected with many middle schools and high schools in the DFW area. The PI is also committed to the incorporation and progress of underrepresented groups, as failure to include these groups not only adversely affects those individuals but the broader society as a whole.</t>
  </si>
  <si>
    <t xml:space="preserve"> Panel Summary       
 SUMMARY OF PROPOSED RESEARCH ACTIVITY_x000D_
_x000D_
Description: _x000D_
_x000D_
The proposal on visibility problems in discrete and computational geometry and consists of three parts: (i) The first part deals with the classical problem of characterizing and recognizing visibility graphs of polygons. (ii) The second part is on approximation algorithms/hardness for variations of the classical art gallery problem (e.g., with limited visibility or with noisy inputs). (iii) The third part addresses the problem of reconstructing pedestrian maps from GPS data._x000D_
_x000D_
_x000D_
INTELLECTUAL MERIT_x000D_
_x000D_
Strengths_x000D_
_x000D_
+ A substantial progress on the challenging problem of recognizing visibility graphs would be a major result_x000D_
+ The problem of constructing pedestrian maps is practically well motivated topic and not as widely studied as road-map construction_x000D_
_x000D_
_x000D_
Weaknesses_x000D_
_x000D_
- Notwithstanding PI's recent paper on this problem, the proposal doesn't provide insights how the visibility graph recognition problem will be solved.  The PI is strongly advised to provide a more compelling line of attack to make a credible case for solving this problem. Progress on special cases such start-shaped polygons will not be particularly interesting. Furthermore, the problem is only of theoretical interest._x000D_
- The proposed variations of visibility have been studied in multiple communities and even some approximation results exist.  It is unclear whether the proposed research will lead to deep, major new results._x000D_
- The proposal does not justify why constructing the visibility graph is the right question for the pedestrian-map-reconstruction problem._x000D_
_x000D_
_x000D_
BROADER IMPACTS_x000D_
_x000D_
The broader impact section is adequate. _x000D_
_x000D_
Strengths_x000D_
+ The  PI's  commitment to engage under-represented groups is strong_x000D_
+ Outreach to high school students and elementary school teachers is also commendable_x000D_
_x000D_
Weaknesses_x000D_
_x000D_
_x000D_
CAREER SOLICITATION-SPECIFIC REMARKS:_x000D_
_x000D_
Letter of institutional commitment included_x000D_
_x000D_
The education plan is vague_x000D_
_x000D_
_x000D_
ADDITIONAL REMARKS_x000D_
_x000D_
_x000D_
Data Management Plan: Adequate_x000D_
_x000D_
Results of prior support: No prior support_x000D_
_x000D_
Justification for Panel Rating: See the weaknesses mentioned in the intellectual merit section._x000D_
_x000D_
Panel Rating: _x000D_
_x000D_
_ Highly Competitive_x000D_
_ Competitive_x000D_
X Low Competitive_x000D_
_ Not Competitive_x000D_
_x000D_
The summary was read by/to the panel and the panel concurred that the summary accurately reflects the panel discussion._x000D_
_x000D_
_x000D_
_x000D_
_x000D_
_x000D_
</t>
  </si>
  <si>
    <t xml:space="preserve">In the context of the five review elements, please _x000D_
evaluate the strengths and weaknesses of the proposal with respect to intellectual merit._x000D_
_x000D_
The proposed research focuses on the visibility problems, especially the visibility graph in a polygonal environment. It's a classical problem on which the PI has made some progress recently. The proposal builds on this past work and asks a few interesting questions.  The question that will be studied include visibility graph characterization and recognition, (ii) visibility problems in the presence of noise, and (iii) construction pedestrian maps. _x000D_
_x000D_
The proposal contains some nice geometric theoretical questions but their impact is likely to be limited. The scope of the proposal seems somewhat narrow and some of the problems are not well motivated. For example, constructing the pedestrian map is an interesting problem but why computing the visibility graph is the right problem. _x000D_
_x000D_
The PI has done some work in the proposed area of research so there is a good chance that he would make progress on some of the proposed problems._x000D_
_x000D_
_x000D_
A proposal with a broader scope while focusing on visibility would have been appealing._x000D_
_x000D_
In the context of the five review elements, please _x000D_
evaluate the strengths and weaknesses of the proposal with respect to broader impacts._x000D_
_x000D_
There is a detailed outreach plan for connecting to not only undergraduate and K12 students but also to San Antonio community. I commend the PI for thinking some of these topics. However I'll encourage him not to restrict visibility problems as the vehicle of engaging with them. _x000D_
_x000D_
There is no discussion on teaching in the proposal. Considering the opportunity he mentions about engaging Latino students, it would have been useful for him to think how  the curriculum could be adapted to attract these students to computer science._x000D_
_x000D_
_x000D_
_x000D_
Please evaluate the strengths and _x000D_
weaknesses of the proposal with respect to any additional solicitation-specific review criteria, if _x000D_
applicable_x000D_
_x000D_
_x000D_
_x000D_
Summary Statement_x000D_
_x000D_
Building on his recent work, the PI proposes to study  a number of visibility problems, many of which are theoretically interesting and some of which have been studied for a long time. _x000D_
_x000D_
The outreach part in the broader impact section is strong but there is no discussion on his teaching plans._x000D_
_x000D_
_x000D_
_x000D_
</t>
  </si>
  <si>
    <t xml:space="preserve">In the context of the five review elements, please _x000D_
evaluate the strengths and weaknesses of the proposal with respect to intellectual merit._x000D_
_x000D_
This proposal has 3 parts, all about visibility-related problems in discrete and computational geometry. _x000D_
_x000D_
The first attacks an old theoretical open problem, of characterizing or recognizing visibility graphs of polygons. Previously at ESA'15, the PI with Krohn and Wang gave necessary conditions for pseudo-polygons, and the proposal mentioned subsequent work by the PI and others on new necessary conditions for polygons. It is good to see the PI ambitious enough to attempt to resolve the general problem, though it is not clear what are the chances for a complete resolution._x000D_
_x000D_
The second part is on approximation algorithms/hardness for new variations of classical art gallery problems (e.g., with limited _x000D_
visibility or with noisy inputs). This might generate new papers of interest to a subcommunity of computational geometers, although it is unclear if there are still any deep, major new results to be discovered._x000D_
_x000D_
The third part addresses an applied problem, of reconstructing pedestrian maps from GPS data, which is practically well motivated topic. The PI with Ahmed, Fasy, and Wenk had a previous paper on this in '15._x000D_
_x000D_
_x000D_
In the context of the five review elements, please _x000D_
evaluate the strengths and weaknesses of the proposal with respect to broader impacts._x000D_
_x000D_
The proposal describes at length outreach to high school and elementary students, and impact to the larger San Antonio community. The PI has graduated several PhD students already, some of which are female and minority students._x000D_
_x000D_
_x000D_
Please evaluate the strengths and _x000D_
weaknesses of the proposal with respect to any additional solicitation-specific review criteria, if _x000D_
applicable_x000D_
_x000D_
_x000D_
_x000D_
Summary Statement_x000D_
_x000D_
Unclear about chances of success for the main theoretical problem in the first part, and whether the second part would lead to substantial new techniques._x000D_
_x000D_
_x000D_
</t>
  </si>
  <si>
    <t xml:space="preserve">In the context of the five review elements, please _x000D_
evaluate the strengths and weaknesses of the proposal with respect to intellectual merit._x000D_
_x000D_
The proposal considers an old chestnut in computational geometry that has proven very difficult to crack: what is the computational complexity of recognizing the visibility graphs of simple polygons? Although visibility graphs are important (for instance in geometric routing problems), their recognition is purely a theoretical problem, but a perplexing one, and progress on it could lead to useful properties of these graphs that could be applied in other related problems. The plan for how to make progress on this problem is vague, but includes recent work by the author on a non-algorithmic characterization for a topological variation of the problem introduced in 1997 by Streinu and O'Rourke._x000D_
_x000D_
Additionally, the proposal considers some unrelated problems of robustly guarding polygonal art galleries, subject to uncertainty about the polygon shape or limits on the radius of visibility of the guards, and of using GPS data to construct pedestrian maps (pending IRB approval for the collection of subject GPS locations needed to perform this work)._x000D_
_x000D_
Matt Gibson had a breakout year in 2015 with six conference papers in good but not top-tier conferences including ESA, SIGSPATIAL, and ISAAC, but in most other years has had only one or two publications and so far in 2017 has none listed in DBLP. The proposal is on topics that fit within his published expertise._x000D_
_x000D_
_x000D_
In the context of the five review elements, please _x000D_
evaluate the strengths and weaknesses of the proposal with respect to broader impacts._x000D_
_x000D_
The pedestrian map aspect of the proposal incorporates a strong component of undergraduate research, at a minority serving institution. Additionally, the proposal incorporates visual computing demos as an aspect of recruiting elementary and high school students to STEM._x000D_
_x000D_
_x000D_
Please evaluate the strengths and _x000D_
weaknesses of the proposal with respect to any additional solicitation-specific review criteria, if _x000D_
applicable_x000D_
_x000D_
_x000D_
_x000D_
Summary Statement_x000D_
_x000D_
If significant progress could be made on algorithms for recognizing visibility graphs, that would be a splashy result. And given that the proposal is in a theoretical research area, the lack of applications of this problem are neither unusual for the area nor a significant drawback. However, this is a high-risk proposal, both because of the long lack of progress in the history of the problem and because the proposer does not yet have a strong and sustained track record of top-level research publications._x000D_
_x000D_
</t>
  </si>
  <si>
    <t xml:space="preserve">In the context of the five review elements, please _x000D_
evaluate the strengths and weaknesses of the proposal with respect to intellectual merit._x000D_
_x000D_
The project studies several visibility problems. One is to_x000D_
settle the characterization and recognition problem. While its_x000D_
practical application is limited, this resolves a long-standing_x000D_
open problem in this area if successful. The approach is based_x000D_
on a necessary condition newly discovered by PI using the concept_x000D_
of "psudo-visibility". It remains to be seen if this approach can_x000D_
be revised to solve the original problem. At least, some progress_x000D_
seems possible._x000D_
_x000D_
Another proposed task is related to art gallery problems._x000D_
Unlike the traditional version of the problem, the PI considers_x000D_
a new model with "limited visibility". This setting is interesting_x000D_
and well motivated._x000D_
_x000D_
The third task is to construct "pedestrian map" from cell-phone GPS data. Essentially, the problem is to construct a map, from such data, that identify the obstacles. It looks a new and interesting research topic._x000D_
_x000D_
The project consists of a nice combination of theoretical and practical visibility problems._x000D_
_x000D_
In the context of the five review elements, please _x000D_
evaluate the strengths and weaknesses of the proposal with respect to broader impacts._x000D_
_x000D_
The applications of the research task two and task three are well_x000D_
described and motivated. They also have potential applications for_x000D_
solving other problems in Computational Geometry._x000D_
_x000D_
The PI works in a minority serving institution. He is active in_x000D_
existing outreach programs for local K-12 school students, and_x000D_
plans to enhance these programs by using some of the problems_x000D_
in this project. Given the geometric and intuitive flavor of these_x000D_
problem, I think the PI will be successful in this effort._x000D_
_x000D_
I think the PI made a strong case for "Broader Impact"._x000D_
_x000D_
Please evaluate the strengths and _x000D_
weaknesses of the proposal with respect to any additional solicitation-specific review criteria, if _x000D_
applicable_x000D_
_x000D_
_x000D_
_x000D_
Summary Statement_x000D_
_x000D_
The project consists of a nice combination of theoretical and practical visibility problems. Some of these problems are well motivated by practical applications._x000D_
_x000D_
The PI has done good work in this area, and is well qualified for_x000D_
the proposed research. The this project seems fit the PI's long_x000D_
term research agenda well._x000D_
_x000D_
The Departmental letter of support shows strong commitment of the_x000D_
school for the professional development of the PI._x000D_
_x000D_
</t>
  </si>
  <si>
    <t>The computational geometry community began studying visibility (graphs) over 30 years ago.  Noted researchers in the field, Ghosh, O'Rourke, Streinu, and others began working to solve visibility questions; one of the first problems, simple polygon visibility graph characterization, was addressed in 1988. Steady progress was made identifying necessary conditions until 1997.  The status was further complicated when it was shown in 2005 that the conditions were not sufficient. This is where progress was mired for years. In 2015, the PI Gibson et al. created progress by identifying the first new necessary condition for simple polygons since 1997.    _x000D_
_x000D_
Meanwhile, practical applications began to be developed which critically rely on visibility graphs.  Today, visibility graphs are essential to cutting edge applications including robotics, pedestrian routing, and shortest path computation in the presence of obstacles.  In many of these applications, data is obtained by sensors which may produce noisy inputs for algorithms.  Unfortunately, theoretical support has not kept pace as some of the most fundamental questions about visibility graphs (VGs) still have not been solved. Many of the solutions that do exist for visibility-based computational problems have failed to impact applications due to poor model formulation, including assuming noiseless inputs and not assuming visibility degradation over distance._x000D_
 _x000D_
Having made recent progress with noisy data sets and limited visibility models, the PI Gibson is well positioned to lead this new theoretical research, narrowing the gap between theory and practice._x000D_
_x000D_
This proposal will address these critical issues along three fronts: 1) visibility graph characterization and recognition, 2) algorithms for art gallery problems in the presence of noise and limited visibility, and 3) algorithms for constructing pedestrian maps from GPS data.  Each front has a plan to provide theoretically-sound, robust solutions which build upon recent work by the PI.Simple polygon VG characterization and recognition is one of the longest-standing open problems in computational geometry (CG) and is listed as problem 17 in The Open Problems Project.  Recently the PI has made significant progress by providing the first new property of simple polygon VGs in 16 years.  This proposal will extend these recent observations answering this and related open questions.  _x000D_
_x000D_
The uncertainty and limited visibility problems considered have not previously been considered under these computational models by the CG community; this proposal will lead an effort to narrow the current gap between theory research and emerging applications.VGs are commonly used in pedestrian/robotics routing algorithms in warehouses and parks where objects may move 360 degrees unless impeded by an obstacle - unlike road networks. Much of the previous research in this area assumes that obstacles are known with certainty.  If new obstacles are added, then VGs must be recomputed.  This proposal will design algorithms that can use noisy GPS data to automatically update maps.  The long-term benefits of this work will be felt in applications such as self-driving wheelchairs.  _x000D_
_x000D_
These activities will be held at The University of Texas at San Antonio (UTSA), a minority serving institution.  UTSA is committed to actively recruiting the best students in south Texas and beyond, many of whom are students of ethnicity underrepresented in computer science.  The PI is an active participant in UTSA's student-recruitment activities and has observed that providing interactive demonstrations significantly increases student excitement for computer science.  To this end, this project will develop game-style demos illustrating the research performed in this project.  Having high visual impact, these are ideal tools for engaging prospective students in computer science.</t>
  </si>
  <si>
    <t>12</t>
  </si>
  <si>
    <t xml:space="preserve"> Panel Summary       
  SUMMARY OF PROPOSED RESEARCH ACTIVITY_x000D_
Description : _x000D_
The PI proposes to develop new techniques in discrete differential geometry motivated by the problem of simulating the mechanical behavior of thin geometric objects such as paper. The proposal is divided into three thrust areas -- representing and simulating thin objects, transforming one surface into another by geometric growth, and extracting a shape from its spectrum. _x000D_
_x000D_
 _x000D_
INTELLECTUAL MERIT_x000D_
Strengths_x000D_
+ Motivated by interesting applications; success outcome will lead to significant advances in the simulation of thin objects _x000D_
+Well written proposal with concrete approaches and both short-term and long-term goals_x000D_
+ Good discussion on related work and how the proposed work relates to them_x000D_
+PI is well qualified to perform the proposed research_x000D_
_x000D_
Weaknesses_x000D_
-	Not really an algorithmic foundation proposal, as there is no discussion in the proposal on theoretical analysis or guarantee_x000D_
-	Proposed mode/analysis for thin objects has limitations. In particular, it models objects that consist of flat rigid panels with straight folds and does not allow smooth bends of surfaces_x000D_
_x000D_
BROADER IMPACTS _x000D_
_x000D_
Strengths_x000D_
+ Development of Geometric Oracle, a software package; an ambitious but well thought out project, including an evaluation plan_x000D_
+ Proposed research will have significant impact on application areas such as material sciences and manufacturing_x000D_
+ Work with undergraduates through an existing program in the department_x000D_
_x000D_
Weaknesses_x000D_
None_x000D_
_x000D_
CAREER SOLICITATION-SPECIFIC REMARKS:_x000D_
_x000D_
Letter of institutional commitment. Included_x000D_
_x000D_
Integration of research and education: The proposal discusses mentoring of students as well as graduate teaching but the discussion on undergraduate teaching focuses around using his software._x000D_
_x000D_
ADDITIONAL REMARKS_x000D_
Research plan: Proposal includes a detailed time line of various components of the project._x000D_
_x000D_
Data Management Plan: There is a detailed plan on how source code will be distributed and shared._x000D_
_x000D_
Results of prior support: No prior support _x000D_
_x000D_
Justification for Panel Rating: Overall the panel liked the proposal but there were some concerns that it was not really an algorithmic foundations proposal._x000D_
 _x000D_
Panel Rating: 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</si>
  <si>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PI proposes to develop efficient algorithms for simulating thin objects such as paper, cloth, and sheet. The emphasis of the proposal is to develop new techniques in discrete differential geometry motivated by this application. The proposal is divided into three thrust areas -- representing and simulating thin objects, transforming one surface into another by geometric growth, and extracting a shape from its spectrum. Interesting problems are proposed in each of them, and each thrust is nicely developed. _x000D_
_x000D_
The PI does a good job of discussing the past work and putting the proposed work in the context of the earlier work.  He also suggests possible approaches to attack the proposed problems._x000D_
_x000D_
The proposed research has the potential of making significant advances in the simulation of thin objects as well as of developing new, interesting techniques in discrete differential geometry. He already has made significant contributions in the area, and he is well qualified to work on the proposed research._x000D_
_x000D_
In the context of the five review elements, please _x000D_
evaluate the strengths and weaknesses of the proposal with respect to broader impacts._x000D_
_x000D_
The main focus of broader impacts is through the geometric software  Oracle that he plans to develop as part of the proposed research. He lays out a detailed plan for software development and its dissemination.  _x000D_
_x000D_
There is some discussion on teaching and mentoring. Surprisingly he only talks about a graduate course in terms of teaching and there is no mention of undergraduate teaching. He will mentor undergraduate students through his department's program._x000D_
_x000D_
_x000D_
Please evaluate the strengths and _x000D_
weaknesses of the proposal with respect to any additional solicitation-specific review criteria, if _x000D_
applicable_x000D_
_x000D_
_x000D_
_x000D_
Summary Statement_x000D_
_x000D_
This is a strong, well thought out, and well written proposal on an interesting topic. Several challenging  problems are discussed in detail, and there is a clear plan how the PI plans to attack them._x000D_
_x000D_
A major component of this project is software development, especially the development of the software package Oracle. If successful, this has the potential of becoming a widely used package._x000D_
_x000D_
Teaching and mentoring plans are reasonable but neither as strong nor as well thought out as the research plan._x000D_
_x000D_
</t>
  </si>
  <si>
    <t xml:space="preserve">In the context of the five review elements, please _x000D_
evaluate the strengths and weaknesses of the proposal with respect to intellectual merit._x000D_
_x000D_
The proposal aims to use the techniques of discrete differential geometry to study the mechanical behavior of thin sheets of material (such as crumpled paper), and to accurately simulate this behavior. There are theoretical aspects of this subject that are relevant to and of interest in discrete and computational geometry, however, for instance, impossibility proofs for certain deformations to be carried out by rigid structures (that are not allowed to curve continuously, but must remain flat except at bend lines)._x000D_
_x000D_
I was initially unable to find the PI's publications until I discovered that they were published under the name Etienne Vouga while the proposal lists the PI's name as Paul Vouga. The PI has some recent publications in computer graphics and at GECCO (a conference on biologically-inspired heuristics) but none in theory or computational geometry conferences. One recent paper and several significantly earlier papers are in SIGGRAPH, the top conference in this area._x000D_
_x000D_
_x000D_
In the context of the five review elements, please _x000D_
evaluate the strengths and weaknesses of the proposal with respect to broader impacts._x000D_
_x000D_
Although the proposal does not mention it, these problems have significant applications in materials science and manufacturing._x000D_
_x000D_
_x000D_
Please evaluate the strengths and _x000D_
weaknesses of the proposal with respect to any additional solicitation-specific review criteria, if _x000D_
applicable_x000D_
_x000D_
_x000D_
_x000D_
Summary Statement_x000D_
_x000D_
I think the research proposed is interesting, but largely out of scope._x000D_
Although some of these problems are of interest to and are studied by researchers within the computational geometry community, they are not of central interest to that community._x000D_
_x000D_
</t>
  </si>
  <si>
    <t xml:space="preserve">In the context of the five review elements, please _x000D_
evaluate the strengths and weaknesses of the proposal with respect to intellectual merit._x000D_
_x000D_
This proposal studies the physical properties of thin 2D objects like paper, cloth, and sheet metal.  The research has clear applications to civil and mechanical engineering, and will advance its own field of computer graphics.  I would have liked to hear more about these connections._x000D_
_x000D_
The main idea in this area is to create a discrete approximation of the continuous object which preserves its properties, e.g., by dividing the surface up into small rigid pieces with bounds on the size of the gaps between the pieces.  _x000D_
_x000D_
The first aim in the proposal is to use these representations to derive properties of thin materials, and find new representations that model for more general surface types and have no spurious modes._x000D_
_x000D_
The next aim of the proposal looks at swelling and shrinking surfaces, and tries to find algorithms that use these responses to transform one surface into another._x000D_
_x000D_
The final aim asks whether we can discover the shape of a material by listening to the sounds it makes when struck.  Figure 4 is an example of this in which in preliminary work the PI uses such a technique to discover a rabbit scupture.  The ears are noticeably under-developed, and one aim of the proposal is to improve accuracy of such details._x000D_
_x000D_
I really know very little about this area, and have trouble determining the originality and tractability of the proposal.  However, I did find it really interesting and readable.  The PI did a good job of convincing me that he has concrete approaches and a well-organized research plan. His prior work, including the many figures included in the proposal, indicate he has the expertise to conduct the proposed research._x000D_
_x000D_
In the context of the five review elements, please _x000D_
evaluate the strengths and weaknesses of the proposal with respect to broader impacts._x000D_
_x000D_
The broader impact plan includes the standard mentoring and curriculum development ideas.  Its strength, however, rides on the merit of a proposed software tool called The Geometry Oracle.  As noted, this is an ambitious project, but the PI has built similar systems in the past and has explicitly incorporated its development into his project timeline._x000D_
_x000D_
Please evaluate the strengths and _x000D_
weaknesses of the proposal with respect to any additional solicitation-specific review criteria, if _x000D_
applicable_x000D_
_x000D_
None._x000D_
_x000D_
Summary Statement_x000D_
_x000D_
From my outsider perspective, this is a strong proposal that should be funded if at all possible._x000D_
_x000D_
</t>
  </si>
  <si>
    <t xml:space="preserve">In the context of the five review elements, please _x000D_
evaluate the strengths and weaknesses of the proposal with respect to intellectual merit._x000D_
_x000D_
strengths: _x000D_
+very good proposal, investigating interesting questions with a lot of physical applications. Interplay between theory and practice._x000D_
+interesting questions that would be relevant to even the non-experts in the field and their resolution would have tremendous impact in graphics and computer simulation of physical objects/processes_x000D_
+well-written, the goals are well-explained and there is a concrete and likely successful plan to execute each of them._x000D_
+ PI well qualified to conduct the research._x000D_
_x000D_
weaknesses:_x000D_
- this is potentially the wrong track for the proposal, I would not classify it under "Algorithmic Foundations"_x000D_
_x000D_
In the context of the five review elements, please _x000D_
evaluate the strengths and weaknesses of the proposal with respect to broader impacts._x000D_
_x000D_
strengths:_x000D_
The PI has a really great educational plan. Most notably, he is planning to build a Geometry Oracle. Such a web-based interactive programming tool will significantly help students and non-experts alike to teach themselves the fundamentals of surface geometry and simulation. I believe that the proposed Oracle will be of tremendous value to the relevant community of researchers. _x000D_
_x000D_
+ The proposed research will have significant implications not only in theory of surface geometry, but also in applications - most notably in civil and mechanical engineering, but also in other branches of engineering._x000D_
_x000D_
weaknesses:_x000D_
I did not find any weaknesses on the broader impacts._x000D_
_x000D_
Please evaluate the strengths and _x000D_
weaknesses of the proposal with respect to any additional solicitation-specific review criteria, if _x000D_
applicable_x000D_
_x000D_
_x000D_
_x000D_
Summary Statement_x000D_
_x000D_
The proposed research will investigate the link between the physics and shape os 2D objects, and design new algorithms for predicting and simulating their behaviors. The research proposed is focused on discrete differential geometry tools and its applications to physical simulations. The main contribution of this research, if successful, is to yield the mathematical insights and computational tools to predict and control complex behaviors of thin objects (e.g. how to simulate crumpling paper) and will have applications to civil, mechanical, and other engineering branches. Integrated with this research is a proposed web-based interactive Geometry Oracle - a platform that will enable students and interested parties to learn about the geometry of surfaces. I found the proposal very good and well written, and the broader and educational impact exceptional. However, I think this is not the right track for it._x000D_
_x000D_
</t>
  </si>
  <si>
    <t>Everyday two-dimensional objects like paper, cloth, and sheet metal exhibit deceptively complex behavior, and the key to predicting and controlling their behavior is understanding their geometry. We corrugate cardboard to strength it; a venus flytrap snaps shut without moving parts by differentially swelling its tissue. Computer simulations of thin objects must *discretize* their geometry, which poses both a challenge---how can the critical mathematical properties of the smooth surface be preserved by the discretization?---and an opportunity---new algorithms, designed from the ground up to respect the relationship between form and function, can offer provable correctness guarantees at low computational cost._x000D_
_x000D_
The proposed research will investigate the link between the physics and shape of 2D objects, and design new algorithms for predicting and designing their behaviors. Specific problems that will be investigated include 1) how to represent and simulate crumpling of paper and other objects, that deform in nearly-isometric (origami-like) ways; 2) growing arbitrary curved surfaces from an initially flat sheet, by taking advantage of metric frustration that occurs during differential growth; and 3) finding the shape of surfaces given its vibrational spectrum, allowing design of surfaces that vibrate and deform in controlled ways or make a prescribed sound when struck. Integrated with this research agenda is a proposed Geometry Oracle, a web-based programming tool modeled on existing popular competitive programming frameworks. The Oracle will help programmers without domain expertise teach themselves the often abstract and difficult fundamentals of surface geometry and simulation by providing immediate interactive visual feedback.This research expands the frontiers of discrete differential geometry and its application to physical simulation, filling gaps in our understanding of (i) how the smooth geometry of surfaces can be discretized using tractable, finite data structures while preserving the essential mathematical properties of the smooth objects; (ii) how the intimate coupling of surface shape and function can be exploited to yield new algorithms for simulating the behavior of thin objects; and (iii) how this coupling can be inverted to efficiently and accurately design surface geometry given desired function._x000D_
_x000D_
Although its primary focus is developing new computational algorithms, the proposed research also touches on long-standing theoretical questions in geometry, such as characterizing flexibility of smooth surfaces and polyhedra, and understanding isospectral surfaces, and has the potential to make inroads on these open problems.The proposed research will yield the mathematical insights and computational tools necessary to predict and control a large set of complex behaviors for thin objects: buckling and crumpling of surfaces are of clear importance to civil and mechanical engineering, but in addition, deployable and collapsible thin structures see increasing use in applications ranging from space engineering to medical stents. Understanding how changes in shape arise from differential swelling will open the door to easy additive manufacturing of intricate 2D objects; soft robots that articulate without the need for motors; more accurate simulations of shape change during burning and wetting; and deeper insights into tissue morphogenesis. Controlling spectrum using shape has applications to the design of instruments and loudspeakers, and to engineering of mechanical parts hardened against vibrations. _x000D_
_x000D_
The Geometry Oracle will help undergraduate students and the general public develop geometric intuition about the interplay of geometry and physics in thin objects, and introduce them to the background necessary to carry out research in this area. Finally the visual and tangible nature of the proposed research makes it ideal for STEM outreach.</t>
  </si>
  <si>
    <t xml:space="preserve"> Panel Summary       
 SUMMARY OF PROPOSED RESEARCH ACTIVITY_x000D_
Description:_x000D_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The second part looks at algorithms for finding minimum distortion embedding from a finite metric space to a simple host metric. The third part looks at sublinear-time algorithms or property testing for these types of geometric problems. _x000D_
_x000D_
Most of the proposed problems in the first two parts are hard and often intractable. So the project focuses on their parameterized computational complexity. _x000D_
_x000D_
INTELLECTUAL MERIT_x000D_
Strengths_x000D_
+ The proposal has identified many interesting open questions to pursue._x000D_
+ The third part on property testing is novel and is a timely topic in the era of big data._x000D_
+ A successful outcome of the proposed research will make_x000D_
significant advances in the area of shape matching._x000D_
_x000D_
Weaknesses_x000D_
- Some of the proposed problems have been studied for a long time and the PI doesn't always make a compelling case what new insights he has to attack these problems._x000D_
- In the abstract, the PI mentions fast heuristics engineered for specific applications. It would have been good to hear more about those heuristics and their potential to inform the design of algorithms with guarantees._x000D_
_x000D_
BROADER IMPACTS_x000D_
Strengths_x000D_
+ The proposal has potential to bridge different theoretical areas._x000D_
+ The problems have relevance to many applied areas of CS from image processing, protein interaction analysis and graphics._x000D_
+ Collaboration with graphics and GIS researchers._x000D_
_x000D_
Weaknesses_x000D_
- The broader impacts concentrate on only computation. The education plan is weak._x000D_
_x000D_
CAREER SOLICITATION-SPECIFIC REMARKS:_x000D_
_x000D_
Letter of institutional commitment._x000D_
The Departmental letter shows strong commitment of the_x000D_
department/school for the professional development of the PI._x000D_
_x000D_
Integration of research and education:_x000D_
- The proposal mentions outreach plan to high school/undergrad/grad students, and course development._x000D_
But the education plan is brief and vague._x000D_
_x000D_
ADDITIONAL REMARKS_x000D_
_x000D_
Data Management Plan: Adequate._x000D_
_x000D_
Results of prior support:_x000D_
The PI has two current NSF grants and has published extensively on topics related to the first two parts of the proposal, with many papers appearing regularly in major conferences. He is well qualified for the proposed research. It is likely at least some of the research goals can be achieved. _x000D_
_x000D_
Comments to PI:_x000D_
_x000D_
Justification for Panel Rating:_x000D_
A coherent proposal on an important set of problems._x000D_
Strong past research record._x000D_
_x000D_
Panel Rating:_x000D_
_ Highly Competitive_x000D_
X Competitive_x000D_
_ Low Competitive_x000D_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</si>
  <si>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overall theme of the proposed research is to develop fast algorithms for computing low-cost maps between two metric spaces. Most of the proposed problems are hard and often intractable.  _x000D_
_x000D_
The PI proposes two directions to address these problems: (i) analyze parametrized complexity of these problems to develop a finer understanding of their computational difficulty, and (ii) very fast algorithms, even sublinear algorithms, to solve the problems approximately. _x000D_
_x000D_
In terms of types of problems, there are two main topics: (i) geometric shape matching, e.g. computing Frechet distance between surface, computing Gromov Hausdorff distance, etc. (ii) Low distortion embedding of a metric space into a simpler metric space e.g. a line or a tree. In the context of sublinear algorithms, he also plans to develop fast algorithms for testing topological properties of metric spaces._x000D_
_x000D_
It's well written proposal on an important topic. Many important, hard problems have been identified. The PI has worked on some of these problems and thus has a credibility. It is quite likely that he will make progress on at least some of the problems. Once concern I, however, have is that some of the proposed problems have been studied for a long time and the PI doesn't always make a compelling case what new insights he has to attack these problems. Having said that I want to give him benefit of doubt._x000D_
_x000D_
A successful outcome of the proposed research will make significant advances in the area of shape matching. _x000D_
_x000D_
_x000D_
In the context of the five review elements, please _x000D_
evaluate the strengths and weaknesses of the proposal with respect to broader impacts._x000D_
_x000D_
The proposal contains a  strong vertically integrated plan, ranging from high school students to graduate students. He is plugged in with some successful existing training programs._x000D_
The education plan is very brief and vague "plans to design more advanced algorithm courses targeting the same level of students."_x000D_
No outreach plan is described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project is strong and well thought out. Several interesting problems are proposed and some of them build on his recent work. It would have been useful to have a more detailed discussion on some of the more challenging problems -- how he plans to attack them and what insights he has. _x000D_
_x000D_
The broader impact section is not so well thought out. Education plan is weak and the outreach plan is missing._x000D_
_x000D_
</t>
  </si>
  <si>
    <t xml:space="preserve">In the context of the five review elements, please _x000D_
evaluate the strengths and weaknesses of the proposal with respect to intellectual merit._x000D_
_x000D_
The proposal addresses problems related to computing low-cost maps between two spaces. The first part looks at (FPT and approximation) algorithms for shape matching problems, such as computing minimum distortion mapping between two finite metric spaces, or between two surfaces, or computing the Frechet distance for two surfaces. The second part looks at algorithms for finding minimum distortion embedding from a finite metric space to a simple host metric (e.g., lower-dimensional Euclidean space, trees, or bounded treewidth graphs). The third part looks at sublinear-time algorithms or property testing for these types of geometric problems._x000D_
_x000D_
The PI has published extensively on topics related to the first two parts before, with many papers appearing regularly in major conferences like SoCG and SODA. The proposal has identified lots of interesting open questions to pursue for the next few years. The third part on property testing is quite new, and is a timely topic in the era of big data (some preliminary result of the PI and his student was mentioned, as well as many specific open questions)._x000D_
_x000D_
_x000D_
In the context of the five review elements, please _x000D_
evaluate the strengths and weaknesses of the proposal with respect to broader impacts._x000D_
_x000D_
The proposal has potential to bridge different theoretical areas (geometry, topology, graphs, algorithms). The problems have relevance to many applied areas of CS from image processing, protein interaction analysis, to graphics. The broader impacts section mentions collaboration with graphics researchers, outreach to high school/undergrad/grad students, and course development._x000D_
_x000D_
_x000D_
Please evaluate the strengths and _x000D_
weaknesses of the proposal with respect to any additional solicitation-specific review criteria, if _x000D_
applicable_x000D_
_x000D_
_x000D_
_x000D_
Summary Statement_x000D_
_x000D_
A coherent proposal on an important set of problems. Strong past research record._x000D_
_x000D_
_x000D_
</t>
  </si>
  <si>
    <t xml:space="preserve">In the context of the five review elements, please _x000D_
evaluate the strengths and weaknesses of the proposal with respect to intellectual merit._x000D_
_x000D_
The project studies several groups of related problems._x000D_
(a) Parameterized algorithms for geometric shape matching._x000D_
It investigates the mapping between two metric spaces_x000D_
and matching of two surfaces with small distortion._x000D_
(b) Embed a metric space X into another simpler structured space Y with_x000D_
low distortion._x000D_
These problems are well studied and are known hard problems._x000D_
The project focuses on their parameterized computational complexity._x000D_
_x000D_
(c) Super fast algorithms and data structures. This is a novel set problems_x000D_
motivated by real world problems: We are searching a complex object X_x000D_
in a large data base D. Most items in D are very different from X._x000D_
The idea is to set up data structures so that one can quickly_x000D_
(sub-linear time) kick out those dissimilar item so that one_x000D_
can concentrate on items similar to X._x000D_
_x000D_
This research thrust is interesting and well-motivated, and may have_x000D_
applications in real world problems._x000D_
_x000D_
In the context of the five review elements, please _x000D_
evaluate the strengths and weaknesses of the proposal with respect to broader impacts._x000D_
_x000D_
The proposed research has applications in areas such as image processing,_x000D_
protein interaction analysis and data analysis, The results will benefit_x000D_
these areas._x000D_
_x000D_
The PI plans to be involved in existing outreach programs for local_x000D_
high school students. He has developed courses covering topics in_x000D_
this area and plans to develop new courses that include the_x000D_
problems in this proposal. He has two graduate students actively_x000D_
working in this area._x000D_
_x000D_
Please evaluate the strengths and _x000D_
weaknesses of the proposal with respect to any additional solicitation-specific review criteria, if _x000D_
applicable_x000D_
_x000D_
_x000D_
_x000D_
Summary Statement_x000D_
_x000D_
The proposal includes a nice combination of theoretical and more_x000D_
practical problems. The third thrust is novel and interesting._x000D_
_x000D_
The PI has two current/previous NSF grants, and has done some work_x000D_
in this area. He is well qualified for the proposed research._x000D_
It is likely at least some of the research goals can be achieved._x000D_
_x000D_
The Departmental letter shows strong commitment of the_x000D_
department/school for the professional development of the PI._x000D_
_x000D_
</t>
  </si>
  <si>
    <t xml:space="preserve">In the context of the five review elements, please _x000D_
evaluate the strengths and weaknesses of the proposal with respect to intellectual merit._x000D_
_x000D_
The PI proposes investigating algorithms for three types of problems._x000D_
_x000D_
1. "Geometric Shape Matching".  I find it easier to think of this as discovering low-distortion embeddings of one object into another.  The PI correctly points out that instances of this problem arise in many disciplines, and it is something that could potentially be useful.  However, it is known to be difficult in many situations.  So, the PI asks if there are reasonable families of instances on which it can be solved.  He proposes parameteritzing these instances by reasonable quantities such as the minimum distortion possible, treewidth and genus of graph metrices, and doubling dimension.   This is a worthy goal, and I think more interesting than most instances of parameterized complexity._x000D_
_x000D_
Within this part of the proposal, I found the questions of computing the Frechet distance of surfaces to be the most interesting.  While it is not clear to me if it has practical value, it seems like a deep question.  The PI has some significant results on this problem, including an exponential time algorithm which he would like to determine if it can be realized in PSPACE.  I also think that the exploration of kappa-bounded surfaces is a good restriction of the problem to reasonable instances._x000D_
_x000D_
2. "Metric Embedding" .  These are standard problems about determining whether or not a given metric can be enbedded into 1, 2, or low dimensional Euclidean space, where the dimension will be specified.  Again, the PI proposes trying to find nice classes of these problems that are solvable well, by restricting attention to cases with low distortion solution or metrics of nice graphs.  He also proposes finding algorithms for discovering tree spanners, embedding into trees, and embeddings into graphs of bounded treewidth._x000D_
_x000D_
3. "Sublinear algorithms".  The PI proposes two sorts of problems here.  The first is the quick determination of whether or not one shape matches with another.  This seems like it could be both interesting and useful.  In contract, I have a hard time imagining a use for the other type of problem: quick testing of topological properties such as betti numbers._x000D_
_x000D_
Overall, the PI has proposed some good problems and has prior work in the area of many of them that leads me to believe that he could solve some of them.  _x000D_
_x000D_
In the abstract, the PI mentions that  fast heuristics engineered for specific applications.  It would have been good to hear more about those heuristics and their potential to inform the design of algorithms with guarantees.  He is also mentoring undergraduate and graduate students and is engaged in curriculum development._x000D_
_x000D_
I am less convinced by many of the possible areas of application of this work, as I think that the PI has bought into the oversimplifications of some of the applications (such as to phylogenetics) that have been promoted by theorists.  However, his proposed collaborations with Graphics researchers sounds reasonable._x000D_
_x000D_
_x000D_
_x000D_
In the context of the five review elements, please _x000D_
evaluate the strengths and weaknesses of the proposal with respect to broader impacts._x000D_
_x000D_
The broader impacts of the proposal are strong.  The PI proposes working with high school students through established programs at his university._x000D_
_x000D_
Please evaluate the strengths and _x000D_
weaknesses of the proposal with respect to any additional solicitation-specific review criteria, if _x000D_
applicable_x000D_
_x000D_
_x000D_
_x000D_
Summary Statement_x000D_
_x000D_
This is a well thought out proposal for research in geometry and topology with good questions about the embedability of objects.  The broader impacts section is strong._x000D_
_x000D_
_x000D_
_x000D_
</t>
  </si>
  <si>
    <t>The general mathematical problem of computing low-cost maps between two metric spaces is prevalent in many applications, including registration in medical image processing, function detection in protein modeling, texture mapping in computer graphics, reconstructing evolutionary trees in phylogenomics, and finding recurrent patterns in data analysis.  The general problem, studied abstractly as geometric shape matching in computational geometry and as metric embedding in computational geometry and topology, is provably hard, so we have a dichotomy. On one hand, we have general algorithms with theoretical worst-case guarantees that are prohibitively slow in practice, and on the other we have faster heuristics engineered for specific applications, but lacking guarantees.  In dichotomy is opportunity -- this project will use parameterized complexity to create a finer understanding of the complexity of computing low-cost maps between metric spaces using different representations and properties.  If successful, the proposed research will result in new algorithms with new performance guarantees, in particular, for cases of practical interest.The proposed research advances our understanding of the parameterized computational complexity of fundamental problems in theoretical computer science such as metric embedding and geometric shape matching.  The proposed research combines insight from fields such as algorithm design, geometry, topology, and graph theory and is likely to benefit similar problems and their practical applications in all these fields. In addition, because the problems discussed in this proposal are general, in one form or another, to many applied areas of computer science, this study provides a unique opportunity to foster collaborative research.Computing low-cost maps is necessary in many applied areas of computer science such as image processing, protein interaction analysis, computer graphics and data analysis.   The proposed research will benefit these areas by providing tools to design algorithms with performance guarantee for computing low-cost maps.  The PI plans to investigate some of these applied areas with his students and colleagues at OSU._x000D_
_x000D_
Integrated with all research efforts is the process of familiarizing students with recent advances in the field.  The PI will educate and train high school, undergraduate and graduate students: (1) He will work with high school students through two well established outreach programs, one is primarily for girls and ethnic minorities.  (2) He will find interested undergraduate students from his classes at OSU and through NSF REU-SITE and include them in his research. (3) He will support the participation of two graduate students in the proposed research.  (4) He will design advanced algorithm courses for senior undergraduate and graduate students.</t>
  </si>
  <si>
    <t xml:space="preserve"> Panel Summary       
 SUMMARY OF PROPOSED RESEARCH ACTIVITY_x000D_
_x000D_
Description: _x000D_
_x000D_
The proposal discusses new methods to analyze data by combining techniques from topological data analysis (TDA) with statistics. Traditionally, in TDA, topological descriptors (notably, persistent homology diagrams) provide a global view of data sets. The proposed approach is to compute topological descriptors locally at a collection of regions of interest, and generate a statistical summary of these descriptors over the regions. The subproblems that arise from this statistical approach include computing distances between descriptors, and information about distributions of descriptors. The proposal also discusses applications to road network analysis._x000D_
 _x000D_
_x000D_
INTELLECTUAL MERIT_x000D_
_x000D_
Strengths_x000D_
_x000D_
+ The approach of combining topology, geometry, and statistics is interesting, and so are the specific problems surrounding this statistical approach to TDA. _x000D_
+ PI has multiple past publications in both theory and applications of TDA._x000D_
+ The proposal is a pleasure to read._x000D_
_x000D_
Weaknesses_x000D_
_x000D_
- The proposal would benefit from more comparison of the proposed method with existing methods in TDA, to indicate which of the problems are extensions of past work and which are new directions._x000D_
- Many of the problems suggested seem incremental and variants of the previous work by the PI and others. _x000D_
- It would be good if the PI could explain why the statistical information is not already contained in the topological summary of the whole space. _x000D_
_x000D_
BROADER IMPACTS_x000D_
_x000D_
The broader impact section is excellent._x000D_
_x000D_
Strengths_x000D_
_x000D_
+ The education and outreach components are creative, and sincerely written._x000D_
+ The plan to publish a children's book on the PI's personal experience with interdisciplinary research is remarkable. _x000D_
+ The PI's efforts to recruit and retain under-represented students are commendable._x000D_
_x000D_
Weaknesses_x000D_
_x000D_
- None discussed._x000D_
_x000D_
 _x000D_
_x000D_
CAREER SOLICITATION-SPECIFIC REMARKS:_x000D_
_x000D_
Letter of institutional commitment: Present._x000D_
_x000D_
Integration of research and education: The education component of the proposal is strong._x000D_
_x000D_
 _x000D_
_x000D_
ADDITIONAL REMARKS_x000D_
_x000D_
Data Management Plan: More than adequate._x000D_
_x000D_
Results of prior support:  Present._x000D_
_x000D_
 _x000D_
_x000D_
Panel Rating: _x000D_
_x000D_
_ Highly Competitive_x000D_
_x000D_
X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</si>
  <si>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objective of the proposed research is to build theoretical foundations of topological data analysis (TDA) by combining techniques from topology and statistics and to apply TDA techniques to various domains. Over the last decade TDA has become a powerful and useful tool for data analysis, and this project builds on this success of TDA._x000D_
_x000D_
The PI has been working on TDA and has published several papers on many aspects, including theory and applications, of TDA in a wide range of venues. The PI is certainly capable of performing the proposed research._x000D_
_x000D_
In terms of developing theoretical foundations, the PI proposes to study local descriptors, computing distances between descriptors, and distributions of  local descriptors. All of them are interesting questions. One concern I have with the way the specific problems are discussed is that they are natural extensions of existing work by the PI and other researchers. In many cases, it's not clear why these extensions are needed, how significant/challenging these extensions are, and whether they really open new directions of research. It would be have been more useful if a fewer problems were presented but they were developed better, and if some of the problems were extensions of the past work while others were new directions._x000D_
_x000D_
The main application of TDA discussed in the proposal is road network analysis. There has been extension work in multiple disciplines on road network analysis, using different approaches. It's not clear why TDA is a good approach for this problem and  what are its advantages. For example, what are the advantages of "local topological features" based metric to compute similarity between two road network maps. _x000D_
_x000D_
The discussion on the two other domains for TDA applications is very brief and vague._x000D_
_x000D_
_x000D_
In the context of the five review elements, please _x000D_
evaluate the strengths and weaknesses of the proposal with respect to broader impacts._x000D_
_x000D_
The broader impact section of this proposal is highly unusual, remarkable,  and novel! The goal of publishing a book for third-grade students is very impressive. Her proposed efforts on increasing awareness of interdisciplinary research careers and on recruiting/retaining underrepresented students are also highly commendable. It's clear she is passionate about these topics and has thought a lot about them._x000D_
_x000D_
The educational plan is brief and not very specific._x000D_
_x000D_
The PI has also thought about the evaluation of her educational activities and has a clear plan._x000D_
_x000D_
Please evaluate the strengths and _x000D_
weaknesses of the proposal with respect to any additional solicitation-specific review criteria, if _x000D_
applicable_x000D_
_x000D_
_x000D_
_x000D_
Summary Statement_x000D_
_x000D_
Overall it's a solid proposal on an interesting and timely topic, namely TDA. It covers several problems. The PI is well qualified to carry out the proposed research. The main question is how significant will be the impact  the proposed research -- will it be incremental or will it push the envelope in some fundamental way. _x000D_
_x000D_
The outreach component of the broader impact section is outstanding and highly commendable._x000D_
_x000D_
</t>
  </si>
  <si>
    <t xml:space="preserve">In the context of the five review elements, please _x000D_
evaluate the strengths and weaknesses of the proposal with respect to intellectual merit._x000D_
_x000D_
_x000D_
The PI proposes to use topological data analysis (TDA) to build a toolset for analyzing heterogeneous big data. This approach combines ideas from topology, geometry, and statistics. _x000D_
_x000D_
This is a carefully written proposal about developing the theoretical foundations for topological data analysis and applying these foundations to application domains.  I was positively impressed starting right at the summary. I like the direct and sincere writing. I like the fact that there are little technical nuggets in the summary. _x000D_
_x000D_
The PI does a nice job of explaining the area in the beginning. However, I might have wanted some more high-level explanations of some of the research problems later on, matching the intuitive explanations of TDA earlier on, but overall the proposal was a pleasure to read. _x000D_
_x000D_
I appreciated the educational and outreach components, which seem sincere and caring. The educational component includes mentoring, from elementary students all the way to graduate students. Interestingly, it also includes an idea for a book for children, which has the potential to motivate students to learn more about education and research._x000D_
_x000D_
_x000D_
_x000D_
In the context of the five review elements, please _x000D_
evaluate the strengths and weaknesses of the proposal with respect to broader impacts._x000D_
_x000D_
In an era in which people are doing increasingly interesting things with large amounts of heterogeneous data, there is a good chance for impact.  Moreover, the PI has a history of doing things that have the potential for impact. This includes a TDA package in the R language, writing the book, etc._x000D_
_x000D_
The educational component of this proposal was particularly special.  I suspect that this PI does a wonderful job of inspiring her students, and is a great role model._x000D_
_x000D_
_x000D_
_x000D_
Please evaluate the strengths and _x000D_
weaknesses of the proposal with respect to any additional solicitation-specific review criteria, if _x000D_
applicable_x000D_
_x000D_
_x000D_
_x000D_
Summary Statement_x000D_
_x000D_
This is a well written proposal with an especially good education component._x000D_
_x000D_
</t>
  </si>
  <si>
    <t xml:space="preserve">In the context of the five review elements, please _x000D_
evaluate the strengths and weaknesses of the proposal with respect to intellectual merit._x000D_
_x000D_
The proposed project is about analyzing datasets using techniques from_x000D_
topology. Topological data analysis (TDA) has been an active area of research for many years. The approach in this proposal is to view data as a set of small regions of interest (ROI), describe each ROI with a localized topological descriptor (a persistent diagram), then compute statistics on the distribution of all these descriptors, to produce a global summary of the data. Subproblems that arise include how to first compute functional summaries of these descriptors, define distances between descriptors, and clustering and computing histograms of the descriptors. The proposal discusses applications, specifically to road network analysis._x000D_
_x000D_
The PI has had several publications on TDA and statistics, in both theory and applied conferences. TDA is certainly an important toolset_x000D_
with many potential applications. Regarding intellectual merits, though, it is not clear how innovative the proposed techniques are relative to the large body of existing work in TDA._x000D_
_x000D_
_x000D_
_x000D_
In the context of the five review elements, please _x000D_
evaluate the strengths and weaknesses of the proposal with respect to broader impacts._x000D_
_x000D_
The proposed research is interdisciplinary, connecting CS, topology, and statistics. The proposal has an extensive section on education plan, including the writing a children's book (interestingly) on interdisciplinary research, and recruiting and retaining students from underrepresented groups, promoting a sense of belonging._x000D_
_x000D_
_x000D_
Please evaluate the strengths and _x000D_
weaknesses of the proposal with respect to any additional solicitation-specific review criteria, if _x000D_
applicable_x000D_
_x000D_
_x000D_
_x000D_
Summary Statement_x000D_
_x000D_
Good research and education plan, but unclear if significant original techniques will emerge._x000D_
_x000D_
</t>
  </si>
  <si>
    <t xml:space="preserve">In the context of the five review elements, please _x000D_
evaluate the strengths and weaknesses of the proposal with respect to intellectual merit._x000D_
_x000D_
Strengths:_x000D_
_x000D_
The proposal outlines a research plan for designing new data analytic methods. These new methods are based on developing new similarity measures and summarizations that are inspired by both topological data analysis (TDA) and statistics. Traditionally, the TDA approach consists of summarizing the topological structure of some input point set (or, more generally, some subset of a host metric space) via the persistence diagram. This diagram captures information about the topology of the input at all possible scales. The PI proposes to consider the persistence diagram of small "patches" of the input, and then take a statistical summary over all patches. This is an interesting idea. It has the potential to transfer tools and ideas between TDA and statistics, and to lead to new algorithmic and statistical tools._x000D_
_x000D_
The PI has several results in the area of TDA and is well-positioned to conduct the research plan._x000D_
_x000D_
Weaknesses:_x000D_
_x000D_
The proposed method is not compared extensively to prior work. Does the persistence diagram already contain statistical information about all the patches?_x000D_
_x000D_
In the context of the five review elements, please _x000D_
evaluate the strengths and weaknesses of the proposal with respect to broader impacts._x000D_
_x000D_
Strengths:_x000D_
_x000D_
The project aims to study interesting real-world data sets, such as the large-scale structure of the cosmic web. The PI seems to actively pursue application domains where TDA can lead domain experts to new insights._x000D_
_x000D_
The PI has also contacted, and plans to pursue further collaboration with industry, such as Uber. The proposed research plan related to the analysis of road networks seems to be of great relevance in such domains._x000D_
_x000D_
_x000D_
Please evaluate the strengths and _x000D_
weaknesses of the proposal with respect to any additional solicitation-specific review criteria, if _x000D_
applicable_x000D_
_x000D_
The educational component of the proposal is very strong. The PI plans, among other activities, to write a book on interdisciplinary research aimed at a children audience._x000D_
_x000D_
The PI is committed to pursue a leadership role in diversity-centered initiatives in her local community._x000D_
_x000D_
Summary Statement_x000D_
_x000D_
This is an interesting proposal that aims to study a general class of questions in the intersection of TDA and statistics. It has the potential for interesting new methods and tools._x000D_
_x000D_
</t>
  </si>
  <si>
    <t>The proposed project lies in the intersection of computer science, mathematics, and statistics; specifically, in topological data analysis (TDA). The long-term career goal of PI Fasy is to help establish TDA as a fundamental toolset in data science by creating and applying new tools and algorithms that can be easily adopted across different domains. As a step towards this goal, the project's research objectives and activities align to build a toolset for the analysis of heterogeneous data. The approach taken is to view the data as a set of (small- to medium-sized) regions of interest (ROIs). Each ROI is then described by a local descriptor (e.g., the persistent local homology diagram). These descriptors are topological invariants that provide new insights into the structure of data. Moreover, the distribution of descriptors computed from the ROIs is used as a global summary of the data that encapsulates the heterogeneity. _x000D_
_x000D_
Interdisciplinary research is often highly collaborative, and benefits from diversity. In particular, the educational component of this project focuses on the academic development of first-generation college students. Beginning with outreach events to elementary schools in rural and American Indian communities throughout Montana, this project will work towards building the sense of belonging of first-generation students as researchers in interdisciplinary fields. The educational activities will also include writing a children's book loosely based around the PI's own experience as a first-generation college student, and visiting schools (both elementary and colleges) in the greater Big Sky area in order to promote computer science and interdisciplinary research careers.Building upon the expertise of the PI in TDA and statistical methods for TDA, this project introduces a new framework for analyzing large heterogeneous data sets. In many application domains, the information captured by topological descriptors that has only been described qualitatively (and anecdotally) to date. The results of this project are expected to have an impact on domains such as road network analysis, as the methodology developed will enable expert interpretation via conversations centered around particular ROIs chosen from the investigation into pairwise distances between ROIs. In particular, PI Fasy and her research group will work in collaboration with an urban planning expert to bring practical needs of the domain into light when developing new analysis methods. These insights from local topological descriptors will provide a reproducible and quantitative mechanism for capturing the inherently qualitative data.Promoting diversity at all levels is essential for successful interdisciplinary research. The proposed educational activities will promote the sense of belonging of first-generations students as graduate students in STEM, and more generally as future academics in interdisciplinary domains. Increasing the sense of belonging will allow for first-generation students to enter graduate school on an equal playing field with their peers, which will, in turn, bring new perspectives in research collaborations. In addition to diversity of backgrounds, diversity of training is important. Formally trained in mathematics and computer science and with strong collaborations and publication history in statistics, PI Fasy is well-situated to conduct a successful research program at the intersection of these three domains. As a result, this project will produce usable, theoretically grounded, data science tools currently in demand. The success of this proposal will be a major step forward in producing usable and theoretically grounded data science tools that make the structural insights of TDA accessible to domain experts.</t>
  </si>
  <si>
    <t xml:space="preserve"> Panel Summary       
 _x000D_
SUMMARY OF PROPOSED RESEARCH ACTIVITY_x000D_
_x000D_
_x000D_
Description: This proposal develops algorithms, data structures, and lower bounds in the parallel external memory (PEM) model. The proposal makes the case that the PEM model is well suited for studying the simultaneous impact of parallelism and locality of reference.  To date, there exist few algorithmic models that capture both of these important aspects of modern computation. _x000D_
_x000D_
The PI proposes to develop algorithms and data structures in the PEM model.  Lower bounds and experimental evaluation are also a component of the proposed work._x000D_
_x000D_
 _x000D_
_x000D_
INTELLECTUAL MERIT_x000D_
_x000D_
Strengths_x000D_
_x000D_
+ The panel appreciated the effort taken to obtain the right model. The panel also appreciated the comparison with other computational models._x000D_
_x000D_
+ The panel appreciated the justification for the research area._x000D_
_x000D_
+ The PI has a strong track record in this field and a plausible plan of attack. _x000D_
_x000D_
Weaknesses_x000D_
_x000D_
- The proposal would benefit from a more careful job of formalizing each research problem._x000D_
_x000D_
- The proposal would also benefit from a better articulated plan for solving the research problems. _x000D_
_x000D_
- The proposal should make a stronger case about why standard techniques from PRAM algorithms and existing random-sampling-based techniques from computational geometry don't apply. In particular, what are the new insights/techniques that are truly special to the PEM model? _x000D_
_x000D_
_x000D_
_x000D_
_x000D_
BROADER IMPACTS_x000D_
_x000D_
_x000D_
Strengths_x000D_
_x000D_
+ The PEM model is well motivated and has potential to lead to wider adoption of algorithms by practitioners. _x000D_
_x000D_
+ The PI is from a minority-serving institution and has some interesting approaches for increasing diversity. _x000D_
_x000D_
_x000D_
Weaknesses_x000D_
_x000D_
- None discussed._x000D_
 _x000D_
_x000D_
ADDITIONAL REMARKS_x000D_
_x000D_
The research plan is clear and appropriate. _x000D_
_x000D_
The Data Management Plan is above threshold for this project._x000D_
_x000D_
The results of prior support are clearly stated._x000D_
_x000D_
The educational component of the proposal was well thought out and innovative. _x000D_
_x000D_
_x000D_
Suggestions to PI: _x000D_
_x000D_
_x000D_
Do a more careful job of formalizing each research problem, give a more carefully wrought plan for solving each problem, and establish that the new insights/techniques that are truly special to the PEM model. Demonstrate the technical depth of the research. _x000D_
_x000D_
 _x000D_
_x000D_
Justification for Panel Rating: _x000D_
_x000D_
_x000D_
Because of a compelling model and the potential for broad impact coupled with the concerns about the research program, the panel viewed this as a low competitive proposal. _x000D_
 _x000D_
_x000D_
Panel Rating:_x000D_
_x000D_
_ Highly Competitive_x000D_
_x000D_
_ Competitive_x000D_
_x000D_
X Low Competitive_x000D_
_x000D_
_ Not Competitive_x000D_
_x000D_
The summary was read by/to the panel and the panel concurred that the summary accurately reflects the panel discussion._x000D_
_x000D_
 _x000D_
</t>
  </si>
  <si>
    <t xml:space="preserve">In the context of the five review elements, please _x000D_
evaluate the strengths and weaknesses of the proposal with respect to intellectual merit._x000D_
_x000D_
This proposal develops algorithms, data structures, and lower bounds in the parallel external memory (PEM) model. The PI argues (and I agree) that this is a great model in which to study the impact of parallelism and locality of reference. Both are first-order concerns on modern computational platforms. Although practitioners know that they need to consider both locality of reference and parallelism in order to achieve good performance, there is relatively few algorithmic models that consider both. _x000D_
_x000D_
The PEM model was originally proposed (by the PI) for modeling private caches in shared memory multicores, but it is also useful for modeling GPU and flash/SSD performance. The parallel external memory model assumes a large RAM, and many CPUs, each with their own private caches. I/Os are expensive, and you can do one I/O to each cache in parallel. _x000D_
_x000D_
The PI proposes to develop algorithms data structures in the PEM model.  Lower bounds and experimental evaluation are also a component of the proposed work._x000D_
_x000D_
I next describe some aspects of the writing that I really liked as well as suggestions for improvement._x000D_
_x000D_
First of all, I appreciated the explanation about why the work is so important. It's often difficult to step back and justify the proposed research in general terms, and this proposal does a great job.  I also like like the research program. Given a (relatively) new model, it makes sense to try to solve problems in it, especially problems that practitioners will ultimately be interested in._x000D_
_x000D_
I now describe some ways in which this (already very nice) proposal could be improved._x000D_
_x000D_
On one hand, I really like the intuitive way that the research problems are phrased. The problems can be understood even without diving into the PEM formalism. _x000D_
_x000D_
On the other hand, this informal description means the the research problems at first seen less important than they really are. For example, look at the first research problem: "Question 1. Is there [a] difference between multiway merging and multiway distribution in the PEM model?"  I wouldn't want to give up the informality of this question (although the PI should do a better job of explaining what merging and distribution are, since these are buzzwords that are not generally known). However, the research problem is a rather vague and could also benefit from formal supporting sentences. Are we interested in a transformation, a classification of which problems benefit from which technique, lower bounds, etc?  While I understand that the research problems are often deep, this minor tweak (which could probably be accomplished in an hour or two) may make the problems seem more important._x000D_
_x000D_
The research program seems compelling, but I wish the PI would elaborate even more on how he attempts to solve some of the problems. This is particularly important since once you have a model, it's not hard to list a whole bunch of problems that you want to solve in the model. Having said this, the PI has a great track record, I have no doubt that he will make significant progress on the proposed problems._x000D_
_x000D_
_x000D_
_x000D_
In the context of the five review elements, please _x000D_
evaluate the strengths and weaknesses of the proposal with respect to broader impacts._x000D_
_x000D_
This proposal makes an especially strong case about how algorithmic foundations can affect production computing.  That is, the proposal starts from real computational problems, gives a theoretical model that has the potential for solving these problems, and makes a compelling case for research in these models.  The proposed research is core theory that can have relatively immediate impact on other areas._x000D_
_x000D_
The educational and mentoring component is nice and well above bar._x000D_
_x000D_
_x000D_
Please evaluate the strengths and _x000D_
weaknesses of the proposal with respect to any additional solicitation-specific review criteria, if _x000D_
applicable_x000D_
_x000D_
_x000D_
_x000D_
Summary Statement_x000D_
_x000D_
Because of the connection between theory and practice,  the proposed research program, and potential large impact, I view this as a VG proposal._x000D_
_x000D_
</t>
  </si>
  <si>
    <t xml:space="preserve">In the context of the five review elements, please _x000D_
evaluate the strengths and weaknesses of the proposal with respect to intellectual merit._x000D_
_x000D_
The proposed research is about designing algorithms and data structures in the so-called Parallel External Memory (PEM) model that was introduced as part of the PI's PhD dissertation in '08 (also appeared in the PI's paper with Arge, Goodrich, and Nelson in SPAA'08). The model can be viewed as a combination of the standard External Memory model with the PRAM model for parallel computation. The PI plans to address numerous questions about the model, such as the complexity of multiway merging vs. distribution, computational geometry problems such as segment intersection, batched point location, 3D convex hull, data structure problems such as buffer trees, persistence, segment trees, lower bounds, and experimental results._x000D_
_x000D_
The model seems attractive and the proposal well written. The PI is also a solid researcher with many publications on external memory algorithms, data structures, GPU computation, and relevant topics._x000D_
_x000D_
One concern is whether there is sufficient intellectual depth of the proposed problems, i.e., whether the proposal will result in innovative algorithmic techniques, rather than just variations of existing techniques._x000D_
_x000D_
_x000D_
In the context of the five review elements, please _x000D_
evaluate the strengths and weaknesses of the proposal with respect to broader impacts._x000D_
_x000D_
The PEM model is well motivated and has potential to lead to wider adoption of algorithms by practitioners. The education component discusses some interesting ideas about "flipped classrooms"._x000D_
_x000D_
_x000D_
Please evaluate the strengths and _x000D_
weaknesses of the proposal with respect to any additional solicitation-specific review criteria, if _x000D_
applicable_x000D_
_x000D_
_x000D_
_x000D_
Summary Statement_x000D_
_x000D_
A well written proposal, but unclear if substantial new techniques will emerge._x000D_
_x000D_
</t>
  </si>
  <si>
    <t xml:space="preserve">In the context of the five review elements, please _x000D_
evaluate the strengths and weaknesses of the proposal with respect to intellectual merit._x000D_
_x000D_
The PI proposes to develop a theory of PEM (Parallel External Memory) Algorithms. The assumption here is that there are many processors, each operating in parallel, as in a multi-cote architecture. Each core might have a substantial cache, and hence, locality of data accesses is desirable. The PI makes the case that there is sufficient complexity due to parallelism that at this stage of our understanding, the PEM model offers more insight than the more complex parallel cache-oblivious models. The PI proposes a large class of problems of fundamental interest, including the list ranking problem, bfs, and convex hulls, and provides a plausible approach for each problem._x000D_
_x000D_
Given the large importance of parallel architectures, this proposal is timely. The proposed research will also draw connections between the Bulk Synchronous Processing Model and the PEM model. One potential concern is that given the large amount of literature on both the external and cache-oblivious memory models on the one side, and the PRAM models on the other, the intellectual contribution might be limited to synthesizing ideas from both sides. However, the PI anticipates this concerns, and partially answers it by providing a concrete example (red-blue line segment intersection reporting) where the correct answer changes depending on the nuance of the model._x000D_
_x000D_
_x000D_
In the context of the five review elements, please _x000D_
evaluate the strengths and weaknesses of the proposal with respect to broader impacts._x000D_
_x000D_
The PI is developing a strong curriculum in parallel algorithms. He works at a University that serves a large low-income and minority population, and will use REUs as a tool to engage several students in research._x000D_
_x000D_
One weakness (and this may just be a writing issue) is that the PI mentions that he is in contact with several initiatives that will improve education for Hawaiian students, but does not clarify how he intends to engage with them._x000D_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</si>
  <si>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project studies parallel algorithms using Parallel External_x000D_
Memory Model (PEM), which was introduced by the PI (with his_x000D_
thesis advisor) in his dissertation. PEM is a generalization of_x000D_
PRAM and sequential EM model. The PI plans to design PEM algorithms_x000D_
for solving graph and computational geometry problems. The project_x000D_
also considers data structures that explore locality and are_x000D_
suitable for parallel algorithms. The PI plans to obtain lower_x000D_
bound results for PEM model._x000D_
_x000D_
While the PEM model is relatively new, the approaches described in_x000D_
the proposal are extensions of previous parallel algorithms research._x000D_
_x000D_
Within each research area, a set of related problems are discussed._x000D_
The methods for solving them, in some cases, are not clearly specified._x000D_
_x000D_
_x000D_
In the context of the five review elements, please _x000D_
evaluate the strengths and weaknesses of the proposal with respect to broader impacts._x000D_
_x000D_
PEM is more practical than the traditional PRAM, and takes external_x000D_
memory access into cost consideration. It may be easier to implement_x000D_
PEM algorithms on multi-core machines. The PI has done experimental work using this model, and will continue do so in this project._x000D_
_x000D_
The PI works in a minority serving institution. He is active in_x000D_
outreach activities (both for high school and undergraduate students)._x000D_
The PI has and will continue to incorporate parallel algorithms into_x000D_
undergraduate CS education._x000D_
_x000D_
A particular activity, "Parallel algorithms as a flipped classroom",_x000D_
probably does not belong to this category: One can "flip" any class_x000D_
to improve teaching effectiveness. It is not connected to this project_x000D_
in any particular way._x000D_
_x000D_
_x000D_
Please evaluate the strengths and _x000D_
weaknesses of the proposal with respect to any additional solicitation-specific review criteria, if _x000D_
applicable_x000D_
_x000D_
_x000D_
_x000D_
Summary Statement_x000D_
_x000D_
PEM is more practical than the traditional PRAM, and takes external_x000D_
memory access into cost consideration. The PI has done experimental_x000D_
work using this model, and will continue do so in this project._x000D_
Several groups of problems related to parallel algorithms are considered in this project. Within each research objective, a set of related problems are discussed. The methods for solving them, in some cases, are not clearly specified._x000D_
_x000D_
The PI has done good work in this area, and is well qualified for_x000D_
the proposed research._x000D_
_x000D_
The Departmental letter of support did not print with the proposal._x000D_
_x000D_
_x000D_
</t>
  </si>
  <si>
    <t>We propose to study the limits of computation when combining parallelism and locality of reference in algorithms. Parallel algorithms which take advantage of locality of reference result in lower inter-processor communication, which is the bottleneck to the scalability of combinatorial algorithms on modern parallel architectures. In case of multicore architectures with deep memory hierarchies, locality-conscious algorithms translate into cache-efficient implementations, which have been shown to be faster and more scalable than implementations of the classical PRAM algorithms. _x000D_
_x000D_
At a first glance, the two objectives seem to have conflicting requirements: parallelism emphasizes disjoint tasks, while locality of reference emphasizes access to contiguous data. Yet, surprisingly, a few locality-conscious parallel algorithms have already been developed. We propose to provide a comprehensive study of what it takes to develop such algorithms, and in the process develop algorithms, data structures and general algorithmic techniques to solve computational problems while focusing on the requirements of both parallelism and locality of reference. Finally, we will study the limits of such computations, proving lower bounds in the process.The result of the proposed research will be a collection of algorithms and data structures in the parallel external memory (PEM) model, which we will argue is a suitable model to study parallel locality-conscious algorithms. The proposed research will also result in new techniques for proving lower bounds (as well as a collection of concrete lower bound results) for parallel computation in the presence of faster local memories (caches). In addition to saving unnecessary research efforts on trying to find solutions that are provably impossible, lower bound results might provide guidance in the design of future parallel architectures._x000D_
_x000D_
While our work is primarily theoretical in nature, we also plan to implement our algorithms and test them on the latest multicore systems to make sure that empirical evaluations match the theoretical predictions. We will develop and disseminate our implementations as open-source libraries for free use by the research community.Over time, locality-conscious parallel algorithms will lead to better utilization of computing resources and their implementations as libraries will lead to wider adoption of parallel computing among software developers._x000D_
_x000D_
From the educational point of view, this grant will support the PI in flipping the parallel algorithms course. Flipped courses have been shown to result in better engagement of students in the classrooms and, consequently, better understanding and retention of the material. The outcome of PI's efforts will be online videos/screencasts of the lectures that will be published openly online to be used freely by anyone._x000D_
_x000D_
This grant will fund a Ph.D. student over five years and provide topics for M.S. theses and undergraduate research. University of Hawaii is an underrepresented minority education institution serving the Native Hawaiian population. The REU supplements from the grant will fund undergraduate students that currently work part-time off-campus to supplement their income while seeking higher education. Thus, this grant will help bring students of modest means to the forefront of science and technology.</t>
  </si>
  <si>
    <t xml:space="preserve"> Panel Summary       
  SUMMARY OF PROPOSED RESEARCH ACTIVITY_x000D_
_x000D_
_x000D_
The PI proposes to develop efficient algorithms for computing maximum edge-weight cliques in a weighted graph. In particular, he plans to develop new branch-and-bound exact algorithms as well as heuristics. He plans to do implementation of the algorithm and compare with implementation with commercial solvers. He also proposes to evaluate them empirically on real data sets arising in molecular biology such protein-protein interaction and gene expression data. _x000D_
_x000D_
INTELLECTUAL MERIT_x000D_
Strengths_x000D_
Solving max clique and max-edge weighted clique problems are important problems in both theory and practice. Any new insights on these classes of problems will be a significant advance._x000D_
Weaknesses_x000D_
The proposal lacks originality and plans to implement are straightforward variations._x000D_
_x000D_
BROADER IMPACTS_x000D_
_x000D_
Strengths_x000D_
Development of new algorithms for clique problems can have significant impact in various applications including biological applications studied by the PI. Moreover, PI aims to train students at the university. _x000D_
_x000D_
Weaknesses_x000D_
_x000D_
The algorithms are simple extensions of previous work and will not have much broader impact._x000D_
 _x000D_
_x000D_
ADDITIONAL REMARKS_x000D_
_x000D_
Research plan:_x000D_
_x000D_
PI gives a detailed plan. _x000D_
_x000D_
_x000D_
Data Management Plan:_x000D_
Adequate._x000D_
_x000D_
Results of prior support:  _x000D_
None._x000D_
 _x000D_
_x000D_
Suggestions to PI: _x000D_
The max-clique problem is hard in practice as well as theory. PI could identify significantly new approaches from previous work that aim to attack the problem either theoretically or in practice. For example, if PI can identify the relevant graph structure for biological data in consideration, then PI can aim to develop algorithms (either in theory or practice) that aim to solve the problem for the graphs satisfying these identified property._x000D_
_x000D_
Justification for Panel Rating: _x000D_
_x000D_
The panel expected more novelty from the proposal._x000D_
_x000D_
_x000D_
Panel Rating: _x000D_
_x000D_
_ Highly Competitive_x000D_
_x000D_
_ Competitive_x000D_
_x000D_
_ Low Competitive_x000D_
_x000D_
X_ Not Competitive_x000D_
_x000D_
The summary was read by/to the panel and the panel concurred that the summary accurately reflects the panel discussion._x000D_
_x000D_
_x000D_
_x000D_
 _x000D_
</t>
  </si>
  <si>
    <t xml:space="preserve">In the context of the five review elements, please _x000D_
evaluate the strengths and weaknesses of the proposal with respect to intellectual merit._x000D_
_x000D_
The PI proposes to develop efficient algorithms for computing maximum edge-weight cliques in a weighted graph. In particular, he plans to develop new branch-and-bound exact algorithms as well as heuristics. He also proposes to evaluate them empirically on real data sets arising in molecular biology such protein-protein interaction and gene expression data._x000D_
_x000D_
Although finding  edge-weighted cliques is a useful problem, the proposed research is unlikely to make theoretical advances on this problem, as this is not the goal of the proposal. There is much work on finding large cliques in biological data. The proposed work should be compared with those methods; there is hardly any discussion on this line of work._x000D_
_x000D_
The project plan section is terse and it's hard to evaluate the significance of the proposed work._x000D_
_x000D_
The PI has done some work in this area, so he is likely to make progress on the proposed research._x000D_
_x000D_
In the context of the five review elements, please _x000D_
evaluate the strengths and weaknesses of the proposal with respect to broader impacts._x000D_
_x000D_
The broader impact section of the proposal is adequate for a CRII proposal, though it mostly focuses on student training._x000D_
_x000D_
Please evaluate the strengths and _x000D_
weaknesses of the proposal with respect to any additional solicitation-specific review criteria, if _x000D_
applicable_x000D_
_x000D_
_x000D_
_x000D_
Summary Statement_x000D_
_x000D_
This is an applied proposal on computing maximum edge-weight cliques in a weighted graph.  The project plan section is short and vague and it's hard to evaluate the originality of the proposed research. Also, it's not clear whether CCF is the right division for this proposal._x000D_
_x000D_
</t>
  </si>
  <si>
    <t xml:space="preserve">In the context of the five review elements, please _x000D_
evaluate the strengths and weaknesses of the proposal with respect to intellectual merit._x000D_
_x000D_
The proposal studies a graph-theoretic problem: "Maximum Edge-Weight_x000D_
Clique Problems (MEWCP, and its variations) and their applications._x000D_
_x000D_
The step-by-step research plan is clear and the activities for_x000D_
each step is detailed. These are good._x000D_
_x000D_
The scope of the project is narrow. It seems that the first_x000D_
research goal "Design of Exact Algorithms" has been done already_x000D_
(which is pretty). The remaining parts of the project is_x000D_
to design heuristic algorithm and experimenting these algorithms_x000D_
on graphs from real world applications. The PI should specify_x000D_
detailed goals of the heuristic algorithm design stage. (Are there_x000D_
specific performance goals to be achieved? etc)_x000D_
_x000D_
The PI should also describe how this project fits into his_x000D_
long term research agenda._x000D_
_x000D_
In the context of the five review elements, please _x000D_
evaluate the strengths and weaknesses of the proposal with respect to broader impacts._x000D_
_x000D_
The PI mentioned that these problems have real world applications._x000D_
But the proposal didn't make a convincing case. In the section_x000D_
"Modeling of Real World Problems as MEWCP Problems", the PI discusses_x000D_
the metrics to be used and the graphs to be tested. It would be better_x000D_
to mention what a MEWC in these graphs represents in the applications._x000D_
_x000D_
The "Education Plan" details student training, specifically tied to_x000D_
the stages of project stages. It is better if PI also describes how such training and experience benefit students in terms of their long term career goals._x000D_
_x000D_
Please evaluate the strengths and _x000D_
weaknesses of the proposal with respect to any additional solicitation-specific review criteria, if _x000D_
applicable_x000D_
_x000D_
_x000D_
_x000D_
Summary Statement_x000D_
_x000D_
The project focuses on a group of related problems. The step-by-step_x000D_
research plan is specific and detailed. However, the scope of_x000D_
the project is narrow._x000D_
_x000D_
Broader Impacts is limited to student training (mostly associated with_x000D_
program development and experiment). The proposal will be stronger if_x000D_
the PI can demonstrate such activities will also enhance their research capability. It will be better if the PI also describes applications of MEWCP, and how it affects other fields in CS._x000D_
_x000D_
_x000D_
</t>
  </si>
  <si>
    <t xml:space="preserve">In the context of the five review elements, please _x000D_
evaluate the strengths and weaknesses of the proposal with respect to intellectual merit._x000D_
_x000D_
_x000D_
This proposal looks at the max edge-weighted clique problem.  Strong impossibility results for the max clique problem indicate there is little hope of an efficient algorithm for this generalization.  Instead, the PI proposes studying an exact inefficient algorithm and heuristics.  The proposed approach is fairly straight-forward, and so I don't expect these goals to be transformative.  Next, the PI suggests evaluating these algorithms on real-world data.  There is a description of the data, but no preliminary results suggesting these algorithms will make any headway on this data.  Also, while the PI claims that this problem is important in practice, and is proposing to test the algorithms on real data, I did not understand why the solutions are useful in the application domains.  What, in biology, corresponds to the max-edge-weighted clique problem?_x000D_
_x000D_
In the context of the five review elements, please _x000D_
evaluate the strengths and weaknesses of the proposal with respect to broader impacts._x000D_
_x000D_
The main broader impact of the proposal is to give students practical training.  By designing and implementing algorithms, and using existing solvers, the students will be better equipped to pursue successful careers in industry.  This is certainly a good broader impact.  I would have appreciated more discussion of how the PI would make sure to reach under-represented minorities in this effort._x000D_
_x000D_
Please evaluate the strengths and _x000D_
weaknesses of the proposal with respect to any additional solicitation-specific review criteria, if _x000D_
applicable_x000D_
_x000D_
_x000D_
_x000D_
Summary Statement_x000D_
_x000D_
The proposal is a good effort, but needs some work both motivating the research agenda and expanding it to include more transformative and innovative research ideas._x000D_
_x000D_
</t>
  </si>
  <si>
    <t xml:space="preserve">In the context of the five review elements, please _x000D_
evaluate the strengths and weaknesses of the proposal with respect to intellectual merit._x000D_
_x000D_
PI proposes to develop new methodologies for weighted clique problem by designing exact and heuristic algorithms and implementing on data from real world problems. _x000D_
The proposal lacks originality in the directions proposed and has potential of low impact even if successful._x000D_
_x000D_
PI should decide to focus on the theoretical algorithms or their impact on data from real work (biological data). The latter can benefit from developing algorithms that incorporate features of the data._x000D_
_x000D_
In the context of the five review elements, please _x000D_
evaluate the strengths and weaknesses of the proposal with respect to broader impacts._x000D_
_x000D_
PI aims to involve students in the research proposed._x000D_
_x000D_
Please evaluate the strengths and _x000D_
weaknesses of the proposal with respect to any additional solicitation-specific review criteria, if _x000D_
applicable_x000D_
_x000D_
_x000D_
_x000D_
Summary Statement_x000D_
_x000D_
The intellectual merit proposed is limited._x000D_
_x000D_
</t>
  </si>
  <si>
    <t xml:space="preserve"> Panel Summary       
 SUMMARY OF PROPOSED RESEARCH ACTIVITY_x000D_
_x000D_
Description:_x000D_
_x000D_
The PI studies multi-objective and multiplicative optimization. He notes that there is little theory and few practical tools dealing with these problems. Fast and accurate tools for these problems based on theory might help them become more widely used in practice. _x000D_
_x000D_
The PI will develop this theory, studying when multiple objectives can be combined and when the polytope can be cut._x000D_
_x000D_
INTELLECTUAL MERIT_x000D_
_x000D_
Strengths_x000D_
_x000D_
+ The proposal discusses reasonably interesting problems._x000D_
+ There is a well-explained approach._x000D_
+ The idea to use multi-objective optimization for multiplicative objective optimization is creative._x000D_
+ The PI genuinely cares about links to practice._x000D_
_x000D_
Weaknesses_x000D_
_x000D_
- The property of being universally co-ideal seems to be very strong. It would thus be useful to have a discussion of what problems in practice give rise to objectives having this property._x000D_
- It would be more convincing if the PI included additional approaches, rather than relying so heavily on the concept of universally co-ideal.  _x000D_
- The PI could include an indication of the long-term potential/future research directions enabled by this proposal._x000D_
- The PI should be more ambitious in the research goals. _x000D_
_x000D_
BROADER IMPACTS_x000D_
_x000D_
Strengths_x000D_
_x000D_
+ The PI mentions mentoring, curriculum development, and dissemination plans._x000D_
+ The PI indicates the problems have connections to industry._x000D_
_x000D_
Weaknesses_x000D_
_x000D_
- The PI could make connections to industries to help transfer the technologies developed in this proposal._x000D_
- The PI could mention more explicit ideas around any one of the indicated broader impacts, and/or suggest other broader impacts like public outreach or diversity efforts._x000D_
_x000D_
ADDITIONAL REMARKS_x000D_
_x000D_
Research plan: _x000D_
_x000D_
* The research plan has two streams, both of which seem tractable._x000D_
_x000D_
Data Management Plan: _x000D_
_x000D_
* There is an adequate data management plan._x000D_
_x000D_
Justification for Panel Rating: _x000D_
_x000D_
* The PI demonstrates the ability to set up a research agenda by clearly defining an area and questions in that area.  However, the PI should be more ambitious and have a larger diversity of problems and approaches. _x000D_
_x000D_
Panel Rating: _x000D_
_x000D_
_ Highly Competitive_x000D_
_ Competitive_x000D_
X Low Competitive_x000D_
_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</si>
  <si>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studies multi-objective and multiplicative optimization.  _x000D_
_x000D_
The PI notes that many optimization problems involve tradeoffs between various objectives, and the optimizer may wish to find the Pareto frontier in order to contemplate these tradeoffs.  Off-the-shelf optimization tools are quite effective at single-objective optimization, but have little to offer in the way of multi-objective optimization.  The PI proposes some techniques for the multi-objective case, including looking for universally co-ideal objectives and valid inequalities.  _x000D_
_x000D_
The PI then suggests extending these techniques to solve multiplicative objectives such as those used in economic applications.  As the variables in these problems are all positive, existing solutions solve them via linear programming by maximizing the log of the objective.  The PI claims in numerical simulations, his techniques outperform this approach with 2 variables.  He proposes to extend it to multiple variables._x000D_
_x000D_
The proposed research seems tractable, and the PI has the expertise to solve the problems he poses.  _x000D_
_x000D_
I was not entirely convinced of the intellectual merit of multi-objective optimization.  I would have appreciated a convincing case of where quickly solving multi-objective optimization is crucial to an application.  There is a bulleted list of potential applications, but picking one of these and delving into the details would have been instructive.  It  also seems that one can trace out a Pareto frontier by optimizing different weighted sums of the objectives; I wonder how the proposed solutions compare to that.  _x000D_
_x000D_
As for the multiplicative objective, I would have liked to hear more about the speedup over the sum-of-logs solution, as well as a discussion of how that might scale to p&gt;2.  Seems like both solutions would be very fast for p=2._x000D_
_x000D_
In the context of the five review elements, please _x000D_
evaluate the strengths and weaknesses of the proposal with respect to broader impacts._x000D_
_x000D_
The broader impacts include student mentoring, curriculum development, and dissemination via publication at journals/conferences.  There is not much or creativity detail here._x000D_
_x000D_
Please evaluate the strengths and _x000D_
weaknesses of the proposal with respect to any additional solicitation-specific review criteria, if _x000D_
applicable_x000D_
_x000D_
None._x000D_
_x000D_
Summary Statement_x000D_
_x000D_
Okay to fund as a starter grant, but not a high priority._x000D_
_x000D_
</t>
  </si>
  <si>
    <t xml:space="preserve">In the context of the five review elements, please _x000D_
evaluate the strengths and weaknesses of the proposal with respect to intellectual merit._x000D_
_x000D_
This proposal focuses on the design of new algorithms for multi-objective linear optimization problems. Such problems arise in many real world scenario but there is lack of methods for solving them that would be as efficient methods as the methods we have for solving traditional, single-objective linear optimization problems, i.e., LPs._x000D_
_x000D_
The PI outlines two research directions:_x000D_
_x000D_
* A method for reducing the number of objectives whenever some subset of them satisfies a property of being universally co-ideal. Checking if given set of objectives is universally co-ideal is (weakly) NP-hard. However, the PI wants to investigate if working with an approximate version of this notion (that can be computed via approximate solving of certain knapsack instances) would still be useful. He also wants to use this notion to come up with a way for generating valid inequalities (for cutting planes algorithm). _x000D_
_x000D_
* Developing efficient algorithm for solving maximum multiplicative programs, which arise in a number of game theory contexts._x000D_
_x000D_
_x000D_
In general, this proposal touches on an important and broadly applicable topic. After all, multi-objective optimization is a very convenient tool (as long as it can be solved quickly). Also, the second research direction seems interesting and worth pursuing. _x000D_
_x000D_
The first research direction, however, could use more motivation. In particular, the property of being universally co-ideal seems pretty strong. Why do we expect interesting multi-objective optimization problems to have objectives that exhibit this property?  _x000D_
_x000D_
Also, the claim that "the ideas presented in this project are completely new and has never discussed in the literature" is somewhat hard to believe. (The sentence is not grammatical too.)_x000D_
_x000D_
In the context of the five review elements, please _x000D_
evaluate the strengths and weaknesses of the proposal with respect to broader impacts._x000D_
_x000D_
The broader impacts are fairly boilerplate. But the PI seems to be interested in having his theoretical ideas have practical impact too, which is definitely a plus._x000D_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</si>
  <si>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PI proposes two directions of research on multi-objective optimization problems. The first direction involves developing fast methods by reducing the objectives by finding dependencies in them. Also, the paper aims to find fast algorithms for generating valid inequalities.  _x000D_
_x000D_
The second direction involve solving a class of polynomial optimization problem using multi-objective linear programming. This class includes problems like computing market equilibrium and other related problems. The direction proposed in interesting. _x000D_
_x000D_
The proposal aims to make solid effort in developing new algorithmic methodologies of multi-objective problems relevant theoretically as well as practically._x000D_
_x000D_
For both parts of the proposal, the PI can be more ambitious in the questions being asked. The first part as stated is an incremental extension of the previous work by PI. PI should ask questions that go significantly beyond the work already done. _x000D_
_x000D_
Second part of the proposal is more interesting and asks questions that go well beyond the previous work of PI. The PI can build on this part and ask few more concrete questions to make the proposal stronger._x000D_
_x000D_
In the context of the five review elements, please _x000D_
evaluate the strengths and weaknesses of the proposal with respect to broader impacts._x000D_
_x000D_
PI aims to incorporate the findings in the curriculum. Due to wide applicability of multi-objective optimization problems, broader impact of the research work can be significantly more than he PI has aimed in the proposal._x000D_
_x000D_
Please evaluate the strengths and _x000D_
weaknesses of the proposal with respect to any additional solicitation-specific review criteria, if _x000D_
applicable_x000D_
_x000D_
_x000D_
_x000D_
Summary Statement_x000D_
_x000D_
The research component of the proposal is interesting and original but not ambitious enough. The broader impact of the proposal as envisioned by the PI is narrow._x000D_
_x000D_
</t>
  </si>
  <si>
    <t>Multi-objective optimization has been experiencing a resurgence of interest in the last decade. This is due, in part, to the ever increasing adoption of optimization-based decision support tools in industry.  Since most real-world problems involve multiple, often conflicting, goals, the desire for multi-objective optimization decision support tools is not surprising. The development of effective, and relatively easy to use, evolutionary algorithms for multi-objective optimization is another contributing factor. Finally, the availability of cheap computing power has played a role._x000D_
In light of the above, this project has two main goals. The first one is motivated by the fact that the speed and power of existing commercial single-objective optimization solvers such as CPLEX or Gurobi are partly because of the significant theoretical and algorithmic advances on developing enhancement techniques during the last few decades. Unfortunately, this topic has received less attention in the field of multi-objective optimization. Consequently, since many engineering or management problems can be formulated as multi-objective binary linear programs, the first goal of this project is to develop theoretical and algorithmic foundations for some enhancement techniques, including reducing the number of objectives and generating valid inequalities, for this class of optimization problems. It is worth mentioning that the findings of this project may result in the development of new technologies that may be incorporated into commercial multi-objective optimization solvers in the future._x000D_
The second goal is to show that the impact of advances on multi-objective optimization techniques goes beyond the field of multi-objective optimization. In fact the attempt is to show that such advances may result in the development of more effective approaches for solving many single-objective optimization problems. In order to do so, this project seeks to show that how a well-known class of single-objective convex (nonlinear) optimization problems with a significant number of applications in game theory (and also statistical estimation and geometry), the so-called maximum multiplicative programs, can be solved by developing a multi-objective linear programming based algorithm in polynomial time. Since such an algorithm solves a maximum multiplicative program by just solving a number of single-objective linear programs, the findings of this project may result in the development of new technologies that is significantly faster than existing commercial (single-objective) convex programming solvers. Also, such an algorithm has potential to be embedded in a branch-and-bound algorithm to solve instances with integer decision variables. So, the enhancement techniques developed in the first part of the project can be customized and employed in the corresponding branch-and-bound algorithm.The ideas presented in this project are completely new and has never discussed in the literature. Consequently, the proposed work has potential not only to make significant theoretical and algorithmic contributions in the field of multi-objective binary linear programming but also it may result in the development of novel and more efficient approaches for solving maximum multiplicative programs. The PI has extensive experience in the field of multi-objective optimization, and has published several papers in highly-ranked journals about it. In fact the proposed research is based on two of the recent papers of the PI. Consequently, there are many initial theoretical and computational results supporting the proposed work. Finally, the PI has access to enough facilities to meet the necessary computing needs.Since most real-world problems involve multiple (often conflicting) goals, the proposed effort will have broader impact and applicability across many sectors, i.e., airline, transportation, healthcare, mining, finance, etc. Namely, improving the ability to solve multi-objective optimization problems will provide critical decision making support for these sectors, and the related prototype implementations will advance the state-of-the-art. Another clear benefit of the proposed effort is that it will result in the development of new technologies for solving maximum multiplicative programs. Another key saliency of the proposed research effort is that the results of the project can be readily incorporated into graduate courses in optimization. Finally, the effort will also contribute to student research training, and the related findings will be widely disseminated in leading research journals and conferences.</t>
  </si>
  <si>
    <t xml:space="preserve"> Panel Summary       
  SUMMARY OF PROPOSED RESEARCH ACTIVITY_x000D_
_x000D_
Description :_x000D_
_x000D_
This proposal aims to develop the theory and applications of so-called "similarity filters", which were recently introduced in a SODA'17 paper by the PI with Pagh, Silvestri, and Sivertsen. These filters must return "true" ALWAYS if a query point is within distance r of a point in a corpus, and must return "false" whp if the point is further away than cr. This is a natural combination of Nearest Neighbor Search with Bloom Filters.  _x000D_
_x000D_
INTELLECTUAL MERIT_x000D_
_x000D_
Strengths_x000D_
_x000D_
+ The problem is important, and the suggested techniques (eg. vector signatures) are elegant and modular._x000D_
+ The panel commented favorably on the indexability problem._x000D_
+ If this effort is successful, these could prove incredibly useful in many data analysis tasks._x000D_
_x000D_
Weaknesses_x000D_
_x000D_
- There is a risk that the problems the PI is proposing are impossible to solve, specially the low query time_x000D_
_x000D_
BROADER IMPACTS_x000D_
_x000D_
Strengths_x000D_
_x000D_
+ Applications of similarity search are ubiquitous, and these data structures may potentially have practical significance, like LSH and Bloom filters._x000D_
+ The PI has developed a course in modern approximation algorithms and is now developing one on applications of hashing._x000D_
+ The PI works at a College with large fractions of minority and low-income students, and is currently mentoring a high school student in Bloom filters._x000D_
_x000D_
Weaknesses_x000D_
_x000D_
- None discussed _x000D_
_x000D_
CAREER SOLICITATION-SPECIFIC REMARKS:_x000D_
_x000D_
Letter of institutional commitment._x000D_
_x000D_
There is a strong letter of institutional commitment from Dr. Zhigang Xiang, Chair Department of Computer Science at Queens College, CUNY._x000D_
_x000D_
Integration of research and education:_x000D_
_x000D_
The PI has developed a course in modern approximation algorithms, and is developing one that will focus on hashing and related randomized algorithms. This suggests a strong integration in the research and education components. The PI already has two undergraduate students involved in this project. The PI is also mentoring a minority student from The Bronx High School of Science, who is doing a project Bloom filters and similarity filters. _x000D_
_x000D_
ADDITIONAL REMARKS_x000D_
_x000D_
Research plan: The length and funds requested are appropriate for this project._x000D_
_x000D_
Collaboration plan: The PI will collaborate with Rasmus Pagh, who has provided a letter. This is likely to be a productive collaboration, and beneficial for the proposed research._x000D_
_x000D_
Data Management Plan: The project does not include any private data, and all code, papers, and synthetic data will be made available on the project web-site. The project may also use existing publicly available data sets._x000D_
_x000D_
Results of prior support:  N/A_x000D_
_x000D_
 _x000D_
_x000D_
Suggestions to PI:_x000D_
_x000D_
The PI might consider developing the idea of indexability to a broader class of hashing techniques_x000D_
 _x000D_
_x000D_
Justification for Panel Rating:_x000D_
_x000D_
The panel found the distance similarity filter to be an important primitive, with many possible applications. The PI's previous work shows existence of these filters, and the new algorithmic problems are well motivated. The education program is well integrated with research._x000D_
_x000D_
Panel Rating:_x000D_
_x000D_
X Highly Competitive_x000D_
_x000D_
_ Competitive_x000D_
_x000D_
_ Low Competitive_x000D_
_x000D_
_ Not Competitive_x000D_
_x000D_
The summary was read by/to the panel and the panel concurred that the summary accurately reflects the panel discussion._x000D_
</t>
  </si>
  <si>
    <t>Abstr</t>
  </si>
  <si>
    <t>rshah</t>
  </si>
  <si>
    <t>Analysing and organising the massive amount of data collected everyday is one of the biggest challenges faced by computer scientists. This impacts almost every field of modern human life, such as health care, military applications, smart cities, transportation, networks, etc. To quickly analyse and organise such huge amounts of data, one needs to develop space and time efficient algorithms, that accelerate the search for information while minimising memory requirements. This project aims to develop space-efficient similarity filters, which quickly filter out queries that have very little similarity from the records existing in the database. This has applications in security, databases, machine learning, file systems, vision, pattern recognition, compression and networks. Apart from the targeted impact of these applications to society, this project also aims at producing the next generation of researchers and promoting under-represented groups in science and technology. Minority undergraduate and high school students will be involved in this project. Queens College, CUNY is a diverse institution, representing a wide range of ethnic minorities and has 28% Hispanic students. In an effort to engage more undergraduate students and women in research (Queens College has roughly 56% female students), the PI plans to offer a new course that develops an understanding of approximate membership and similarity search data structures in the setting of big data._x000D_
_x000D_
_x000D_
Similarity searching is a fundamental problem in this context, where a massive data of records needs to be organised so as to answer quickly queries of the form: given a record, is it similar to some record in the data? Similarity search, modeled as near(est) neighbor search (NNS) is an important and well-studied problem with numerous applications: Given a set P of n points lying in some d-dimensional metric space, the goal is to preprocess P so as to return for a given query point q the point p in P that is closest to q. Exact versions of this problem are hard to solve, and all solutions to the approximate version of the problem require superlinear (more than nd) space. This space usage is prohibitive for many big data settings, where not just n, but d could be huge (e.g., the number of pixels in an image). This project is aimed at developing the theory and applications of Similarity Filters, which are decision (yes/no) based data structures. Given a query q, a (c, r)-similarity filter always returns yes if q is within a distance r of some input point, and returns no with a small error probability (thus some false positives are allowed) if all input points are at least cr away from the query. In recent work by the PI, it was shown that such filters can be built with sublinear (asymptotically less than nd) space. The PI proposes two tasks: 1) to understand the approximation factor-space-query tradeoff for similarity filters, developing tight upper and lower bounds, especially in the sublinear space regime, and 2) to develop I/O efficient Similarity Filters and nearest neighbor data structures, akin to quotient or cascade filters for the approximate membership problem (where the in-RAM Bloom Filter is the standard data structure, used in many networking applications). The overarching goal is to use similarity filters on RAM in conjunction with a disk-based data structure: faraway queries will be filtered quickly, and nearby queries will have their neighbor(s) returned following a slower but cache friendly search. The availability of such a two-layered space-and-time-efficient data structure will greatly boost the scope of applications when the amount of data is massive, especially in databases, networks, security and machine learning.</t>
  </si>
  <si>
    <t xml:space="preserve">In the context of the five review elements, please _x000D_
evaluate the strengths and weaknesses of the proposal with respect to intellectual merit._x000D_
_x000D_
This proposal aims to develop the theory and applications of so-called "similarity filters", which were recently introduced in a SODA'17 paper by the PI with Pagh, Silvestri, and Sivertsen. These filters address the problem of approximate near neighbor search in high dimensional space, like locality sensitive hashing, but with the allowance of false positives (but not false negatives), the goal is to achieve sublinear (o(nd)) space, like Bloom filters did for membership queries. Much of the PI's plans is about improving and extending the results of the SODA paper, e.g., from Hamming space to Euclidean or other spaces, from internal memory to I/O efficient methods, and obtaining conditional lower bounds. Many open problems for future work are listed._x000D_
_x000D_
The PI is an experienced researcher in data structures, having co-authored multiple papers on various topics (3 SODA papers, 1 FOCS paper, and more)._x000D_
_x000D_
_x000D_
In the context of the five review elements, please _x000D_
evaluate the strengths and weaknesses of the proposal with respect to broader impacts._x000D_
_x000D_
Applications of similarity search are ubiquitous, and these data structures may potentially have practical significance, like LSH and Bloom filters. The education and outreach parts of the proposal are brief._x000D_
_x000D_
_x000D_
Please evaluate the strengths and _x000D_
weaknesses of the proposal with respect to any additional solicitation-specific review criteria, if _x000D_
applicable_x000D_
_x000D_
_x000D_
_x000D_
Summary Statement_x000D_
_x000D_
Interesting concept, and a reasonable 2-year research plan._x000D_
_x000D_
_x000D_
</t>
  </si>
  <si>
    <t xml:space="preserve">In the context of the five review elements, please _x000D_
evaluate the strengths and weaknesses of the proposal with respect to intellectual merit._x000D_
_x000D_
_x000D_
The PI proposes to study distance sensitive Bloom filters, which must return 'true' ALWAYS if a query point is within distance r of a point in a corpus, and must return 'false' who if the point is further away than cr. This is a natural combination of Nearest Neighbor Search with Bloom Filters. The problem is important, and the suggested techniques are elegant and modular ù the PI has previously (with co-authors) designed a vector signature that allows progress on this problem. The main difficulty with previous work is that it works primarily on the Hamming cube, and the query time is large (even though the space usage is sublinear). The PI intends to tackle this and several other related problems. The PI also wants to come up with solutions that are scalable in the sense that they act like an index._x000D_
_x000D_
In the context of the five review elements, please _x000D_
evaluate the strengths and weaknesses of the proposal with respect to broader impacts._x000D_
_x000D_
The PI is developing a strong education plan, including a course in modern approximation algorithms. He works at a College with large fractions of minority and low-income students, and the PI is currently mentoring a high school student in Bloom filters. So the broad impact is quite good._x000D_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</si>
  <si>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The PI proposes to develop query and cache efficient similarity filters.  If this effort is successful, these could prove incredibly useful in many data analysis tasks.  The PI has a strong background to work in this area, and has established some preliminary results.  It is a very good proposal._x000D_
_x000D_
_x000D_
In the context of the five review elements, please _x000D_
evaluate the strengths and weaknesses of the proposal with respect to broader impacts._x000D_
_x000D_
The PI proposes further curriculum development  mentoring high school students and undergraduates, and the development of a summer school on material related to the research._x000D_
_x000D_
Please evaluate the strengths and _x000D_
weaknesses of the proposal with respect to any additional solicitation-specific review criteria, if _x000D_
applicable_x000D_
_x000D_
_x000D_
_x000D_
Summary Statement_x000D_
_x000D_
The research, if successful, could have high impact.  The PI is well-qualified to take on these research proposals, and the broader impacts are strong.  This is a very good proposal._x000D_
_x000D_
_x000D_
</t>
  </si>
  <si>
    <t xml:space="preserve"> Panel Summary       
 _x000D_
SUMMARY OF PROPOSED RESEARCH ACTIVITY_x000D_
_x000D_
The proposed research focuses on obtaining better bounds on the rate of convergence of various algorithms for constrained optimization. Specifically, the focus is on coordinate descent, and more generally, block coordinate descent, and alternating direction method of multipliers._x000D_
_x000D_
INTELLECTUAL MERIT_x000D_
_x000D_
Strengths_x000D_
_x000D_
+ The methods that the proposal seeks to study are used in practice, and there are many open questions related to their rate of convergence._x000D_
_x000D_
+ The PI has obtained in a prior work some results on the performance of ADMM with randomly permuted update order. This seems to provide justification of similar heuristics in practice. This suggests that the PI is likely to obtain similar interesting results in the future._x000D_
_x000D_
+ The proposal provides a good starting set of problems for a researcher in the beginning of their career. Given the richness of the problems, it seems likely that the PI will arrive at a more refined set of problems, which can form the basis for a fruitful future research agenda._x000D_
_x000D_
Weaknesses_x000D_
_x000D_
- Some of problems are not described in great detail. Their addition seems to be more of an afterthought._x000D_
_x000D_
_x000D_
BROADER IMPACTS_x000D_
_x000D_
Overall, the broader impacts seem adequate._x000D_
_x000D_
Strengths_x000D_
_x000D_
+ The PI plans to implement his algorithms and release code as open source._x000D_
_x000D_
+ The PI plans to incorporate his research findings in new course. He is also invested in undergraduate teaching._x000D_
_x000D_
_x000D_
ADDITIONAL REMARKS_x000D_
_x000D_
Research plan: Adequate_x000D_
_x000D_
Collaboration plan: Adequate_x000D_
_x000D_
Data Management Plan: Adequate_x000D_
_x000D_
Results of prior support:  Clearly stated_x000D_
_x000D_
 _x000D_
_x000D_
Suggestions to PI: The proposal can be improved by adding more details on some of the problems. For example, what is the plan of attack, and how precisely does it differ for the specific problem?_x000D_
 _x000D_
_x000D_
Justification for Panel Rating: The panel concluded that the problems discussed are interesting both in theory and in practice. The PI is well-positioned to address these problems. This is a good starting set of problems for a researcher at the beginning of their career._x000D_
_x000D_
 _x000D_
_x000D_
Panel Rating:_x000D_
_x000D_
_ Highly Competitive_x000D_
_x000D_
X_ Competitive_x000D_
_x000D_
_ Low Competitive_x000D_
_x000D_
_ Not Competitive_x000D_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</si>
  <si>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In this project, the PI proposes to contribute to the broad field of constrained optimization, more specifically large-scale problems. He proposes to design faster algorithms based on the block-decomposition technique. _x000D_
_x000D_
Intellectual merit:_x000D_
Strengths:_x000D_
Improvements to constrained optimization for large-scale problems are very much needed, all the more as the increase in big data applications. The PI proposes to focus on block-decomposition algorithms and shows that he has already conducted preliminary studies on this topic, which support his proposal. _x000D_
In particular, he proposes to conduct a study of convergence of some common algorithms and to design new algorithms for currently important applications such as neural networks._x000D_
This PI is qualified to conduct this work, and if successful, this project will result in an increased understanding of the use of common algorithms and propose algorithms that draw on this understanding. The proposed work is important as it would shed light on features of commonly used algorithms and would provide better guidance about which algorithm to use for constrained optimization.  In short, such studies are very needed._x000D_
The proposal is well organized and clear.  _x000D_
_x000D_
Weaknesses_x000D_
In the proposal, the PI mentions time complexity, although not always. It is not clear though how large the problems he plans to tackle are. This should be addressed, or at least explicitly mentioned, as the goal of the project is to address large-scale problems. _x000D_
When going over his preliminary results (p.5), the PI presents an approach that he tested for square invertible matrices and he proceeds by mentioning that it is easily extended to other types of matrices. It feels a little rushed. It would be good to mention what results he obtained for such different matrices.  _x000D_
The PI proposes to study convergence of common algorithms. He then proceeds to propose to apply his proposed algorithms to common engineering applications. He will use the techniques he will have studied and proposed on problems that fit the categories he will have considered. However, he also proposes to work on other types of problems and therefore has to make some adjustments to the work he presented earlier. This part (p. 9 and 10) seems disconnected and a sort of a 'catch-all' section. It does not appear to be aligned with the rest of the work, or, if anything, a much longer-term task._x000D_
_x000D_
This problem is reinforced by the fact that there is no timeline for the proposed work so it is hard to assess the feasibility of the proposed project in terms of time, particular the last part on applications. _x000D_
_x000D_
There is no explicit mention of an assessment plan. _x000D_
_x000D_
_x000D_
In the context of the five review elements, please _x000D_
evaluate the strengths and weaknesses of the proposal with respect to broader impacts._x000D_
_x000D_
Broader impact:_x000D_
Strengths_x000D_
If this project is successful, the PI plans to make his methods available as open-source packages and expects that they would influence the design of popular commercial software packages. _x000D_
He also plans to work with female students, 2 of whom he has already identified._x000D_
Finally, he plans to integrate his findings in a graduate course as central material and projects, and in an undergraduate course as a course project. He already teaches these two courses._x000D_
_x000D_
Weaknesses_x000D_
It is not clear how the PI plans to make his open-source packages available. 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an interesting project, well prepared. However, the proposal has some shortcomings (mainly disconnected activities, lack of timeline and assessment plan)._x000D_
_x000D_
</t>
  </si>
  <si>
    <t xml:space="preserve">In the context of the five review elements, please _x000D_
evaluate the strengths and weaknesses of the proposal with respect to intellectual merit._x000D_
_x000D_
This proposal aims to develop theoretical understanding of the impact of various variable cycling rules on the convergence performance of block coordinate gradient descent method and the alternating direction method of multipliers (ADMM). These algorithms are widely used in large scale optimization._x000D_
_x000D_
The PI has strong background in this context and outlines a research plan that combines numerical simulations with theoretical analysis in an interesting way. _x000D_
_x000D_
Overall, this research plan might lead to solid results on an important topic._x000D_
_x000D_
In the context of the five review elements, please _x000D_
evaluate the strengths and weaknesses of the proposal with respect to broader impacts._x000D_
_x000D_
The broader impacts are fairly rudimentary but adequate._x000D_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</si>
  <si>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Strengths:_x000D_
_x000D_
The proposal considers algorithmic questions related to constrain optimization, centered around variants of the gradient descend method. This is a popular method in practice, and has received a lot of attention both in theory and in practice._x000D_
_x000D_
The set of problems considered forms a cohesive and rich plan of attack for the problem. Therefore, it seem plausible that at least one of these venues could be successful._x000D_
_x000D_
Given his past research results, the PI is an expert on this kind of problems, and is therefore well-positioned to conduct the research plan._x000D_
_x000D_
The PI has chosen a set of interesting applications to specific optimization problems, to apply the new methodologies: linear programming, sparsity optimization, and problems motivated from machine learning applications. This is a diverse set of problems that represents a large class of computational tasks._x000D_
_x000D_
Weaknesses:_x000D_
_x000D_
Given the technical nature of some of the problems, it is difficult for a non-expert to evaluate some of the suggested approaches._x000D_
_x000D_
_x000D_
In the context of the five review elements, please _x000D_
evaluate the strengths and weaknesses of the proposal with respect to broader impacts._x000D_
_x000D_
Strengths:_x000D_
_x000D_
The problems considered have direct applications to machine learning, engineering, and scientific computing. It is reasonable to assume that any new algorithms obtained would be of interest in practical domains._x000D_
_x000D_
Furthermore, new insights on the analysis of various natural heuristics could be of interest in the design of algorithms._x000D_
_x000D_
Please evaluate the strengths and _x000D_
weaknesses of the proposal with respect to any additional solicitation-specific review criteria, if _x000D_
applicable_x000D_
_x000D_
Strengths:_x000D_
_x000D_
The set of problems considered is focused enough so that progress can be made within the specified time frame. At the same time, the research agenda, if successful, could set the foundation for future developments in optimization._x000D_
_x000D_
Summary Statement_x000D_
_x000D_
Overall, this is a good proposal. It considers an important set of problems and outlines a reasonable plan for attaching them._x000D_
_x000D_
</t>
  </si>
  <si>
    <t>Constrained optimization problems occur frequently in a wide span of fields, such as machine learning, statistics, signal processing and operation research. Most classical algorithms for constrained optimization are not scalable. For unconstrained optimization, a popular technique is to decompose the large problems into smaller subproblems. However, it is tricky to apply this technique to constrained optimization problems. For instance, directly combining cyclic coordinate descent and dual ascent does not guarantee convergence. Interestingly, we recently found that some simple modification may resolve this divergence issue._x000D_
_x000D_
This project aims to design faster algorithms based on the block decomposition technique for large-scale constrained optimization problems. Following the preliminary results, we will further explore the convergence issues of a few algorithms for solving linearly constrained problems. We will also design new algorithms for some important applications such as neural networks and overlapping group Lasso.The proposed research will substantially advance our understanding of the computational aspects of constrained optimization. Preliminary studies suggest that the interaction of the block decomposition technique and the constraints will lead to some surprising phenomenon and intriguing research questions. Some fundamental questions will be studied in the project, including the convergence rate of randomly permuted algorithms for solving linear systems, and the convergence of ADMM variants for nonnegative least squares and linear programming. This investigation represents a timely direction for research on big data optimization. The insights gained from the study will provide useful guidance for the design of efficient algorithms for constrained optimization problems. The project is interdisciplinary, and draws connections between optimization, numerical algebra and machine learning. The project will not only benefit from research advances in these fields but also contribute new tools and methodology to these fields as well.The proposed research will lead to new computational methods and open source packages that can be readily used in a large collection of big data applications. This project will increase participation of underrepresented groups. The PI is mentoring a few female students who will work on the topic of the proposed research. If this project is funded, the PI will continue to actively involve underrepresented groups in the research and encourage them to pursue the career in science and engineering. The PI teaches courses on linear programming and large-scale optimization for machine learning, and the theoretical questions and algorithms studied in this project will be included in the course material and assignments.</t>
  </si>
  <si>
    <t xml:space="preserve"> Panel Summary       
  SUMMARY OF PROPOSED RESEARCH ACTIVITY_x000D_
_x000D_
Description : _x000D_
In this proposal, the PI proposes to enhance the accuracy and performance of simulations of nonlinear multi-physics multi-scale systems. In particular, he plans to address the problem of closure, which happens when small-scale effects (e.g., turbulences) must be simulated within a scale that is too large to allow modeling them directly. The PI claims that his work, if successful, would solve a long-standing problem about closure modeling in problems that need to be simulated at different scales. To address this problem, the PI proposes to use a range of techniques, mainly centered on the use of machine learning, to support blind deconvolution architectures and Krylov subspace algorithms. _x000D_
_x000D_
INTELLECTUAL MERIT_x000D_
_x000D_
Strengths_x000D_
+ The problem that the PI proposes to address is important._x000D_
+ The PI has experience in the broad research area he plans to address._x000D_
+ The PI is an expert in fluid mechanics, a domain area that would benefit from the success of his proposed work._x000D_
_x000D_
Weaknesses_x000D_
- Although the PI has a bold plan to attack a long-standing problem, the panel feels that such an endeavor calls for clearer evidence that (1) the proposed approach is truly novel -- the panel suggests a more thorough review of the state of the art, and (2) it is likely to be successful._x000D_
- The motivation of the research area in general and of the problem in particular is short and therefore weak. Spending more proposal space on it would make the PI's proposal clearer and stronger._x000D_
- The panel suggests using less jargon and defining terms used in the proposal, all the more when the proposed research is so broad._x000D_
- The PI proposes to use Machine Learning: it is not clear what resources he would need for training and how large such training data should be. _x000D_
- The likelihood that a model obtained through machine learning would be satisfactory (i.e., better than the current ones) is not discussed._x000D_
- It is not clear what the contribution to algorithmic foundations would be._x000D_
_x000D_
BROADER IMPACTS_x000D_
_x000D_
Strengths_x000D_
+ Contributions to fluid dynamics can have a significant impact on many applications, e.g., weather simulation, climate models simulation._x000D_
+ The PI proposes to involve students from under-represented minorities through his institution OK-LSAMP program._x000D_
+ The PI proposes to engage students in research via an app-building activity._x000D_
_x000D_
Weaknesses_x000D_
-  The PI's mention of collaborations should be more specific._x000D_
 _x000D_
ADDITIONAL REMARKS_x000D_
_x000D_
Data Management Plan: was deemed adequate by the panelists. _x000D_
_x000D_
Suggestions to PI: The panel suggests that the PI strengthen his proposal by: (1) exposing a more thorough state of the art, acknowledging, in particular, the existing large body of work in his area of interest, including machine learning efforts, (2) presenting evidence of the likelihood of success of his proposed work, and (3) clearly describing the algorithmic contribution he expects as a result of his proposed work._x000D_
_x000D_
Justification for Panel Rating: Despite the importance of the proposed work, the PI failed to convince that his work is novel enough and promising enough that it has potential to succeed, and if it were to succeed, that it would contribute to enriching the body of knowledge of algorithmic foundations._x000D_
_x000D_
Panel Rating: _x000D_
_ Highly Competitive_x000D_
_ Competitive_x000D_
_ Low Competitive_x000D_
X Not Competitive_x000D_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</si>
  <si>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project explores computational approaches for simulation of nonlinear multiscale systems. The issue is how to make efficient simulations when phenomena need to be simulated at many different scales. The PI proposes a new approach to this problem. The PI claims that his approach has a chance at making significant progress on a problem that has stymied researchers for over 50 years. The PI will uses techniques ranging from blind deconvolution architectures, iterative image deblurring and denoising techniques, Krylov subspace methods, machine learning algorithms, computational discretization and partitioning (in parallel computing environments)  applicable heuristics-free turbulence parameterization for simulations. _x000D_
_x000D_
I have some suggestions for improving the proposal._x000D_
_x000D_
First, devote a little more proposal real estate trying  to "sell the area."  Panelists often come from many different areas, and so spending time describing the importance of research area can increase the probability of getting funded, I believe._x000D_
_x000D_
This proposal uses too much jargon, especially for a program that is as broad as this one.  I recommend trying to write with less jargon and to define more terms._x000D_
_x000D_
The proposal also makes broad claims, some of which I found unconvincing. In particular, I was not convinced that this approach would solve problems that have been around for over five decades. Perhaps a specialist would be convinced by the arguments, but I don't think so._x000D_
_x000D_
_x000D_
In the context of the five review elements, please _x000D_
evaluate the strengths and weaknesses of the proposal with respect to broader impacts._x000D_
_x000D_
The PI is working on important problems.  The proposed work, if successful has the potential for a profound impact on simulations, such as climate models. _x000D_
_x000D_
_x000D_
Please evaluate the strengths and _x000D_
weaknesses of the proposal with respect to any additional solicitation-specific review criteria, if _x000D_
applicable_x000D_
_x000D_
_x000D_
_x000D_
Summary Statement_x000D_
_x000D_
This proposal addresses some of the most important problems in fluid simulation. The proposal does have some issues about presentation._x000D_
_x000D_
</t>
  </si>
  <si>
    <t xml:space="preserve">In the context of the five review elements, please _x000D_
evaluate the strengths and weaknesses of the proposal with respect to intellectual merit._x000D_
_x000D_
A very nice proposal, very ambitious, which has the potential to make a significant contribution to nonlinear multi-scale systems simulations._x000D_
_x000D_
Intellectual merit:_x000D_
Strengths:_x000D_
+ The PI has experience in the field of the proposed work._x000D_
+ The proposal is well written._x000D_
+ The work is clearly laid out, with a plan of work, including plans for testing the new algorithms._x000D_
+ This is a very relevant proposal, well on point and possibly transformative._x000D_
+ The PI has conducted preliminary studies to support his proposal._x000D_
_x000D_
Weaknesses_x000D_
- Overly ambitious? Facing such large challenges involve risks and it would be good to add a few 'plan B' options._x000D_
- The PI expects a significant increase in the accuracy and efficiency of simulations. What will these simulations results be compared to? What is the expected improvement?_x000D_
_x000D_
_x000D_
In the context of the five review elements, please _x000D_
evaluate the strengths and weaknesses of the proposal with respect to broader impacts._x000D_
_x000D_
Strengths_x000D_
+  The PI has experience mentoring URM students. He will leverage OK-LSAMP to keep recruiting underrepresented students._x000D_
+ Very creative app-building activity to engage students._x000D_
+ Overall, the success of this project clearly has the potential to benefit society by allowing to conduct more accurate simulations, in particular simulations of climate models._x000D_
_x000D_
Weaknesses_x000D_
- It would be nice to provide pointers for possible collaborations that the PI may want to pursue as a result of his work on the proposed project._x000D_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a very ambitious and risky proposal worth exploring. A very well written and well thought-out proposal with all elements necessary to assess its potential._x000D_
_x000D_
</t>
  </si>
  <si>
    <t xml:space="preserve">In the context of the five review elements, please _x000D_
evaluate the strengths and weaknesses of the proposal with respect to intellectual merit._x000D_
_x000D_
The proposal concerns the accurate modeling and simulation of fluids. The closure problem, in turbulence modeling, is the problem of accurate representing the effects of local fluctuations in simulations whose scale is too large to model those fluctuations directly._x000D_
Reading the proposal from a very uninformed point of view, it appears to be proposing to replace principled but inaccurate models for the closure problem by the results of machine learning algorithms._x000D_
_x000D_
The PI is an expert in fluid mechanics, with no computer science publications._x000D_
_x000D_
In the context of the five review elements, please _x000D_
evaluate the strengths and weaknesses of the proposal with respect to broader impacts._x000D_
_x000D_
Fluid dynamics is of great practical importance (for instance in weather simulation)._x000D_
The proposal also includes the usual education aspects._x000D_
_x000D_
Please evaluate the strengths and _x000D_
weaknesses of the proposal with respect to any additional solicitation-specific review criteria, if _x000D_
applicable_x000D_
_x000D_
_x000D_
_x000D_
Summary Statement_x000D_
_x000D_
The proposal has too little material on provable guarantees on the resources needed by the proposed algorithm to be a good fit for algorithmic foundations. And exceptional claims require exceptional evidence: computational fluid dynamics is a big industry and the idea that replacing closure problem formulas by machine learning requires both stronger evidence and a more careful literature review of past work that has tried the same idea._x000D_
_x000D_
</t>
  </si>
  <si>
    <t>Multiscale phenomena are ubiquitous, and pose significant challenges for modeling and computation in many dynamical systems. Nonlinear interactions between large-scale and small-scale dynamics are often responsible for many important features, including instability, bifurcations, chaos, intermittency, transition and turbulence. For many scientific and engineering applications, however, the range of scales to be represented in a simulation is determined by a computational grid. The computational expense required to obtain such a fully-resolved simulation can be extremely prohibitive in many realistic systems. Therefore, the state-of-the-art approaches utilize coarse-grained equations on substantially smaller degrees of freedom to reduce the required memory and computation time. Such an approach, however, often comes with a compromise in accuracy. The origin of errors intrinsic to any coarse-grained simulation is known as the closure problem and can be traced back to the nonlinear interactions between the resolved and truncated scales and their associated subgrid-scale dynamics. To overcome this computational barrier, this project aims to develop novel approximate deconvolution algorithms for accurate coarse-grained simulations of time-dependent partial differential equations in the framework of Krylov subspace methods. A particular effort will be devoted to the development of massively scalable parallel algorithms and fast iterative methods, machine learning enabled blind deconvolution approaches, and a robust generalized deconvolution framework, with the objective of demonstrating their potential for application to highly challenging turbulent geophysical flows.The objective of this proposal is to develop a research initiation and education program contributing to a firm unified algorithmic foundation for the closure problem of coarse-grained simulations of nonlinear multiscale dynamical systems that arise in science and engineering. The main innovation is a generalized deconvolution framework, which will provide proper knowledge about the subgrid-scale dynamics of complex discrete systems. For many realistic applications, the state-of-the-art simulation tools are either affordable but unreliable, or equivalently, they are reliable but unaffordable depending on their level of sophistication. This innovative research addresses this dilemma and will be crucial in establishing physics-based modeling and simulation guidelines, and specific heuristic-free parameterization protocols for the development of accurate and efficient computational tools for nonlinear partial differential equations (PDEs), which is of paramount importance in applications at numerous multiscale and multiphysics problems. Therefore, this project will transform the state-of-the-art computational algorithms by offering a new Krylov subspace iterative framework and an efficient inverse filtering procedure for accurate modeling of subgrid-scale dynamics of coarse approximations of the true solution. The core of the proposed approach then consists of designing a truly predictive concurrent generalized deconvolution approach for recovering unresolved data to tackle closure challenges in such complex systems.The project will develop a new generalized closure modeling framework that will not only significantly improve the prediction of spatiotemporal systems and allow accurate numerical solution of nonlinear PDEs, but will also offer new guidelines in broader inverse problems including applications to integral equations, signal processing, model order reduction, 4D var, unscented transformation and trajectory optimization. The broader impact of the project includes the integration of students into research activities. Special efforts will be made to advertise available positions to graduate and undergraduate students from underrepresented backgrounds. The integrated learning modules and mini-apps will be created to inspire younger students about fascinating aspects of mathematical modeling, object oriented programming, high performance computing, and climate research. Research results will be disseminated to the global community of researchers via research articles published in academic journals, and conference presentations. Research results will be disseminated to the global community of researchers via research articles published in academic journals, and conference presentations.</t>
  </si>
  <si>
    <t>p180207</t>
  </si>
  <si>
    <t xml:space="preserve"> Panel Summary       
 SUMMARY OF PROPOSED RESEARCH ACTIVITY _x000D_
_x000D_
Description : _x000D_
The PI suggests to create Surrogate modelling for the Monte Carlo method, using tools from machine learning. Most of the proposal seems to focus on the machine learning part. The panel did not find that the PI gave a clear way to make the transition from the Monte Carlo method to the machine learning techniques, which puts in doubt the possibility of theoretical results. It is not clear if the PI can innovate in this area. _x000D_
_x000D_
INTELLECTUAL MERIT _x000D_
_x000D_
Adequate _x000D_
_x000D_
Strengths _x000D_
+ The problems discussed are important _x000D_
_x000D_
_x000D_
Weaknesses _x000D_
- The panel found the proposal out of scope for algorithmic foundations. _x000D_
While there are reviewers that found some of the problems interesting, the panel did not feel these study will lead to theoretical results. _x000D_
_x000D_
- _x000D_
In terms of theory, it would be good to see connections to and reductions from other forms of learning, eg. is surrogate modeling related to Q-learning using feature vectors in MDP. _x000D_
_x000D_
BROADER IMPACTS _x000D_
_x000D_
The broader impact is limited to the PI's well-developed plan for outreach to underrepresented groups, which is acceptable for the CRII program. _x000D_
_x000D_
_x000D_
ADDITIONAL REMARKS _x000D_
_x000D_
Research plan: Adequate. _x000D_
_x000D_
Data Management Plan: Adequate. _x000D_
_x000D_
_x000D_
Suggestions to PI: _x000D_
Please write the proposal to clearly show theoretical objectives targeted. _x000D_
The PI could also consider other NSF programs, which may be more appropriate since analysis of the algorithms is not a primary goal. _x000D_
_x000D_
Justification for Panel Rating: _x000D_
_x000D_
Panel Rating: _x000D_
_ Highly Competitive _x000D_
_ Competitive _x000D_
_ Low Competitive _x000D_
X_ Not Competitive _x000D_
_x000D_
The summary was read by/to the panel and the panel concurred that the summary accurately reflects the panel discussion.  
</t>
  </si>
  <si>
    <t xml:space="preserve">In the context of the five review elements, please _x000D_
evaluate the strengths and weaknesses of the proposal with respect to intellectual merit._x000D_
_x000D_
This proposal involves the development of surrogate techniques to replace or augment full Markov Chain Monte Carlo estimation in many applied problems. The motivation for the problem is sound, and the techniques proposed are appropriate and promising. A an example, the PI proposes to take into account the total cost of learning into account, not just the error from one step._x000D_
_x000D_
The techniques are motivated by algorithmic and probabilistic insight, and the evaluation proposal is sound. However, the proposal does not involve developing new theoretical bounds or provably good methods. For this program, it is important to abstract from techniques that work well in particular application, and derive theoretical guarantees._x000D_
_x000D_
_x000D_
In the context of the five review elements, please _x000D_
evaluate the strengths and weaknesses of the proposal with respect to broader impacts._x000D_
_x000D_
The use of surrogate models is likely to have substantial broad impact in multiple application domains. The PI proposes an adequate eduction plan, and an excellent outreach plan, particularly to women entrepreneurs._x000D_
_x000D_
_x000D_
Please evaluate the strengths and _x000D_
weaknesses of the proposal with respect to any additional solicitation-specific review criteria, if _x000D_
applicable_x000D_
_x000D_
_x000D_
_x000D_
Summary Statement_x000D_
_x000D_
See above_x000D_
_x000D_
</t>
  </si>
  <si>
    <t xml:space="preserve">In the context of the five review elements, please _x000D_
evaluate the strengths and weaknesses of the proposal with respect to intellectual merit._x000D_
_x000D_
As a disclaimer, this proposal is really far from my area of expertise so I am not sure I can make the correct judgements. (another question is if this AF the right track for it? It seems to me more of an applications proposal)_x000D_
_x000D_
The PI is early in her career and has already done preliminary work in the proposed area, which is promising for the potential success of the research agenda. To my understanding, the suggested research is to study how to use surrogate models from machine learning in oder to design more efficient (faster, more accurate) algorithms to approximate Monte Carlo simulations. This thread of work seems to me that it might have significant practical applications, since it promises to reduce required time and cost of computation for many large scale simulations. The PI is well qualified, though at early stages of her career, to conduct such a research plan. However, given that I am very far from an expert in the field, I cannot judge how novel the methodologies suggested are, nor can I say with certainty that they will be advancing knowledge within the field. At a few parts of the proposal, the PI seems to over-play the importance of her suggested research, which I would consider as a slight weakness._x000D_
_x000D_
In the context of the five review elements, please _x000D_
evaluate the strengths and weaknesses of the proposal with respect to broader impacts._x000D_
_x000D_
The PI has no prior NSF support, and this is an early career proposal, so I would expect the broader impacts of the proposal to not be as well expanded upon, as is indeed the case with this proposal. The workshop the PI proposes to organize seems promising regarding outreach, but other than that, the PI has not spent much effort delving on the specifics of expected broader impacts of the work._x000D_
_x000D_
Please evaluate the strengths and _x000D_
weaknesses of the proposal with respect to any additional solicitation-specific review criteria, if _x000D_
applicable_x000D_
_x000D_
_x000D_
_x000D_
Summary Statement_x000D_
_x000D_
Early career proposal from a promising PI. I am not sure if AF is the right track for it. The proposal addresses the issue of inefficiency of  MC simulations, seen as they are being very time consuming, and suggest to replace large scale MC simulations by statistical methods use in machine learning (surrogate models), which are significantly more efficient. The research plan is well thought - out, but I have no expertise in the area to say whether it is novel/transformative. The broader and educational aspects are somewhat lacking. I would be inclined to recommend funding the PI, assuming that this is the right place for the proposal,  since it is so early in her career and the PI has no prior support._x000D_
_x000D_
</t>
  </si>
  <si>
    <t xml:space="preserve">In the context of the five review elements, please _x000D_
evaluate the strengths and weaknesses of the proposal with respect to intellectual merit._x000D_
_x000D_
This is so far from my area, and I am basing my report so much on general knowledge (hence not deep knowledge) that this report _x000D_
will be much shorter than usual._x000D_
_x000D_
Some background may be needed here. This is not related whatsoever to my area. Everything I know is because of general knowledge_x000D_
_x000D_
Monte Carlo methods apply repeated random sampling,_x000D_
The goal is to study some measure of the data (such as average)._x000D_
Its very easy to verify many equation from probability by simulations._x000D_
Monte Carlo methods are most times used when the data is unknown _x000D_
or analytic method fail.  Its basically a field in AI in my opinion. Not in theoretical computer science (namely math), These methods are vastly used for _x000D_
optimization, but also computing probability distributions._x000D_
_x000D_
The basic principal that helps Monte Carlo sampling is of course  the law of large numbers, based on independence._x000D_
_x000D_
Machine learning is the study of knowledge, using for example algorithms that evolve over time. For example design algorithms that make predictions on data. They can change based _x000D_
on if the prediction was correct. Its basically a different type of data manipulation._x000D_
They build models by sampling from the input. Note that this is not part of AI, namely this is algorithms and the difference is that_x000D_
this has proofs unlike Monte Carlo method that can do regression _x000D_
which is fine, but does not PROVE anything. Machine learning _x000D_
is part of Math (Theoretical computer science) I think._x000D_
_x000D_
The PI wants to use machine learning in place of Monte Carlo methods._x000D_
The PI thinks that these methods will be faster._x000D_
In fact the PI says that this work will PROVE that models derived from _x000D_
machine learning can give very close results for simple MC methods applications. _x000D_
How can the PI know the future? This is also not the only part that sounds a bit vane._x000D_
_x000D_
The notion of Surrogate model contains the Monte Carlo method._x000D_
This just mean modeling without using analytical analysis (like in Engineering). A lot of that is done in AI for example._x000D_
There are many other method that are not Monte Carlo for this._x000D_
_x000D_
The PI suggest more precise surrogate modeling via Machine learning for things solved with Monte Carlo simulations. _x000D_
A rigorous analysis basically that will move this for AI to theoretical computer science. If this is possible, it can be a significant achievement._x000D_
_x000D_
If the input arrives from some unknown distribution,_x000D_
the goal is to design experimental algorithms for collecting data that can improve the run of future algorithms._x000D_
_x000D_
The issue of optimization learning is somewhat easier as a small_x000D_
amount of data can at time allow good predictions (this is not true in _x000D_
machine learning or Monte Carlo method. Indeed they are very global._x000D_
But for optimization say a convex body many times local optima is enough). I will leave the description short for this proposal,_x000D_
because I am so far from the knowledge required. _x000D_
_x000D_
I see this as taking a subject from Engineering or AI and trying to apply algorithms and rigorous analysis instead of Monte Carlo method._x000D_
It can be important if it works. But will it will work, I do not know._x000D_
_x000D_
In the context of the five review elements, please _x000D_
evaluate the strengths and weaknesses of the proposal with respect to broader impacts._x000D_
_x000D_
I do not get PI's that say that their work will improve the world._x000D_
In my experience if you do that (improve the world) in a significant way, you may get_x000D_
a Turing award. Saying that your papers are THE broader _x000D_
impact  is a tad vane. This is what the PI promises._x000D_
I cant take seriously the PI's claim:_x000D_
_x000D_
The project will have impact on computational and numerical research fields. Accurate surrogate models that replace MC_x000D_
simulations significantly reduce required time and cost of computation for a broad range of engineering_x000D_
applications such as real time control, tracking, estimation, detection, and optimization, and will impact_x000D_
almost every field of engineering and science. Reaching the objectives of this research will significantly_x000D_
increase computational efficiency of first principle simulations by using artificial intelligence._x000D_
By my up bringing, I am amazed to see that many PI say that their papers are the broader impact. Seriously?_x000D_
_x000D_
If the PI talks about having more papers, that will follow from the PI's  papers, this NOT global impact. If the PI claims that _x000D_
this will transform the industry, the claim does not seem believable._x000D_
To say the least._x000D_
I do not see a real broader impact._x000D_
_x000D_
Perhaps the workshop planned to advance women will have some affect._x000D_
But one workshop can not make a lasting broader impact. _x000D_
In general, its a pity to see that so many of the  PI do not take _x000D_
broader impact seriously. _x000D_
_x000D_
On the other hand, I think this is the first time the PI applies for a grant and in this case I tend to disregard_x000D_
the lack of Broader impact. However, without broader impact for real,_x000D_
I do not think that the second third etc proposals, should be accepted._x000D_
_x000D_
Please evaluate the strengths and _x000D_
weaknesses of the proposal with respect to any additional solicitation-specific review criteria, if _x000D_
applicable_x000D_
_x000D_
I am not the one who should decide on this project._x000D_
It may be that my report will not help at all._x000D_
The PI is in engineering not computer science._x000D_
So I can not even tell if the researcher is a strong one._x000D_
_x000D_
_x000D_
Summary Statement_x000D_
_x000D_
This project should stand a chance._x000D_
It may be a bit borderline but maybe slightly more than 50 percent chance of approval._x000D_
_x000D_
</t>
  </si>
  <si>
    <t>The objective of this project is to study machine learning for approximating the outcomes of very large scale Monte Carlo (MC) simulations. The work will prove the hypothesis that surrogate models derived from machine learning methods are efficient and accurate approximations to first principle Monte Carlo calculations. Monte Carlo calculations are often time-consuming for a variety of reasons: 1) complicated modeling of physical phenomena, 2) uncertainty in numerical simulations, and 3) inefficiency of conducting experiments in experimental research fields. A key motivation for the proposed work is to study feasibility, limitations, and algorithms for efficient and effective design of experiment of surrogate models to approximate MC simulations. This project has several key outcomes: (i) A rigorous analysis of computational cost of model construction and estimation error in surrogate modeling of MC-based functions is offered. Such knowledge is critical to scientists and engineers who seek to apply the most reliable and efficient surrogate-model to engineering applications suffering from computational bottleneck and numerical uncertainty. (ii) A Bayesian algorithmic foundation is proposed for adaptive sampling, model construction and optimization of surrogate models for MC simulations. Specific algorithms rooted in the proposed framework and fine-tuned for different learning methods and function statistics are derived and compared. (iii) Finally, surrogate modeling approximation, optimization and sensitivity analysis of MC simulations is used to overcome the computational barriers of critical problems in material design, thermal radiation and energy transport, as a proof of concept of the methods. These lead to original and efficient solutions beyond available state-of-the-art computational tools.This project addresses a critical gap between computational research and machine learning, with the goal of significantly increasing computational efficiency of first principle simulations. The project will lead to valuable models for significantly expediting intensive numerical calculations that are based on large scale repeated (Monte Carlo) first principle simulations with statistical uncertainty. The models are studied in the context of approximation, sensitivity analysis and (design) optimization. Theoretical aspects of the study yield better understanding of feasibility and limitations of surrogate models for approximating averages of stochastic computationally intense simulations. An algorithmic framework is proposed for adaptive sampling of training points in the parameter space for learning or optimizing the surrogate model. The sampling scheme is based on a Bayesian likelihood model that attempts to minimize the overall computational cost of learning while maximizing the out-sample accuracy. The framework is applied to and studied for a broad class of underlying function process models including parametric and non-parametric copulas of elliptical processes, and a variety of learning algorithms including Kriging models, polynomial regression, Gaussian mixture models, latent factor models, neural networks and support vector regression, and studied in further depth in each case.The results of this research will have a broad and significant impact on computational and numerical research. Surrogate models that closely approximate MC simulations significantly reduce required time and cost of computation for a broad range of engineering applications such as real time control, tracking, estimation, detection and optimization and will affect almost every field of engineering and science.  For educational purposes and outreach, the PI will create an educational and research website where the outcomes of the proposed research including interactive computational simulations that illustrate small scale versions of the adaptive surrogate model construction algorithms, computer source codes and publications will be available to the public. In addition, with participation from Women in Engineering Program and TAMU MEEN Girls organization, the PI will organize a workshop at Texas A&amp;M University (TAMU) and will visit local high schools to share the novelty of the proposed project and contribute to recruitment, retention, and engagement of women and under-represented groups of students in STEM education.</t>
  </si>
  <si>
    <t xml:space="preserve"> Panel Summary       
 SUMMARY OF PROPOSED RESEARCH ACTIVITY_x000D_
_x000D_
Description:_x000D_
In this project, the PI proposes to contribute to the field of Event-Driven Dynamic Systems, which operate in uncertain environments. In addition, he proposes to design an approach to solving such problems that is adaptable 'on the fly' which allows the objective function to be updated based on new paths. _x000D_
_x000D_
INTELLECTUAL MERIT_x000D_
Strengths_x000D_
+ The PI has experience in the field of the proposed work and demonstrates a good understanding of the challenges faced by DEDS._x000D_
+ The PI provides a longer-term view of the work to be conducted._x000D_
_x000D_
Weaknesses_x000D_
- The methods for achieving the research goals are vague._x000D_
- The PI did not provide evidence of the potential contributions of the suggested techniques and algorithms to 'foundations of algorithms'. _x000D_
_x000D_
BROADER IMPACTS_x000D_
_x000D_
Strengths_x000D_
- If this project is successful, the PI expects his tools to be widely used by practitioners. _x000D_
- The PI will integrate his findings into courses at the undergraduate and graduate levels. He also plans to develop a tutorial, available to the academia, industry, and government communities. _x000D_
_x000D_
Weaknesses_x000D_
- The education plan focuses only on teaching and training students. It is not clear how the PI plans to disseminate his open-source API or his tutorial._x000D_
_x000D_
ADDITIONAL REMARKS_x000D_
_x000D_
Data Management Plan: Adequate_x000D_
_x000D_
Results of prior support: This is PI's first NSF proposal._x000D_
_x000D_
Suggestions to PI:_x000D_
- The techniques and algorithms suggested in the proposal are mostly of ways to incorporate various current techniques and mathematical theory in order to solve a rather practical problem. It is not clear that new mathematical theory would be built. The PI needs to modify his proposal to address the expected advancement of 'algorithmic foundations'._x000D_
- Devote more details to research plan. Describe background and research tasks in a way more accessible to non-experts. _x000D_
_x000D_
Justification for Panel Rating:_x000D_
The PI did not provide evidence of the potential contributions of the suggested techniques and algorithms to 'foundations of algorithms'. _x000D_
_x000D_
Panel Rating:_x000D_
_ Highly Competitive_x000D_
_ Competitive_x000D_
_ Low Competitive_x000D_
X Not Competitive_x000D_
_x000D_
The summary was read by/to the panel and the panel concurred that the summary accurately reflects the panel discussion._x000D_
_x000D_
</t>
  </si>
  <si>
    <t xml:space="preserve">In the context of the five review elements, please _x000D_
evaluate the strengths and weaknesses of the proposal with respect to intellectual merit._x000D_
_x000D_
In this project, the PI proposes to contribute to the field of Event-Driven Dynamic Systems, which operate in uncertain environments. Specifically, he proposes to develop a general framework that allows taking into account the fact that such systems are event-driven, which brings uncertainty, and not simply time driven. As a result, he claims that existing methods are not adapted to efficiently solving such problems.  In addition, he proposes to design an approach to solving such problems that is adaptable on the fly: it allows the objective function to be updated based on new paths. _x000D_
_x000D_
Intellectual merit:_x000D_
Strengths:_x000D_
The PI has experience in the field of the proposed work and demonstrates a good understanding of the challenges faced by DEDS. His proposed research is articulated around two goals: new models and new algorithms. He already has ideas for these, as shown in the proposal, and proposes to study these ideas in depth as illustrated in his list of research tasks. He also provides a longer-term view of the work to be conducted, which is relevant. _x000D_
This work is important as with the pervasiveness of such ever larger systems, it is important to develop techniques that will specifically and efficiently address them. _x000D_
The proposal is clear._x000D_
_x000D_
Weaknesses_x000D_
Although the proposal is clear overall, it comes across, at times, vague or too broad (e.g., p.2: description of the key innovation). The PI also mentions that his approach will allow addressing large-scale data-intensive problems. Although his proposed work aims to improve the performance of techniques for DEDS, the scale of the problems to be solved is not clearly addressed._x000D_
There is no timeline, which makes this ambitious work challenging to assess. There is no assessment plan either._x000D_
The proposal seems not polished at times (in the summary, introduction, and other parts of the proposal)._x000D_
_x000D_
_x000D_
In the context of the five review elements, please _x000D_
evaluate the strengths and weaknesses of the proposal with respect to broader impacts._x000D_
_x000D_
Strengths_x000D_
If this project is successful, the PI expects his tools to be widely used by practitioners. He plans to release his work as a free and open-source API. Additionally, this project will allow him to mentor doctoral students and he will integrate his findings into courses at SMU: at the undergraduate and graduate levels. He also plans to develop a tutorial, available for the academia, industry, and government communities. _x000D_
_x000D_
Weaknesses_x000D_
The broader impacts, as outlined by the PI, are pretty traditional. It is not clear how the PI plans to disseminate his open-source API or his tutorial. It is also not clear if the PI has any plans to involve students from under-represented minorities._x000D_
_x000D_
_x000D_
Please evaluate the strengths and _x000D_
weaknesses of the proposal with respect to any additional solicitation-specific review criteria, if _x000D_
applicable_x000D_
_x000D_
Data Management Plan_x000D_
The Data Management Plan seems appropriate. _x000D_
_x000D_
_x000D_
Summary Statement_x000D_
_x000D_
Overall, this is a very interesting and relevant project, well prepared. The proposal lacks a timeline but still shows a lot of merit and potential._x000D_
_x000D_
_x000D_
</t>
  </si>
  <si>
    <t xml:space="preserve">In the context of the five review elements, please _x000D_
evaluate the strengths and weaknesses of the proposal with respect to intellectual merit._x000D_
_x000D_
The proposal studies stochastic programming (SP) for Discrete-Event_x000D_
Dynamic Systems (DEDS). Traditional SP for DEDS models are time-driven. The PI proposes to extend it to event-driven which is more suitable in some applications._x000D_
_x000D_
Two research thrusts are described, each with specific research tasks._x000D_
The PI also described how this project is related to the long term_x000D_
research goal._x000D_
_x000D_
The methods for achieving the research goals are vague sometimes._x000D_
The introduction and background material occupy 5+ pages, while the_x000D_
research plan is only 4- pages. The proposal could be improved by_x000D_
devoting more details to the research plan._x000D_
_x000D_
Considering the highly specialized technical nature of the project,_x000D_
it would be better if the background and research tasks are described_x000D_
in a way more accessible to non-experts._x000D_
_x000D_
In the context of the five review elements, please _x000D_
evaluate the strengths and weaknesses of the proposal with respect to broader impacts._x000D_
_x000D_
The proposed research will offer practitioners in data-driven_x000D_
systems new tools for exploring their respective domains._x000D_
_x000D_
The education plan of the project focuses on teaching and training PhD_x000D_
students. The PI also plans to engage undergraduate students by using_x000D_
shorter project related to this proposal._x000D_
_x000D_
_x000D_
Please evaluate the strengths and _x000D_
weaknesses of the proposal with respect to any additional solicitation-specific review criteria, if _x000D_
applicable_x000D_
_x000D_
_x000D_
_x000D_
Summary Statement_x000D_
_x000D_
The proposal studies stochastic programming (SP) for Discrete-Event_x000D_
Dynamic Systems (DEDS). It extends the traditional time-driven_x000D_
approach to event-driven. It results computational advantage for_x000D_
large scale systems. Several concrete research tasks are described._x000D_
This project seems an integral part of PI's long term research agenda._x000D_
_x000D_
The PI has a good track record in this research area._x000D_
It would strengthen the proposal if the methods for achieving_x000D_
research goals are described clearer._x000D_
_x000D_
Title should start with CRII, as required by program solicitation._x000D_
_x000D_
</t>
  </si>
  <si>
    <t xml:space="preserve">In the context of the five review elements, please _x000D_
evaluate the strengths and weaknesses of the proposal with respect to intellectual merit._x000D_
_x000D_
This proposal focuses on designing event-driven dynamic systems using Stochasitc programming techniques, where decisions and state-transitions happen in an event-driven setting, taking into account the uncertainty with which the events happen. As a disclaimer, this proposal is far from my area of expertise._x000D_
_x000D_
Intellectual merit:_x000D_
strengths: _x000D_
+ It seem that the proposal is very timely with the advent of big data and complex, almost autonomous control systems. Improving and speeding up their operation could prove tremendously beneficial for every day life tasks, as well as big corporations, the military etc. I think the practical applications of the proposal are very valuable._x000D_
+  The proposed research is within the PI's direct expertise and he is qualified to conduct the proposed research plan._x000D_
weaknesses:_x000D_
I believe this is more an applications proposal. The techniques and algorithms suggested do not fall into the category of 'foundations' of algorithms. They are rather very well thought of ways to incorporate various current techniques and mathematical theory in order to solve a rather practical problem. It seems to me that there is no new mathematical theory that is being built, thus there is no advancement of algorithmic foundations._x000D_
_x000D_
In the context of the five review elements, please _x000D_
evaluate the strengths and weaknesses of the proposal with respect to broader impacts._x000D_
_x000D_
_x000D_
the educational and broader impact section is really inadequate. Maybe this is normal for a CRII proposal, but I would like to see somewhat of a vision of what a young tenure track professor plans to do as an educator._x000D_
_x000D_
Please evaluate the strengths and _x000D_
weaknesses of the proposal with respect to any additional solicitation-specific review criteria, if _x000D_
applicable_x000D_
_x000D_
_x000D_
_x000D_
Summary Statement_x000D_
_x000D_
see above_x000D_
_x000D_
</t>
  </si>
  <si>
    <t>The rapid advances in sensors, communication technologies, storage and computing power have enabled the emergence of massive, interconnected, and complex dynamic systems. These include computer and communication networks, automated manufacturing systems, advanced air and road trans-_x000D_
portation systems, monitoring and control systems, and several others. These systems operate in an uncertain environment, often in an event-driven manner. Decision-making in such a setting poses significant challenges in many aspects ranging from information processing to optimization. The overarching goal of this project is to address design of event-driven dynamic systems through the lens of stochastic_x000D_
programming.The key innovation of the proposed work is the development of a general optimization and computational framework, which enables a number of challenging but promising large-scale data-intensive applications. The proposed research agenda will comprise of two major thrusts:_x000D_
(a) Many modern integrated systems such as computer and communication networks, hospital monitoring systems, automated manufacturing systems, operate in an event-driven paradigm. Unfortunately, current SP model (both in two-stage and multistage) are time-driven in which decisions are made and state transitions happen at reset/deterministic epochs. This restricts their applications to relatively long term planning problems only. The modeling advances proposed in this project_x000D_
will allow SP algorithms to be applied in event-driven settings, and provide a powerful tool for decision-making in stochastic DEDS._x000D_
(b) Modern tools of discrete-event simulation and online data-processes provide a powerful mechanism to discover the characteristics of underlying stochastic processes governing optimization/planning_x000D_
models in an online manner. The proposed algorithm does not rely on a-priori selection of scenarios to be used for optimization. Rather, a discrete-event sample paths are introduced progressively, and the objective function approximations and optimization solutions are updated based on information collected. This ?sampling-on-the-fly? avoids the need to restart the optimization from scratch with every newly observed sample path. This results in significant computational advantage, and therefore makes the proposed algorithm attractive for large scale systems.Implementations of the algorithm will be distributed as free and open-source API. This API will provide a complete toolset of programming instructions, standards and protocols for optimization researchers and practitioners to design their products that are powered by our algorithm. The research effort includes training and advising graduate  students, with an emphasis on engaging with groups under represented in the field. Results from this research will be disseminated The results of this research will be disseminated through (i) presentations at conferences and workshops, (ii) publications in leading journals, and (iii) creation of pedagogical material for use in undergraduate and graduate classes.</t>
  </si>
  <si>
    <t xml:space="preserve"> Panel Summary       
 SUMMARY OF PROPOSED RESEARCH ACTIVITY_x000D_
_x000D_
This proposal discusses approximation algorithms between EPTASs_x000D_
and FPTASs, with runtime polynomial in the problem size n plus_x000D_
subexponential (near 2^{O(sqrt{1/eps})}) in the approximation_x000D_
parameter epsilon. Much of the proposal describes a detailed_x000D_
plan to solve a problem for scheduling multiple parallel_x000D_
identical machines to minimize the root-mean-square load. The_x000D_
proposal also considers other versions of scheduling, e.g., to_x000D_
minimize the total weighted completion time, and it briefly_x000D_
touches on other candidate problems like geometric TSP which are_x000D_
potentially susceptible to this type of result._x000D_
_x000D_
_x000D_
INTELLECTUAL MERIT_x000D_
_x000D_
This type of result, if successful, would be of interest to the_x000D_
approximation algorithms community, and might lead to some_x000D_
decent papers._x000D_
_x000D_
Strengths_x000D_
_x000D_
+ The PI has a good track record of research in this area,_x000D_
making success likely_x000D_
_x000D_
+ The problems proposed for solution are interesting_x000D_
_x000D_
+ The proposal includes a detailed plan for solving these_x000D_
problems_x000D_
_x000D_
Weaknesses:_x000D_
_x000D_
- Reviewers found the total research plan to be too small in_x000D_
scale for the time frame of the grant, and did not feel that_x000D_
there was enough scope for a program of more than two research_x000D_
papers in this topic._x000D_
_x000D_
- Although reviewers thought the geometric TSP was an_x000D_
interesting candidate problem for improvement, they didn't think_x000D_
there was enough depth to this part of the proposal to be_x000D_
convincing that an improvement could be found._x000D_
_x000D_
_x000D_
BROADER IMPACTS_x000D_
_x000D_
Strengths_x000D_
_x000D_
+ The proposal included a plan to recruit underrepresented_x000D_
students_x000D_
_x000D_
+ It is hosted by a minority-serving institution_x000D_
_x000D_
Weaknesses:_x000D_
_x000D_
- The connection to application areas is weak_x000D_
_x000D_
_x000D_
ADDITIONAL REMARKS_x000D_
_x000D_
Research plan: This would be a two-year grant. The main expenses_x000D_
are support for one graduate student (for both years) and_x000D_
conference travel expenses._x000D_
_x000D_
Data Management Plan: This appears to be purely a theory_x000D_
proposal, and the data management plan could probably just have_x000D_
said so, but instead it appears to be a generic plan suitable_x000D_
for most proposals. Which is to say, little thought appears to_x000D_
have gone into this part, but that's ok. One key clause is that_x000D_
any software developed as part of this project will be released_x000D_
as open source software._x000D_
_x000D_
Results of prior support: Not applicable, as the PI has no past_x000D_
support._x000D_
_x000D_
_x000D_
Suggestions to PI: The most significant consideration that would_x000D_
have improved your overall score would be to think bigger. Along_x000D_
with the parts you already included about problems you're pretty_x000D_
sure you could solve, include some that you're less sure about_x000D_
but that would be splashier. The geometric TSP that you_x000D_
mentioned would have fit as such a problem, but needed to be a_x000D_
little more fleshed out to be taken seriously._x000D_
_x000D_
_x000D_
_x000D_
Justification for Panel Rating: We thought that this proposal_x000D_
would likely lead to a modest success: some publications, but_x000D_
not as big as they could be and not as many as they could be. So_x000D_
we ranked it positively, but accordingly not as positively as it_x000D_
could be._x000D_
_x000D_
_x000D_
Panel Rating:_x000D_
_x000D_
_ Highly Competitive_x000D_
_x000D_
_X_ Competitive_x000D_
_x000D_
_ Low Competitive_x000D_
_x000D_
_ Not Competitive_x000D_
_x000D_
The summary was read by/to the panel and the panel concurred_x000D_
that the summary accurately reflects the panel discussion. 
</t>
  </si>
  <si>
    <t xml:space="preserve">In the context of the five review elements, please _x000D_
evaluate the strengths and weaknesses of the proposal with respect to intellectual merit._x000D_
_x000D_
This proposal discusses approaches to improve PTASes with runtime near 2^{O(1/eps)} to 2^{O(sqrt{1/eps})} for certain problems. Much of the proposal describes a detailed plan to solve a problem from scheduling, specifically in the case of multiple parallel identical machines to minimize the sum of loads' squares. The proposal also considers other versions of scheduling, e.g., to minimize the total weighted completion time, and it briefly touches on other candidate problems like geometric TSP which are potentially suspectible to this type of results. _x000D_
_x000D_
This type of results, if successful, would be of theoretical interest to the approximation algorithms community, and might lead to some decent papers (though the impact may not be huge). The PI is knowledgeable in the topic, and has a number of publications on approximation algorithms for scheduling (e.g., 2 SODA papers)._x000D_
_x000D_
In the context of the five review elements, please _x000D_
evaluate the strengths and weaknesses of the proposal with respect to broader impacts._x000D_
_x000D_
The practical merits of such PTASes are unclear. The broader impacts and education section of the proposal is brief._x000D_
_x000D_
_x000D_
Please evaluate the strengths and _x000D_
weaknesses of the proposal with respect to any additional solicitation-specific review criteria, if _x000D_
applicable_x000D_
_x000D_
_x000D_
_x000D_
Summary Statement_x000D_
_x000D_
A specific plan to obtain improved PTASes for a scheduling problem. The proposal might benefit from aiming for a wider set of results._x000D_
_x000D_
_x000D_
</t>
  </si>
  <si>
    <t xml:space="preserve">In the context of the five review elements, please _x000D_
evaluate the strengths and weaknesses of the proposal with respect to intellectual merit._x000D_
_x000D_
Many variations of polynomial time approximation schemes have been studied._x000D_
The main one (PTAS) allows the time to be O(n^f(epsilon)) where n is the input size, (1+epsilon) is the approximation ratio, and f is any function, but where f is frequently Theta(1/epsilon) and sometimes worse. Wikipedia also lists "efficient polynomial-time approximation schemes" (EPTAS) where the exponent of n is independent of epsilon (but the constant in the O-notation can depend badly on epsilon) and "fully polynomial-time approximation schemes" (FPTAS, where the time is polynomial in both n and 1/epsilon), as well as additional variants where the scheme is randomized or where the time is quasipolynomial instead of polynomial, and elsewhere in the literature the phrase "subexponential approximation scheme" can be found._x000D_
_x000D_
This proposal, more specifically, aims for a target between EPTAS and FPTAS: a fixed exponent of n, plus a subexponential function of epsilon. I am not aware of previous work in this regime, and the proposal suggests that it could be the correct time bound for scheduling problems with a Euclidean-norm objective function. Work of other authors (Jansen, Klein and Verschae) has shown that similarly subexponential time bounds would not be possible for the max-norm under the exponential time hypothesis. There are also some tenuous connections with fixed-parameter tractability, in which separator decompositions allow subexponential dependence on the parameter for planar graphs and other families of inputs that obey separator theorems._x000D_
_x000D_
Chen has been regularly publishing in good but not top-tier theory conferences (MFCS, STACS, COCOA, CIAC, etc) and has two papers in SODA (2014 and 2016). He is well poised to continue doing good research on scheduling and bin-packing related problems, and in optimization algorithms more broadly._x000D_
_x000D_
_x000D_
In the context of the five review elements, please _x000D_
evaluate the strengths and weaknesses of the proposal with respect to broader impacts._x000D_
_x000D_
The broader impacts section mostly consists of a vague hope that these algorithms will "eventually" lead to a PTAS of practical speeds for certain energy minimization problems. However, the host institution is a minority-serving institution so funding this proposal would help train students from under-represented groups._x000D_
_x000D_
_x000D_
Please evaluate the strengths and _x000D_
weaknesses of the proposal with respect to any additional solicitation-specific review criteria, if _x000D_
applicable_x000D_
_x000D_
_x000D_
_x000D_
Summary Statement_x000D_
_x000D_
Although likely to produce a publishable advance, this collection of problems to work on seems on the small side for a full proposal to me, likely to lead only to one or two papers (on the main advance and its generalizations) rather than the total level of productivity one would expect over the lifetime of the award._x000D_
_x000D_
</t>
  </si>
  <si>
    <t xml:space="preserve">In the context of the five review elements, please _x000D_
evaluate the strengths and weaknesses of the proposal with respect to intellectual merit._x000D_
_x000D_
The proposal aims to achieve approximation schemes for class of scheduling problems that are "sub-exponential" in running time. In particular, the problem of l_2-norm of the processing time in case of identical machines is proposed. The PI has significant experience in the area of problems proposed and does give a good plan for approaching the problem. The PI also suggests further directions to look at including improving PTAS for geometric TSP and related problems as well relations to FPT algorithms which are subexponential in the parameter. The research proposed in the paper would be publishable in top venues._x000D_
_x000D_
_x000D_
_x000D_
In the context of the five review elements, please _x000D_
evaluate the strengths and weaknesses of the proposal with respect to broader impacts._x000D_
_x000D_
The proposal talks about the relevance of the research outcome for energy minimization where the scheduling problem with the objectives proposed are considered. The PI also proposes to recruit female and under-represented students._x000D_
_x000D_
Please evaluate the strengths and _x000D_
weaknesses of the proposal with respect to any additional solicitation-specific review criteria, if _x000D_
applicable_x000D_
_x000D_
_x000D_
_x000D_
Summary Statement_x000D_
_x000D_
Overall the PI proposes an interesting research direction. The broader impact of the work is adequate._x000D_
_x000D_
</t>
  </si>
  <si>
    <t>pm_ibm_logn_id</t>
  </si>
  <si>
    <t>sr_pers_cnt</t>
  </si>
  <si>
    <t>sr_summ_mnth_cnt</t>
  </si>
  <si>
    <t>pdoc_grnt_dol</t>
  </si>
  <si>
    <t>frgn_trav_dol</t>
  </si>
  <si>
    <t>part_dol</t>
  </si>
  <si>
    <t>budg_tot_dol</t>
  </si>
  <si>
    <t>revn_num</t>
  </si>
  <si>
    <t>budg_seq_yr</t>
  </si>
  <si>
    <t>dol</t>
  </si>
  <si>
    <t>org_code2</t>
  </si>
  <si>
    <t>PEC</t>
  </si>
  <si>
    <t>1045 9150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</si>
</sst>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11"/>
      <color theme="4" tint="-0.249977111117893"/>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90">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165" fontId="10" fillId="0" borderId="0" xfId="0" applyNumberFormat="1" applyFont="1"/>
    <xf numFmtId="0" fontId="10" fillId="0" borderId="0" xfId="0" applyFont="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0" fontId="0" fillId="2" borderId="0" xfId="0" applyFill="1"/>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5" fillId="0" borderId="0" xfId="0" applyFont="1"/>
    <xf numFmtId="49" fontId="15" fillId="0" borderId="0" xfId="0" quotePrefix="1" applyNumberFormat="1" applyFont="1"/>
    <xf numFmtId="49" fontId="15" fillId="0" borderId="0" xfId="0" applyNumberFormat="1" applyFont="1"/>
    <xf numFmtId="9" fontId="0" fillId="0" borderId="0" xfId="5" applyFont="1"/>
    <xf numFmtId="0" fontId="18" fillId="0" borderId="0" xfId="0" applyFont="1"/>
    <xf numFmtId="164" fontId="18" fillId="0" borderId="0" xfId="0" applyNumberFormat="1" applyFont="1"/>
    <xf numFmtId="166" fontId="18" fillId="0" borderId="0" xfId="2" applyNumberFormat="1" applyFont="1"/>
    <xf numFmtId="14" fontId="0" fillId="0" borderId="0" xfId="0" applyNumberFormat="1"/>
    <xf numFmtId="0" fontId="19" fillId="0" borderId="0" xfId="0" applyFont="1"/>
    <xf numFmtId="0" fontId="20" fillId="0" borderId="0" xfId="0" applyFont="1"/>
    <xf numFmtId="2" fontId="0" fillId="0" borderId="0" xfId="0" applyNumberFormat="1" applyBorder="1"/>
    <xf numFmtId="0" fontId="23" fillId="3" borderId="0" xfId="0" applyFont="1" applyFill="1"/>
    <xf numFmtId="0" fontId="23" fillId="3" borderId="0" xfId="0" applyFont="1" applyFill="1" applyAlignment="1">
      <alignment horizontal="left" vertical="center"/>
    </xf>
    <xf numFmtId="0" fontId="23" fillId="2" borderId="0" xfId="0" applyFont="1" applyFill="1"/>
    <xf numFmtId="0" fontId="24" fillId="2" borderId="0" xfId="0" applyFont="1" applyFill="1" applyAlignment="1">
      <alignment horizontal="center" vertical="center"/>
    </xf>
    <xf numFmtId="0" fontId="0" fillId="0" borderId="0" xfId="0" applyFont="1" applyFill="1" applyAlignment="1">
      <alignment horizontal="right" vertical="center"/>
    </xf>
    <xf numFmtId="165" fontId="26" fillId="0" borderId="2" xfId="0" applyNumberFormat="1" applyFont="1" applyFill="1" applyBorder="1" applyAlignment="1" applyProtection="1">
      <alignment horizontal="left" vertical="center"/>
    </xf>
    <xf numFmtId="49" fontId="26" fillId="0" borderId="3" xfId="0" applyNumberFormat="1" applyFont="1" applyFill="1" applyBorder="1" applyAlignment="1" applyProtection="1">
      <alignment horizontal="left" vertical="center"/>
    </xf>
    <xf numFmtId="49" fontId="26" fillId="0" borderId="4" xfId="0" applyNumberFormat="1" applyFont="1" applyFill="1" applyBorder="1" applyAlignment="1" applyProtection="1">
      <alignment horizontal="left" vertical="center"/>
    </xf>
    <xf numFmtId="49" fontId="26" fillId="0" borderId="3" xfId="0" quotePrefix="1" applyNumberFormat="1" applyFont="1" applyFill="1" applyBorder="1" applyAlignment="1" applyProtection="1">
      <alignment horizontal="left" vertical="center"/>
    </xf>
    <xf numFmtId="49" fontId="26" fillId="0" borderId="4" xfId="0" quotePrefix="1" applyNumberFormat="1" applyFont="1" applyFill="1" applyBorder="1" applyAlignment="1" applyProtection="1">
      <alignment horizontal="left" vertical="center"/>
    </xf>
    <xf numFmtId="0" fontId="20" fillId="0" borderId="0" xfId="0" applyFont="1" applyFill="1" applyAlignment="1">
      <alignment horizontal="right" vertical="center"/>
    </xf>
    <xf numFmtId="0" fontId="26" fillId="0" borderId="0" xfId="0" applyFont="1" applyFill="1" applyAlignment="1" applyProtection="1">
      <alignment horizontal="left" vertical="center"/>
    </xf>
    <xf numFmtId="0" fontId="0" fillId="0" borderId="0" xfId="0" applyFill="1" applyProtection="1"/>
    <xf numFmtId="165" fontId="26" fillId="0" borderId="3" xfId="0" applyNumberFormat="1" applyFont="1" applyFill="1" applyBorder="1" applyAlignment="1" applyProtection="1">
      <alignment horizontal="left" vertical="center"/>
    </xf>
    <xf numFmtId="0" fontId="0" fillId="0" borderId="0" xfId="0" applyFont="1" applyFill="1"/>
    <xf numFmtId="0" fontId="28" fillId="0" borderId="0" xfId="0" applyFont="1" applyAlignment="1">
      <alignment horizontal="right"/>
    </xf>
    <xf numFmtId="0" fontId="0" fillId="0" borderId="0" xfId="0" applyProtection="1">
      <protection locked="0"/>
    </xf>
    <xf numFmtId="0" fontId="29"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9" fillId="0" borderId="0" xfId="0" applyFont="1" applyAlignment="1" applyProtection="1">
      <alignment horizontal="left" vertical="top"/>
      <protection locked="0"/>
    </xf>
    <xf numFmtId="170" fontId="29" fillId="0" borderId="0" xfId="0" applyNumberFormat="1" applyFont="1" applyAlignment="1" applyProtection="1">
      <alignment horizontal="left" vertical="top"/>
      <protection locked="0" hidden="1"/>
    </xf>
    <xf numFmtId="0" fontId="29" fillId="0" borderId="5" xfId="0" applyFont="1" applyBorder="1" applyAlignment="1">
      <alignment horizontal="left" vertical="top"/>
    </xf>
    <xf numFmtId="0" fontId="29" fillId="0" borderId="6" xfId="0" applyFont="1" applyBorder="1" applyAlignment="1">
      <alignment horizontal="left" vertical="top"/>
    </xf>
    <xf numFmtId="0" fontId="29" fillId="0" borderId="1" xfId="0" applyFont="1" applyBorder="1" applyAlignment="1">
      <alignment horizontal="left" vertical="top"/>
    </xf>
    <xf numFmtId="0" fontId="29" fillId="0" borderId="7" xfId="0" applyFont="1" applyBorder="1" applyAlignment="1">
      <alignment horizontal="left" vertical="top"/>
    </xf>
    <xf numFmtId="0" fontId="29" fillId="0" borderId="8" xfId="0" applyFont="1" applyBorder="1" applyAlignment="1">
      <alignment horizontal="left" vertical="top"/>
    </xf>
    <xf numFmtId="0" fontId="29" fillId="0" borderId="9" xfId="0" applyFont="1" applyBorder="1" applyAlignment="1">
      <alignment horizontal="left" vertical="top"/>
    </xf>
    <xf numFmtId="0" fontId="22" fillId="4" borderId="10" xfId="0" applyFont="1" applyFill="1" applyBorder="1" applyAlignment="1">
      <alignment horizontal="left" vertical="top"/>
    </xf>
    <xf numFmtId="0" fontId="22"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11" fontId="0" fillId="0" borderId="0" xfId="0" applyNumberFormat="1" applyAlignment="1" applyProtection="1">
      <alignment horizontal="left" vertical="top"/>
      <protection locked="0"/>
    </xf>
    <xf numFmtId="11" fontId="22" fillId="4" borderId="12" xfId="0" applyNumberFormat="1" applyFont="1" applyFill="1" applyBorder="1" applyAlignment="1">
      <alignment horizontal="left" vertical="top"/>
    </xf>
    <xf numFmtId="11" fontId="0" fillId="0" borderId="0" xfId="0" applyNumberFormat="1" applyAlignment="1" applyProtection="1">
      <alignment horizontal="left" vertical="top" wrapText="1"/>
      <protection locked="0"/>
    </xf>
    <xf numFmtId="0" fontId="25" fillId="3" borderId="0" xfId="0" applyFont="1" applyFill="1" applyAlignment="1">
      <alignment horizontal="center" vertical="center"/>
    </xf>
    <xf numFmtId="0" fontId="13"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cellXfs>
  <cellStyles count="6">
    <cellStyle name="Currency" xfId="2" builtinId="4"/>
    <cellStyle name="Hyperlink" xfId="1" builtinId="8"/>
    <cellStyle name="Normal" xfId="0" builtinId="0"/>
    <cellStyle name="Percent" xfId="5" builtinId="5"/>
    <cellStyle name="Subtotal" xfId="4"/>
    <cellStyle name="Subtotal Label" xfId="3"/>
  </cellStyles>
  <dxfs count="191">
    <dxf>
      <numFmt numFmtId="165" formatCode="mm/dd/yy;@"/>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166" formatCode="_(&quot;$&quot;* #,##0_);_(&quot;$&quot;* \(#,##0\);_(&quot;$&quot;* &quot;-&quot;??_);_(@_)"/>
    </dxf>
    <dxf>
      <numFmt numFmtId="27" formatCode="m/d/yyyy\ h:mm"/>
    </dxf>
    <dxf>
      <numFmt numFmtId="165" formatCode="mm/dd/yy;@"/>
    </dxf>
    <dxf>
      <numFmt numFmtId="169" formatCode="_([$$-409]* #,##0_);_([$$-409]* \(#,##0\);_([$$-409]* &quot;-&quot;??_);_(@_)"/>
    </dxf>
    <dxf>
      <numFmt numFmtId="169" formatCode="_([$$-409]* #,##0_);_([$$-409]* \(#,##0\);_([$$-409]* &quot;-&quot;??_);_(@_)"/>
    </dxf>
    <dxf>
      <numFmt numFmtId="165" formatCode="mm/dd/yy;@"/>
    </dxf>
    <dxf>
      <numFmt numFmtId="165" formatCode="mm/dd/yy;@"/>
    </dxf>
    <dxf>
      <numFmt numFmtId="165" formatCode="mm/dd/yy;@"/>
    </dxf>
    <dxf>
      <numFmt numFmtId="0" formatCode="General"/>
    </dxf>
    <dxf>
      <numFmt numFmtId="165" formatCode="mm/dd/yy;@"/>
    </dxf>
    <dxf>
      <numFmt numFmtId="166" formatCode="_(&quot;$&quot;* #,##0_);_(&quot;$&quot;* \(#,##0\);_(&quot;$&quot;* &quot;-&quot;??_);_(@_)"/>
    </dxf>
    <dxf>
      <numFmt numFmtId="0" formatCode="General"/>
    </dxf>
    <dxf>
      <numFmt numFmtId="165" formatCode="mm/dd/yy;@"/>
    </dxf>
    <dxf>
      <numFmt numFmtId="165" formatCode="mm/dd/yy;@"/>
    </dxf>
    <dxf>
      <numFmt numFmtId="165" formatCode="mm/dd/yy;@"/>
    </dxf>
    <dxf>
      <numFmt numFmtId="0" formatCode="General"/>
    </dxf>
    <dxf>
      <numFmt numFmtId="169" formatCode="_([$$-409]* #,##0_);_([$$-409]* \(#,##0\);_([$$-409]* &quot;-&quot;??_);_(@_)"/>
    </dxf>
    <dxf>
      <numFmt numFmtId="169" formatCode="_([$$-409]* #,##0_);_([$$-409]* \(#,##0\);_([$$-409]* &quot;-&quot;??_);_(@_)"/>
    </dxf>
    <dxf>
      <numFmt numFmtId="2" formatCode="0.00"/>
    </dxf>
    <dxf>
      <numFmt numFmtId="0" formatCode="General"/>
    </dxf>
    <dxf>
      <numFmt numFmtId="0" formatCode="General"/>
    </dxf>
    <dxf>
      <numFmt numFmtId="0" formatCode="General"/>
    </dxf>
    <dxf>
      <numFmt numFmtId="165" formatCode="mm/dd/yy;@"/>
    </dxf>
    <dxf>
      <numFmt numFmtId="0" formatCode="General"/>
    </dxf>
    <dxf>
      <numFmt numFmtId="2" formatCode="0.00"/>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numFmt numFmtId="27" formatCode="m/d/yyyy\ h:mm"/>
    </dxf>
    <dxf>
      <numFmt numFmtId="27" formatCode="m/d/yyyy\ h:mm"/>
    </dxf>
    <dxf>
      <numFmt numFmtId="165" formatCode="mm/dd/yy;@"/>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68" formatCode="mm/dd/yy\ hh:mm"/>
    </dxf>
    <dxf>
      <numFmt numFmtId="165" formatCode="mm/dd/yy;@"/>
    </dxf>
    <dxf>
      <numFmt numFmtId="0" formatCode="General"/>
    </dxf>
    <dxf>
      <numFmt numFmtId="0" formatCode="General"/>
    </dxf>
    <dxf>
      <numFmt numFmtId="27" formatCode="m/d/yyyy\ h:mm"/>
    </dxf>
    <dxf>
      <numFmt numFmtId="165" formatCode="mm/dd/yy;@"/>
    </dxf>
    <dxf>
      <numFmt numFmtId="165" formatCode="mm/dd/yy;@"/>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numFmt numFmtId="166" formatCode="_(&quot;$&quot;* #,##0_);_(&quot;$&quot;* \(#,##0\);_(&quot;$&quot;* &quot;-&quot;??_);_(@_)"/>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numFmt numFmtId="165" formatCode="mm/dd/yy;@"/>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outline val="0"/>
        <shadow val="0"/>
        <u val="none"/>
        <vertAlign val="baseline"/>
        <sz val="11"/>
        <color auto="1"/>
        <name val="Calibri"/>
        <scheme val="none"/>
      </font>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fill>
        <patternFill>
          <bgColor rgb="FFEAF3FA"/>
        </patternFill>
      </fill>
    </dxf>
    <dxf>
      <fill>
        <patternFill>
          <bgColor rgb="FFFDF0E9"/>
        </patternFill>
      </fill>
    </dxf>
    <dxf>
      <fill>
        <patternFill>
          <bgColor rgb="FFFFFCF3"/>
        </patternFill>
      </fill>
    </dxf>
    <dxf>
      <border>
        <top style="thin">
          <color auto="1"/>
        </top>
        <vertical/>
        <horizontal/>
      </border>
    </dxf>
    <dxf>
      <fill>
        <patternFill>
          <bgColor rgb="FFEFF6EA"/>
        </patternFill>
      </fill>
    </dxf>
    <dxf>
      <border>
        <top style="thin">
          <color auto="1"/>
        </top>
        <bottom style="thin">
          <color auto="1"/>
        </bottom>
        <vertical/>
        <horizontal/>
      </border>
    </dxf>
    <dxf>
      <fill>
        <patternFill>
          <bgColor rgb="FFEFF6EA"/>
        </patternFill>
      </fill>
    </dxf>
    <dxf>
      <fill>
        <patternFill>
          <bgColor rgb="FFFFFCF3"/>
        </patternFill>
      </fill>
    </dxf>
    <dxf>
      <fill>
        <patternFill>
          <bgColor rgb="FFFDF0E9"/>
        </patternFill>
      </fill>
    </dxf>
    <dxf>
      <fill>
        <patternFill>
          <bgColor rgb="FFEAF3FA"/>
        </patternFill>
      </fill>
    </dxf>
    <dxf>
      <fill>
        <patternFill>
          <bgColor rgb="FFFEFECE"/>
        </patternFill>
      </fill>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strike val="0"/>
        <color theme="0" tint="-0.34998626667073579"/>
      </font>
    </dxf>
    <dxf>
      <fill>
        <patternFill>
          <bgColor rgb="FFFEEFE2"/>
        </patternFill>
      </fill>
    </dxf>
    <dxf>
      <numFmt numFmtId="27" formatCode="m/d/yyyy\ h:mm"/>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5" formatCode="mm/dd/yy;@"/>
    </dxf>
    <dxf>
      <numFmt numFmtId="164" formatCode="&quot;$&quot;#,##0"/>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68" formatCode="mm/dd/yy\ hh:mm"/>
    </dxf>
    <dxf>
      <numFmt numFmtId="165" formatCode="mm/dd/yy;@"/>
    </dxf>
    <dxf>
      <fill>
        <patternFill>
          <bgColor theme="5" tint="0.79998168889431442"/>
        </patternFill>
      </fill>
    </dxf>
    <dxf>
      <fill>
        <patternFill>
          <bgColor rgb="FFFFB9B9"/>
        </patternFill>
      </fill>
    </dxf>
    <dxf>
      <fill>
        <patternFill>
          <bgColor rgb="FFFFB9B9"/>
        </patternFill>
      </fill>
    </dxf>
    <dxf>
      <fill>
        <patternFill>
          <bgColor theme="5" tint="0.79998168889431442"/>
        </patternFill>
      </fill>
    </dxf>
    <dxf>
      <fill>
        <patternFill>
          <bgColor rgb="FFFFE1E1"/>
        </patternFill>
      </fill>
    </dxf>
    <dxf>
      <fill>
        <patternFill>
          <bgColor rgb="FFFFD1A3"/>
        </patternFill>
      </fill>
    </dxf>
    <dxf>
      <fill>
        <patternFill>
          <bgColor rgb="FFFF7979"/>
        </patternFill>
      </fill>
    </dxf>
    <dxf>
      <fill>
        <patternFill>
          <bgColor rgb="FFDDECF7"/>
        </patternFill>
      </fill>
    </dxf>
    <dxf>
      <numFmt numFmtId="27" formatCode="m/d/yyyy\ h:mm"/>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5" formatCode="mm/dd/yy;@"/>
    </dxf>
    <dxf>
      <numFmt numFmtId="164" formatCode="&quot;$&quot;#,##0"/>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68" formatCode="mm/dd/yy\ hh:mm"/>
    </dxf>
    <dxf>
      <numFmt numFmtId="165" formatCode="mm/dd/yy;@"/>
    </dxf>
    <dxf>
      <fill>
        <patternFill>
          <bgColor theme="5" tint="0.79998168889431442"/>
        </patternFill>
      </fill>
    </dxf>
    <dxf>
      <fill>
        <patternFill>
          <bgColor rgb="FFFFB9B9"/>
        </patternFill>
      </fill>
    </dxf>
    <dxf>
      <fill>
        <patternFill>
          <bgColor rgb="FFFFB9B9"/>
        </patternFill>
      </fill>
    </dxf>
    <dxf>
      <fill>
        <patternFill>
          <bgColor theme="5" tint="0.79998168889431442"/>
        </patternFill>
      </fill>
    </dxf>
    <dxf>
      <fill>
        <patternFill>
          <bgColor rgb="FFFFE1E1"/>
        </patternFill>
      </fill>
    </dxf>
    <dxf>
      <fill>
        <patternFill>
          <bgColor rgb="FFFFD1A3"/>
        </patternFill>
      </fill>
    </dxf>
    <dxf>
      <fill>
        <patternFill>
          <bgColor rgb="FFFF7979"/>
        </patternFill>
      </fill>
    </dxf>
    <dxf>
      <fill>
        <patternFill>
          <bgColor rgb="FFDDECF7"/>
        </patternFill>
      </fill>
    </dxf>
    <dxf>
      <fill>
        <patternFill>
          <bgColor rgb="FFFFB9B9"/>
        </patternFill>
      </fill>
    </dxf>
    <dxf>
      <fill>
        <patternFill>
          <bgColor rgb="FFFFB9B9"/>
        </patternFill>
      </fill>
    </dxf>
    <dxf>
      <fill>
        <patternFill>
          <bgColor rgb="FFFFB9B9"/>
        </patternFill>
      </fill>
    </dxf>
    <dxf>
      <fill>
        <patternFill>
          <bgColor rgb="FFFFB9B9"/>
        </patternFill>
      </fill>
    </dxf>
    <dxf>
      <fill>
        <patternFill>
          <bgColor theme="5" tint="0.79998168889431442"/>
        </patternFill>
      </fill>
    </dxf>
    <dxf>
      <fill>
        <patternFill>
          <bgColor rgb="FFDDECF7"/>
        </patternFill>
      </fill>
    </dxf>
    <dxf>
      <fill>
        <patternFill>
          <bgColor theme="5" tint="0.79998168889431442"/>
        </patternFill>
      </fill>
    </dxf>
    <dxf>
      <fill>
        <patternFill>
          <bgColor rgb="FFFFD1A3"/>
        </patternFill>
      </fill>
    </dxf>
    <dxf>
      <fill>
        <patternFill>
          <bgColor rgb="FFFF7979"/>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190"/>
      <tableStyleElement type="headerRow" dxfId="189"/>
      <tableStyleElement type="totalRow" dxfId="188"/>
      <tableStyleElement type="firstRowStripe" dxfId="187"/>
    </tableStyle>
    <tableStyle name="OmitTableStyle" pivot="0" count="6">
      <tableStyleElement type="wholeTable" dxfId="186"/>
      <tableStyleElement type="headerRow" dxfId="185"/>
      <tableStyleElement type="totalRow" dxfId="184"/>
      <tableStyleElement type="firstColumn" dxfId="183"/>
      <tableStyleElement type="lastColumn" dxfId="182"/>
      <tableStyleElement type="firstRowStripe" dxfId="181"/>
    </tableStyle>
    <tableStyle name="TableFall" pivot="0" count="4">
      <tableStyleElement type="wholeTable" dxfId="180"/>
      <tableStyleElement type="headerRow" dxfId="179"/>
      <tableStyleElement type="totalRow" dxfId="178"/>
      <tableStyleElement type="firstRowStripe" dxfId="177"/>
    </tableStyle>
    <tableStyle name="TableStyleMedium3 2" pivot="0" count="7">
      <tableStyleElement type="wholeTable" dxfId="176"/>
      <tableStyleElement type="headerRow" dxfId="175"/>
      <tableStyleElement type="totalRow" dxfId="174"/>
      <tableStyleElement type="firstColumn" dxfId="173"/>
      <tableStyleElement type="lastColumn" dxfId="172"/>
      <tableStyleElement type="firstRowStripe" dxfId="171"/>
      <tableStyleElement type="firstColumnStripe" dxfId="170"/>
    </tableStyle>
    <tableStyle name="TableStyleMedium7 2" pivot="0" count="7">
      <tableStyleElement type="wholeTable" dxfId="169"/>
      <tableStyleElement type="headerRow" dxfId="168"/>
      <tableStyleElement type="totalRow" dxfId="167"/>
      <tableStyleElement type="firstColumn" dxfId="166"/>
      <tableStyleElement type="lastColumn" dxfId="165"/>
      <tableStyleElement type="firstRowStripe" dxfId="164"/>
      <tableStyleElement type="firstColumnStripe" dxfId="163"/>
    </tableStyle>
  </tableStyles>
  <colors>
    <mruColors>
      <color rgb="FFFEEFE2"/>
      <color rgb="FF6C8B1B"/>
      <color rgb="FFFEFECE"/>
      <color rgb="FFFABDB8"/>
      <color rgb="FFC81E0F"/>
      <color rgb="FFE11E1E"/>
      <color rgb="FFFFC1C1"/>
      <color rgb="FFFFFFD9"/>
      <color rgb="FFFBFEE2"/>
      <color rgb="FFFFE1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I3" lockText="1"/>
</file>

<file path=xl/ctrlProps/ctrlProp5.xml><?xml version="1.0" encoding="utf-8"?>
<formControlPr xmlns="http://schemas.microsoft.com/office/spreadsheetml/2009/9/main" objectType="CheckBox" fmlaLink="I4" lockText="1"/>
</file>

<file path=xl/ctrlProps/ctrlProp6.xml><?xml version="1.0" encoding="utf-8"?>
<formControlPr xmlns="http://schemas.microsoft.com/office/spreadsheetml/2009/9/main" objectType="Radio" firstButton="1" fmlaLink="I2"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4.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201386</xdr:colOff>
          <xdr:row>2</xdr:row>
          <xdr:rowOff>21771</xdr:rowOff>
        </xdr:from>
        <xdr:to>
          <xdr:col>4</xdr:col>
          <xdr:colOff>114300</xdr:colOff>
          <xdr:row>3</xdr:row>
          <xdr:rowOff>21771</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Install Templates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5</xdr:row>
          <xdr:rowOff>21771</xdr:rowOff>
        </xdr:from>
        <xdr:to>
          <xdr:col>4</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7</xdr:row>
          <xdr:rowOff>59871</xdr:rowOff>
        </xdr:from>
        <xdr:to>
          <xdr:col>4</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xdr:from>
      <xdr:col>6</xdr:col>
      <xdr:colOff>219075</xdr:colOff>
      <xdr:row>0</xdr:row>
      <xdr:rowOff>0</xdr:rowOff>
    </xdr:from>
    <xdr:to>
      <xdr:col>9</xdr:col>
      <xdr:colOff>299934</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xdr:nvGrpSpPr>
      <xdr:grpSpPr>
        <a:xfrm>
          <a:off x="4154261" y="0"/>
          <a:ext cx="2377744"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10</xdr:col>
          <xdr:colOff>179614</xdr:colOff>
          <xdr:row>2</xdr:row>
          <xdr:rowOff>179614</xdr:rowOff>
        </xdr:from>
        <xdr:to>
          <xdr:col>11</xdr:col>
          <xdr:colOff>1649186</xdr:colOff>
          <xdr:row>3</xdr:row>
          <xdr:rowOff>201386</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3</xdr:row>
          <xdr:rowOff>163286</xdr:rowOff>
        </xdr:from>
        <xdr:to>
          <xdr:col>12</xdr:col>
          <xdr:colOff>288471</xdr:colOff>
          <xdr:row>4</xdr:row>
          <xdr:rowOff>179614</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Save Word RA Drafts also for Autoloads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4</xdr:row>
          <xdr:rowOff>174171</xdr:rowOff>
        </xdr:from>
        <xdr:to>
          <xdr:col>11</xdr:col>
          <xdr:colOff>1926771</xdr:colOff>
          <xdr:row>5</xdr:row>
          <xdr:rowOff>136071</xdr:rowOff>
        </xdr:to>
        <xdr:sp macro="" textlink="">
          <xdr:nvSpPr>
            <xdr:cNvPr id="16397" name="Option Button 13"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5</xdr:row>
          <xdr:rowOff>136071</xdr:rowOff>
        </xdr:from>
        <xdr:to>
          <xdr:col>11</xdr:col>
          <xdr:colOff>2030186</xdr:colOff>
          <xdr:row>6</xdr:row>
          <xdr:rowOff>76200</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179614</xdr:colOff>
          <xdr:row>6</xdr:row>
          <xdr:rowOff>65314</xdr:rowOff>
        </xdr:from>
        <xdr:to>
          <xdr:col>11</xdr:col>
          <xdr:colOff>1926771</xdr:colOff>
          <xdr:row>7</xdr:row>
          <xdr:rowOff>27214</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174171</xdr:colOff>
          <xdr:row>0</xdr:row>
          <xdr:rowOff>201386</xdr:rowOff>
        </xdr:from>
        <xdr:to>
          <xdr:col>11</xdr:col>
          <xdr:colOff>1812471</xdr:colOff>
          <xdr:row>1</xdr:row>
          <xdr:rowOff>179614</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201386</xdr:colOff>
          <xdr:row>6</xdr:row>
          <xdr:rowOff>38100</xdr:rowOff>
        </xdr:from>
        <xdr:to>
          <xdr:col>4</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87086</xdr:colOff>
      <xdr:row>0</xdr:row>
      <xdr:rowOff>16329</xdr:rowOff>
    </xdr:from>
    <xdr:to>
      <xdr:col>14</xdr:col>
      <xdr:colOff>81643</xdr:colOff>
      <xdr:row>0</xdr:row>
      <xdr:rowOff>228600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7086" y="201386"/>
          <a:ext cx="7777843" cy="2122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rgbClr val="002060"/>
              </a:solidFill>
            </a:rPr>
            <a:t>Check coding helps you see if there are missing context statements, RAs, differences between the leads&amp;non-leads, or miscodes.</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21771</xdr:colOff>
          <xdr:row>6</xdr:row>
          <xdr:rowOff>21771</xdr:rowOff>
        </xdr:from>
        <xdr:to>
          <xdr:col>9</xdr:col>
          <xdr:colOff>468086</xdr:colOff>
          <xdr:row>6</xdr:row>
          <xdr:rowOff>179614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7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21771</xdr:colOff>
          <xdr:row>7</xdr:row>
          <xdr:rowOff>10886</xdr:rowOff>
        </xdr:from>
        <xdr:to>
          <xdr:col>9</xdr:col>
          <xdr:colOff>457200</xdr:colOff>
          <xdr:row>7</xdr:row>
          <xdr:rowOff>174171</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Picker</a:t>
              </a:r>
            </a:p>
          </xdr:txBody>
        </xdr:sp>
        <xdr:clientData/>
      </xdr:twoCellAnchor>
    </mc:Choice>
    <mc:Fallback/>
  </mc:AlternateContent>
  <xdr:twoCellAnchor editAs="oneCell">
    <xdr:from>
      <xdr:col>3</xdr:col>
      <xdr:colOff>121384</xdr:colOff>
      <xdr:row>0</xdr:row>
      <xdr:rowOff>0</xdr:rowOff>
    </xdr:from>
    <xdr:to>
      <xdr:col>5</xdr:col>
      <xdr:colOff>175533</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700-000008000000}"/>
            </a:ext>
          </a:extLst>
        </xdr:cNvPr>
        <xdr:cNvGrpSpPr>
          <a:grpSpLocks noChangeAspect="1"/>
        </xdr:cNvGrpSpPr>
      </xdr:nvGrpSpPr>
      <xdr:grpSpPr>
        <a:xfrm>
          <a:off x="2244098" y="0"/>
          <a:ext cx="2182306" cy="1665514"/>
          <a:chOff x="3257550" y="0"/>
          <a:chExt cx="2553319" cy="2054967"/>
        </a:xfrm>
      </xdr:grpSpPr>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700-00000A000000}"/>
              </a:ext>
            </a:extLst>
          </xdr:cNvPr>
          <xdr:cNvSpPr/>
        </xdr:nvSpPr>
        <xdr:spPr>
          <a:xfrm>
            <a:off x="3362365" y="0"/>
            <a:ext cx="2448504" cy="139199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4</xdr:col>
      <xdr:colOff>461834</xdr:colOff>
      <xdr:row>24</xdr:row>
      <xdr:rowOff>55063</xdr:rowOff>
    </xdr:from>
    <xdr:to>
      <xdr:col>4</xdr:col>
      <xdr:colOff>903513</xdr:colOff>
      <xdr:row>25</xdr:row>
      <xdr:rowOff>192471</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504391" y="5911577"/>
          <a:ext cx="441679" cy="393222"/>
        </a:xfrm>
        <a:prstGeom prst="rect">
          <a:avLst/>
        </a:prstGeom>
      </xdr:spPr>
    </xdr:pic>
    <xdr:clientData/>
  </xdr:twoCellAnchor>
  <xdr:twoCellAnchor editAs="oneCell">
    <xdr:from>
      <xdr:col>3</xdr:col>
      <xdr:colOff>530243</xdr:colOff>
      <xdr:row>24</xdr:row>
      <xdr:rowOff>19208</xdr:rowOff>
    </xdr:from>
    <xdr:to>
      <xdr:col>4</xdr:col>
      <xdr:colOff>209921</xdr:colOff>
      <xdr:row>27</xdr:row>
      <xdr:rowOff>38647</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462457" y="5875722"/>
          <a:ext cx="790021" cy="716124"/>
        </a:xfrm>
        <a:prstGeom prst="rect">
          <a:avLst/>
        </a:prstGeom>
      </xdr:spPr>
    </xdr:pic>
    <xdr:clientData/>
  </xdr:twoCellAnchor>
  <xdr:twoCellAnchor editAs="oneCell">
    <xdr:from>
      <xdr:col>1</xdr:col>
      <xdr:colOff>637605</xdr:colOff>
      <xdr:row>23</xdr:row>
      <xdr:rowOff>229349</xdr:rowOff>
    </xdr:from>
    <xdr:to>
      <xdr:col>3</xdr:col>
      <xdr:colOff>324113</xdr:colOff>
      <xdr:row>28</xdr:row>
      <xdr:rowOff>75685</xdr:rowOff>
    </xdr:to>
    <xdr:pic macro="[0]!RefreshFromPanel">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1891" y="5835492"/>
          <a:ext cx="1074436" cy="97845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125186</xdr:colOff>
          <xdr:row>0</xdr:row>
          <xdr:rowOff>174171</xdr:rowOff>
        </xdr:from>
        <xdr:to>
          <xdr:col>16</xdr:col>
          <xdr:colOff>484414</xdr:colOff>
          <xdr:row>0</xdr:row>
          <xdr:rowOff>402771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8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Automation\scratch\RoboRA_v0.58.66lo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oboRA"/>
      <sheetName val="CheckCoding"/>
      <sheetName val="BudgetBlocks"/>
      <sheetName val="Advanced"/>
      <sheetName val="AllRACandidates"/>
      <sheetName val="ProjText"/>
      <sheetName val="Settings"/>
    </sheetNames>
    <sheetDataSet>
      <sheetData sheetId="0" refreshError="1"/>
      <sheetData sheetId="1" refreshError="1"/>
      <sheetData sheetId="2"/>
      <sheetData sheetId="3">
        <row r="14">
          <cell r="D14" t="str">
            <v>eg: jsnoeyi, not 8-letter lan id</v>
          </cell>
        </row>
      </sheetData>
      <sheetData sheetId="4" refreshError="1"/>
      <sheetData sheetId="5" refreshError="1"/>
      <sheetData sheetId="6" refreshError="1"/>
    </sheetDataSet>
  </externalBook>
</externalLink>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308">
    <queryTableFields count="62">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5" name="st_code" tableColumnId="23"/>
      <queryTableField id="242" dataBound="0" tableColumnId="27"/>
      <queryTableField id="265" dataBound="0" tableColumnId="39"/>
      <queryTableField id="264" dataBound="0" tableColumnId="38"/>
      <queryTableField id="11" name="cntx_stmt_id" tableColumnId="11"/>
      <queryTableField id="254" name="RAupdate" tableColumnId="32"/>
      <queryTableField id="243" name="bas_rsch_pct" tableColumnId="28"/>
      <queryTableField id="244" name="other_pct" tableColumnId="29"/>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6" name="rqst_eff_date" tableColumnId="16"/>
      <queryTableField id="17" name="rqst_mnth_cnt" tableColumnId="17"/>
      <queryTableField id="266" name="Nrev" tableColumnId="40"/>
      <queryTableField id="269" name="Npanl" tableColumnId="43"/>
      <queryTableField id="83" name="prop_titl_txt" tableColumnId="83"/>
      <queryTableField id="214" name="dd_rcom_date" tableColumnId="1"/>
      <queryTableField id="260" name="NfmlPIs" tableColumnId="34"/>
      <queryTableField id="261" name="NhispPIs" tableColumnId="35"/>
      <queryTableField id="262" name="NhndcpPIs" tableColumnId="36"/>
      <queryTableField id="263" name="NnonWhtAsnPIs" tableColumnId="37"/>
      <queryTableField id="278" name="prop_stts_txt" tableColumnId="8"/>
      <queryTableField id="279" name="prop_stts_abbr" tableColumnId="9"/>
      <queryTableField id="280" name="natr_rqst_abbr" tableColumnId="10"/>
      <queryTableField id="281" name="Div" tableColumnId="15"/>
      <queryTableField id="282" name="inst" tableColumnId="20"/>
      <queryTableField id="283" name="email" tableColumnId="21"/>
      <queryTableField id="284" name="propPRCs" tableColumnId="22"/>
      <queryTableField id="285" name="nPSunmrkd" tableColumnId="24"/>
      <queryTableField id="286" name="nPSunrls" tableColumnId="26"/>
      <queryTableField id="287" name="RecRkMin" tableColumnId="30"/>
      <queryTableField id="288" name="allReviews" tableColumnId="31"/>
      <queryTableField id="289" name="avg_score" tableColumnId="33"/>
      <queryTableField id="290" name="last_rev_date" tableColumnId="41"/>
      <queryTableField id="291" name="Nunmkd" tableColumnId="42"/>
      <queryTableField id="292" name="Nunrlsbl" tableColumnId="44"/>
      <queryTableField id="293" name="NrlsdCDNPS" tableColumnId="45"/>
      <queryTableField id="294" name="NpendSlct" tableColumnId="46"/>
      <queryTableField id="295" name="NdiffFLeJ" tableColumnId="47"/>
      <queryTableField id="296" name="rqst_tot" tableColumnId="48"/>
      <queryTableField id="297" name="brevn" tableColumnId="49"/>
      <queryTableField id="298" name="budg_tot" tableColumnId="50"/>
      <queryTableField id="299" name="sub_ctr_tot" tableColumnId="51"/>
      <queryTableField id="300" name="frgn_trav_tot" tableColumnId="52"/>
      <queryTableField id="301" name="pdoc_tot" tableColumnId="53"/>
      <queryTableField id="302" name="part_tot_dol" tableColumnId="54"/>
      <queryTableField id="303" name="grad_tot_cnt" tableColumnId="55"/>
      <queryTableField id="304" name="sr_tot_cnt" tableColumnId="56"/>
      <queryTableField id="305" name="sr_sumr_mnths" tableColumnId="57"/>
      <queryTableField id="306" name="sr_acad_mnths" tableColumnId="58"/>
      <queryTableField id="307" name="sr_cal_mnths" tableColumnId="59"/>
    </queryTableFields>
  </queryTableRefresh>
</queryTable>
</file>

<file path=xl/queryTables/queryTable2.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91">
    <queryTableFields count="26">
      <queryTableField id="10" name="prop_id" tableColumnId="10"/>
      <queryTableField id="89" name="ILN" tableColumnId="9"/>
      <queryTableField id="63" name="nsf_rcvd_date" tableColumnId="3"/>
      <queryTableField id="64" name="pgm_annc_id" tableColumnId="4"/>
      <queryTableField id="65" name="org_code" tableColumnId="5"/>
      <queryTableField id="66" name="pgm_ele_code" tableColumnId="6"/>
      <queryTableField id="67" name="pm_ibm_logn_id" tableColumnId="7"/>
      <queryTableField id="68" name="lead" tableColumnId="8"/>
      <queryTableField id="55" dataBound="0" tableColumnId="1"/>
      <queryTableField id="58" dataBound="0" tableColumnId="2"/>
      <queryTableField id="70" name="pi_last_name" tableColumnId="11"/>
      <queryTableField id="71" name="inst_name" tableColumnId="12"/>
      <queryTableField id="72" name="pi_emai_addr" tableColumnId="13"/>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84" name="PRCs" tableColumnId="25"/>
    </queryTableFields>
    <queryTableDeletedFields count="1">
      <deletedField name="seq"/>
    </queryTableDeletedFields>
  </queryTableRefresh>
</queryTable>
</file>

<file path=xl/queryTables/queryTable3.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278">
    <queryTableFields count="49">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2" name="natr_rqst_code" tableColumnId="20"/>
      <queryTableField id="223" name="prop_stts_code" tableColumnId="21"/>
      <queryTableField id="239" name="PRCs" tableColumnId="26"/>
      <queryTableField id="225" name="st_code" tableColumnId="23"/>
      <queryTableField id="242" dataBound="0" tableColumnId="27"/>
      <queryTableField id="265" dataBound="0" tableColumnId="39"/>
      <queryTableField id="264" dataBound="0" tableColumnId="38"/>
      <queryTableField id="11" name="cntx_stmt_id" tableColumnId="11"/>
      <queryTableField id="254" name="RAupdate" tableColumnId="32"/>
      <queryTableField id="243" name="bas_rsch_pct" tableColumnId="28"/>
      <queryTableField id="244" name="other_pct" tableColumnId="29"/>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5" name="inst_name" tableColumnId="15"/>
      <queryTableField id="217" name="rqst_dol" tableColumnId="8"/>
      <queryTableField id="16" name="rqst_eff_date" tableColumnId="16"/>
      <queryTableField id="17" name="rqst_mnth_cnt" tableColumnId="17"/>
      <queryTableField id="266" name="Nrev" tableColumnId="40"/>
      <queryTableField id="267" name="NrevUnreleasable" tableColumnId="41"/>
      <queryTableField id="268" name="NrevUnmarked" tableColumnId="42"/>
      <queryTableField id="269" name="Npanl" tableColumnId="43"/>
      <queryTableField id="270" name="NpanlUnreleasable" tableColumnId="44"/>
      <queryTableField id="271" name="NpanlUnmarked" tableColumnId="45"/>
      <queryTableField id="218" name="humn_date" tableColumnId="9"/>
      <queryTableField id="219" name="vrtb_date" tableColumnId="10"/>
      <queryTableField id="83" name="prop_titl_txt" tableColumnId="83"/>
      <queryTableField id="251" name="abst_narr_txt" tableColumnId="31"/>
      <queryTableField id="258" name="frgn_trvl_dol" tableColumnId="33"/>
      <queryTableField id="250" name="Country" tableColumnId="30"/>
      <queryTableField id="200" name="pi_emai_addr" tableColumnId="200"/>
      <queryTableField id="214" name="dd_rcom_date" tableColumnId="1"/>
      <queryTableField id="224" name="inst_id" tableColumnId="22"/>
      <queryTableField id="226" name="pi_id" tableColumnId="24"/>
      <queryTableField id="260" name="NfmlPIs" tableColumnId="34"/>
      <queryTableField id="261" name="NhispPIs" tableColumnId="35"/>
      <queryTableField id="262" name="NhndcpPIs" tableColumnId="36"/>
      <queryTableField id="263" name="NnonWhtAsnPIs" tableColumnId="37"/>
    </queryTableFields>
  </queryTableRefresh>
</queryTable>
</file>

<file path=xl/queryTables/queryTable4.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278">
    <queryTableFields count="49">
      <queryTableField id="4" name="nsf_rcvd_date" tableColumnId="4"/>
      <queryTableField id="5" name="pgm_annc_id" tableColumnId="5"/>
      <queryTableField id="6" name="org_code" tableColumnId="6"/>
      <queryTableField id="7" name="pgm_ele_code" tableColumnId="7"/>
      <queryTableField id="220" name="PO" tableColumnId="18"/>
      <queryTableField id="221" name="obj_clas_code" tableColumnId="19"/>
      <queryTableField id="222" name="natr_rqst_code" tableColumnId="20"/>
      <queryTableField id="223" name="prop_stts_code" tableColumnId="21"/>
      <queryTableField id="239" name="PRCs" tableColumnId="26"/>
      <queryTableField id="225" name="st_code" tableColumnId="23"/>
      <queryTableField id="242" dataBound="0" tableColumnId="27"/>
      <queryTableField id="265" dataBound="0" tableColumnId="39"/>
      <queryTableField id="264" dataBound="0" tableColumnId="38"/>
      <queryTableField id="11" name="cntx_stmt_id" tableColumnId="11"/>
      <queryTableField id="254" name="RAupdate" tableColumnId="32"/>
      <queryTableField id="243" name="bas_rsch_pct" tableColumnId="28"/>
      <queryTableField id="244" name="other_pct" tableColumnId="29"/>
      <queryTableField id="212" dataBound="0" tableColumnId="206"/>
      <queryTableField id="230" dataBound="0" tableColumnId="25"/>
      <queryTableField id="215" name="ILN" tableColumnId="2"/>
      <queryTableField id="216" name="lead" tableColumnId="3"/>
      <queryTableField id="213" dataBound="0" tableColumnId="205"/>
      <queryTableField id="12" name="prop_id" tableColumnId="12"/>
      <queryTableField id="13" name="pi_last_name" tableColumnId="13"/>
      <queryTableField id="14" name="pi_frst_name" tableColumnId="14"/>
      <queryTableField id="15" name="inst_name" tableColumnId="15"/>
      <queryTableField id="217" name="rqst_dol" tableColumnId="8"/>
      <queryTableField id="16" name="rqst_eff_date" tableColumnId="16"/>
      <queryTableField id="17" name="rqst_mnth_cnt" tableColumnId="17"/>
      <queryTableField id="266" name="Nrev" tableColumnId="40"/>
      <queryTableField id="267" name="NrevUnreleasable" tableColumnId="41"/>
      <queryTableField id="268" name="NrevUnmarked" tableColumnId="42"/>
      <queryTableField id="269" name="Npanl" tableColumnId="43"/>
      <queryTableField id="270" name="NpanlUnreleasable" tableColumnId="44"/>
      <queryTableField id="271" name="NpanlUnmarked" tableColumnId="45"/>
      <queryTableField id="218" name="humn_date" tableColumnId="9"/>
      <queryTableField id="219" name="vrtb_date" tableColumnId="10"/>
      <queryTableField id="83" name="prop_titl_txt" tableColumnId="83"/>
      <queryTableField id="251" name="abst_narr_txt" tableColumnId="31"/>
      <queryTableField id="258" name="frgn_trvl_dol" tableColumnId="33"/>
      <queryTableField id="250" name="Country" tableColumnId="30"/>
      <queryTableField id="200" name="pi_emai_addr" tableColumnId="200"/>
      <queryTableField id="214" name="dd_rcom_date" tableColumnId="1"/>
      <queryTableField id="224" name="inst_id" tableColumnId="22"/>
      <queryTableField id="226" name="pi_id" tableColumnId="24"/>
      <queryTableField id="260" name="NfmlPIs" tableColumnId="34"/>
      <queryTableField id="261" name="NhispPIs" tableColumnId="35"/>
      <queryTableField id="262" name="NhndcpPIs" tableColumnId="36"/>
      <queryTableField id="263" name="NnonWhtAsnPIs" tableColumnId="37"/>
    </queryTableFields>
  </queryTableRefresh>
</queryTable>
</file>

<file path=xl/queryTables/queryTable5.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queryTables/queryTable6.xml><?xml version="1.0" encoding="utf-8"?>
<queryTable xmlns="http://schemas.openxmlformats.org/spreadsheetml/2006/main" name="Query from RPTSERVER" adjustColumnWidth="0" connectionId="4"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167">
    <queryTableFields count="131">
      <queryTableField id="1" name="pulldate" tableColumnId="1"/>
      <queryTableField id="2" name="nsf_rcvd_date" tableColumnId="2"/>
      <queryTableField id="3" name="RAupdate" tableColumnId="3"/>
      <queryTableField id="4" name="dd_rcom_date" tableColumnId="4"/>
      <queryTableField id="10" name="prop_stts_abbr" tableColumnId="10"/>
      <queryTableField id="11" name="natr_rqst_abbr" tableColumnId="11"/>
      <queryTableField id="12" name="obj_clas_code" tableColumnId="12"/>
      <queryTableField id="6" name="pgm_annc_id" tableColumnId="6"/>
      <queryTableField id="7" name="org_code" tableColumnId="7"/>
      <queryTableField id="8" name="pgm_ele_code" tableColumnId="8"/>
      <queryTableField id="9" name="PO" tableColumnId="9"/>
      <queryTableField id="5" name="cntx_stmt_id" tableColumnId="5"/>
      <queryTableField id="13" name="RecRkMin" tableColumnId="13"/>
      <queryTableField id="18" name="avg_score" tableColumnId="18"/>
      <queryTableField id="137" dataBound="0" tableColumnId="134"/>
      <queryTableField id="136" dataBound="0" tableColumnId="135"/>
      <queryTableField id="135" dataBound="0" tableColumnId="136"/>
      <queryTableField id="138" dataBound="0" tableColumnId="138"/>
      <queryTableField id="134" dataBound="0" tableColumnId="137"/>
      <queryTableField id="19" name="Nrev" tableColumnId="19"/>
      <queryTableField id="21" name="Nunmkd" tableColumnId="21"/>
      <queryTableField id="22" name="last_rev_date" tableColumnId="22"/>
      <queryTableField id="23" name="nPanl" tableColumnId="23"/>
      <queryTableField id="145" dataBound="0" tableColumnId="139"/>
      <queryTableField id="147" dataBound="0" tableColumnId="140"/>
      <queryTableField id="146" dataBound="0" tableColumnId="141"/>
      <queryTableField id="26" name="Div" tableColumnId="26"/>
      <queryTableField id="27" name="prop_id0" tableColumnId="27"/>
      <queryTableField id="28" name="last0" tableColumnId="28"/>
      <queryTableField id="29" name="frst0" tableColumnId="29"/>
      <queryTableField id="30" name="inst0" tableColumnId="30"/>
      <queryTableField id="31" name="rqst0" tableColumnId="31"/>
      <queryTableField id="32" name="b0tot" tableColumnId="32"/>
      <queryTableField id="33" name="AhNrev" tableColumnId="33"/>
      <queryTableField id="34" name="AhRevs" tableColumnId="34"/>
      <queryTableField id="35" name="AhLast" tableColumnId="35"/>
      <queryTableField id="36" name="panl_id0" tableColumnId="36"/>
      <queryTableField id="37" name="RCOM_TXT0" tableColumnId="37"/>
      <queryTableField id="39" name="panl_name0" tableColumnId="39"/>
      <queryTableField id="40" name="panl_end0" tableColumnId="40"/>
      <queryTableField id="38" name="rank0" tableColumnId="38"/>
      <queryTableField id="41" name="revs0" tableColumnId="41"/>
      <queryTableField id="43" name="panl_id1" tableColumnId="43"/>
      <queryTableField id="44" name="RCOM_TXT1" tableColumnId="44"/>
      <queryTableField id="46" name="panl_name1" tableColumnId="46"/>
      <queryTableField id="47" name="panl_end1" tableColumnId="47"/>
      <queryTableField id="45" name="rank1" tableColumnId="45"/>
      <queryTableField id="48" name="revs1" tableColumnId="48"/>
      <queryTableField id="50" name="panl_id2" tableColumnId="50"/>
      <queryTableField id="51" name="RCOM_TXT2" tableColumnId="51"/>
      <queryTableField id="52" name="rank2" tableColumnId="52"/>
      <queryTableField id="53" name="panl_name2" tableColumnId="53"/>
      <queryTableField id="54" name="panl_end2" tableColumnId="54"/>
      <queryTableField id="55" name="revs2" tableColumnId="55"/>
      <queryTableField id="57" name="prop_titl_txt" tableColumnId="57"/>
      <queryTableField id="58" name="rqst_tot" tableColumnId="58"/>
      <queryTableField id="59" name="budg_tot" tableColumnId="59"/>
      <queryTableField id="60" name="budRevnMax" tableColumnId="60"/>
      <queryTableField id="61" name="rqst_eff_date" tableColumnId="61"/>
      <queryTableField id="62" name="rqst_mnth_cnt" tableColumnId="62"/>
      <queryTableField id="63" name="solicitation" tableColumnId="63"/>
      <queryTableField id="65" name="pgm_ele_name" tableColumnId="65"/>
      <queryTableField id="66" name="sign_blck_name" tableColumnId="66"/>
      <queryTableField id="67" name="prop_stts_txt" tableColumnId="67"/>
      <queryTableField id="68" name="obj_clas_name" tableColumnId="68"/>
      <queryTableField id="69" name="Dir" tableColumnId="69"/>
      <queryTableField id="70" name="Dir_name" tableColumnId="70"/>
      <queryTableField id="71" name="PRC0" tableColumnId="71"/>
      <queryTableField id="73" name="prop_id1" tableColumnId="73"/>
      <queryTableField id="74" name="last1" tableColumnId="74"/>
      <queryTableField id="75" name="frst1" tableColumnId="75"/>
      <queryTableField id="76" name="inst1" tableColumnId="76"/>
      <queryTableField id="77" name="rqst1" tableColumnId="77"/>
      <queryTableField id="78" name="b1tot" tableColumnId="78"/>
      <queryTableField id="79" name="PRC1" tableColumnId="79"/>
      <queryTableField id="81" name="prop_id2" tableColumnId="81"/>
      <queryTableField id="82" name="last2" tableColumnId="82"/>
      <queryTableField id="83" name="frst2" tableColumnId="83"/>
      <queryTableField id="84" name="inst2" tableColumnId="84"/>
      <queryTableField id="85" name="rqst2" tableColumnId="85"/>
      <queryTableField id="86" name="b2tot" tableColumnId="86"/>
      <queryTableField id="87" name="PRC2" tableColumnId="87"/>
      <queryTableField id="89" name="prop_id3" tableColumnId="89"/>
      <queryTableField id="90" name="last3" tableColumnId="90"/>
      <queryTableField id="91" name="frst3" tableColumnId="91"/>
      <queryTableField id="92" name="inst3" tableColumnId="92"/>
      <queryTableField id="93" name="rqst3" tableColumnId="93"/>
      <queryTableField id="94" name="b3tot" tableColumnId="94"/>
      <queryTableField id="95" name="PRC3" tableColumnId="95"/>
      <queryTableField id="97" name="prop_id4" tableColumnId="97"/>
      <queryTableField id="98" name="last4" tableColumnId="98"/>
      <queryTableField id="99" name="frst4" tableColumnId="99"/>
      <queryTableField id="100" name="inst4" tableColumnId="100"/>
      <queryTableField id="101" name="rqst4" tableColumnId="101"/>
      <queryTableField id="102" name="b4tot" tableColumnId="102"/>
      <queryTableField id="103" name="PRC4" tableColumnId="103"/>
      <queryTableField id="105" name="prop_id5" tableColumnId="105"/>
      <queryTableField id="106" name="last5" tableColumnId="106"/>
      <queryTableField id="107" name="frst5" tableColumnId="107"/>
      <queryTableField id="108" name="inst5" tableColumnId="108"/>
      <queryTableField id="109" name="rqst5" tableColumnId="109"/>
      <queryTableField id="110" name="b5tot" tableColumnId="110"/>
      <queryTableField id="111" name="PRC5" tableColumnId="111"/>
      <queryTableField id="113" name="prop_id6" tableColumnId="113"/>
      <queryTableField id="114" name="last6" tableColumnId="114"/>
      <queryTableField id="115" name="frst6" tableColumnId="115"/>
      <queryTableField id="116" name="inst6" tableColumnId="116"/>
      <queryTableField id="117" name="rqst6" tableColumnId="117"/>
      <queryTableField id="118" name="b6tot" tableColumnId="118"/>
      <queryTableField id="119" name="PRC6" tableColumnId="119"/>
      <queryTableField id="121" name="email" tableColumnId="121"/>
      <queryTableField id="122" name="allPIemail" tableColumnId="122"/>
      <queryTableField id="148" name="rec0" tableColumnId="14"/>
      <queryTableField id="149" name="rec1" tableColumnId="15"/>
      <queryTableField id="150" name="rec2" tableColumnId="16"/>
      <queryTableField id="151" name="lead" tableColumnId="17"/>
      <queryTableField id="152" name="minScore" tableColumnId="20"/>
      <queryTableField id="153" name="maxScore" tableColumnId="24"/>
      <queryTableField id="154" name="allReviews" tableColumnId="25"/>
      <queryTableField id="155" name="Nunrlsbl" tableColumnId="42"/>
      <queryTableField id="156" name="PanlString0" tableColumnId="49"/>
      <queryTableField id="157" name="pnlst0" tableColumnId="56"/>
      <queryTableField id="158" name="confl0" tableColumnId="64"/>
      <queryTableField id="159" name="PanlString1" tableColumnId="72"/>
      <queryTableField id="160" name="pnlst1" tableColumnId="80"/>
      <queryTableField id="161" name="confl1" tableColumnId="88"/>
      <queryTableField id="162" name="PanlString2" tableColumnId="96"/>
      <queryTableField id="163" name="pnlst2" tableColumnId="104"/>
      <queryTableField id="164" name="confl2" tableColumnId="112"/>
      <queryTableField id="165" name="Div_name" tableColumnId="120"/>
      <queryTableField id="166" name="natr_rqst_txt" tableColumnId="12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8" name="AwdPropTable" displayName="AwdPropTable" ref="A12:A31" totalsRowShown="0" dataDxfId="162">
  <autoFilter ref="A12:A31"/>
  <tableColumns count="1">
    <tableColumn id="1" name="prop_id" dataDxfId="161"/>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2:D32" totalsRowShown="0" dataDxfId="160">
  <autoFilter ref="D12:D32"/>
  <tableColumns count="1">
    <tableColumn id="1" name="prop_id" dataDxfId="159"/>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G12:G14" totalsRowShown="0" dataDxfId="158">
  <autoFilter ref="G12:G14"/>
  <tableColumns count="1">
    <tableColumn id="1" name="prop_id" dataDxfId="157"/>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J32" tableType="queryTable" totalsRowShown="0">
  <autoFilter ref="A1:BJ32"/>
  <tableColumns count="62">
    <tableColumn id="4" uniqueName="4" name="nsf_rcvd_date" queryTableFieldId="4" dataDxfId="52"/>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3" uniqueName="23" name="st_code" queryTableFieldId="225"/>
    <tableColumn id="27" uniqueName="27" name="EPSCoR check" queryTableFieldId="242">
      <calculatedColumnFormula>_xlfn.XOR(IFERROR(MATCH(ckCodingTable[[#This Row],[st_code]],EpscorTable[],0)&gt;0,FALSE),IFERROR(FIND("9150",#REF!)&gt;0,FALSE))</calculatedColumnFormula>
    </tableColumn>
    <tableColumn id="39" uniqueName="39" name="WMD?9102" queryTableFieldId="265">
      <calculatedColumnFormula>_xlfn.XOR(ckCodingTable[[#This Row],[WMD]]&lt;&gt;"",IFERROR(FIND("9102",#REF!)&gt;0,FALSE))</calculatedColumnFormula>
    </tableColumn>
    <tableColumn id="38" uniqueName="38" name="WMD" queryTableFieldId="264">
      <calculatedColumnFormula>IF(SUM(AC2:AF2)&gt;0,"WMD","")</calculatedColumnFormula>
    </tableColumn>
    <tableColumn id="11" uniqueName="11" name="cntx_stmt_id" queryTableFieldId="11"/>
    <tableColumn id="32" uniqueName="32" name="RAupdate" queryTableFieldId="254" dataDxfId="51"/>
    <tableColumn id="28" uniqueName="28" name="bas_rsch_pct" queryTableFieldId="243" dataDxfId="50" dataCellStyle="Percent"/>
    <tableColumn id="29" uniqueName="29" name="other_pct" queryTableFieldId="244" dataDxfId="49" dataCellStyle="Percent"/>
    <tableColumn id="206" uniqueName="206" name="@pi email" queryTableFieldId="212" dataDxfId="48" dataCellStyle="Hyperlink">
      <calculatedColumnFormula xml:space="preserve"> HYPERLINK("mailto:"&amp;ckCodingTable[[#This Row],[email]]&amp;"&amp;subject=Your NSF Proposal:  "&amp;ckCodingTable[[#This Row],[prop_id]],ckCodingTable[[#This Row],[email]])</calculatedColumnFormula>
    </tableColumn>
    <tableColumn id="25" uniqueName="25" name="0" queryTableFieldId="230">
      <calculatedColumnFormula xml:space="preserve"> P1+(ckCodingTable[ILN]&lt;"M")</calculatedColumnFormula>
    </tableColumn>
    <tableColumn id="2" uniqueName="2" name="ILN" queryTableFieldId="215"/>
    <tableColumn id="3" uniqueName="3" name="lead" queryTableFieldId="216"/>
    <tableColumn id="205" uniqueName="205" name="eJ" queryTableFieldId="213" dataDxfId="47" dataCellStyle="Hyperlink">
      <calculatedColumnFormula>HYPERLINK("https://www.ejacket.nsf.gov/ej/showProposal.do?ID="&amp;ckCodingTable[[#This Row],[prop_id]],"eJ")</calculatedColumnFormula>
    </tableColumn>
    <tableColumn id="12" uniqueName="12" name="prop_id" queryTableFieldId="12"/>
    <tableColumn id="13" uniqueName="13" name="pi_last_name" queryTableFieldId="13"/>
    <tableColumn id="14" uniqueName="14" name="pi_frst_name" queryTableFieldId="14"/>
    <tableColumn id="16" uniqueName="16" name="rqst_eff_date" queryTableFieldId="16" dataDxfId="46"/>
    <tableColumn id="17" uniqueName="17" name="rqst_mnth_cnt" queryTableFieldId="17"/>
    <tableColumn id="40" uniqueName="40" name="nRev" queryTableFieldId="266"/>
    <tableColumn id="43" uniqueName="43" name="nPanl" queryTableFieldId="269"/>
    <tableColumn id="83" uniqueName="83" name="prop_titl_txt" queryTableFieldId="83"/>
    <tableColumn id="1" uniqueName="1" name="dd_rcom_date" queryTableFieldId="214" dataDxfId="45"/>
    <tableColumn id="34" uniqueName="34" name="NfmlPIs" queryTableFieldId="260"/>
    <tableColumn id="35" uniqueName="35" name="NhispPIs" queryTableFieldId="261"/>
    <tableColumn id="36" uniqueName="36" name="NhndcpPIs" queryTableFieldId="262"/>
    <tableColumn id="37" uniqueName="37" name="NnonWhtAsnPIs" queryTableFieldId="263"/>
    <tableColumn id="8" uniqueName="8" name="prop_stts_txt" queryTableFieldId="278"/>
    <tableColumn id="9" uniqueName="9" name="prop_stts_abbr" queryTableFieldId="279"/>
    <tableColumn id="10" uniqueName="10" name="natr_rqst_abbr" queryTableFieldId="280"/>
    <tableColumn id="15" uniqueName="15" name="Div" queryTableFieldId="281"/>
    <tableColumn id="20" uniqueName="20" name="inst" queryTableFieldId="282"/>
    <tableColumn id="21" uniqueName="21" name="email" queryTableFieldId="283"/>
    <tableColumn id="22" uniqueName="22" name="propPRCs" queryTableFieldId="284"/>
    <tableColumn id="24" uniqueName="24" name="nPSunmrkd" queryTableFieldId="285"/>
    <tableColumn id="26" uniqueName="26" name="nPSunrls" queryTableFieldId="286"/>
    <tableColumn id="30" uniqueName="30" name="RecRkMin" queryTableFieldId="287"/>
    <tableColumn id="31" uniqueName="31" name="allReviews" queryTableFieldId="288"/>
    <tableColumn id="33" uniqueName="33" name="avg_score" queryTableFieldId="289"/>
    <tableColumn id="41" uniqueName="41" name="last_rev_date" queryTableFieldId="290" dataDxfId="44"/>
    <tableColumn id="42" uniqueName="42" name="Nunmkd" queryTableFieldId="291"/>
    <tableColumn id="44" uniqueName="44" name="Nunrlsbl" queryTableFieldId="292"/>
    <tableColumn id="45" uniqueName="45" name="NrlsdCDNPS" queryTableFieldId="293"/>
    <tableColumn id="46" uniqueName="46" name="NpendSlct" queryTableFieldId="294"/>
    <tableColumn id="47" uniqueName="47" name="NdiffFLeJ" queryTableFieldId="295"/>
    <tableColumn id="48" uniqueName="48" name="rqst_tot" queryTableFieldId="296"/>
    <tableColumn id="49" uniqueName="49" name="brevn" queryTableFieldId="297"/>
    <tableColumn id="50" uniqueName="50" name="budg_tot" queryTableFieldId="298"/>
    <tableColumn id="51" uniqueName="51" name="sub_ctr_tot" queryTableFieldId="299"/>
    <tableColumn id="52" uniqueName="52" name="frgn_trav_tot" queryTableFieldId="300"/>
    <tableColumn id="53" uniqueName="53" name="pdoc_tot" queryTableFieldId="301"/>
    <tableColumn id="54" uniqueName="54" name="part_tot_dol" queryTableFieldId="302"/>
    <tableColumn id="55" uniqueName="55" name="grad_tot_cnt" queryTableFieldId="303"/>
    <tableColumn id="56" uniqueName="56" name="sr_tot_cnt" queryTableFieldId="304"/>
    <tableColumn id="57" uniqueName="57" name="sr_sumr_mnths" queryTableFieldId="305"/>
    <tableColumn id="58" uniqueName="58" name="sr_acad_mnths" queryTableFieldId="306"/>
    <tableColumn id="59" uniqueName="59" name="sr_cal_mnths" queryTableFieldId="307"/>
  </tableColumns>
  <tableStyleInfo name="TableStyleMedium2" showFirstColumn="0" showLastColumn="0" showRowStripes="0" showColumnStripes="0"/>
</table>
</file>

<file path=xl/tables/table5.xml><?xml version="1.0" encoding="utf-8"?>
<table xmlns="http://schemas.openxmlformats.org/spreadsheetml/2006/main" id="5" name="RAdata6" displayName="RAdata6" ref="A3:Z99" tableType="queryTable" totalsRowShown="0" dataDxfId="82">
  <autoFilter ref="A3:Z99"/>
  <tableColumns count="26">
    <tableColumn id="10" uniqueName="10" name="prop_id" queryTableFieldId="10" dataDxfId="81"/>
    <tableColumn id="9" uniqueName="9" name="ILN" queryTableFieldId="89" dataDxfId="80" dataCellStyle="Hyperlink"/>
    <tableColumn id="3" uniqueName="3" name="nsf_rcvd_date" queryTableFieldId="63" dataDxfId="79" dataCellStyle="Hyperlink"/>
    <tableColumn id="4" uniqueName="4" name="pgm_annc_id" queryTableFieldId="64" dataDxfId="78" dataCellStyle="Hyperlink"/>
    <tableColumn id="5" uniqueName="5" name="org_code" queryTableFieldId="65" dataDxfId="77" dataCellStyle="Hyperlink"/>
    <tableColumn id="6" uniqueName="6" name="pgm_ele_code" queryTableFieldId="66" dataDxfId="76" dataCellStyle="Hyperlink"/>
    <tableColumn id="7" uniqueName="7" name="pm_ibm_logn_id" queryTableFieldId="67" dataDxfId="75" dataCellStyle="Hyperlink"/>
    <tableColumn id="8" uniqueName="8" name="lead" queryTableFieldId="68" dataDxfId="74" dataCellStyle="Hyperlink"/>
    <tableColumn id="1" uniqueName="1" name="eJ" queryTableFieldId="55" dataCellStyle="Hyperlink">
      <calculatedColumnFormula>IF(RAdata6[[#This Row],[pi_last_name]]=" ","",HYPERLINK("https://www.ejacket.nsf.gov/ej/showProposal.do?Continue=Y&amp;ID="&amp;RAdata6[[#This Row],[prop_id]],RAdata6[[#This Row],[prop_id]]))</calculatedColumnFormula>
    </tableColumn>
    <tableColumn id="2" uniqueName="2" name="RA" queryTableFieldId="58" dataCellStyle="Hyperlink">
      <calculatedColumnFormula>IF(RAdata6[[#This Row],[pi_last_name]]=" ","",HYPERLINK("https://www.ejacket.nsf.gov/ej/processReviewAnalysis.do?dispatch=add&amp;uniqId="&amp;RAdata6[[#This Row],[prop_id]]&amp;pm_ibm_logn_id,"&gt;ra"))</calculatedColumnFormula>
    </tableColumn>
    <tableColumn id="11" uniqueName="11" name="pi_last_name" queryTableFieldId="70" dataDxfId="73" dataCellStyle="Hyperlink"/>
    <tableColumn id="12" uniqueName="12" name="inst_name" queryTableFieldId="71" dataDxfId="72" dataCellStyle="Hyperlink"/>
    <tableColumn id="13" uniqueName="13" name="pi_emai_addr" queryTableFieldId="72" dataDxfId="71" dataCellStyle="Hyperlink"/>
    <tableColumn id="14" uniqueName="14" name="sr_pers_cnt" queryTableFieldId="73" dataDxfId="70" dataCellStyle="Hyperlink"/>
    <tableColumn id="15" uniqueName="15" name="sr_summ_mnth_cnt" queryTableFieldId="74" dataDxfId="69" dataCellStyle="Hyperlink"/>
    <tableColumn id="16" uniqueName="16" name="pdoc_grnt_dol" queryTableFieldId="75" dataDxfId="68" dataCellStyle="Currency"/>
    <tableColumn id="17" uniqueName="17" name="frgn_trav_dol" queryTableFieldId="76" dataDxfId="67" dataCellStyle="Currency"/>
    <tableColumn id="18" uniqueName="18" name="part_dol" queryTableFieldId="77" dataDxfId="66" dataCellStyle="Currency"/>
    <tableColumn id="19" uniqueName="19" name="budg_tot_dol" queryTableFieldId="78" dataDxfId="65" dataCellStyle="Currency"/>
    <tableColumn id="20" uniqueName="20" name="revn_num" queryTableFieldId="79" dataDxfId="64" dataCellStyle="Hyperlink"/>
    <tableColumn id="21" uniqueName="21" name="budg_seq_yr" queryTableFieldId="80" dataDxfId="63" dataCellStyle="Hyperlink"/>
    <tableColumn id="26" uniqueName="26" name="Column1" queryTableFieldId="85" dataDxfId="62" dataCellStyle="Hyperlink">
      <calculatedColumnFormula>IF(ISBLANK(RAdata6[[#This Row],[budg_seq_yr]]),"FY"&amp;fiscalyear,"FY"&amp;fiscalyear-1+RAdata6[[#This Row],[budg_seq_yr]])</calculatedColumnFormula>
    </tableColumn>
    <tableColumn id="22" uniqueName="22" name="dol" queryTableFieldId="81" dataDxfId="61" dataCellStyle="Currency"/>
    <tableColumn id="23" uniqueName="23" name="org_code2" queryTableFieldId="82" dataDxfId="60" dataCellStyle="Hyperlink"/>
    <tableColumn id="24" uniqueName="24" name="PEC" queryTableFieldId="83" dataDxfId="59" dataCellStyle="Hyperlink"/>
    <tableColumn id="25" uniqueName="25" name="PRCs" queryTableFieldId="84" dataDxfId="58" dataCellStyle="Hyperlink"/>
  </tableColumns>
  <tableStyleInfo name="AddTableStyle" showFirstColumn="0" showLastColumn="0" showRowStripes="0" showColumnStripes="0"/>
</table>
</file>

<file path=xl/tables/table6.xml><?xml version="1.0" encoding="utf-8"?>
<table xmlns="http://schemas.openxmlformats.org/spreadsheetml/2006/main" id="7" name="ckAwdTable" displayName="ckAwdTable" ref="A1:AW17" tableType="queryTable" totalsRowShown="0">
  <autoFilter ref="A1:AW17"/>
  <tableColumns count="49">
    <tableColumn id="4" uniqueName="4" name="nsf_rcvd_date" queryTableFieldId="4" dataDxfId="139"/>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0" uniqueName="20" name="natr_rqst_code" queryTableFieldId="222"/>
    <tableColumn id="21" uniqueName="21" name="prop_stts_code" queryTableFieldId="223"/>
    <tableColumn id="26" uniqueName="26" name="PRCs" queryTableFieldId="239"/>
    <tableColumn id="23" uniqueName="23" name="st_code" queryTableFieldId="225"/>
    <tableColumn id="27" uniqueName="27" name="EPSCoR check" queryTableFieldId="242">
      <calculatedColumnFormula>_xlfn.XOR(IFERROR(MATCH(ckAwdTable[[#This Row],[st_code]],EpscorTable[],0)&gt;0,FALSE),IFERROR(FIND("9150",ckAwdTable[[#This Row],[PRCs]])&gt;0,FALSE))</calculatedColumnFormula>
    </tableColumn>
    <tableColumn id="39" uniqueName="39" name="WMD?9102" queryTableFieldId="265">
      <calculatedColumnFormula>_xlfn.XOR(ckAwdTable[[#This Row],[WMD]]&lt;&gt;"",IFERROR(FIND("9102",ckAwdTable[[#This Row],[PRCs]])&gt;0,FALSE))</calculatedColumnFormula>
    </tableColumn>
    <tableColumn id="38" uniqueName="38" name="WMD" queryTableFieldId="264">
      <calculatedColumnFormula>IF(SUM(AT2:AW2)&gt;0,"WMD","")</calculatedColumnFormula>
    </tableColumn>
    <tableColumn id="11" uniqueName="11" name="cntx_stmt_id" queryTableFieldId="11"/>
    <tableColumn id="32" uniqueName="32" name="RAupdate" queryTableFieldId="254" dataDxfId="138"/>
    <tableColumn id="28" uniqueName="28" name="bas_rsch_pct" queryTableFieldId="243" dataDxfId="137" dataCellStyle="Percent"/>
    <tableColumn id="29" uniqueName="29" name="other_pct" queryTableFieldId="244" dataDxfId="136" dataCellStyle="Percent"/>
    <tableColumn id="206" uniqueName="206" name="@pi email" queryTableFieldId="212" dataDxfId="135" dataCellStyle="Hyperlink">
      <calculatedColumnFormula>HYPERLINK("mailto:"&amp;ckAwdTable[[#This Row],[pi_emai_addr]]&amp;"&amp;subject=Your NSF Proposal:  "&amp;ckAwdTable[[#This Row],[prop_id]], ckAwdTable[[#This Row],[pi_emai_addr]])</calculatedColumnFormula>
    </tableColumn>
    <tableColumn id="25" uniqueName="25" name="0" queryTableFieldId="230">
      <calculatedColumnFormula xml:space="preserve"> S1+(ckAwdTable[ILN]&lt;"M")</calculatedColumnFormula>
    </tableColumn>
    <tableColumn id="2" uniqueName="2" name="ILN" queryTableFieldId="215"/>
    <tableColumn id="3" uniqueName="3" name="lead" queryTableFieldId="216"/>
    <tableColumn id="205" uniqueName="205" name="eJ" queryTableFieldId="213" dataDxfId="134" dataCellStyle="Hyperlink">
      <calculatedColumnFormula>HYPERLINK("https://www.ejacket.nsf.gov/ej/showProposal.do?ID="&amp;ckAwdTable[[#This Row],[prop_id]],"eJ")</calculatedColumnFormula>
    </tableColumn>
    <tableColumn id="12" uniqueName="12" name="prop_id" queryTableFieldId="12"/>
    <tableColumn id="13" uniqueName="13" name="pi_last_name" queryTableFieldId="13"/>
    <tableColumn id="14" uniqueName="14" name="pi_frst_name" queryTableFieldId="14"/>
    <tableColumn id="15" uniqueName="15" name="inst_name" queryTableFieldId="15"/>
    <tableColumn id="8" uniqueName="8" name="rqst_dol" queryTableFieldId="217" dataDxfId="133"/>
    <tableColumn id="16" uniqueName="16" name="rqst_eff_date" queryTableFieldId="16" dataDxfId="132"/>
    <tableColumn id="17" uniqueName="17" name="rqst_mnth_cnt" queryTableFieldId="17"/>
    <tableColumn id="40" uniqueName="40" name="Nrev" queryTableFieldId="266"/>
    <tableColumn id="41" uniqueName="41" name="NrevUnreleasable" queryTableFieldId="267"/>
    <tableColumn id="42" uniqueName="42" name="NrevUnmarked" queryTableFieldId="268"/>
    <tableColumn id="43" uniqueName="43" name="Npanl" queryTableFieldId="269"/>
    <tableColumn id="44" uniqueName="44" name="NpanlUnreleasable" queryTableFieldId="270"/>
    <tableColumn id="45" uniqueName="45" name="NpanlUnmarked" queryTableFieldId="271"/>
    <tableColumn id="9" uniqueName="9" name="humn_date" queryTableFieldId="218"/>
    <tableColumn id="10" uniqueName="10" name="vrtb_date" queryTableFieldId="219"/>
    <tableColumn id="83" uniqueName="83" name="prop_titl_txt" queryTableFieldId="83"/>
    <tableColumn id="31" uniqueName="31" name="abst_narr_txt" queryTableFieldId="251"/>
    <tableColumn id="33" uniqueName="33" name="frgn_trvl_dol" queryTableFieldId="258" dataDxfId="131" dataCellStyle="Currency"/>
    <tableColumn id="30" uniqueName="30" name="Country" queryTableFieldId="250"/>
    <tableColumn id="200" uniqueName="200" name="pi_emai_addr" queryTableFieldId="200"/>
    <tableColumn id="1" uniqueName="1" name="dd_rcom_date" queryTableFieldId="214" dataDxfId="130"/>
    <tableColumn id="22" uniqueName="22" name="inst_id" queryTableFieldId="224"/>
    <tableColumn id="24" uniqueName="24" name="pi_id" queryTableFieldId="226"/>
    <tableColumn id="34" uniqueName="34" name="NfmlPIs" queryTableFieldId="260"/>
    <tableColumn id="35" uniqueName="35" name="NhispPIs" queryTableFieldId="261"/>
    <tableColumn id="36" uniqueName="36" name="NhndcpPIs" queryTableFieldId="262"/>
    <tableColumn id="37" uniqueName="37" name="NnonWhtAsnPIs" queryTableFieldId="263"/>
  </tableColumns>
  <tableStyleInfo name="TableStyleMedium2" showFirstColumn="0" showLastColumn="0" showRowStripes="0" showColumnStripes="0"/>
</table>
</file>

<file path=xl/tables/table7.xml><?xml version="1.0" encoding="utf-8"?>
<table xmlns="http://schemas.openxmlformats.org/spreadsheetml/2006/main" id="12" name="ckSplitTable" displayName="ckSplitTable" ref="A1:AW17" tableType="queryTable" totalsRowShown="0">
  <autoFilter ref="A1:AW17"/>
  <tableColumns count="49">
    <tableColumn id="4" uniqueName="4" name="nsf_rcvd_date" queryTableFieldId="4" dataDxfId="121"/>
    <tableColumn id="5" uniqueName="5" name="pgm_annc_id" queryTableFieldId="5"/>
    <tableColumn id="6" uniqueName="6" name="org_code" queryTableFieldId="6"/>
    <tableColumn id="7" uniqueName="7" name="pgm_ele_code" queryTableFieldId="7"/>
    <tableColumn id="18" uniqueName="18" name="PO" queryTableFieldId="220"/>
    <tableColumn id="19" uniqueName="19" name="obj_clas_code" queryTableFieldId="221"/>
    <tableColumn id="20" uniqueName="20" name="natr_rqst_code" queryTableFieldId="222"/>
    <tableColumn id="21" uniqueName="21" name="prop_stts_code" queryTableFieldId="223"/>
    <tableColumn id="26" uniqueName="26" name="PRCs" queryTableFieldId="239"/>
    <tableColumn id="23" uniqueName="23" name="st_code" queryTableFieldId="225"/>
    <tableColumn id="27" uniqueName="27" name="EPSCoR check" queryTableFieldId="242">
      <calculatedColumnFormula>_xlfn.XOR(IFERROR(MATCH(ckSplitTable[[#This Row],[st_code]],EpscorTable[],0)&gt;0,FALSE),IFERROR(FIND("9150",ckSplitTable[[#This Row],[PRCs]])&gt;0,FALSE))</calculatedColumnFormula>
    </tableColumn>
    <tableColumn id="39" uniqueName="39" name="WMD?9102" queryTableFieldId="265">
      <calculatedColumnFormula>_xlfn.XOR(ckSplitTable[[#This Row],[WMD]]&lt;&gt;"",IFERROR(FIND("9102",ckSplitTable[[#This Row],[PRCs]])&gt;0,FALSE))</calculatedColumnFormula>
    </tableColumn>
    <tableColumn id="38" uniqueName="38" name="WMD" queryTableFieldId="264">
      <calculatedColumnFormula>IF(SUM(AT2:AW2)&gt;0,"WMD","")</calculatedColumnFormula>
    </tableColumn>
    <tableColumn id="11" uniqueName="11" name="cntx_stmt_id" queryTableFieldId="11"/>
    <tableColumn id="32" uniqueName="32" name="RAupdate" queryTableFieldId="254" dataDxfId="120"/>
    <tableColumn id="28" uniqueName="28" name="bas_rsch_pct" queryTableFieldId="243" dataDxfId="119" dataCellStyle="Percent"/>
    <tableColumn id="29" uniqueName="29" name="other_pct" queryTableFieldId="244" dataDxfId="118" dataCellStyle="Percent"/>
    <tableColumn id="206" uniqueName="206" name="@pi email" queryTableFieldId="212" dataDxfId="117" dataCellStyle="Hyperlink">
      <calculatedColumnFormula>HYPERLINK("mailto:"&amp;ckSplitTable[[#This Row],[pi_emai_addr]]&amp;"&amp;subject=Your NSF Proposal:  "&amp;ckSplitTable[[#This Row],[prop_id]], ckSplitTable[[#This Row],[pi_emai_addr]])</calculatedColumnFormula>
    </tableColumn>
    <tableColumn id="25" uniqueName="25" name="0" queryTableFieldId="230">
      <calculatedColumnFormula xml:space="preserve"> S1+(ckSplitTable[ILN]&lt;"M")</calculatedColumnFormula>
    </tableColumn>
    <tableColumn id="2" uniqueName="2" name="ILN" queryTableFieldId="215"/>
    <tableColumn id="3" uniqueName="3" name="lead" queryTableFieldId="216"/>
    <tableColumn id="205" uniqueName="205" name="eJ" queryTableFieldId="213" dataDxfId="116" dataCellStyle="Hyperlink">
      <calculatedColumnFormula>HYPERLINK("https://www.ejacket.nsf.gov/ej/showProposal.do?ID="&amp;ckSplitTable[[#This Row],[prop_id]],"eJ")</calculatedColumnFormula>
    </tableColumn>
    <tableColumn id="12" uniqueName="12" name="prop_id" queryTableFieldId="12"/>
    <tableColumn id="13" uniqueName="13" name="pi_last_name" queryTableFieldId="13"/>
    <tableColumn id="14" uniqueName="14" name="pi_frst_name" queryTableFieldId="14"/>
    <tableColumn id="15" uniqueName="15" name="inst_name" queryTableFieldId="15"/>
    <tableColumn id="8" uniqueName="8" name="rqst_dol" queryTableFieldId="217" dataDxfId="115"/>
    <tableColumn id="16" uniqueName="16" name="rqst_eff_date" queryTableFieldId="16" dataDxfId="114"/>
    <tableColumn id="17" uniqueName="17" name="rqst_mnth_cnt" queryTableFieldId="17"/>
    <tableColumn id="40" uniqueName="40" name="Nrev" queryTableFieldId="266"/>
    <tableColumn id="41" uniqueName="41" name="NrevUnreleasable" queryTableFieldId="267"/>
    <tableColumn id="42" uniqueName="42" name="NrevUnmarked" queryTableFieldId="268"/>
    <tableColumn id="43" uniqueName="43" name="Npanl" queryTableFieldId="269"/>
    <tableColumn id="44" uniqueName="44" name="NpanlUnreleasable" queryTableFieldId="270"/>
    <tableColumn id="45" uniqueName="45" name="NpanlUnmarked" queryTableFieldId="271"/>
    <tableColumn id="9" uniqueName="9" name="humn_date" queryTableFieldId="218"/>
    <tableColumn id="10" uniqueName="10" name="vrtb_date" queryTableFieldId="219"/>
    <tableColumn id="83" uniqueName="83" name="prop_titl_txt" queryTableFieldId="83"/>
    <tableColumn id="31" uniqueName="31" name="abst_narr_txt" queryTableFieldId="251"/>
    <tableColumn id="33" uniqueName="33" name="frgn_trvl_dol" queryTableFieldId="258" dataDxfId="113" dataCellStyle="Currency"/>
    <tableColumn id="30" uniqueName="30" name="Country" queryTableFieldId="250"/>
    <tableColumn id="200" uniqueName="200" name="pi_emai_addr" queryTableFieldId="200"/>
    <tableColumn id="1" uniqueName="1" name="dd_rcom_date" queryTableFieldId="214" dataDxfId="112"/>
    <tableColumn id="22" uniqueName="22" name="inst_id" queryTableFieldId="224"/>
    <tableColumn id="24" uniqueName="24" name="pi_id" queryTableFieldId="226"/>
    <tableColumn id="34" uniqueName="34" name="NfmlPIs" queryTableFieldId="260"/>
    <tableColumn id="35" uniqueName="35" name="NhispPIs" queryTableFieldId="261"/>
    <tableColumn id="36" uniqueName="36" name="NhndcpPIs" queryTableFieldId="262"/>
    <tableColumn id="37" uniqueName="37" name="NnonWhtAsnPIs" queryTableFieldId="263"/>
  </tableColumns>
  <tableStyleInfo name="TableStyleMedium2" showFirstColumn="0" showLastColumn="0" showRowStripes="0" showColumnStripes="0"/>
</table>
</file>

<file path=xl/tables/table8.xml><?xml version="1.0" encoding="utf-8"?>
<table xmlns="http://schemas.openxmlformats.org/spreadsheetml/2006/main" id="1" name="ProjTextTable" displayName="ProjTextTable" ref="A1:P178" tableType="queryTable" totalsRowCount="1">
  <autoFilter ref="A1:P177"/>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56" totalsRowDxfId="57"/>
    <tableColumn id="11" uniqueName="11" name="returned" queryTableFieldId="11" dataDxfId="55"/>
    <tableColumn id="14" uniqueName="14" name="nchars" queryTableFieldId="15" dataDxfId="54">
      <calculatedColumnFormula>LEN(ProjTextTable[[#This Row],[text]])</calculatedColumnFormula>
    </tableColumn>
    <tableColumn id="15" uniqueName="15" name="nwords" queryTableFieldId="14" dataDxfId="53">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9.xml><?xml version="1.0" encoding="utf-8"?>
<table xmlns="http://schemas.openxmlformats.org/spreadsheetml/2006/main" id="11" name="PRCGlossaryTable" displayName="PRCGlossaryTable" ref="A2:B9" tableType="queryTable" totalsRowShown="0" headerRowCellStyle="Normal" dataCellStyle="Normal">
  <autoFilter ref="A2:B9"/>
  <tableColumns count="2">
    <tableColumn id="1" uniqueName="1" name="PRC" queryTableFieldId="278" dataCellStyle="Normal"/>
    <tableColumn id="2" uniqueName="2" name="PRC_Description" queryTableFieldId="279" dataCellStyle="Normal"/>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I14:I21" totalsRowShown="0" headerRowDxfId="109" dataDxfId="108">
  <autoFilter ref="I14:I21"/>
  <tableColumns count="1">
    <tableColumn id="1" name="Available templates:" dataDxfId="107"/>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M2:M30" totalsRowShown="0" headerRowDxfId="106" dataDxfId="105">
  <autoFilter ref="M2:M30"/>
  <tableColumns count="1">
    <tableColumn id="1" name="Epscor" dataDxfId="104"/>
  </tableColumns>
  <tableStyleInfo name="TableFall" showFirstColumn="0" showLastColumn="0" showRowStripes="1" showColumnStripes="0"/>
</table>
</file>

<file path=xl/tables/table12.xml><?xml version="1.0" encoding="utf-8"?>
<table xmlns="http://schemas.openxmlformats.org/spreadsheetml/2006/main" id="2" name="RADataTable" displayName="RADataTable" ref="A1:EA33" tableType="queryTable" totalsRowShown="0">
  <autoFilter ref="A1:EA33">
    <filterColumn colId="12">
      <customFilters>
        <customFilter operator="greaterThanOrEqual" val="0"/>
      </customFilters>
    </filterColumn>
  </autoFilter>
  <sortState ref="A2:EA33">
    <sortCondition ref="M1:M33"/>
  </sortState>
  <tableColumns count="131">
    <tableColumn id="1" uniqueName="1" name="pulldate" queryTableFieldId="1" dataDxfId="43"/>
    <tableColumn id="2" uniqueName="2" name="nsf_rcvd_date" queryTableFieldId="2" dataDxfId="42"/>
    <tableColumn id="3" uniqueName="3" name="RAupdate" queryTableFieldId="3" dataDxfId="41"/>
    <tableColumn id="4" uniqueName="4" name="dd_rcom_date" queryTableFieldId="4" dataDxfId="40"/>
    <tableColumn id="10" uniqueName="10" name="prop_stts_abbr" queryTableFieldId="10" dataDxfId="39"/>
    <tableColumn id="11" uniqueName="11" name="natr_rqst_abbr" queryTableFieldId="11" dataDxfId="38"/>
    <tableColumn id="12" uniqueName="12" name="obj_clas_code" queryTableFieldId="12" dataDxfId="37"/>
    <tableColumn id="6" uniqueName="6" name="pgm_annc_id" queryTableFieldId="6"/>
    <tableColumn id="7" uniqueName="7" name="org_code" queryTableFieldId="7"/>
    <tableColumn id="8" uniqueName="8" name="pgm_ele_code" queryTableFieldId="8"/>
    <tableColumn id="9" uniqueName="9" name="PO" queryTableFieldId="9"/>
    <tableColumn id="5" uniqueName="5" name="cntx_stmt_id" queryTableFieldId="5"/>
    <tableColumn id="13" uniqueName="13" name="RecRkMin" queryTableFieldId="13" dataDxfId="36"/>
    <tableColumn id="18" uniqueName="18" name="avg_score" queryTableFieldId="18"/>
    <tableColumn id="134" uniqueName="134" name="RATemplate" queryTableFieldId="137"/>
    <tableColumn id="135" uniqueName="135" name="RAfname" queryTableFieldId="136" dataDxfId="35">
      <calculatedColumnFormula>IFERROR(MID(RADataTable[[#This Row],[RATemplate]],1,LEN(RADataTable[[#This Row],[RATemplate]])-8),"RA") &amp; " " &amp; RADataTable[[#This Row],[prop_id0]] &amp; " " &amp; RADataTable[[#This Row],[last0]]</calculatedColumnFormula>
    </tableColumn>
    <tableColumn id="136" uniqueName="136" name="RAsigner" queryTableFieldId="135"/>
    <tableColumn id="138" uniqueName="138" name="RApre_note" queryTableFieldId="138"/>
    <tableColumn id="137" uniqueName="137" name="RAps_note" queryTableFieldId="134"/>
    <tableColumn id="19" uniqueName="19" name="Nrev" queryTableFieldId="19"/>
    <tableColumn id="21" uniqueName="21" name="Nunmkd" queryTableFieldId="21"/>
    <tableColumn id="22" uniqueName="22" name="last_rev_date" queryTableFieldId="22" dataDxfId="34"/>
    <tableColumn id="23" uniqueName="23" name="nPanl" queryTableFieldId="23"/>
    <tableColumn id="139" uniqueName="139" name="eJ" queryTableFieldId="145" dataDxfId="33" dataCellStyle="Hyperlink">
      <calculatedColumnFormula>HYPERLINK("https://www.ejacket.nsf.gov/ej/showProposal.do?Continue=Y&amp;ID="&amp;RADataTable[[#This Row],[prop_id0]],"eJ")</calculatedColumnFormula>
    </tableColumn>
    <tableColumn id="140" uniqueName="140" name="@PI" queryTableFieldId="147" dataDxfId="32" dataCellStyle="Hyperlink">
      <calculatedColumnFormula>HYPERLINK("mailto:"&amp;RADataTable[[#This Row],[email]]&amp;"&amp;subject=Your NSF Proposal:  "&amp;RADataTable[[#This Row],[Div]]&amp;" "&amp;RADataTable[[#This Row],[prop_id0]], RADataTable[[#This Row],[email]])</calculatedColumnFormula>
    </tableColumn>
    <tableColumn id="141" uniqueName="141" name="@all" queryTableFieldId="146" dataDxfId="31" dataCellStyle="Hyperlink">
      <calculatedColumnFormula>HYPERLINK("mailto:"&amp;RADataTable[[#This Row],[allPIemail]]&amp;"&amp;subject=NSF Proposal:  "&amp;RADataTable[[#This Row],[Div]]&amp;" "&amp;RADataTable[[#This Row],[prop_id0]], "PIs@")</calculatedColumnFormula>
    </tableColumn>
    <tableColumn id="26" uniqueName="26" name="Div" queryTableFieldId="26"/>
    <tableColumn id="27" uniqueName="27" name="prop_id0" queryTableFieldId="27"/>
    <tableColumn id="28" uniqueName="28" name="last0" queryTableFieldId="28" dataDxfId="30"/>
    <tableColumn id="29" uniqueName="29" name="frst0" queryTableFieldId="29"/>
    <tableColumn id="30" uniqueName="30" name="inst0" queryTableFieldId="30"/>
    <tableColumn id="31" uniqueName="31" name="rqst0" queryTableFieldId="31" dataDxfId="29"/>
    <tableColumn id="32" uniqueName="32" name="b0tot" queryTableFieldId="32" dataDxfId="28"/>
    <tableColumn id="33" uniqueName="33" name="AhNrev" queryTableFieldId="33" dataDxfId="27"/>
    <tableColumn id="34" uniqueName="34" name="AhRevs" queryTableFieldId="34"/>
    <tableColumn id="35" uniqueName="35" name="AhLast" queryTableFieldId="35" dataDxfId="26"/>
    <tableColumn id="36" uniqueName="36" name="panl_id0" queryTableFieldId="36"/>
    <tableColumn id="37" uniqueName="37" name="RCOM_TXT0" queryTableFieldId="37"/>
    <tableColumn id="39" uniqueName="39" name="panl_name0" queryTableFieldId="39" dataDxfId="25"/>
    <tableColumn id="40" uniqueName="40" name="panl_end0" queryTableFieldId="40" dataDxfId="24"/>
    <tableColumn id="38" uniqueName="38" name="rank0" queryTableFieldId="38" dataDxfId="23"/>
    <tableColumn id="41" uniqueName="41" name="revs0" queryTableFieldId="41"/>
    <tableColumn id="43" uniqueName="43" name="panl_id1" queryTableFieldId="43"/>
    <tableColumn id="44" uniqueName="44" name="RCOM_TXT1" queryTableFieldId="44" dataDxfId="22"/>
    <tableColumn id="46" uniqueName="46" name="panl_name1" queryTableFieldId="46"/>
    <tableColumn id="47" uniqueName="47" name="panl_end1" queryTableFieldId="47" dataDxfId="21"/>
    <tableColumn id="45" uniqueName="45" name="rank1" queryTableFieldId="45" dataDxfId="20"/>
    <tableColumn id="48" uniqueName="48" name="revs1" queryTableFieldId="48" dataDxfId="19"/>
    <tableColumn id="50" uniqueName="50" name="panl_id2" queryTableFieldId="50"/>
    <tableColumn id="51" uniqueName="51" name="RCOM_TXT2" queryTableFieldId="51" dataDxfId="18"/>
    <tableColumn id="52" uniqueName="52" name="rank2" queryTableFieldId="52"/>
    <tableColumn id="53" uniqueName="53" name="panl_name2" queryTableFieldId="53"/>
    <tableColumn id="54" uniqueName="54" name="panl_end2" queryTableFieldId="54" dataDxfId="17"/>
    <tableColumn id="55" uniqueName="55" name="revs2" queryTableFieldId="55"/>
    <tableColumn id="57" uniqueName="57" name="prop_titl_txt" queryTableFieldId="57"/>
    <tableColumn id="58" uniqueName="58" name="rqst_tot" queryTableFieldId="58" dataDxfId="16"/>
    <tableColumn id="59" uniqueName="59" name="budg_tot" queryTableFieldId="59" dataDxfId="15"/>
    <tableColumn id="60" uniqueName="60" name="budRevnMax" queryTableFieldId="60"/>
    <tableColumn id="61" uniqueName="61" name="rqst_eff_date" queryTableFieldId="61" dataDxfId="14"/>
    <tableColumn id="62" uniqueName="62" name="rqst_mnth_cnt" queryTableFieldId="62"/>
    <tableColumn id="63" uniqueName="63" name="solicitation" queryTableFieldId="63"/>
    <tableColumn id="65" uniqueName="65" name="pgm_ele_name" queryTableFieldId="65"/>
    <tableColumn id="66" uniqueName="66" name="sign_blck_name" queryTableFieldId="66"/>
    <tableColumn id="67" uniqueName="67" name="prop_stts_txt" queryTableFieldId="67"/>
    <tableColumn id="68" uniqueName="68" name="obj_clas_name" queryTableFieldId="68" dataDxfId="13"/>
    <tableColumn id="69" uniqueName="69" name="Dir" queryTableFieldId="69"/>
    <tableColumn id="70" uniqueName="70" name="Dir_name" queryTableFieldId="70"/>
    <tableColumn id="71" uniqueName="71" name="PRC0" queryTableFieldId="71" dataDxfId="12"/>
    <tableColumn id="73" uniqueName="73" name="prop_id1" queryTableFieldId="73"/>
    <tableColumn id="74" uniqueName="74" name="last1" queryTableFieldId="74"/>
    <tableColumn id="75" uniqueName="75" name="frst1" queryTableFieldId="75"/>
    <tableColumn id="76" uniqueName="76" name="inst1" queryTableFieldId="76"/>
    <tableColumn id="77" uniqueName="77" name="rqst1" queryTableFieldId="77" dataDxfId="11"/>
    <tableColumn id="78" uniqueName="78" name="b1tot" queryTableFieldId="78" dataDxfId="10"/>
    <tableColumn id="79" uniqueName="79" name="PRC1" queryTableFieldId="79"/>
    <tableColumn id="81" uniqueName="81" name="prop_id2" queryTableFieldId="81"/>
    <tableColumn id="82" uniqueName="82" name="last2" queryTableFieldId="82"/>
    <tableColumn id="83" uniqueName="83" name="frst2" queryTableFieldId="83"/>
    <tableColumn id="84" uniqueName="84" name="inst2" queryTableFieldId="84" dataDxfId="9"/>
    <tableColumn id="85" uniqueName="85" name="rqst2" queryTableFieldId="85" dataDxfId="8"/>
    <tableColumn id="86" uniqueName="86" name="b2tot" queryTableFieldId="86"/>
    <tableColumn id="87" uniqueName="87" name="PRC2" queryTableFieldId="87"/>
    <tableColumn id="89" uniqueName="89" name="prop_id3" queryTableFieldId="89"/>
    <tableColumn id="90" uniqueName="90" name="last3" queryTableFieldId="90"/>
    <tableColumn id="91" uniqueName="91" name="frst3" queryTableFieldId="91" dataDxfId="7"/>
    <tableColumn id="92" uniqueName="92" name="inst3" queryTableFieldId="92" dataDxfId="6"/>
    <tableColumn id="93" uniqueName="93" name="rqst3" queryTableFieldId="93"/>
    <tableColumn id="94" uniqueName="94" name="b3tot" queryTableFieldId="94"/>
    <tableColumn id="95" uniqueName="95" name="PRC3" queryTableFieldId="95"/>
    <tableColumn id="97" uniqueName="97" name="prop_id4" queryTableFieldId="97"/>
    <tableColumn id="98" uniqueName="98" name="last4" queryTableFieldId="98" dataDxfId="5"/>
    <tableColumn id="99" uniqueName="99" name="frst4" queryTableFieldId="99" dataDxfId="4"/>
    <tableColumn id="100" uniqueName="100" name="inst4" queryTableFieldId="100"/>
    <tableColumn id="101" uniqueName="101" name="rqst4" queryTableFieldId="101"/>
    <tableColumn id="102" uniqueName="102" name="b4tot" queryTableFieldId="102"/>
    <tableColumn id="103" uniqueName="103" name="PRC4" queryTableFieldId="103"/>
    <tableColumn id="105" uniqueName="105" name="prop_id5" queryTableFieldId="105" dataDxfId="3"/>
    <tableColumn id="106" uniqueName="106" name="last5" queryTableFieldId="106" dataDxfId="2"/>
    <tableColumn id="107" uniqueName="107" name="frst5" queryTableFieldId="107"/>
    <tableColumn id="108" uniqueName="108" name="inst5" queryTableFieldId="108"/>
    <tableColumn id="109" uniqueName="109" name="rqst5" queryTableFieldId="109"/>
    <tableColumn id="110" uniqueName="110" name="b5tot" queryTableFieldId="110"/>
    <tableColumn id="111" uniqueName="111" name="PRC5" queryTableFieldId="111"/>
    <tableColumn id="113" uniqueName="113" name="prop_id6" queryTableFieldId="113" dataDxfId="1"/>
    <tableColumn id="114" uniqueName="114" name="last6" queryTableFieldId="114"/>
    <tableColumn id="115" uniqueName="115" name="frst6" queryTableFieldId="115"/>
    <tableColumn id="116" uniqueName="116" name="inst6" queryTableFieldId="116"/>
    <tableColumn id="117" uniqueName="117" name="rqst6" queryTableFieldId="117" dataDxfId="0"/>
    <tableColumn id="118" uniqueName="118" name="b6tot" queryTableFieldId="118"/>
    <tableColumn id="119" uniqueName="119" name="PRC6" queryTableFieldId="119"/>
    <tableColumn id="121" uniqueName="121" name="email" queryTableFieldId="121"/>
    <tableColumn id="122" uniqueName="122" name="allPIemail" queryTableFieldId="122"/>
    <tableColumn id="14" uniqueName="14" name="rec0" queryTableFieldId="148"/>
    <tableColumn id="15" uniqueName="15" name="rec1" queryTableFieldId="149"/>
    <tableColumn id="16" uniqueName="16" name="rec2" queryTableFieldId="150"/>
    <tableColumn id="17" uniqueName="17" name="lead" queryTableFieldId="151"/>
    <tableColumn id="20" uniqueName="20" name="minScore" queryTableFieldId="152"/>
    <tableColumn id="24" uniqueName="24" name="maxScore" queryTableFieldId="153"/>
    <tableColumn id="25" uniqueName="25" name="allReviews" queryTableFieldId="154"/>
    <tableColumn id="42" uniqueName="42" name="Nunrlsbl" queryTableFieldId="155"/>
    <tableColumn id="49" uniqueName="49" name="PanlString0" queryTableFieldId="156"/>
    <tableColumn id="56" uniqueName="56" name="pnlst0" queryTableFieldId="157"/>
    <tableColumn id="64" uniqueName="64" name="confl0" queryTableFieldId="158"/>
    <tableColumn id="72" uniqueName="72" name="PanlString1" queryTableFieldId="159"/>
    <tableColumn id="80" uniqueName="80" name="pnlst1" queryTableFieldId="160"/>
    <tableColumn id="88" uniqueName="88" name="confl1" queryTableFieldId="161"/>
    <tableColumn id="96" uniqueName="96" name="PanlString2" queryTableFieldId="162"/>
    <tableColumn id="104" uniqueName="104" name="pnlst2" queryTableFieldId="163"/>
    <tableColumn id="112" uniqueName="112" name="confl2" queryTableFieldId="164"/>
    <tableColumn id="120" uniqueName="120" name="Div_name" queryTableFieldId="165"/>
    <tableColumn id="123" uniqueName="123" name="natr_rqst_txt" queryTableFieldId="166"/>
  </tableColumns>
  <tableStyleInfo name="TableStyleMedium2"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drawing" Target="../drawings/drawing4.xml"/><Relationship Id="rId7" Type="http://schemas.openxmlformats.org/officeDocument/2006/relationships/table" Target="../tables/table10.xml"/><Relationship Id="rId2" Type="http://schemas.openxmlformats.org/officeDocument/2006/relationships/printerSettings" Target="../printerSettings/printerSettings8.bin"/><Relationship Id="rId1" Type="http://schemas.openxmlformats.org/officeDocument/2006/relationships/hyperlink" Target="../../../../Desktop/Automation/scratch/output"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vmlDrawing" Target="../drawings/vmlDrawing7.vml"/><Relationship Id="rId9"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A1:L63"/>
  <sheetViews>
    <sheetView showGridLines="0" workbookViewId="0">
      <selection activeCell="G32" sqref="G32"/>
    </sheetView>
  </sheetViews>
  <sheetFormatPr defaultRowHeight="14.6" x14ac:dyDescent="0.4"/>
  <cols>
    <col min="1" max="1" width="12.84375" customWidth="1"/>
    <col min="2" max="2" width="10.53515625" customWidth="1"/>
    <col min="3" max="3" width="3.15234375" customWidth="1"/>
    <col min="4" max="4" width="15.3046875" customWidth="1"/>
    <col min="6" max="6" width="4.53515625" customWidth="1"/>
    <col min="7" max="7" width="14" customWidth="1"/>
    <col min="11" max="11" width="4.53515625" customWidth="1"/>
    <col min="12" max="12" width="29.53515625" customWidth="1"/>
  </cols>
  <sheetData>
    <row r="1" spans="1:12" ht="18" customHeight="1" x14ac:dyDescent="0.4">
      <c r="A1" s="39" t="s">
        <v>261</v>
      </c>
      <c r="B1" s="39"/>
      <c r="C1" s="39"/>
      <c r="D1" s="39"/>
      <c r="E1" s="39"/>
      <c r="F1" s="39"/>
      <c r="K1" s="3" t="s">
        <v>249</v>
      </c>
    </row>
    <row r="2" spans="1:12" ht="18" customHeight="1" x14ac:dyDescent="0.4">
      <c r="A2" s="39" t="s">
        <v>251</v>
      </c>
      <c r="B2" s="39"/>
      <c r="C2" s="39"/>
      <c r="D2" s="39"/>
      <c r="E2" s="39"/>
      <c r="F2" s="39"/>
      <c r="H2" s="36"/>
      <c r="I2">
        <v>2</v>
      </c>
    </row>
    <row r="3" spans="1:12" ht="18" customHeight="1" x14ac:dyDescent="0.4">
      <c r="A3" s="3" t="s">
        <v>252</v>
      </c>
      <c r="B3" s="3"/>
      <c r="C3" s="40" t="s">
        <v>253</v>
      </c>
      <c r="D3" s="39"/>
      <c r="E3" s="39"/>
      <c r="H3" s="36"/>
      <c r="I3" t="b">
        <v>0</v>
      </c>
      <c r="K3" s="3" t="s">
        <v>250</v>
      </c>
    </row>
    <row r="4" spans="1:12" ht="18" customHeight="1" x14ac:dyDescent="0.4">
      <c r="A4" s="3"/>
      <c r="B4" s="38" t="s">
        <v>259</v>
      </c>
      <c r="C4" s="41" t="s">
        <v>254</v>
      </c>
      <c r="D4" s="39" t="s">
        <v>264</v>
      </c>
      <c r="E4" s="39"/>
      <c r="H4" s="36"/>
      <c r="I4" t="b">
        <v>0</v>
      </c>
    </row>
    <row r="5" spans="1:12" ht="18" customHeight="1" x14ac:dyDescent="0.4">
      <c r="A5" s="3"/>
      <c r="B5" s="38"/>
      <c r="C5" s="41" t="s">
        <v>255</v>
      </c>
      <c r="D5" s="39" t="s">
        <v>265</v>
      </c>
      <c r="E5" s="39"/>
      <c r="H5" s="36"/>
    </row>
    <row r="6" spans="1:12" ht="18" customHeight="1" x14ac:dyDescent="0.4">
      <c r="A6" s="3"/>
      <c r="B6" s="38" t="s">
        <v>260</v>
      </c>
      <c r="C6" s="41" t="s">
        <v>256</v>
      </c>
      <c r="D6" s="39"/>
      <c r="E6" s="39"/>
    </row>
    <row r="7" spans="1:12" ht="18" customHeight="1" x14ac:dyDescent="0.4">
      <c r="A7" s="3"/>
      <c r="B7" s="38" t="s">
        <v>262</v>
      </c>
      <c r="C7" s="41" t="s">
        <v>257</v>
      </c>
      <c r="D7" s="39"/>
      <c r="E7" s="39"/>
    </row>
    <row r="8" spans="1:12" ht="18" customHeight="1" x14ac:dyDescent="0.4">
      <c r="A8" s="3"/>
      <c r="B8" s="38" t="s">
        <v>263</v>
      </c>
      <c r="C8" s="41" t="s">
        <v>258</v>
      </c>
      <c r="D8" s="39"/>
      <c r="E8" s="39"/>
      <c r="K8" s="47">
        <v>50</v>
      </c>
      <c r="L8" s="48" t="s">
        <v>274</v>
      </c>
    </row>
    <row r="9" spans="1:12" ht="18" customHeight="1" x14ac:dyDescent="0.4">
      <c r="A9" s="3"/>
      <c r="B9" s="38"/>
      <c r="C9" s="41"/>
      <c r="D9" s="39"/>
      <c r="E9" s="39"/>
      <c r="K9" s="3" t="s">
        <v>466</v>
      </c>
    </row>
    <row r="10" spans="1:12" ht="18" customHeight="1" x14ac:dyDescent="0.4">
      <c r="A10" s="3" t="s">
        <v>248</v>
      </c>
      <c r="B10" s="3"/>
      <c r="C10" s="37"/>
      <c r="D10" s="3" t="s">
        <v>247</v>
      </c>
      <c r="E10" s="3"/>
      <c r="F10" s="3"/>
      <c r="G10" s="3" t="s">
        <v>266</v>
      </c>
      <c r="K10" s="65" t="s">
        <v>467</v>
      </c>
      <c r="L10" t="s">
        <v>464</v>
      </c>
    </row>
    <row r="11" spans="1:12" ht="18" customHeight="1" x14ac:dyDescent="0.4">
      <c r="A11" t="s">
        <v>195</v>
      </c>
      <c r="D11" t="s">
        <v>196</v>
      </c>
      <c r="G11" t="s">
        <v>198</v>
      </c>
      <c r="K11" s="65" t="s">
        <v>468</v>
      </c>
      <c r="L11" t="s">
        <v>465</v>
      </c>
    </row>
    <row r="12" spans="1:12" ht="18" customHeight="1" x14ac:dyDescent="0.4">
      <c r="A12" t="s">
        <v>0</v>
      </c>
      <c r="D12" t="s">
        <v>0</v>
      </c>
      <c r="G12" t="s">
        <v>0</v>
      </c>
    </row>
    <row r="13" spans="1:12" x14ac:dyDescent="0.4">
      <c r="A13" s="27"/>
      <c r="D13" s="27"/>
      <c r="G13" s="27">
        <v>1234567</v>
      </c>
    </row>
    <row r="14" spans="1:12" x14ac:dyDescent="0.4">
      <c r="A14" s="27"/>
      <c r="D14" s="27">
        <v>1749173</v>
      </c>
      <c r="G14" s="27">
        <v>1802840</v>
      </c>
    </row>
    <row r="15" spans="1:12" x14ac:dyDescent="0.4">
      <c r="A15" s="27">
        <v>1420750</v>
      </c>
      <c r="D15" s="27">
        <v>1749385</v>
      </c>
    </row>
    <row r="16" spans="1:12" x14ac:dyDescent="0.4">
      <c r="A16" s="27">
        <v>1217462</v>
      </c>
      <c r="D16" s="27">
        <v>1749563</v>
      </c>
    </row>
    <row r="17" spans="1:4" x14ac:dyDescent="0.4">
      <c r="A17" s="27">
        <v>1218620</v>
      </c>
      <c r="D17" s="27">
        <v>1749609</v>
      </c>
    </row>
    <row r="18" spans="1:4" x14ac:dyDescent="0.4">
      <c r="A18" s="27">
        <v>1546098</v>
      </c>
      <c r="D18" s="27">
        <v>1749748</v>
      </c>
    </row>
    <row r="19" spans="1:4" x14ac:dyDescent="0.4">
      <c r="A19" s="27">
        <v>1320835</v>
      </c>
      <c r="D19" s="27">
        <v>1749855</v>
      </c>
    </row>
    <row r="20" spans="1:4" x14ac:dyDescent="0.4">
      <c r="A20" s="27">
        <v>1423560</v>
      </c>
      <c r="D20" s="27">
        <v>1749977</v>
      </c>
    </row>
    <row r="21" spans="1:4" x14ac:dyDescent="0.4">
      <c r="A21" s="27">
        <v>1421161</v>
      </c>
      <c r="B21" s="46"/>
      <c r="D21" s="27">
        <v>1750039</v>
      </c>
    </row>
    <row r="22" spans="1:4" x14ac:dyDescent="0.4">
      <c r="A22" s="27">
        <v>1422102</v>
      </c>
      <c r="D22" s="27">
        <v>1750076</v>
      </c>
    </row>
    <row r="23" spans="1:4" x14ac:dyDescent="0.4">
      <c r="A23" s="27">
        <v>1637564</v>
      </c>
      <c r="D23" s="27">
        <v>1750780</v>
      </c>
    </row>
    <row r="24" spans="1:4" x14ac:dyDescent="0.4">
      <c r="A24" s="27">
        <v>1540634</v>
      </c>
      <c r="D24" s="27">
        <v>1751047</v>
      </c>
    </row>
    <row r="25" spans="1:4" x14ac:dyDescent="0.4">
      <c r="A25" s="27">
        <v>1565641</v>
      </c>
      <c r="D25" s="27">
        <v>1751102</v>
      </c>
    </row>
    <row r="26" spans="1:4" x14ac:dyDescent="0.4">
      <c r="A26" s="27">
        <v>1422668</v>
      </c>
      <c r="D26" s="27">
        <v>1751135</v>
      </c>
    </row>
    <row r="27" spans="1:4" x14ac:dyDescent="0.4">
      <c r="A27" s="27">
        <v>1618657</v>
      </c>
      <c r="D27" s="27">
        <v>1755702</v>
      </c>
    </row>
    <row r="28" spans="1:4" x14ac:dyDescent="0.4">
      <c r="A28" s="27">
        <v>1317143</v>
      </c>
      <c r="D28" s="27">
        <v>1755847</v>
      </c>
    </row>
    <row r="29" spans="1:4" x14ac:dyDescent="0.4">
      <c r="A29" s="27">
        <v>1421163</v>
      </c>
      <c r="D29" s="27">
        <v>1755881</v>
      </c>
    </row>
    <row r="30" spans="1:4" x14ac:dyDescent="0.4">
      <c r="A30" s="27">
        <v>1527822</v>
      </c>
      <c r="D30" s="27">
        <v>1755954</v>
      </c>
    </row>
    <row r="31" spans="1:4" x14ac:dyDescent="0.4">
      <c r="A31" s="27">
        <v>1735569</v>
      </c>
      <c r="D31" s="27">
        <v>1755978</v>
      </c>
    </row>
    <row r="32" spans="1:4" x14ac:dyDescent="0.4">
      <c r="D32" s="27">
        <v>1735569</v>
      </c>
    </row>
    <row r="36" spans="7:7" x14ac:dyDescent="0.4">
      <c r="G36" s="46"/>
    </row>
    <row r="46" spans="7:7" x14ac:dyDescent="0.4">
      <c r="G46" s="46"/>
    </row>
    <row r="47" spans="7:7" x14ac:dyDescent="0.4">
      <c r="G47" s="46"/>
    </row>
    <row r="48" spans="7:7" x14ac:dyDescent="0.4">
      <c r="G48" s="46"/>
    </row>
    <row r="49" spans="7:7" x14ac:dyDescent="0.4">
      <c r="G49" s="46"/>
    </row>
    <row r="50" spans="7:7" x14ac:dyDescent="0.4">
      <c r="G50" s="46"/>
    </row>
    <row r="51" spans="7:7" x14ac:dyDescent="0.4">
      <c r="G51" s="46"/>
    </row>
    <row r="52" spans="7:7" x14ac:dyDescent="0.4">
      <c r="G52" s="46"/>
    </row>
    <row r="53" spans="7:7" x14ac:dyDescent="0.4">
      <c r="G53" s="46"/>
    </row>
    <row r="54" spans="7:7" x14ac:dyDescent="0.4">
      <c r="G54" s="46"/>
    </row>
    <row r="55" spans="7:7" x14ac:dyDescent="0.4">
      <c r="G55" s="46"/>
    </row>
    <row r="56" spans="7:7" x14ac:dyDescent="0.4">
      <c r="G56" s="46"/>
    </row>
    <row r="57" spans="7:7" x14ac:dyDescent="0.4">
      <c r="G57" s="46"/>
    </row>
    <row r="58" spans="7:7" x14ac:dyDescent="0.4">
      <c r="G58" s="46"/>
    </row>
    <row r="59" spans="7:7" x14ac:dyDescent="0.4">
      <c r="G59" s="46"/>
    </row>
    <row r="60" spans="7:7" x14ac:dyDescent="0.4">
      <c r="G60" s="46"/>
    </row>
    <row r="61" spans="7:7" x14ac:dyDescent="0.4">
      <c r="G61" s="46"/>
    </row>
    <row r="62" spans="7:7" x14ac:dyDescent="0.4">
      <c r="G62" s="46"/>
    </row>
    <row r="63" spans="7:7" x14ac:dyDescent="0.4">
      <c r="G63" s="46"/>
    </row>
  </sheetData>
  <dataValidations count="1">
    <dataValidation type="list" allowBlank="1" showInputMessage="1" showErrorMessage="1" sqref="A11 D11 G11">
      <formula1>INDIRECT("AvailableTemplates[Available templates:]")</formula1>
    </dataValidation>
  </dataValidation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List_Templates">
                <anchor moveWithCells="1">
                  <from>
                    <xdr:col>2</xdr:col>
                    <xdr:colOff>201386</xdr:colOff>
                    <xdr:row>2</xdr:row>
                    <xdr:rowOff>21771</xdr:rowOff>
                  </from>
                  <to>
                    <xdr:col>4</xdr:col>
                    <xdr:colOff>114300</xdr:colOff>
                    <xdr:row>3</xdr:row>
                    <xdr:rowOff>21771</xdr:rowOff>
                  </to>
                </anchor>
              </controlPr>
            </control>
          </mc:Choice>
        </mc:AlternateContent>
        <mc:AlternateContent xmlns:mc="http://schemas.openxmlformats.org/markup-compatibility/2006">
          <mc:Choice Requires="x14">
            <control shapeId="16387" r:id="rId5" name="Button 3">
              <controlPr defaultSize="0" print="0" autoFill="0" autoPict="0" macro="[0]!CreatefromAwdTable">
                <anchor moveWithCells="1">
                  <from>
                    <xdr:col>2</xdr:col>
                    <xdr:colOff>201386</xdr:colOff>
                    <xdr:row>5</xdr:row>
                    <xdr:rowOff>21771</xdr:rowOff>
                  </from>
                  <to>
                    <xdr:col>4</xdr:col>
                    <xdr:colOff>114300</xdr:colOff>
                    <xdr:row>6</xdr:row>
                    <xdr:rowOff>21771</xdr:rowOff>
                  </to>
                </anchor>
              </controlPr>
            </control>
          </mc:Choice>
        </mc:AlternateContent>
        <mc:AlternateContent xmlns:mc="http://schemas.openxmlformats.org/markup-compatibility/2006">
          <mc:Choice Requires="x14">
            <control shapeId="16388" r:id="rId6" name="Button 4">
              <controlPr defaultSize="0" print="0" autoFill="0" autoPict="0" macro="[0]!CreateFromDeclTable">
                <anchor moveWithCells="1">
                  <from>
                    <xdr:col>2</xdr:col>
                    <xdr:colOff>201386</xdr:colOff>
                    <xdr:row>7</xdr:row>
                    <xdr:rowOff>59871</xdr:rowOff>
                  </from>
                  <to>
                    <xdr:col>4</xdr:col>
                    <xdr:colOff>114300</xdr:colOff>
                    <xdr:row>8</xdr:row>
                    <xdr:rowOff>59871</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179614</xdr:colOff>
                    <xdr:row>2</xdr:row>
                    <xdr:rowOff>179614</xdr:rowOff>
                  </from>
                  <to>
                    <xdr:col>11</xdr:col>
                    <xdr:colOff>1649186</xdr:colOff>
                    <xdr:row>3</xdr:row>
                    <xdr:rowOff>201386</xdr:rowOff>
                  </to>
                </anchor>
              </controlPr>
            </control>
          </mc:Choice>
        </mc:AlternateContent>
        <mc:AlternateContent xmlns:mc="http://schemas.openxmlformats.org/markup-compatibility/2006">
          <mc:Choice Requires="x14">
            <control shapeId="16396" r:id="rId8" name="Check Box 12">
              <controlPr defaultSize="0" autoFill="0" autoLine="0" autoPict="0">
                <anchor moveWithCells="1">
                  <from>
                    <xdr:col>10</xdr:col>
                    <xdr:colOff>179614</xdr:colOff>
                    <xdr:row>3</xdr:row>
                    <xdr:rowOff>163286</xdr:rowOff>
                  </from>
                  <to>
                    <xdr:col>12</xdr:col>
                    <xdr:colOff>288471</xdr:colOff>
                    <xdr:row>4</xdr:row>
                    <xdr:rowOff>179614</xdr:rowOff>
                  </to>
                </anchor>
              </controlPr>
            </control>
          </mc:Choice>
        </mc:AlternateContent>
        <mc:AlternateContent xmlns:mc="http://schemas.openxmlformats.org/markup-compatibility/2006">
          <mc:Choice Requires="x14">
            <control shapeId="16397" r:id="rId9" name="Option Button 13">
              <controlPr defaultSize="0" autoFill="0" autoLine="0" autoPict="0">
                <anchor moveWithCells="1">
                  <from>
                    <xdr:col>10</xdr:col>
                    <xdr:colOff>179614</xdr:colOff>
                    <xdr:row>4</xdr:row>
                    <xdr:rowOff>174171</xdr:rowOff>
                  </from>
                  <to>
                    <xdr:col>11</xdr:col>
                    <xdr:colOff>1926771</xdr:colOff>
                    <xdr:row>5</xdr:row>
                    <xdr:rowOff>136071</xdr:rowOff>
                  </to>
                </anchor>
              </controlPr>
            </control>
          </mc:Choice>
        </mc:AlternateContent>
        <mc:AlternateContent xmlns:mc="http://schemas.openxmlformats.org/markup-compatibility/2006">
          <mc:Choice Requires="x14">
            <control shapeId="16398" r:id="rId10" name="Option Button 14">
              <controlPr defaultSize="0" autoFill="0" autoLine="0" autoPict="0">
                <anchor moveWithCells="1">
                  <from>
                    <xdr:col>10</xdr:col>
                    <xdr:colOff>179614</xdr:colOff>
                    <xdr:row>5</xdr:row>
                    <xdr:rowOff>136071</xdr:rowOff>
                  </from>
                  <to>
                    <xdr:col>11</xdr:col>
                    <xdr:colOff>2030186</xdr:colOff>
                    <xdr:row>6</xdr:row>
                    <xdr:rowOff>76200</xdr:rowOff>
                  </to>
                </anchor>
              </controlPr>
            </control>
          </mc:Choice>
        </mc:AlternateContent>
        <mc:AlternateContent xmlns:mc="http://schemas.openxmlformats.org/markup-compatibility/2006">
          <mc:Choice Requires="x14">
            <control shapeId="16399" r:id="rId11" name="Option Button 15">
              <controlPr defaultSize="0" autoFill="0" autoLine="0" autoPict="0" macro="[0]!OptionButton_AreYouSure">
                <anchor moveWithCells="1">
                  <from>
                    <xdr:col>10</xdr:col>
                    <xdr:colOff>179614</xdr:colOff>
                    <xdr:row>6</xdr:row>
                    <xdr:rowOff>65314</xdr:rowOff>
                  </from>
                  <to>
                    <xdr:col>11</xdr:col>
                    <xdr:colOff>1926771</xdr:colOff>
                    <xdr:row>7</xdr:row>
                    <xdr:rowOff>27214</xdr:rowOff>
                  </to>
                </anchor>
              </controlPr>
            </control>
          </mc:Choice>
        </mc:AlternateContent>
        <mc:AlternateContent xmlns:mc="http://schemas.openxmlformats.org/markup-compatibility/2006">
          <mc:Choice Requires="x14">
            <control shapeId="16400" r:id="rId12" name="Check Box 16">
              <controlPr defaultSize="0" autoFill="0" autoLine="0" autoPict="0">
                <anchor moveWithCells="1">
                  <from>
                    <xdr:col>10</xdr:col>
                    <xdr:colOff>174171</xdr:colOff>
                    <xdr:row>0</xdr:row>
                    <xdr:rowOff>201386</xdr:rowOff>
                  </from>
                  <to>
                    <xdr:col>11</xdr:col>
                    <xdr:colOff>1812471</xdr:colOff>
                    <xdr:row>1</xdr:row>
                    <xdr:rowOff>179614</xdr:rowOff>
                  </to>
                </anchor>
              </controlPr>
            </control>
          </mc:Choice>
        </mc:AlternateContent>
        <mc:AlternateContent xmlns:mc="http://schemas.openxmlformats.org/markup-compatibility/2006">
          <mc:Choice Requires="x14">
            <control shapeId="16402" r:id="rId13" name="Button 18">
              <controlPr defaultSize="0" print="0" autoFill="0" autoPict="0" macro="[0]!SQLtoStringinClipboard">
                <anchor moveWithCells="1">
                  <from>
                    <xdr:col>2</xdr:col>
                    <xdr:colOff>201386</xdr:colOff>
                    <xdr:row>6</xdr:row>
                    <xdr:rowOff>38100</xdr:rowOff>
                  </from>
                  <to>
                    <xdr:col>4</xdr:col>
                    <xdr:colOff>114300</xdr:colOff>
                    <xdr:row>7</xdr:row>
                    <xdr:rowOff>38100</xdr:rowOff>
                  </to>
                </anchor>
              </controlPr>
            </control>
          </mc:Choice>
        </mc:AlternateContent>
      </controls>
    </mc:Choice>
  </mc:AlternateContent>
  <tableParts count="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39997558519241921"/>
  </sheetPr>
  <dimension ref="A1:BW32"/>
  <sheetViews>
    <sheetView workbookViewId="0">
      <selection activeCell="O2" sqref="O2:O32"/>
    </sheetView>
  </sheetViews>
  <sheetFormatPr defaultRowHeight="14.6" x14ac:dyDescent="0.4"/>
  <cols>
    <col min="1" max="1" width="9.3046875" style="17" customWidth="1"/>
    <col min="2" max="2" width="11.15234375" customWidth="1"/>
    <col min="3" max="3" width="11.3828125" bestFit="1" customWidth="1"/>
    <col min="4" max="4" width="5.3828125" customWidth="1"/>
    <col min="6" max="6" width="5.84375" style="18" customWidth="1"/>
    <col min="7" max="7" width="3.3046875" style="18" customWidth="1"/>
    <col min="8" max="8" width="7.4609375" style="18" customWidth="1"/>
    <col min="9" max="9" width="9.23046875" customWidth="1"/>
    <col min="10" max="10" width="3.84375" customWidth="1"/>
    <col min="11" max="11" width="7.3828125" customWidth="1"/>
    <col min="12" max="12" width="10.07421875" customWidth="1"/>
    <col min="13" max="13" width="5.3828125" customWidth="1"/>
    <col min="14" max="14" width="11" customWidth="1"/>
    <col min="15" max="15" width="14.3046875" style="24" customWidth="1"/>
    <col min="16" max="16" width="5.3046875" style="42" customWidth="1"/>
    <col min="17" max="17" width="4.53515625" style="42" customWidth="1"/>
    <col min="18" max="18" width="11.84375" customWidth="1"/>
    <col min="19" max="19" width="3.3046875" customWidth="1"/>
    <col min="20" max="20" width="9.53515625" customWidth="1"/>
    <col min="21" max="21" width="8.69140625" style="17" customWidth="1"/>
    <col min="22" max="22" width="3.69140625" customWidth="1"/>
    <col min="23" max="23" width="9" style="18"/>
    <col min="24" max="24" width="9.53515625" style="18" customWidth="1"/>
    <col min="25" max="25" width="11.53515625" customWidth="1"/>
    <col min="26" max="26" width="12.15234375" customWidth="1"/>
    <col min="27" max="27" width="9.84375" customWidth="1"/>
    <col min="28" max="28" width="10.15234375" bestFit="1" customWidth="1"/>
    <col min="29" max="29" width="4.3828125" customWidth="1"/>
    <col min="30" max="37" width="3" customWidth="1"/>
    <col min="38" max="38" width="7.53515625" customWidth="1"/>
    <col min="39" max="39" width="8.4609375" customWidth="1"/>
    <col min="40" max="65" width="3" customWidth="1"/>
    <col min="66" max="66" width="9" style="1"/>
    <col min="68" max="68" width="85.53515625" customWidth="1"/>
    <col min="69" max="69" width="10.3828125" customWidth="1"/>
    <col min="70" max="70" width="9.53515625" style="13" customWidth="1"/>
    <col min="71" max="71" width="10.3828125" customWidth="1"/>
    <col min="72" max="72" width="15.3828125" customWidth="1"/>
    <col min="73" max="73" width="11.69140625" customWidth="1"/>
    <col min="74" max="74" width="9.3046875" hidden="1" customWidth="1"/>
    <col min="75" max="75" width="11" hidden="1" customWidth="1"/>
    <col min="76" max="79" width="4.3046875" customWidth="1"/>
  </cols>
  <sheetData>
    <row r="1" spans="1:70" ht="34.299999999999997" customHeight="1" x14ac:dyDescent="0.4">
      <c r="A1" s="17" t="s">
        <v>7</v>
      </c>
      <c r="B1" t="s">
        <v>8</v>
      </c>
      <c r="C1" t="s">
        <v>5</v>
      </c>
      <c r="D1" t="s">
        <v>4</v>
      </c>
      <c r="E1" t="s">
        <v>93</v>
      </c>
      <c r="F1" t="s">
        <v>94</v>
      </c>
      <c r="G1" t="s">
        <v>98</v>
      </c>
      <c r="H1" t="s">
        <v>136</v>
      </c>
      <c r="I1" t="s">
        <v>151</v>
      </c>
      <c r="J1" t="s">
        <v>150</v>
      </c>
      <c r="K1" t="s">
        <v>18</v>
      </c>
      <c r="L1" s="24" t="s">
        <v>17</v>
      </c>
      <c r="M1" s="42" t="s">
        <v>134</v>
      </c>
      <c r="N1" s="42" t="s">
        <v>135</v>
      </c>
      <c r="O1" s="14" t="s">
        <v>142</v>
      </c>
      <c r="P1" s="14" t="s">
        <v>108</v>
      </c>
      <c r="Q1" t="s">
        <v>89</v>
      </c>
      <c r="R1" t="s">
        <v>9</v>
      </c>
      <c r="S1" t="s">
        <v>1</v>
      </c>
      <c r="T1" t="s">
        <v>0</v>
      </c>
      <c r="U1" t="s">
        <v>10</v>
      </c>
      <c r="V1" t="s">
        <v>19</v>
      </c>
      <c r="W1" s="17" t="s">
        <v>20</v>
      </c>
      <c r="X1" t="s">
        <v>21</v>
      </c>
      <c r="Y1" t="s">
        <v>541</v>
      </c>
      <c r="Z1" t="s">
        <v>173</v>
      </c>
      <c r="AA1" t="s">
        <v>37</v>
      </c>
      <c r="AB1" t="s">
        <v>88</v>
      </c>
      <c r="AC1" t="s">
        <v>146</v>
      </c>
      <c r="AD1" t="s">
        <v>147</v>
      </c>
      <c r="AE1" t="s">
        <v>148</v>
      </c>
      <c r="AF1" t="s">
        <v>149</v>
      </c>
      <c r="AG1" t="s">
        <v>188</v>
      </c>
      <c r="AH1" t="s">
        <v>187</v>
      </c>
      <c r="AI1" t="s">
        <v>185</v>
      </c>
      <c r="AJ1" t="s">
        <v>165</v>
      </c>
      <c r="AK1" t="s">
        <v>538</v>
      </c>
      <c r="AL1" t="s">
        <v>167</v>
      </c>
      <c r="AM1" t="s">
        <v>539</v>
      </c>
      <c r="AN1" t="s">
        <v>174</v>
      </c>
      <c r="AO1" t="s">
        <v>540</v>
      </c>
      <c r="AP1" t="s">
        <v>201</v>
      </c>
      <c r="AQ1" t="s">
        <v>542</v>
      </c>
      <c r="AR1" t="s">
        <v>24</v>
      </c>
      <c r="AS1" t="s">
        <v>169</v>
      </c>
      <c r="AT1" t="s">
        <v>168</v>
      </c>
      <c r="AU1" t="s">
        <v>543</v>
      </c>
      <c r="AV1" t="s">
        <v>544</v>
      </c>
      <c r="AW1" t="s">
        <v>545</v>
      </c>
      <c r="AX1" t="s">
        <v>546</v>
      </c>
      <c r="AY1" t="s">
        <v>22</v>
      </c>
      <c r="AZ1" t="s">
        <v>547</v>
      </c>
      <c r="BA1" t="s">
        <v>23</v>
      </c>
      <c r="BB1" t="s">
        <v>548</v>
      </c>
      <c r="BC1" t="s">
        <v>549</v>
      </c>
      <c r="BD1" t="s">
        <v>550</v>
      </c>
      <c r="BE1" t="s">
        <v>551</v>
      </c>
      <c r="BF1" t="s">
        <v>552</v>
      </c>
      <c r="BG1" t="s">
        <v>553</v>
      </c>
      <c r="BH1" t="s">
        <v>554</v>
      </c>
      <c r="BI1" t="s">
        <v>555</v>
      </c>
      <c r="BJ1" t="s">
        <v>556</v>
      </c>
      <c r="BN1"/>
      <c r="BR1"/>
    </row>
    <row r="2" spans="1:70" x14ac:dyDescent="0.4">
      <c r="A2" s="33">
        <v>42930.554166666669</v>
      </c>
      <c r="B2" t="s">
        <v>279</v>
      </c>
      <c r="C2" t="s">
        <v>243</v>
      </c>
      <c r="D2" t="s">
        <v>558</v>
      </c>
      <c r="E2" t="s">
        <v>559</v>
      </c>
      <c r="F2" t="s">
        <v>100</v>
      </c>
      <c r="G2" t="s">
        <v>299</v>
      </c>
      <c r="H2" t="b">
        <f>_xlfn.XOR(IFERROR(MATCH(ckCodingTable[[#This Row],[st_code]],EpscorTable[],0)&gt;0,FALSE),IFERROR(FIND("9150",#REF!)&gt;0,FALSE))</f>
        <v>0</v>
      </c>
      <c r="I2" t="b">
        <f>_xlfn.XOR(ckCodingTable[[#This Row],[WMD]]&lt;&gt;"",IFERROR(FIND("9102",#REF!)&gt;0,FALSE))</f>
        <v>0</v>
      </c>
      <c r="J2" t="str">
        <f t="shared" ref="J2:J32" si="0">IF(SUM(AC2:AF2)&gt;0,"WMD","")</f>
        <v/>
      </c>
      <c r="K2" t="s">
        <v>557</v>
      </c>
      <c r="L2" s="24"/>
      <c r="M2" s="42">
        <v>1</v>
      </c>
      <c r="N2" s="42">
        <v>0</v>
      </c>
      <c r="O2" s="15" t="str">
        <f xml:space="preserve"> HYPERLINK("mailto:"&amp;ckCodingTable[[#This Row],[email]]&amp;"&amp;subject=Your NSF Proposal:  "&amp;ckCodingTable[[#This Row],[prop_id]],ckCodingTable[[#This Row],[email]])</f>
        <v>steffen.borgwardt@ucdenver.edu</v>
      </c>
      <c r="P2">
        <f xml:space="preserve"> P1+(ckCodingTable[ILN]&lt;"M")</f>
        <v>1</v>
      </c>
      <c r="Q2" t="s">
        <v>102</v>
      </c>
      <c r="R2" t="s">
        <v>507</v>
      </c>
      <c r="S2" s="15" t="str">
        <f>HYPERLINK("https://www.ejacket.nsf.gov/ej/showProposal.do?ID="&amp;ckCodingTable[[#This Row],[prop_id]],"eJ")</f>
        <v>eJ</v>
      </c>
      <c r="T2" t="s">
        <v>507</v>
      </c>
      <c r="U2" t="s">
        <v>560</v>
      </c>
      <c r="V2" t="s">
        <v>561</v>
      </c>
      <c r="W2" s="33">
        <v>43101</v>
      </c>
      <c r="X2">
        <v>60</v>
      </c>
      <c r="Y2">
        <v>4</v>
      </c>
      <c r="Z2">
        <v>1</v>
      </c>
      <c r="AA2" t="s">
        <v>566</v>
      </c>
      <c r="AB2" s="8"/>
      <c r="AC2">
        <v>0</v>
      </c>
      <c r="AD2">
        <v>0</v>
      </c>
      <c r="AE2">
        <v>0</v>
      </c>
      <c r="AF2">
        <v>0</v>
      </c>
      <c r="AG2" t="s">
        <v>194</v>
      </c>
      <c r="AH2" t="s">
        <v>193</v>
      </c>
      <c r="AI2" t="s">
        <v>191</v>
      </c>
      <c r="AJ2" t="s">
        <v>245</v>
      </c>
      <c r="AK2" t="s">
        <v>562</v>
      </c>
      <c r="AL2" t="s">
        <v>563</v>
      </c>
      <c r="AM2" t="s">
        <v>564</v>
      </c>
      <c r="AN2">
        <v>1</v>
      </c>
      <c r="AP2">
        <v>4.22</v>
      </c>
      <c r="AQ2" t="s">
        <v>565</v>
      </c>
      <c r="AR2">
        <v>3.75</v>
      </c>
      <c r="AS2" s="8">
        <v>43031.583333333336</v>
      </c>
      <c r="AT2">
        <v>4</v>
      </c>
      <c r="AY2">
        <v>470400</v>
      </c>
      <c r="AZ2">
        <v>0</v>
      </c>
      <c r="BA2">
        <v>470400</v>
      </c>
      <c r="BC2">
        <v>9600</v>
      </c>
      <c r="BF2">
        <v>5</v>
      </c>
      <c r="BG2">
        <v>5</v>
      </c>
      <c r="BH2">
        <v>7.5</v>
      </c>
      <c r="BN2"/>
      <c r="BR2"/>
    </row>
    <row r="3" spans="1:70" x14ac:dyDescent="0.4">
      <c r="A3" s="33">
        <v>42933.547222222223</v>
      </c>
      <c r="B3" t="s">
        <v>279</v>
      </c>
      <c r="C3" t="s">
        <v>243</v>
      </c>
      <c r="D3" t="s">
        <v>558</v>
      </c>
      <c r="E3" t="s">
        <v>559</v>
      </c>
      <c r="F3" t="s">
        <v>100</v>
      </c>
      <c r="G3" t="s">
        <v>570</v>
      </c>
      <c r="H3" t="b">
        <f>_xlfn.XOR(IFERROR(MATCH(ckCodingTable[[#This Row],[st_code]],EpscorTable[],0)&gt;0,FALSE),IFERROR(FIND("9150",#REF!)&gt;0,FALSE))</f>
        <v>0</v>
      </c>
      <c r="I3" t="b">
        <f>_xlfn.XOR(ckCodingTable[[#This Row],[WMD]]&lt;&gt;"",IFERROR(FIND("9102",#REF!)&gt;0,FALSE))</f>
        <v>0</v>
      </c>
      <c r="J3" t="str">
        <f t="shared" si="0"/>
        <v/>
      </c>
      <c r="K3" t="s">
        <v>557</v>
      </c>
      <c r="L3" s="24"/>
      <c r="M3" s="42">
        <v>1</v>
      </c>
      <c r="N3" s="42">
        <v>0</v>
      </c>
      <c r="O3" s="15" t="str">
        <f xml:space="preserve"> HYPERLINK("mailto:"&amp;ckCodingTable[[#This Row],[email]]&amp;"&amp;subject=Your NSF Proposal:  "&amp;ckCodingTable[[#This Row],[prop_id]],ckCodingTable[[#This Row],[email]])</f>
        <v>haitao.wang@usu.edu</v>
      </c>
      <c r="P3">
        <f xml:space="preserve"> P2+(ckCodingTable[ILN]&lt;"M")</f>
        <v>2</v>
      </c>
      <c r="Q3" t="s">
        <v>102</v>
      </c>
      <c r="R3" t="s">
        <v>508</v>
      </c>
      <c r="S3" s="15" t="str">
        <f>HYPERLINK("https://www.ejacket.nsf.gov/ej/showProposal.do?ID="&amp;ckCodingTable[[#This Row],[prop_id]],"eJ")</f>
        <v>eJ</v>
      </c>
      <c r="T3" t="s">
        <v>508</v>
      </c>
      <c r="U3" t="s">
        <v>567</v>
      </c>
      <c r="V3" t="s">
        <v>568</v>
      </c>
      <c r="W3" s="33">
        <v>43221</v>
      </c>
      <c r="X3">
        <v>60</v>
      </c>
      <c r="Y3">
        <v>4</v>
      </c>
      <c r="Z3">
        <v>1</v>
      </c>
      <c r="AA3" t="s">
        <v>574</v>
      </c>
      <c r="AB3" s="8"/>
      <c r="AC3">
        <v>0</v>
      </c>
      <c r="AD3">
        <v>0</v>
      </c>
      <c r="AE3">
        <v>0</v>
      </c>
      <c r="AF3">
        <v>0</v>
      </c>
      <c r="AG3" t="s">
        <v>194</v>
      </c>
      <c r="AH3" t="s">
        <v>193</v>
      </c>
      <c r="AI3" t="s">
        <v>191</v>
      </c>
      <c r="AJ3" t="s">
        <v>245</v>
      </c>
      <c r="AK3" t="s">
        <v>569</v>
      </c>
      <c r="AL3" t="s">
        <v>571</v>
      </c>
      <c r="AM3" t="s">
        <v>572</v>
      </c>
      <c r="AN3">
        <v>1</v>
      </c>
      <c r="AP3">
        <v>3.13</v>
      </c>
      <c r="AQ3" t="s">
        <v>573</v>
      </c>
      <c r="AR3">
        <v>6.25</v>
      </c>
      <c r="AS3" s="8">
        <v>43030.179166666669</v>
      </c>
      <c r="AT3">
        <v>4</v>
      </c>
      <c r="AY3">
        <v>524898</v>
      </c>
      <c r="AZ3">
        <v>0</v>
      </c>
      <c r="BA3">
        <v>524898</v>
      </c>
      <c r="BC3">
        <v>15000</v>
      </c>
      <c r="BF3">
        <v>10</v>
      </c>
      <c r="BG3">
        <v>5</v>
      </c>
      <c r="BH3">
        <v>5</v>
      </c>
      <c r="BN3"/>
      <c r="BR3"/>
    </row>
    <row r="4" spans="1:70" x14ac:dyDescent="0.4">
      <c r="A4" s="33">
        <v>42933.579861111109</v>
      </c>
      <c r="B4" t="s">
        <v>279</v>
      </c>
      <c r="C4" t="s">
        <v>243</v>
      </c>
      <c r="D4" t="s">
        <v>558</v>
      </c>
      <c r="E4" t="s">
        <v>575</v>
      </c>
      <c r="F4" t="s">
        <v>100</v>
      </c>
      <c r="G4" t="s">
        <v>300</v>
      </c>
      <c r="H4" t="b">
        <f>_xlfn.XOR(IFERROR(MATCH(ckCodingTable[[#This Row],[st_code]],EpscorTable[],0)&gt;0,FALSE),IFERROR(FIND("9150",#REF!)&gt;0,FALSE))</f>
        <v>0</v>
      </c>
      <c r="I4" t="b">
        <f>_xlfn.XOR(ckCodingTable[[#This Row],[WMD]]&lt;&gt;"",IFERROR(FIND("9102",#REF!)&gt;0,FALSE))</f>
        <v>0</v>
      </c>
      <c r="J4" t="str">
        <f t="shared" si="0"/>
        <v/>
      </c>
      <c r="K4" t="s">
        <v>557</v>
      </c>
      <c r="L4" s="24"/>
      <c r="M4" s="42">
        <v>1</v>
      </c>
      <c r="N4" s="42">
        <v>0</v>
      </c>
      <c r="O4" s="15" t="str">
        <f xml:space="preserve"> HYPERLINK("mailto:"&amp;ckCodingTable[[#This Row],[email]]&amp;"&amp;subject=Your NSF Proposal:  "&amp;ckCodingTable[[#This Row],[prop_id]],ckCodingTable[[#This Row],[email]])</f>
        <v>bmoseley@seas.wustl.edu</v>
      </c>
      <c r="P4">
        <f xml:space="preserve"> P3+(ckCodingTable[ILN]&lt;"M")</f>
        <v>3</v>
      </c>
      <c r="Q4" t="s">
        <v>102</v>
      </c>
      <c r="R4" t="s">
        <v>509</v>
      </c>
      <c r="S4" s="15" t="str">
        <f>HYPERLINK("https://www.ejacket.nsf.gov/ej/showProposal.do?ID="&amp;ckCodingTable[[#This Row],[prop_id]],"eJ")</f>
        <v>eJ</v>
      </c>
      <c r="T4" t="s">
        <v>509</v>
      </c>
      <c r="U4" t="s">
        <v>576</v>
      </c>
      <c r="V4" t="s">
        <v>285</v>
      </c>
      <c r="W4" s="33">
        <v>43282</v>
      </c>
      <c r="X4">
        <v>60</v>
      </c>
      <c r="Y4">
        <v>5</v>
      </c>
      <c r="Z4">
        <v>1</v>
      </c>
      <c r="AA4" t="s">
        <v>581</v>
      </c>
      <c r="AB4" s="8"/>
      <c r="AC4">
        <v>0</v>
      </c>
      <c r="AD4">
        <v>0</v>
      </c>
      <c r="AE4">
        <v>0</v>
      </c>
      <c r="AF4">
        <v>0</v>
      </c>
      <c r="AG4" t="s">
        <v>194</v>
      </c>
      <c r="AH4" t="s">
        <v>193</v>
      </c>
      <c r="AI4" t="s">
        <v>191</v>
      </c>
      <c r="AJ4" t="s">
        <v>245</v>
      </c>
      <c r="AK4" t="s">
        <v>577</v>
      </c>
      <c r="AL4" t="s">
        <v>578</v>
      </c>
      <c r="AM4" t="s">
        <v>579</v>
      </c>
      <c r="AN4">
        <v>1</v>
      </c>
      <c r="AP4">
        <v>3.13</v>
      </c>
      <c r="AQ4" t="s">
        <v>580</v>
      </c>
      <c r="AR4">
        <v>6.8</v>
      </c>
      <c r="AS4" s="8">
        <v>43032.510416666664</v>
      </c>
      <c r="AT4">
        <v>5</v>
      </c>
      <c r="AY4">
        <v>545000</v>
      </c>
      <c r="AZ4">
        <v>0</v>
      </c>
      <c r="BA4">
        <v>545000</v>
      </c>
      <c r="BE4">
        <v>8000</v>
      </c>
      <c r="BF4">
        <v>5</v>
      </c>
      <c r="BG4">
        <v>5</v>
      </c>
      <c r="BH4">
        <v>6.5</v>
      </c>
      <c r="BN4"/>
      <c r="BR4"/>
    </row>
    <row r="5" spans="1:70" x14ac:dyDescent="0.4">
      <c r="A5" s="33">
        <v>42933.713888888888</v>
      </c>
      <c r="B5" t="s">
        <v>279</v>
      </c>
      <c r="C5" t="s">
        <v>243</v>
      </c>
      <c r="D5" t="s">
        <v>558</v>
      </c>
      <c r="E5" t="s">
        <v>559</v>
      </c>
      <c r="F5" t="s">
        <v>100</v>
      </c>
      <c r="G5" t="s">
        <v>302</v>
      </c>
      <c r="H5" t="b">
        <f>_xlfn.XOR(IFERROR(MATCH(ckCodingTable[[#This Row],[st_code]],EpscorTable[],0)&gt;0,FALSE),IFERROR(FIND("9150",#REF!)&gt;0,FALSE))</f>
        <v>0</v>
      </c>
      <c r="I5" t="b">
        <f>_xlfn.XOR(ckCodingTable[[#This Row],[WMD]]&lt;&gt;"",IFERROR(FIND("9102",#REF!)&gt;0,FALSE))</f>
        <v>0</v>
      </c>
      <c r="J5" t="str">
        <f t="shared" si="0"/>
        <v/>
      </c>
      <c r="K5" t="s">
        <v>557</v>
      </c>
      <c r="L5" s="24"/>
      <c r="M5" s="42">
        <v>1</v>
      </c>
      <c r="N5" s="42">
        <v>0</v>
      </c>
      <c r="O5" s="15" t="str">
        <f xml:space="preserve"> HYPERLINK("mailto:"&amp;ckCodingTable[[#This Row],[email]]&amp;"&amp;subject=Your NSF Proposal:  "&amp;ckCodingTable[[#This Row],[prop_id]],ckCodingTable[[#This Row],[email]])</f>
        <v>delpia@wisc.edu</v>
      </c>
      <c r="P5">
        <f xml:space="preserve"> P4+(ckCodingTable[ILN]&lt;"M")</f>
        <v>4</v>
      </c>
      <c r="Q5" t="s">
        <v>102</v>
      </c>
      <c r="R5" t="s">
        <v>510</v>
      </c>
      <c r="S5" s="15" t="str">
        <f>HYPERLINK("https://www.ejacket.nsf.gov/ej/showProposal.do?ID="&amp;ckCodingTable[[#This Row],[prop_id]],"eJ")</f>
        <v>eJ</v>
      </c>
      <c r="T5" t="s">
        <v>510</v>
      </c>
      <c r="U5" t="s">
        <v>582</v>
      </c>
      <c r="V5" t="s">
        <v>583</v>
      </c>
      <c r="W5" s="33">
        <v>43344</v>
      </c>
      <c r="X5">
        <v>60</v>
      </c>
      <c r="Y5">
        <v>4</v>
      </c>
      <c r="Z5">
        <v>1</v>
      </c>
      <c r="AA5" t="s">
        <v>586</v>
      </c>
      <c r="AB5" s="8"/>
      <c r="AC5">
        <v>0</v>
      </c>
      <c r="AD5">
        <v>0</v>
      </c>
      <c r="AE5">
        <v>0</v>
      </c>
      <c r="AF5">
        <v>0</v>
      </c>
      <c r="AG5" t="s">
        <v>194</v>
      </c>
      <c r="AH5" t="s">
        <v>193</v>
      </c>
      <c r="AI5" t="s">
        <v>191</v>
      </c>
      <c r="AJ5" t="s">
        <v>245</v>
      </c>
      <c r="AK5" t="s">
        <v>284</v>
      </c>
      <c r="AL5" t="s">
        <v>584</v>
      </c>
      <c r="AM5" t="s">
        <v>564</v>
      </c>
      <c r="AN5">
        <v>1</v>
      </c>
      <c r="AP5">
        <v>2.0299999999999998</v>
      </c>
      <c r="AQ5" t="s">
        <v>585</v>
      </c>
      <c r="AR5">
        <v>7</v>
      </c>
      <c r="AS5" s="8">
        <v>43031.584027777775</v>
      </c>
      <c r="AT5">
        <v>4</v>
      </c>
      <c r="AY5">
        <v>500000</v>
      </c>
      <c r="AZ5">
        <v>0</v>
      </c>
      <c r="BA5">
        <v>500000</v>
      </c>
      <c r="BC5">
        <v>12416</v>
      </c>
      <c r="BF5">
        <v>5</v>
      </c>
      <c r="BG5">
        <v>5</v>
      </c>
      <c r="BH5">
        <v>5</v>
      </c>
      <c r="BN5"/>
      <c r="BR5"/>
    </row>
    <row r="6" spans="1:70" x14ac:dyDescent="0.4">
      <c r="A6" s="33">
        <v>42933.820138888892</v>
      </c>
      <c r="B6" t="s">
        <v>279</v>
      </c>
      <c r="C6" t="s">
        <v>243</v>
      </c>
      <c r="D6" t="s">
        <v>558</v>
      </c>
      <c r="E6" t="s">
        <v>559</v>
      </c>
      <c r="F6" t="s">
        <v>100</v>
      </c>
      <c r="G6" t="s">
        <v>304</v>
      </c>
      <c r="H6" t="b">
        <f>_xlfn.XOR(IFERROR(MATCH(ckCodingTable[[#This Row],[st_code]],EpscorTable[],0)&gt;0,FALSE),IFERROR(FIND("9150",#REF!)&gt;0,FALSE))</f>
        <v>0</v>
      </c>
      <c r="I6" t="b">
        <f>_xlfn.XOR(ckCodingTable[[#This Row],[WMD]]&lt;&gt;"",IFERROR(FIND("9102",#REF!)&gt;0,FALSE))</f>
        <v>0</v>
      </c>
      <c r="J6" t="str">
        <f t="shared" si="0"/>
        <v/>
      </c>
      <c r="K6" t="s">
        <v>557</v>
      </c>
      <c r="L6" s="24"/>
      <c r="M6" s="42">
        <v>1</v>
      </c>
      <c r="N6" s="42">
        <v>0</v>
      </c>
      <c r="O6" s="15" t="str">
        <f xml:space="preserve"> HYPERLINK("mailto:"&amp;ckCodingTable[[#This Row],[email]]&amp;"&amp;subject=Your NSF Proposal:  "&amp;ckCodingTable[[#This Row],[prop_id]],ckCodingTable[[#This Row],[email]])</f>
        <v>yintat@uw.edu</v>
      </c>
      <c r="P6">
        <f xml:space="preserve"> P5+(ckCodingTable[ILN]&lt;"M")</f>
        <v>5</v>
      </c>
      <c r="Q6" t="s">
        <v>102</v>
      </c>
      <c r="R6" t="s">
        <v>511</v>
      </c>
      <c r="S6" s="15" t="str">
        <f>HYPERLINK("https://www.ejacket.nsf.gov/ej/showProposal.do?ID="&amp;ckCodingTable[[#This Row],[prop_id]],"eJ")</f>
        <v>eJ</v>
      </c>
      <c r="T6" t="s">
        <v>511</v>
      </c>
      <c r="U6" t="s">
        <v>587</v>
      </c>
      <c r="V6" t="s">
        <v>588</v>
      </c>
      <c r="W6" s="33">
        <v>43175</v>
      </c>
      <c r="X6">
        <v>60</v>
      </c>
      <c r="Y6">
        <v>4</v>
      </c>
      <c r="Z6">
        <v>1</v>
      </c>
      <c r="AA6" t="s">
        <v>591</v>
      </c>
      <c r="AB6" s="8"/>
      <c r="AC6">
        <v>0</v>
      </c>
      <c r="AD6">
        <v>0</v>
      </c>
      <c r="AE6">
        <v>0</v>
      </c>
      <c r="AF6">
        <v>0</v>
      </c>
      <c r="AG6" t="s">
        <v>194</v>
      </c>
      <c r="AH6" t="s">
        <v>193</v>
      </c>
      <c r="AI6" t="s">
        <v>191</v>
      </c>
      <c r="AJ6" t="s">
        <v>245</v>
      </c>
      <c r="AK6" t="s">
        <v>281</v>
      </c>
      <c r="AL6" t="s">
        <v>589</v>
      </c>
      <c r="AM6" t="s">
        <v>564</v>
      </c>
      <c r="AN6">
        <v>1</v>
      </c>
      <c r="AP6">
        <v>1.01</v>
      </c>
      <c r="AQ6" t="s">
        <v>590</v>
      </c>
      <c r="AR6">
        <v>8</v>
      </c>
      <c r="AS6" s="8">
        <v>43031.375694444447</v>
      </c>
      <c r="AT6">
        <v>4</v>
      </c>
      <c r="AY6">
        <v>549841</v>
      </c>
      <c r="AZ6">
        <v>0</v>
      </c>
      <c r="BA6">
        <v>549841</v>
      </c>
      <c r="BF6">
        <v>5</v>
      </c>
      <c r="BG6">
        <v>5</v>
      </c>
      <c r="BH6">
        <v>2.5</v>
      </c>
      <c r="BJ6">
        <v>2.5</v>
      </c>
      <c r="BN6"/>
      <c r="BR6"/>
    </row>
    <row r="7" spans="1:70" x14ac:dyDescent="0.4">
      <c r="A7" s="33">
        <v>42934.453472222223</v>
      </c>
      <c r="B7" t="s">
        <v>279</v>
      </c>
      <c r="C7" t="s">
        <v>243</v>
      </c>
      <c r="D7" t="s">
        <v>558</v>
      </c>
      <c r="E7" t="s">
        <v>575</v>
      </c>
      <c r="F7" t="s">
        <v>100</v>
      </c>
      <c r="G7" t="s">
        <v>305</v>
      </c>
      <c r="H7" t="b">
        <f>_xlfn.XOR(IFERROR(MATCH(ckCodingTable[[#This Row],[st_code]],EpscorTable[],0)&gt;0,FALSE),IFERROR(FIND("9150",#REF!)&gt;0,FALSE))</f>
        <v>0</v>
      </c>
      <c r="I7" t="b">
        <f>_xlfn.XOR(ckCodingTable[[#This Row],[WMD]]&lt;&gt;"",IFERROR(FIND("9102",#REF!)&gt;0,FALSE))</f>
        <v>0</v>
      </c>
      <c r="J7" t="str">
        <f t="shared" si="0"/>
        <v/>
      </c>
      <c r="K7" t="s">
        <v>557</v>
      </c>
      <c r="L7" s="24"/>
      <c r="M7" s="42">
        <v>1</v>
      </c>
      <c r="N7" s="42">
        <v>0</v>
      </c>
      <c r="O7" s="15" t="str">
        <f xml:space="preserve"> HYPERLINK("mailto:"&amp;ckCodingTable[[#This Row],[email]]&amp;"&amp;subject=Your NSF Proposal:  "&amp;ckCodingTable[[#This Row],[prop_id]],ckCodingTable[[#This Row],[email]])</f>
        <v>sim3@ucmerced.edu</v>
      </c>
      <c r="P7">
        <f xml:space="preserve"> P6+(ckCodingTable[ILN]&lt;"M")</f>
        <v>6</v>
      </c>
      <c r="Q7" t="s">
        <v>102</v>
      </c>
      <c r="R7" t="s">
        <v>512</v>
      </c>
      <c r="S7" s="15" t="str">
        <f>HYPERLINK("https://www.ejacket.nsf.gov/ej/showProposal.do?ID="&amp;ckCodingTable[[#This Row],[prop_id]],"eJ")</f>
        <v>eJ</v>
      </c>
      <c r="T7" t="s">
        <v>512</v>
      </c>
      <c r="U7" t="s">
        <v>592</v>
      </c>
      <c r="V7" t="s">
        <v>593</v>
      </c>
      <c r="W7" s="33">
        <v>43282</v>
      </c>
      <c r="X7">
        <v>60</v>
      </c>
      <c r="Y7">
        <v>4</v>
      </c>
      <c r="Z7">
        <v>1</v>
      </c>
      <c r="AA7" t="s">
        <v>597</v>
      </c>
      <c r="AB7" s="8"/>
      <c r="AC7">
        <v>0</v>
      </c>
      <c r="AD7">
        <v>0</v>
      </c>
      <c r="AE7">
        <v>0</v>
      </c>
      <c r="AF7">
        <v>0</v>
      </c>
      <c r="AG7" t="s">
        <v>194</v>
      </c>
      <c r="AH7" t="s">
        <v>193</v>
      </c>
      <c r="AI7" t="s">
        <v>191</v>
      </c>
      <c r="AJ7" t="s">
        <v>245</v>
      </c>
      <c r="AK7" t="s">
        <v>594</v>
      </c>
      <c r="AL7" t="s">
        <v>595</v>
      </c>
      <c r="AM7" t="s">
        <v>564</v>
      </c>
      <c r="AN7">
        <v>1</v>
      </c>
      <c r="AP7">
        <v>2.1</v>
      </c>
      <c r="AQ7" t="s">
        <v>596</v>
      </c>
      <c r="AR7">
        <v>6.5</v>
      </c>
      <c r="AS7" s="8">
        <v>43032.518055555556</v>
      </c>
      <c r="AT7">
        <v>4</v>
      </c>
      <c r="AY7">
        <v>514477</v>
      </c>
      <c r="AZ7">
        <v>0</v>
      </c>
      <c r="BA7">
        <v>514477</v>
      </c>
      <c r="BF7">
        <v>10</v>
      </c>
      <c r="BG7">
        <v>4</v>
      </c>
      <c r="BH7">
        <v>7</v>
      </c>
      <c r="BN7"/>
      <c r="BR7"/>
    </row>
    <row r="8" spans="1:70" x14ac:dyDescent="0.4">
      <c r="A8" s="33">
        <v>42934.507638888892</v>
      </c>
      <c r="B8" t="s">
        <v>279</v>
      </c>
      <c r="C8" t="s">
        <v>243</v>
      </c>
      <c r="D8" t="s">
        <v>558</v>
      </c>
      <c r="E8" t="s">
        <v>575</v>
      </c>
      <c r="F8" t="s">
        <v>100</v>
      </c>
      <c r="G8" t="s">
        <v>305</v>
      </c>
      <c r="H8" t="b">
        <f>_xlfn.XOR(IFERROR(MATCH(ckCodingTable[[#This Row],[st_code]],EpscorTable[],0)&gt;0,FALSE),IFERROR(FIND("9150",#REF!)&gt;0,FALSE))</f>
        <v>0</v>
      </c>
      <c r="I8" t="b">
        <f>_xlfn.XOR(ckCodingTable[[#This Row],[WMD]]&lt;&gt;"",IFERROR(FIND("9102",#REF!)&gt;0,FALSE))</f>
        <v>0</v>
      </c>
      <c r="J8" t="str">
        <f t="shared" si="0"/>
        <v/>
      </c>
      <c r="K8" t="s">
        <v>557</v>
      </c>
      <c r="L8" s="24"/>
      <c r="M8" s="42">
        <v>0</v>
      </c>
      <c r="N8" s="42">
        <v>0</v>
      </c>
      <c r="O8" s="15" t="str">
        <f xml:space="preserve"> HYPERLINK("mailto:"&amp;ckCodingTable[[#This Row],[email]]&amp;"&amp;subject=Your NSF Proposal:  "&amp;ckCodingTable[[#This Row],[prop_id]],ckCodingTable[[#This Row],[email]])</f>
        <v>sidford@stanford.edu</v>
      </c>
      <c r="P8">
        <f xml:space="preserve"> P7+(ckCodingTable[ILN]&lt;"M")</f>
        <v>7</v>
      </c>
      <c r="Q8" t="s">
        <v>102</v>
      </c>
      <c r="R8" t="s">
        <v>513</v>
      </c>
      <c r="S8" s="15" t="str">
        <f>HYPERLINK("https://www.ejacket.nsf.gov/ej/showProposal.do?ID="&amp;ckCodingTable[[#This Row],[prop_id]],"eJ")</f>
        <v>eJ</v>
      </c>
      <c r="T8" t="s">
        <v>513</v>
      </c>
      <c r="U8" t="s">
        <v>598</v>
      </c>
      <c r="V8" t="s">
        <v>599</v>
      </c>
      <c r="W8" s="33">
        <v>43009</v>
      </c>
      <c r="X8">
        <v>60</v>
      </c>
      <c r="Y8">
        <v>4</v>
      </c>
      <c r="Z8">
        <v>1</v>
      </c>
      <c r="AA8" t="s">
        <v>603</v>
      </c>
      <c r="AB8" s="8"/>
      <c r="AC8">
        <v>0</v>
      </c>
      <c r="AD8">
        <v>0</v>
      </c>
      <c r="AE8">
        <v>0</v>
      </c>
      <c r="AF8">
        <v>0</v>
      </c>
      <c r="AG8" t="s">
        <v>194</v>
      </c>
      <c r="AH8" t="s">
        <v>193</v>
      </c>
      <c r="AI8" t="s">
        <v>191</v>
      </c>
      <c r="AJ8" t="s">
        <v>245</v>
      </c>
      <c r="AK8" t="s">
        <v>600</v>
      </c>
      <c r="AL8" t="s">
        <v>601</v>
      </c>
      <c r="AM8" t="s">
        <v>288</v>
      </c>
      <c r="AN8">
        <v>1</v>
      </c>
      <c r="AP8">
        <v>2.0699999999999998</v>
      </c>
      <c r="AQ8" t="s">
        <v>602</v>
      </c>
      <c r="AR8">
        <v>7.5</v>
      </c>
      <c r="AS8" s="8">
        <v>43032.515277777777</v>
      </c>
      <c r="AT8">
        <v>4</v>
      </c>
      <c r="AY8">
        <v>500000</v>
      </c>
      <c r="AZ8">
        <v>0</v>
      </c>
      <c r="BA8">
        <v>500000</v>
      </c>
      <c r="BE8">
        <v>7500</v>
      </c>
      <c r="BF8">
        <v>5</v>
      </c>
      <c r="BG8">
        <v>5</v>
      </c>
      <c r="BH8">
        <v>6.75</v>
      </c>
      <c r="BN8"/>
      <c r="BR8"/>
    </row>
    <row r="9" spans="1:70" x14ac:dyDescent="0.4">
      <c r="A9" s="33">
        <v>42934.524305555555</v>
      </c>
      <c r="B9" t="s">
        <v>279</v>
      </c>
      <c r="C9" t="s">
        <v>243</v>
      </c>
      <c r="D9" t="s">
        <v>558</v>
      </c>
      <c r="E9" t="s">
        <v>604</v>
      </c>
      <c r="F9" t="s">
        <v>100</v>
      </c>
      <c r="G9" t="s">
        <v>608</v>
      </c>
      <c r="H9" t="b">
        <f>_xlfn.XOR(IFERROR(MATCH(ckCodingTable[[#This Row],[st_code]],EpscorTable[],0)&gt;0,FALSE),IFERROR(FIND("9150",#REF!)&gt;0,FALSE))</f>
        <v>0</v>
      </c>
      <c r="I9" t="b">
        <f>_xlfn.XOR(ckCodingTable[[#This Row],[WMD]]&lt;&gt;"",IFERROR(FIND("9102",#REF!)&gt;0,FALSE))</f>
        <v>0</v>
      </c>
      <c r="J9" t="str">
        <f t="shared" si="0"/>
        <v/>
      </c>
      <c r="K9" t="s">
        <v>557</v>
      </c>
      <c r="L9" s="24"/>
      <c r="M9" s="42">
        <v>1</v>
      </c>
      <c r="N9" s="42">
        <v>0</v>
      </c>
      <c r="O9" s="15" t="str">
        <f xml:space="preserve"> HYPERLINK("mailto:"&amp;ckCodingTable[[#This Row],[email]]&amp;"&amp;subject=Your NSF Proposal:  "&amp;ckCodingTable[[#This Row],[prop_id]],ckCodingTable[[#This Row],[email]])</f>
        <v>karthe@illinois.edu</v>
      </c>
      <c r="P9">
        <f xml:space="preserve"> P8+(ckCodingTable[ILN]&lt;"M")</f>
        <v>8</v>
      </c>
      <c r="Q9" t="s">
        <v>102</v>
      </c>
      <c r="R9" t="s">
        <v>514</v>
      </c>
      <c r="S9" s="15" t="str">
        <f>HYPERLINK("https://www.ejacket.nsf.gov/ej/showProposal.do?ID="&amp;ckCodingTable[[#This Row],[prop_id]],"eJ")</f>
        <v>eJ</v>
      </c>
      <c r="T9" t="s">
        <v>514</v>
      </c>
      <c r="U9" t="s">
        <v>605</v>
      </c>
      <c r="V9" t="s">
        <v>606</v>
      </c>
      <c r="W9" s="33">
        <v>43115</v>
      </c>
      <c r="X9">
        <v>60</v>
      </c>
      <c r="Y9">
        <v>4</v>
      </c>
      <c r="Z9">
        <v>1</v>
      </c>
      <c r="AA9" t="s">
        <v>611</v>
      </c>
      <c r="AB9" s="8"/>
      <c r="AC9">
        <v>0</v>
      </c>
      <c r="AD9">
        <v>0</v>
      </c>
      <c r="AE9">
        <v>0</v>
      </c>
      <c r="AF9">
        <v>0</v>
      </c>
      <c r="AG9" t="s">
        <v>194</v>
      </c>
      <c r="AH9" t="s">
        <v>193</v>
      </c>
      <c r="AI9" t="s">
        <v>191</v>
      </c>
      <c r="AJ9" t="s">
        <v>245</v>
      </c>
      <c r="AK9" t="s">
        <v>607</v>
      </c>
      <c r="AL9" t="s">
        <v>609</v>
      </c>
      <c r="AM9" t="s">
        <v>564</v>
      </c>
      <c r="AN9">
        <v>1</v>
      </c>
      <c r="AP9">
        <v>2.06</v>
      </c>
      <c r="AQ9" t="s">
        <v>610</v>
      </c>
      <c r="AR9">
        <v>6.75</v>
      </c>
      <c r="AS9" s="8">
        <v>43030.722916666666</v>
      </c>
      <c r="AT9">
        <v>4</v>
      </c>
      <c r="AY9">
        <v>446040</v>
      </c>
      <c r="AZ9">
        <v>0</v>
      </c>
      <c r="BA9">
        <v>446040</v>
      </c>
      <c r="BC9">
        <v>20000</v>
      </c>
      <c r="BF9">
        <v>5</v>
      </c>
      <c r="BG9">
        <v>5</v>
      </c>
      <c r="BH9">
        <v>5</v>
      </c>
      <c r="BN9"/>
      <c r="BR9"/>
    </row>
    <row r="10" spans="1:70" x14ac:dyDescent="0.4">
      <c r="A10" s="33">
        <v>42934.695138888892</v>
      </c>
      <c r="B10" t="s">
        <v>279</v>
      </c>
      <c r="C10" t="s">
        <v>243</v>
      </c>
      <c r="D10" t="s">
        <v>558</v>
      </c>
      <c r="E10" t="s">
        <v>559</v>
      </c>
      <c r="F10" t="s">
        <v>100</v>
      </c>
      <c r="G10" t="s">
        <v>308</v>
      </c>
      <c r="H10" t="b">
        <f>_xlfn.XOR(IFERROR(MATCH(ckCodingTable[[#This Row],[st_code]],EpscorTable[],0)&gt;0,FALSE),IFERROR(FIND("9150",#REF!)&gt;0,FALSE))</f>
        <v>0</v>
      </c>
      <c r="I10" t="b">
        <f>_xlfn.XOR(ckCodingTable[[#This Row],[WMD]]&lt;&gt;"",IFERROR(FIND("9102",#REF!)&gt;0,FALSE))</f>
        <v>0</v>
      </c>
      <c r="J10" t="str">
        <f t="shared" si="0"/>
        <v/>
      </c>
      <c r="K10" t="s">
        <v>557</v>
      </c>
      <c r="L10" s="24"/>
      <c r="M10" s="42">
        <v>1</v>
      </c>
      <c r="N10" s="42">
        <v>0</v>
      </c>
      <c r="O10" s="15" t="str">
        <f xml:space="preserve"> HYPERLINK("mailto:"&amp;ckCodingTable[[#This Row],[email]]&amp;"&amp;subject=Your NSF Proposal:  "&amp;ckCodingTable[[#This Row],[prop_id]],ckCodingTable[[#This Row],[email]])</f>
        <v>jsolomon@mit.edu</v>
      </c>
      <c r="P10">
        <f xml:space="preserve"> P9+(ckCodingTable[ILN]&lt;"M")</f>
        <v>9</v>
      </c>
      <c r="Q10" t="s">
        <v>102</v>
      </c>
      <c r="R10" t="s">
        <v>515</v>
      </c>
      <c r="S10" s="15" t="str">
        <f>HYPERLINK("https://www.ejacket.nsf.gov/ej/showProposal.do?ID="&amp;ckCodingTable[[#This Row],[prop_id]],"eJ")</f>
        <v>eJ</v>
      </c>
      <c r="T10" t="s">
        <v>515</v>
      </c>
      <c r="U10" t="s">
        <v>612</v>
      </c>
      <c r="V10" t="s">
        <v>613</v>
      </c>
      <c r="W10" s="33">
        <v>43101</v>
      </c>
      <c r="X10">
        <v>60</v>
      </c>
      <c r="Y10">
        <v>4</v>
      </c>
      <c r="Z10">
        <v>1</v>
      </c>
      <c r="AA10" t="s">
        <v>616</v>
      </c>
      <c r="AB10" s="8"/>
      <c r="AC10">
        <v>0</v>
      </c>
      <c r="AD10">
        <v>0</v>
      </c>
      <c r="AE10">
        <v>0</v>
      </c>
      <c r="AF10">
        <v>0</v>
      </c>
      <c r="AG10" t="s">
        <v>194</v>
      </c>
      <c r="AH10" t="s">
        <v>193</v>
      </c>
      <c r="AI10" t="s">
        <v>191</v>
      </c>
      <c r="AJ10" t="s">
        <v>245</v>
      </c>
      <c r="AK10" t="s">
        <v>244</v>
      </c>
      <c r="AL10" t="s">
        <v>614</v>
      </c>
      <c r="AM10" t="s">
        <v>572</v>
      </c>
      <c r="AN10">
        <v>1</v>
      </c>
      <c r="AP10">
        <v>3.13</v>
      </c>
      <c r="AQ10" t="s">
        <v>615</v>
      </c>
      <c r="AR10">
        <v>6.25</v>
      </c>
      <c r="AS10" s="8">
        <v>43030.972222222219</v>
      </c>
      <c r="AT10">
        <v>4</v>
      </c>
      <c r="AY10">
        <v>550000</v>
      </c>
      <c r="AZ10">
        <v>0</v>
      </c>
      <c r="BA10">
        <v>550000</v>
      </c>
      <c r="BF10">
        <v>5</v>
      </c>
      <c r="BG10">
        <v>5</v>
      </c>
      <c r="BH10">
        <v>2.5</v>
      </c>
      <c r="BN10"/>
      <c r="BR10"/>
    </row>
    <row r="11" spans="1:70" x14ac:dyDescent="0.4">
      <c r="A11" s="33">
        <v>42934.737500000003</v>
      </c>
      <c r="B11" t="s">
        <v>279</v>
      </c>
      <c r="C11" t="s">
        <v>243</v>
      </c>
      <c r="D11" t="s">
        <v>558</v>
      </c>
      <c r="E11" t="s">
        <v>604</v>
      </c>
      <c r="F11" t="s">
        <v>100</v>
      </c>
      <c r="G11" t="s">
        <v>608</v>
      </c>
      <c r="H11" t="b">
        <f>_xlfn.XOR(IFERROR(MATCH(ckCodingTable[[#This Row],[st_code]],EpscorTable[],0)&gt;0,FALSE),IFERROR(FIND("9150",#REF!)&gt;0,FALSE))</f>
        <v>0</v>
      </c>
      <c r="I11" t="b">
        <f>_xlfn.XOR(ckCodingTable[[#This Row],[WMD]]&lt;&gt;"",IFERROR(FIND("9102",#REF!)&gt;0,FALSE))</f>
        <v>0</v>
      </c>
      <c r="J11" t="str">
        <f t="shared" si="0"/>
        <v/>
      </c>
      <c r="K11" t="s">
        <v>557</v>
      </c>
      <c r="L11" s="24"/>
      <c r="M11" s="42">
        <v>1</v>
      </c>
      <c r="N11" s="42">
        <v>0</v>
      </c>
      <c r="O11" s="15" t="str">
        <f xml:space="preserve"> HYPERLINK("mailto:"&amp;ckCodingTable[[#This Row],[email]]&amp;"&amp;subject=Your NSF Proposal:  "&amp;ckCodingTable[[#This Row],[prop_id]],ckCodingTable[[#This Row],[email]])</f>
        <v>solomon2@illinois.edu</v>
      </c>
      <c r="P11">
        <f xml:space="preserve"> P10+(ckCodingTable[ILN]&lt;"M")</f>
        <v>10</v>
      </c>
      <c r="Q11" t="s">
        <v>102</v>
      </c>
      <c r="R11" t="s">
        <v>516</v>
      </c>
      <c r="S11" s="15" t="str">
        <f>HYPERLINK("https://www.ejacket.nsf.gov/ej/showProposal.do?ID="&amp;ckCodingTable[[#This Row],[prop_id]],"eJ")</f>
        <v>eJ</v>
      </c>
      <c r="T11" t="s">
        <v>516</v>
      </c>
      <c r="U11" t="s">
        <v>617</v>
      </c>
      <c r="V11" t="s">
        <v>618</v>
      </c>
      <c r="W11" s="33">
        <v>43132</v>
      </c>
      <c r="X11">
        <v>60</v>
      </c>
      <c r="Y11">
        <v>4</v>
      </c>
      <c r="Z11">
        <v>1</v>
      </c>
      <c r="AA11" t="s">
        <v>621</v>
      </c>
      <c r="AB11" s="8"/>
      <c r="AC11">
        <v>0</v>
      </c>
      <c r="AD11">
        <v>0</v>
      </c>
      <c r="AE11">
        <v>0</v>
      </c>
      <c r="AF11">
        <v>0</v>
      </c>
      <c r="AG11" t="s">
        <v>194</v>
      </c>
      <c r="AH11" t="s">
        <v>193</v>
      </c>
      <c r="AI11" t="s">
        <v>191</v>
      </c>
      <c r="AJ11" t="s">
        <v>245</v>
      </c>
      <c r="AK11" t="s">
        <v>607</v>
      </c>
      <c r="AL11" t="s">
        <v>619</v>
      </c>
      <c r="AM11" t="s">
        <v>579</v>
      </c>
      <c r="AN11">
        <v>1</v>
      </c>
      <c r="AP11">
        <v>3.13</v>
      </c>
      <c r="AQ11" t="s">
        <v>620</v>
      </c>
      <c r="AR11">
        <v>4.5</v>
      </c>
      <c r="AS11" s="8">
        <v>43031.922222222223</v>
      </c>
      <c r="AT11">
        <v>4</v>
      </c>
      <c r="AY11">
        <v>524117</v>
      </c>
      <c r="AZ11">
        <v>0</v>
      </c>
      <c r="BA11">
        <v>524117</v>
      </c>
      <c r="BC11">
        <v>11250</v>
      </c>
      <c r="BF11">
        <v>5</v>
      </c>
      <c r="BG11">
        <v>5</v>
      </c>
      <c r="BH11">
        <v>2.5</v>
      </c>
      <c r="BN11"/>
      <c r="BR11"/>
    </row>
    <row r="12" spans="1:70" x14ac:dyDescent="0.4">
      <c r="A12" s="33">
        <v>42934.808333333334</v>
      </c>
      <c r="B12" t="s">
        <v>279</v>
      </c>
      <c r="C12" t="s">
        <v>243</v>
      </c>
      <c r="D12" t="s">
        <v>558</v>
      </c>
      <c r="E12" t="s">
        <v>559</v>
      </c>
      <c r="F12" t="s">
        <v>100</v>
      </c>
      <c r="G12" t="s">
        <v>305</v>
      </c>
      <c r="H12" t="b">
        <f>_xlfn.XOR(IFERROR(MATCH(ckCodingTable[[#This Row],[st_code]],EpscorTable[],0)&gt;0,FALSE),IFERROR(FIND("9150",#REF!)&gt;0,FALSE))</f>
        <v>0</v>
      </c>
      <c r="I12" t="b">
        <f>_xlfn.XOR(ckCodingTable[[#This Row],[WMD]]&lt;&gt;"",IFERROR(FIND("9102",#REF!)&gt;0,FALSE))</f>
        <v>0</v>
      </c>
      <c r="J12" t="str">
        <f t="shared" si="0"/>
        <v/>
      </c>
      <c r="K12" t="s">
        <v>557</v>
      </c>
      <c r="L12" s="24"/>
      <c r="M12" s="42">
        <v>1</v>
      </c>
      <c r="N12" s="42">
        <v>0</v>
      </c>
      <c r="O12" s="15" t="str">
        <f xml:space="preserve"> HYPERLINK("mailto:"&amp;ckCodingTable[[#This Row],[email]]&amp;"&amp;subject=Your NSF Proposal:  "&amp;ckCodingTable[[#This Row],[prop_id]],ckCodingTable[[#This Row],[email]])</f>
        <v>craig@ucr.edu</v>
      </c>
      <c r="P12">
        <f xml:space="preserve"> P11+(ckCodingTable[ILN]&lt;"M")</f>
        <v>11</v>
      </c>
      <c r="Q12" t="s">
        <v>102</v>
      </c>
      <c r="R12" t="s">
        <v>517</v>
      </c>
      <c r="S12" s="15" t="str">
        <f>HYPERLINK("https://www.ejacket.nsf.gov/ej/showProposal.do?ID="&amp;ckCodingTable[[#This Row],[prop_id]],"eJ")</f>
        <v>eJ</v>
      </c>
      <c r="T12" t="s">
        <v>517</v>
      </c>
      <c r="U12" t="s">
        <v>622</v>
      </c>
      <c r="V12" t="s">
        <v>623</v>
      </c>
      <c r="W12" s="33">
        <v>43101</v>
      </c>
      <c r="X12">
        <v>60</v>
      </c>
      <c r="Y12">
        <v>4</v>
      </c>
      <c r="Z12">
        <v>1</v>
      </c>
      <c r="AA12" t="s">
        <v>628</v>
      </c>
      <c r="AB12" s="8"/>
      <c r="AC12">
        <v>0</v>
      </c>
      <c r="AD12">
        <v>0</v>
      </c>
      <c r="AE12">
        <v>0</v>
      </c>
      <c r="AF12">
        <v>0</v>
      </c>
      <c r="AG12" t="s">
        <v>194</v>
      </c>
      <c r="AH12" t="s">
        <v>193</v>
      </c>
      <c r="AI12" t="s">
        <v>191</v>
      </c>
      <c r="AJ12" t="s">
        <v>245</v>
      </c>
      <c r="AK12" t="s">
        <v>624</v>
      </c>
      <c r="AL12" t="s">
        <v>625</v>
      </c>
      <c r="AM12" t="s">
        <v>626</v>
      </c>
      <c r="AN12">
        <v>1</v>
      </c>
      <c r="AP12">
        <v>4.22</v>
      </c>
      <c r="AQ12" t="s">
        <v>627</v>
      </c>
      <c r="AR12">
        <v>4</v>
      </c>
      <c r="AS12" s="8">
        <v>43031.584027777775</v>
      </c>
      <c r="AT12">
        <v>4</v>
      </c>
      <c r="AY12">
        <v>440331</v>
      </c>
      <c r="AZ12">
        <v>0</v>
      </c>
      <c r="BA12">
        <v>440331</v>
      </c>
      <c r="BF12">
        <v>5</v>
      </c>
      <c r="BG12">
        <v>5</v>
      </c>
      <c r="BH12">
        <v>5</v>
      </c>
      <c r="BN12"/>
      <c r="BR12"/>
    </row>
    <row r="13" spans="1:70" x14ac:dyDescent="0.4">
      <c r="A13" s="33">
        <v>42935.359027777777</v>
      </c>
      <c r="B13" t="s">
        <v>279</v>
      </c>
      <c r="C13" t="s">
        <v>243</v>
      </c>
      <c r="D13" t="s">
        <v>558</v>
      </c>
      <c r="E13" t="s">
        <v>575</v>
      </c>
      <c r="F13" t="s">
        <v>100</v>
      </c>
      <c r="G13" t="s">
        <v>310</v>
      </c>
      <c r="H13" t="b">
        <f>_xlfn.XOR(IFERROR(MATCH(ckCodingTable[[#This Row],[st_code]],EpscorTable[],0)&gt;0,FALSE),IFERROR(FIND("9150",#REF!)&gt;0,FALSE))</f>
        <v>0</v>
      </c>
      <c r="I13" t="b">
        <f>_xlfn.XOR(ckCodingTable[[#This Row],[WMD]]&lt;&gt;"",IFERROR(FIND("9102",#REF!)&gt;0,FALSE))</f>
        <v>0</v>
      </c>
      <c r="J13" t="str">
        <f t="shared" si="0"/>
        <v/>
      </c>
      <c r="K13" t="s">
        <v>557</v>
      </c>
      <c r="L13" s="24"/>
      <c r="M13" s="42">
        <v>1</v>
      </c>
      <c r="N13" s="42">
        <v>0</v>
      </c>
      <c r="O13" s="15" t="str">
        <f xml:space="preserve"> HYPERLINK("mailto:"&amp;ckCodingTable[[#This Row],[email]]&amp;"&amp;subject=Your NSF Proposal:  "&amp;ckCodingTable[[#This Row],[prop_id]],ckCodingTable[[#This Row],[email]])</f>
        <v>shil@buffalo.edu</v>
      </c>
      <c r="P13">
        <f xml:space="preserve"> P12+(ckCodingTable[ILN]&lt;"M")</f>
        <v>12</v>
      </c>
      <c r="Q13" t="s">
        <v>102</v>
      </c>
      <c r="R13" t="s">
        <v>518</v>
      </c>
      <c r="S13" s="15" t="str">
        <f>HYPERLINK("https://www.ejacket.nsf.gov/ej/showProposal.do?ID="&amp;ckCodingTable[[#This Row],[prop_id]],"eJ")</f>
        <v>eJ</v>
      </c>
      <c r="T13" t="s">
        <v>518</v>
      </c>
      <c r="U13" t="s">
        <v>629</v>
      </c>
      <c r="V13" t="s">
        <v>630</v>
      </c>
      <c r="W13" s="33">
        <v>43344</v>
      </c>
      <c r="X13">
        <v>60</v>
      </c>
      <c r="Y13">
        <v>4</v>
      </c>
      <c r="Z13">
        <v>1</v>
      </c>
      <c r="AA13" t="s">
        <v>633</v>
      </c>
      <c r="AB13" s="8"/>
      <c r="AC13">
        <v>0</v>
      </c>
      <c r="AD13">
        <v>0</v>
      </c>
      <c r="AE13">
        <v>0</v>
      </c>
      <c r="AF13">
        <v>0</v>
      </c>
      <c r="AG13" t="s">
        <v>194</v>
      </c>
      <c r="AH13" t="s">
        <v>193</v>
      </c>
      <c r="AI13" t="s">
        <v>191</v>
      </c>
      <c r="AJ13" t="s">
        <v>245</v>
      </c>
      <c r="AK13" t="s">
        <v>241</v>
      </c>
      <c r="AL13" t="s">
        <v>631</v>
      </c>
      <c r="AM13" t="s">
        <v>564</v>
      </c>
      <c r="AN13">
        <v>1</v>
      </c>
      <c r="AP13">
        <v>3.13</v>
      </c>
      <c r="AQ13" t="s">
        <v>632</v>
      </c>
      <c r="AR13">
        <v>5.25</v>
      </c>
      <c r="AS13" s="8">
        <v>43031.584722222222</v>
      </c>
      <c r="AT13">
        <v>4</v>
      </c>
      <c r="AY13">
        <v>530842</v>
      </c>
      <c r="AZ13">
        <v>0</v>
      </c>
      <c r="BA13">
        <v>530842</v>
      </c>
      <c r="BC13">
        <v>10000</v>
      </c>
      <c r="BF13">
        <v>5</v>
      </c>
      <c r="BG13">
        <v>5</v>
      </c>
      <c r="BH13">
        <v>5</v>
      </c>
      <c r="BN13"/>
      <c r="BR13"/>
    </row>
    <row r="14" spans="1:70" x14ac:dyDescent="0.4">
      <c r="A14" s="33">
        <v>42935.374305555553</v>
      </c>
      <c r="B14" t="s">
        <v>279</v>
      </c>
      <c r="C14" t="s">
        <v>243</v>
      </c>
      <c r="D14" t="s">
        <v>558</v>
      </c>
      <c r="E14" t="s">
        <v>575</v>
      </c>
      <c r="F14" t="s">
        <v>100</v>
      </c>
      <c r="G14" t="s">
        <v>637</v>
      </c>
      <c r="H14" t="b">
        <f>_xlfn.XOR(IFERROR(MATCH(ckCodingTable[[#This Row],[st_code]],EpscorTable[],0)&gt;0,FALSE),IFERROR(FIND("9150",#REF!)&gt;0,FALSE))</f>
        <v>0</v>
      </c>
      <c r="I14" t="b">
        <f>_xlfn.XOR(ckCodingTable[[#This Row],[WMD]]&lt;&gt;"",IFERROR(FIND("9102",#REF!)&gt;0,FALSE))</f>
        <v>0</v>
      </c>
      <c r="J14" t="str">
        <f t="shared" si="0"/>
        <v/>
      </c>
      <c r="K14" t="s">
        <v>557</v>
      </c>
      <c r="L14" s="24"/>
      <c r="M14" s="42">
        <v>0</v>
      </c>
      <c r="N14" s="42">
        <v>0</v>
      </c>
      <c r="O14" s="15" t="str">
        <f xml:space="preserve"> HYPERLINK("mailto:"&amp;ckCodingTable[[#This Row],[email]]&amp;"&amp;subject=Your NSF Proposal:  "&amp;ckCodingTable[[#This Row],[prop_id]],ckCodingTable[[#This Row],[email]])</f>
        <v>viswa@umich.edu</v>
      </c>
      <c r="P14">
        <f xml:space="preserve"> P13+(ckCodingTable[ILN]&lt;"M")</f>
        <v>13</v>
      </c>
      <c r="Q14" t="s">
        <v>102</v>
      </c>
      <c r="R14" t="s">
        <v>519</v>
      </c>
      <c r="S14" s="15" t="str">
        <f>HYPERLINK("https://www.ejacket.nsf.gov/ej/showProposal.do?ID="&amp;ckCodingTable[[#This Row],[prop_id]],"eJ")</f>
        <v>eJ</v>
      </c>
      <c r="T14" t="s">
        <v>519</v>
      </c>
      <c r="U14" t="s">
        <v>634</v>
      </c>
      <c r="V14" t="s">
        <v>635</v>
      </c>
      <c r="W14" s="33">
        <v>43221</v>
      </c>
      <c r="X14">
        <v>60</v>
      </c>
      <c r="Y14">
        <v>4</v>
      </c>
      <c r="Z14">
        <v>1</v>
      </c>
      <c r="AA14" t="s">
        <v>640</v>
      </c>
      <c r="AB14" s="8"/>
      <c r="AC14">
        <v>0</v>
      </c>
      <c r="AD14">
        <v>0</v>
      </c>
      <c r="AE14">
        <v>0</v>
      </c>
      <c r="AF14">
        <v>0</v>
      </c>
      <c r="AG14" t="s">
        <v>194</v>
      </c>
      <c r="AH14" t="s">
        <v>193</v>
      </c>
      <c r="AI14" t="s">
        <v>191</v>
      </c>
      <c r="AJ14" t="s">
        <v>245</v>
      </c>
      <c r="AK14" t="s">
        <v>636</v>
      </c>
      <c r="AL14" t="s">
        <v>638</v>
      </c>
      <c r="AM14" t="s">
        <v>288</v>
      </c>
      <c r="AN14">
        <v>1</v>
      </c>
      <c r="AP14">
        <v>2.0499999999999998</v>
      </c>
      <c r="AQ14" t="s">
        <v>639</v>
      </c>
      <c r="AR14">
        <v>7</v>
      </c>
      <c r="AS14" s="8">
        <v>43032.519444444442</v>
      </c>
      <c r="AT14">
        <v>4</v>
      </c>
      <c r="AY14">
        <v>524840</v>
      </c>
      <c r="AZ14">
        <v>0</v>
      </c>
      <c r="BA14">
        <v>524840</v>
      </c>
      <c r="BE14">
        <v>3000</v>
      </c>
      <c r="BF14">
        <v>5</v>
      </c>
      <c r="BG14">
        <v>5</v>
      </c>
      <c r="BH14">
        <v>5</v>
      </c>
      <c r="BN14"/>
      <c r="BR14"/>
    </row>
    <row r="15" spans="1:70" x14ac:dyDescent="0.4">
      <c r="A15" s="33">
        <v>42935.387499999997</v>
      </c>
      <c r="B15" t="s">
        <v>279</v>
      </c>
      <c r="C15" t="s">
        <v>243</v>
      </c>
      <c r="D15" t="s">
        <v>558</v>
      </c>
      <c r="E15" t="s">
        <v>575</v>
      </c>
      <c r="F15" t="s">
        <v>100</v>
      </c>
      <c r="G15" t="s">
        <v>644</v>
      </c>
      <c r="H15" t="b">
        <f>_xlfn.XOR(IFERROR(MATCH(ckCodingTable[[#This Row],[st_code]],EpscorTable[],0)&gt;0,FALSE),IFERROR(FIND("9150",#REF!)&gt;0,FALSE))</f>
        <v>0</v>
      </c>
      <c r="I15" t="b">
        <f>_xlfn.XOR(ckCodingTable[[#This Row],[WMD]]&lt;&gt;"",IFERROR(FIND("9102",#REF!)&gt;0,FALSE))</f>
        <v>0</v>
      </c>
      <c r="J15" t="str">
        <f t="shared" si="0"/>
        <v/>
      </c>
      <c r="K15" t="s">
        <v>557</v>
      </c>
      <c r="L15" s="24"/>
      <c r="M15" s="42">
        <v>1</v>
      </c>
      <c r="N15" s="42">
        <v>0</v>
      </c>
      <c r="O15" s="15" t="str">
        <f xml:space="preserve"> HYPERLINK("mailto:"&amp;ckCodingTable[[#This Row],[email]]&amp;"&amp;subject=Your NSF Proposal:  "&amp;ckCodingTable[[#This Row],[prop_id]],ckCodingTable[[#This Row],[email]])</f>
        <v>debmalya.panigrahi@gmail.com</v>
      </c>
      <c r="P15">
        <f xml:space="preserve"> P14+(ckCodingTable[ILN]&lt;"M")</f>
        <v>14</v>
      </c>
      <c r="Q15" t="s">
        <v>102</v>
      </c>
      <c r="R15" t="s">
        <v>520</v>
      </c>
      <c r="S15" s="15" t="str">
        <f>HYPERLINK("https://www.ejacket.nsf.gov/ej/showProposal.do?ID="&amp;ckCodingTable[[#This Row],[prop_id]],"eJ")</f>
        <v>eJ</v>
      </c>
      <c r="T15" t="s">
        <v>520</v>
      </c>
      <c r="U15" t="s">
        <v>641</v>
      </c>
      <c r="V15" t="s">
        <v>642</v>
      </c>
      <c r="W15" s="33">
        <v>43160</v>
      </c>
      <c r="X15">
        <v>60</v>
      </c>
      <c r="Y15">
        <v>4</v>
      </c>
      <c r="Z15">
        <v>1</v>
      </c>
      <c r="AA15" t="s">
        <v>646</v>
      </c>
      <c r="AB15" s="8"/>
      <c r="AC15">
        <v>0</v>
      </c>
      <c r="AD15">
        <v>0</v>
      </c>
      <c r="AE15">
        <v>0</v>
      </c>
      <c r="AF15">
        <v>0</v>
      </c>
      <c r="AG15" t="s">
        <v>194</v>
      </c>
      <c r="AH15" t="s">
        <v>193</v>
      </c>
      <c r="AI15" t="s">
        <v>191</v>
      </c>
      <c r="AJ15" t="s">
        <v>245</v>
      </c>
      <c r="AK15" t="s">
        <v>643</v>
      </c>
      <c r="AL15" t="s">
        <v>645</v>
      </c>
      <c r="AM15" t="s">
        <v>564</v>
      </c>
      <c r="AN15">
        <v>1</v>
      </c>
      <c r="AP15">
        <v>2.0299999999999998</v>
      </c>
      <c r="AQ15" t="s">
        <v>294</v>
      </c>
      <c r="AR15">
        <v>7.75</v>
      </c>
      <c r="AS15" s="8">
        <v>43032.520138888889</v>
      </c>
      <c r="AT15">
        <v>4</v>
      </c>
      <c r="AY15">
        <v>602288</v>
      </c>
      <c r="AZ15">
        <v>0</v>
      </c>
      <c r="BA15">
        <v>602288</v>
      </c>
      <c r="BC15">
        <v>21026</v>
      </c>
      <c r="BE15">
        <v>16000</v>
      </c>
      <c r="BF15">
        <v>5</v>
      </c>
      <c r="BG15">
        <v>5</v>
      </c>
      <c r="BH15">
        <v>7</v>
      </c>
      <c r="BN15"/>
      <c r="BR15"/>
    </row>
    <row r="16" spans="1:70" x14ac:dyDescent="0.4">
      <c r="A16" s="33">
        <v>42935.475694444445</v>
      </c>
      <c r="B16" t="s">
        <v>279</v>
      </c>
      <c r="C16" t="s">
        <v>243</v>
      </c>
      <c r="D16" t="s">
        <v>558</v>
      </c>
      <c r="E16" t="s">
        <v>575</v>
      </c>
      <c r="F16" t="s">
        <v>100</v>
      </c>
      <c r="G16" t="s">
        <v>311</v>
      </c>
      <c r="H16" t="b">
        <f>_xlfn.XOR(IFERROR(MATCH(ckCodingTable[[#This Row],[st_code]],EpscorTable[],0)&gt;0,FALSE),IFERROR(FIND("9150",#REF!)&gt;0,FALSE))</f>
        <v>0</v>
      </c>
      <c r="I16" t="b">
        <f>_xlfn.XOR(ckCodingTable[[#This Row],[WMD]]&lt;&gt;"",IFERROR(FIND("9102",#REF!)&gt;0,FALSE))</f>
        <v>0</v>
      </c>
      <c r="J16" t="str">
        <f t="shared" si="0"/>
        <v/>
      </c>
      <c r="K16" t="s">
        <v>557</v>
      </c>
      <c r="L16" s="24"/>
      <c r="M16" s="42">
        <v>1</v>
      </c>
      <c r="N16" s="42">
        <v>0</v>
      </c>
      <c r="O16" s="15" t="str">
        <f xml:space="preserve"> HYPERLINK("mailto:"&amp;ckCodingTable[[#This Row],[email]]&amp;"&amp;subject=Your NSF Proposal:  "&amp;ckCodingTable[[#This Row],[prop_id]],ckCodingTable[[#This Row],[email]])</f>
        <v>mdinitz@cs.jhu.edu</v>
      </c>
      <c r="P16">
        <f xml:space="preserve"> P15+(ckCodingTable[ILN]&lt;"M")</f>
        <v>15</v>
      </c>
      <c r="Q16" t="s">
        <v>102</v>
      </c>
      <c r="R16" t="s">
        <v>521</v>
      </c>
      <c r="S16" s="15" t="str">
        <f>HYPERLINK("https://www.ejacket.nsf.gov/ej/showProposal.do?ID="&amp;ckCodingTable[[#This Row],[prop_id]],"eJ")</f>
        <v>eJ</v>
      </c>
      <c r="T16" t="s">
        <v>521</v>
      </c>
      <c r="U16" t="s">
        <v>647</v>
      </c>
      <c r="V16" t="s">
        <v>296</v>
      </c>
      <c r="W16" s="33">
        <v>43282</v>
      </c>
      <c r="X16">
        <v>60</v>
      </c>
      <c r="Y16">
        <v>4</v>
      </c>
      <c r="Z16">
        <v>1</v>
      </c>
      <c r="AA16" t="s">
        <v>651</v>
      </c>
      <c r="AB16" s="8"/>
      <c r="AC16">
        <v>0</v>
      </c>
      <c r="AD16">
        <v>0</v>
      </c>
      <c r="AE16">
        <v>0</v>
      </c>
      <c r="AF16">
        <v>0</v>
      </c>
      <c r="AG16" t="s">
        <v>194</v>
      </c>
      <c r="AH16" t="s">
        <v>193</v>
      </c>
      <c r="AI16" t="s">
        <v>191</v>
      </c>
      <c r="AJ16" t="s">
        <v>245</v>
      </c>
      <c r="AK16" t="s">
        <v>648</v>
      </c>
      <c r="AL16" t="s">
        <v>649</v>
      </c>
      <c r="AM16" t="s">
        <v>564</v>
      </c>
      <c r="AN16">
        <v>1</v>
      </c>
      <c r="AP16">
        <v>3.13</v>
      </c>
      <c r="AQ16" t="s">
        <v>650</v>
      </c>
      <c r="AR16">
        <v>6.75</v>
      </c>
      <c r="AS16" s="8">
        <v>43030.96875</v>
      </c>
      <c r="AT16">
        <v>4</v>
      </c>
      <c r="AY16">
        <v>507459</v>
      </c>
      <c r="AZ16">
        <v>0</v>
      </c>
      <c r="BA16">
        <v>507459</v>
      </c>
      <c r="BC16">
        <v>4200</v>
      </c>
      <c r="BF16">
        <v>5</v>
      </c>
      <c r="BG16">
        <v>5</v>
      </c>
      <c r="BJ16">
        <v>5</v>
      </c>
      <c r="BN16"/>
      <c r="BR16"/>
    </row>
    <row r="17" spans="1:70" x14ac:dyDescent="0.4">
      <c r="A17" s="33">
        <v>42935.488888888889</v>
      </c>
      <c r="B17" t="s">
        <v>279</v>
      </c>
      <c r="C17" t="s">
        <v>243</v>
      </c>
      <c r="D17" t="s">
        <v>558</v>
      </c>
      <c r="E17" t="s">
        <v>575</v>
      </c>
      <c r="F17" t="s">
        <v>100</v>
      </c>
      <c r="G17" t="s">
        <v>308</v>
      </c>
      <c r="H17" t="b">
        <f>_xlfn.XOR(IFERROR(MATCH(ckCodingTable[[#This Row],[st_code]],EpscorTable[],0)&gt;0,FALSE),IFERROR(FIND("9150",#REF!)&gt;0,FALSE))</f>
        <v>0</v>
      </c>
      <c r="I17" t="b">
        <f>_xlfn.XOR(ckCodingTable[[#This Row],[WMD]]&lt;&gt;"",IFERROR(FIND("9102",#REF!)&gt;0,FALSE))</f>
        <v>0</v>
      </c>
      <c r="J17" t="str">
        <f t="shared" si="0"/>
        <v/>
      </c>
      <c r="K17" t="s">
        <v>557</v>
      </c>
      <c r="L17" s="24"/>
      <c r="M17" s="42">
        <v>1</v>
      </c>
      <c r="N17" s="42">
        <v>0</v>
      </c>
      <c r="O17" s="15" t="str">
        <f xml:space="preserve"> HYPERLINK("mailto:"&amp;ckCodingTable[[#This Row],[email]]&amp;"&amp;subject=Your NSF Proposal:  "&amp;ckCodingTable[[#This Row],[prop_id]],ckCodingTable[[#This Row],[email]])</f>
        <v>aene@bu.edu</v>
      </c>
      <c r="P17">
        <f xml:space="preserve"> P16+(ckCodingTable[ILN]&lt;"M")</f>
        <v>16</v>
      </c>
      <c r="Q17" t="s">
        <v>102</v>
      </c>
      <c r="R17" t="s">
        <v>522</v>
      </c>
      <c r="S17" s="15" t="str">
        <f>HYPERLINK("https://www.ejacket.nsf.gov/ej/showProposal.do?ID="&amp;ckCodingTable[[#This Row],[prop_id]],"eJ")</f>
        <v>eJ</v>
      </c>
      <c r="T17" t="s">
        <v>522</v>
      </c>
      <c r="U17" t="s">
        <v>652</v>
      </c>
      <c r="V17" t="s">
        <v>653</v>
      </c>
      <c r="W17" s="33">
        <v>43101</v>
      </c>
      <c r="X17">
        <v>60</v>
      </c>
      <c r="Y17">
        <v>4</v>
      </c>
      <c r="Z17">
        <v>1</v>
      </c>
      <c r="AA17" t="s">
        <v>657</v>
      </c>
      <c r="AB17" s="8"/>
      <c r="AC17">
        <v>0</v>
      </c>
      <c r="AD17">
        <v>0</v>
      </c>
      <c r="AE17">
        <v>0</v>
      </c>
      <c r="AF17">
        <v>0</v>
      </c>
      <c r="AG17" t="s">
        <v>194</v>
      </c>
      <c r="AH17" t="s">
        <v>193</v>
      </c>
      <c r="AI17" t="s">
        <v>191</v>
      </c>
      <c r="AJ17" t="s">
        <v>245</v>
      </c>
      <c r="AK17" t="s">
        <v>654</v>
      </c>
      <c r="AL17" t="s">
        <v>655</v>
      </c>
      <c r="AM17" t="s">
        <v>564</v>
      </c>
      <c r="AN17">
        <v>1</v>
      </c>
      <c r="AP17">
        <v>1.01</v>
      </c>
      <c r="AQ17" t="s">
        <v>656</v>
      </c>
      <c r="AR17">
        <v>7.5</v>
      </c>
      <c r="AS17" s="8">
        <v>43032.52847222222</v>
      </c>
      <c r="AT17">
        <v>4</v>
      </c>
      <c r="AY17">
        <v>507423</v>
      </c>
      <c r="AZ17">
        <v>0</v>
      </c>
      <c r="BA17">
        <v>507423</v>
      </c>
      <c r="BC17">
        <v>15000</v>
      </c>
      <c r="BF17">
        <v>5</v>
      </c>
      <c r="BG17">
        <v>5</v>
      </c>
      <c r="BH17">
        <v>5</v>
      </c>
      <c r="BN17"/>
      <c r="BR17"/>
    </row>
    <row r="18" spans="1:70" x14ac:dyDescent="0.4">
      <c r="A18" s="33">
        <v>42935.54583333333</v>
      </c>
      <c r="B18" t="s">
        <v>279</v>
      </c>
      <c r="C18" t="s">
        <v>243</v>
      </c>
      <c r="D18" t="s">
        <v>558</v>
      </c>
      <c r="E18" t="s">
        <v>575</v>
      </c>
      <c r="F18" t="s">
        <v>100</v>
      </c>
      <c r="G18" t="s">
        <v>661</v>
      </c>
      <c r="H18" t="b">
        <f>_xlfn.XOR(IFERROR(MATCH(ckCodingTable[[#This Row],[st_code]],EpscorTable[],0)&gt;0,FALSE),IFERROR(FIND("9150",#REF!)&gt;0,FALSE))</f>
        <v>0</v>
      </c>
      <c r="I18" t="b">
        <f>_xlfn.XOR(ckCodingTable[[#This Row],[WMD]]&lt;&gt;"",IFERROR(FIND("9102",#REF!)&gt;0,FALSE))</f>
        <v>0</v>
      </c>
      <c r="J18" t="str">
        <f t="shared" si="0"/>
        <v/>
      </c>
      <c r="K18" t="s">
        <v>557</v>
      </c>
      <c r="L18" s="24"/>
      <c r="M18" s="42">
        <v>1</v>
      </c>
      <c r="N18" s="42">
        <v>0</v>
      </c>
      <c r="O18" s="15" t="str">
        <f xml:space="preserve"> HYPERLINK("mailto:"&amp;ckCodingTable[[#This Row],[email]]&amp;"&amp;subject=Your NSF Proposal:  "&amp;ckCodingTable[[#This Row],[prop_id]],ckCodingTable[[#This Row],[email]])</f>
        <v>sharathr@vt.edu</v>
      </c>
      <c r="P18">
        <f xml:space="preserve"> P17+(ckCodingTable[ILN]&lt;"M")</f>
        <v>17</v>
      </c>
      <c r="Q18" t="s">
        <v>102</v>
      </c>
      <c r="R18" t="s">
        <v>523</v>
      </c>
      <c r="S18" s="15" t="str">
        <f>HYPERLINK("https://www.ejacket.nsf.gov/ej/showProposal.do?ID="&amp;ckCodingTable[[#This Row],[prop_id]],"eJ")</f>
        <v>eJ</v>
      </c>
      <c r="T18" t="s">
        <v>523</v>
      </c>
      <c r="U18" t="s">
        <v>658</v>
      </c>
      <c r="V18" t="s">
        <v>659</v>
      </c>
      <c r="W18" s="33">
        <v>43110</v>
      </c>
      <c r="X18">
        <v>60</v>
      </c>
      <c r="Y18">
        <v>4</v>
      </c>
      <c r="Z18">
        <v>1</v>
      </c>
      <c r="AA18" t="s">
        <v>664</v>
      </c>
      <c r="AB18" s="8"/>
      <c r="AC18">
        <v>0</v>
      </c>
      <c r="AD18">
        <v>0</v>
      </c>
      <c r="AE18">
        <v>0</v>
      </c>
      <c r="AF18">
        <v>0</v>
      </c>
      <c r="AG18" t="s">
        <v>194</v>
      </c>
      <c r="AH18" t="s">
        <v>193</v>
      </c>
      <c r="AI18" t="s">
        <v>191</v>
      </c>
      <c r="AJ18" t="s">
        <v>245</v>
      </c>
      <c r="AK18" t="s">
        <v>660</v>
      </c>
      <c r="AL18" t="s">
        <v>662</v>
      </c>
      <c r="AM18" t="s">
        <v>564</v>
      </c>
      <c r="AN18">
        <v>1</v>
      </c>
      <c r="AP18">
        <v>3.13</v>
      </c>
      <c r="AQ18" t="s">
        <v>663</v>
      </c>
      <c r="AR18">
        <v>6.5</v>
      </c>
      <c r="AS18" s="8">
        <v>43032.486805555556</v>
      </c>
      <c r="AT18">
        <v>4</v>
      </c>
      <c r="AY18">
        <v>533991</v>
      </c>
      <c r="AZ18">
        <v>0</v>
      </c>
      <c r="BA18">
        <v>533991</v>
      </c>
      <c r="BC18">
        <v>7500</v>
      </c>
      <c r="BF18">
        <v>5</v>
      </c>
      <c r="BG18">
        <v>5</v>
      </c>
      <c r="BH18">
        <v>6.5</v>
      </c>
    </row>
    <row r="19" spans="1:70" x14ac:dyDescent="0.4">
      <c r="A19" s="33">
        <v>42935.633333333331</v>
      </c>
      <c r="B19" t="s">
        <v>279</v>
      </c>
      <c r="C19" t="s">
        <v>243</v>
      </c>
      <c r="D19" t="s">
        <v>558</v>
      </c>
      <c r="E19" t="s">
        <v>559</v>
      </c>
      <c r="F19" t="s">
        <v>100</v>
      </c>
      <c r="G19" t="s">
        <v>667</v>
      </c>
      <c r="H19" t="b">
        <f>_xlfn.XOR(IFERROR(MATCH(ckCodingTable[[#This Row],[st_code]],EpscorTable[],0)&gt;0,FALSE),IFERROR(FIND("9150",#REF!)&gt;0,FALSE))</f>
        <v>0</v>
      </c>
      <c r="I19" t="b">
        <f>_xlfn.XOR(ckCodingTable[[#This Row],[WMD]]&lt;&gt;"",IFERROR(FIND("9102",#REF!)&gt;0,FALSE))</f>
        <v>0</v>
      </c>
      <c r="J19" t="str">
        <f t="shared" si="0"/>
        <v/>
      </c>
      <c r="K19" t="s">
        <v>557</v>
      </c>
      <c r="L19" s="24"/>
      <c r="M19" s="42">
        <v>1</v>
      </c>
      <c r="N19" s="42">
        <v>0</v>
      </c>
      <c r="O19" s="15" t="str">
        <f xml:space="preserve"> HYPERLINK("mailto:"&amp;ckCodingTable[[#This Row],[email]]&amp;"&amp;subject=Your NSF Proposal:  "&amp;ckCodingTable[[#This Row],[prop_id]],ckCodingTable[[#This Row],[email]])</f>
        <v>Benjamin.Raichel@utdallas.edu</v>
      </c>
      <c r="P19">
        <f xml:space="preserve"> P18+(ckCodingTable[ILN]&lt;"M")</f>
        <v>18</v>
      </c>
      <c r="Q19" t="s">
        <v>102</v>
      </c>
      <c r="R19" t="s">
        <v>524</v>
      </c>
      <c r="S19" s="15" t="str">
        <f>HYPERLINK("https://www.ejacket.nsf.gov/ej/showProposal.do?ID="&amp;ckCodingTable[[#This Row],[prop_id]],"eJ")</f>
        <v>eJ</v>
      </c>
      <c r="T19" t="s">
        <v>524</v>
      </c>
      <c r="U19" t="s">
        <v>665</v>
      </c>
      <c r="V19" t="s">
        <v>285</v>
      </c>
      <c r="W19" s="33">
        <v>43344</v>
      </c>
      <c r="X19">
        <v>60</v>
      </c>
      <c r="Y19">
        <v>4</v>
      </c>
      <c r="Z19">
        <v>1</v>
      </c>
      <c r="AA19" t="s">
        <v>669</v>
      </c>
      <c r="AB19" s="8"/>
      <c r="AC19">
        <v>0</v>
      </c>
      <c r="AD19">
        <v>0</v>
      </c>
      <c r="AE19">
        <v>0</v>
      </c>
      <c r="AF19">
        <v>0</v>
      </c>
      <c r="AG19" t="s">
        <v>194</v>
      </c>
      <c r="AH19" t="s">
        <v>193</v>
      </c>
      <c r="AI19" t="s">
        <v>191</v>
      </c>
      <c r="AJ19" t="s">
        <v>245</v>
      </c>
      <c r="AK19" t="s">
        <v>666</v>
      </c>
      <c r="AL19" t="s">
        <v>668</v>
      </c>
      <c r="AM19" t="s">
        <v>572</v>
      </c>
      <c r="AN19">
        <v>1</v>
      </c>
      <c r="AP19">
        <v>2.0699999999999998</v>
      </c>
      <c r="AQ19" t="s">
        <v>602</v>
      </c>
      <c r="AR19">
        <v>7.5</v>
      </c>
      <c r="AS19" s="8">
        <v>43030.181250000001</v>
      </c>
      <c r="AT19">
        <v>4</v>
      </c>
      <c r="AY19">
        <v>582785</v>
      </c>
      <c r="AZ19">
        <v>0</v>
      </c>
      <c r="BA19">
        <v>582785</v>
      </c>
      <c r="BC19">
        <v>7500</v>
      </c>
      <c r="BF19">
        <v>10</v>
      </c>
      <c r="BG19">
        <v>5</v>
      </c>
      <c r="BH19">
        <v>5</v>
      </c>
    </row>
    <row r="20" spans="1:70" x14ac:dyDescent="0.4">
      <c r="A20" s="33">
        <v>42935.680555555555</v>
      </c>
      <c r="B20" t="s">
        <v>279</v>
      </c>
      <c r="C20" t="s">
        <v>243</v>
      </c>
      <c r="D20" t="s">
        <v>558</v>
      </c>
      <c r="E20" t="s">
        <v>559</v>
      </c>
      <c r="F20" t="s">
        <v>100</v>
      </c>
      <c r="G20" t="s">
        <v>667</v>
      </c>
      <c r="H20" t="b">
        <f>_xlfn.XOR(IFERROR(MATCH(ckCodingTable[[#This Row],[st_code]],EpscorTable[],0)&gt;0,FALSE),IFERROR(FIND("9150",#REF!)&gt;0,FALSE))</f>
        <v>0</v>
      </c>
      <c r="I20" t="b">
        <f>_xlfn.XOR(ckCodingTable[[#This Row],[WMD]]&lt;&gt;"",IFERROR(FIND("9102",#REF!)&gt;0,FALSE))</f>
        <v>0</v>
      </c>
      <c r="J20" t="str">
        <f t="shared" si="0"/>
        <v/>
      </c>
      <c r="K20" t="s">
        <v>557</v>
      </c>
      <c r="L20" s="24"/>
      <c r="M20" s="42">
        <v>1</v>
      </c>
      <c r="N20" s="42">
        <v>0</v>
      </c>
      <c r="O20" s="15" t="str">
        <f xml:space="preserve"> HYPERLINK("mailto:"&amp;ckCodingTable[[#This Row],[email]]&amp;"&amp;subject=Your NSF Proposal:  "&amp;ckCodingTable[[#This Row],[prop_id]],ckCodingTable[[#This Row],[email]])</f>
        <v>MATTHEW.GIBSON@UTSA.EDU</v>
      </c>
      <c r="P20">
        <f xml:space="preserve"> P19+(ckCodingTable[ILN]&lt;"M")</f>
        <v>19</v>
      </c>
      <c r="Q20" t="s">
        <v>102</v>
      </c>
      <c r="R20" t="s">
        <v>525</v>
      </c>
      <c r="S20" s="15" t="str">
        <f>HYPERLINK("https://www.ejacket.nsf.gov/ej/showProposal.do?ID="&amp;ckCodingTable[[#This Row],[prop_id]],"eJ")</f>
        <v>eJ</v>
      </c>
      <c r="T20" t="s">
        <v>525</v>
      </c>
      <c r="U20" t="s">
        <v>670</v>
      </c>
      <c r="V20" t="s">
        <v>671</v>
      </c>
      <c r="W20" s="33">
        <v>43132</v>
      </c>
      <c r="X20">
        <v>60</v>
      </c>
      <c r="Y20">
        <v>4</v>
      </c>
      <c r="Z20">
        <v>1</v>
      </c>
      <c r="AA20" t="s">
        <v>675</v>
      </c>
      <c r="AB20" s="8"/>
      <c r="AC20">
        <v>0</v>
      </c>
      <c r="AD20">
        <v>0</v>
      </c>
      <c r="AE20">
        <v>0</v>
      </c>
      <c r="AF20">
        <v>0</v>
      </c>
      <c r="AG20" t="s">
        <v>194</v>
      </c>
      <c r="AH20" t="s">
        <v>193</v>
      </c>
      <c r="AI20" t="s">
        <v>191</v>
      </c>
      <c r="AJ20" t="s">
        <v>245</v>
      </c>
      <c r="AK20" t="s">
        <v>672</v>
      </c>
      <c r="AL20" t="s">
        <v>673</v>
      </c>
      <c r="AM20" t="s">
        <v>572</v>
      </c>
      <c r="AN20">
        <v>1</v>
      </c>
      <c r="AP20">
        <v>3.13</v>
      </c>
      <c r="AQ20" t="s">
        <v>674</v>
      </c>
      <c r="AR20">
        <v>4.75</v>
      </c>
      <c r="AS20" s="8">
        <v>43030.177777777775</v>
      </c>
      <c r="AT20">
        <v>4</v>
      </c>
      <c r="AY20">
        <v>415497</v>
      </c>
      <c r="AZ20">
        <v>0</v>
      </c>
      <c r="BA20">
        <v>415497</v>
      </c>
      <c r="BC20">
        <v>12250</v>
      </c>
      <c r="BE20">
        <v>16000</v>
      </c>
      <c r="BF20">
        <v>5</v>
      </c>
      <c r="BG20">
        <v>5</v>
      </c>
      <c r="BH20">
        <v>5</v>
      </c>
    </row>
    <row r="21" spans="1:70" x14ac:dyDescent="0.4">
      <c r="A21" s="33">
        <v>42935.69027777778</v>
      </c>
      <c r="B21" t="s">
        <v>279</v>
      </c>
      <c r="C21" t="s">
        <v>243</v>
      </c>
      <c r="D21" t="s">
        <v>558</v>
      </c>
      <c r="E21" t="s">
        <v>559</v>
      </c>
      <c r="F21" t="s">
        <v>100</v>
      </c>
      <c r="G21" t="s">
        <v>667</v>
      </c>
      <c r="H21" t="b">
        <f>_xlfn.XOR(IFERROR(MATCH(ckCodingTable[[#This Row],[st_code]],EpscorTable[],0)&gt;0,FALSE),IFERROR(FIND("9150",#REF!)&gt;0,FALSE))</f>
        <v>0</v>
      </c>
      <c r="I21" t="b">
        <f>_xlfn.XOR(ckCodingTable[[#This Row],[WMD]]&lt;&gt;"",IFERROR(FIND("9102",#REF!)&gt;0,FALSE))</f>
        <v>0</v>
      </c>
      <c r="J21" t="str">
        <f t="shared" si="0"/>
        <v/>
      </c>
      <c r="K21" t="s">
        <v>557</v>
      </c>
      <c r="L21" s="24"/>
      <c r="M21" s="42">
        <v>1</v>
      </c>
      <c r="N21" s="42">
        <v>0</v>
      </c>
      <c r="O21" s="15" t="str">
        <f xml:space="preserve"> HYPERLINK("mailto:"&amp;ckCodingTable[[#This Row],[email]]&amp;"&amp;subject=Your NSF Proposal:  "&amp;ckCodingTable[[#This Row],[prop_id]],ckCodingTable[[#This Row],[email]])</f>
        <v>evouga@cs.utexas.edu</v>
      </c>
      <c r="P21">
        <f xml:space="preserve"> P20+(ckCodingTable[ILN]&lt;"M")</f>
        <v>20</v>
      </c>
      <c r="Q21" t="s">
        <v>102</v>
      </c>
      <c r="R21" t="s">
        <v>526</v>
      </c>
      <c r="S21" s="15" t="str">
        <f>HYPERLINK("https://www.ejacket.nsf.gov/ej/showProposal.do?ID="&amp;ckCodingTable[[#This Row],[prop_id]],"eJ")</f>
        <v>eJ</v>
      </c>
      <c r="T21" t="s">
        <v>526</v>
      </c>
      <c r="U21" t="s">
        <v>676</v>
      </c>
      <c r="V21" t="s">
        <v>677</v>
      </c>
      <c r="W21" s="33">
        <v>43344</v>
      </c>
      <c r="X21">
        <v>60</v>
      </c>
      <c r="Y21">
        <v>4</v>
      </c>
      <c r="Z21">
        <v>1</v>
      </c>
      <c r="AA21" t="s">
        <v>680</v>
      </c>
      <c r="AB21" s="8"/>
      <c r="AC21">
        <v>0</v>
      </c>
      <c r="AD21">
        <v>0</v>
      </c>
      <c r="AE21">
        <v>0</v>
      </c>
      <c r="AF21">
        <v>0</v>
      </c>
      <c r="AG21" t="s">
        <v>194</v>
      </c>
      <c r="AH21" t="s">
        <v>193</v>
      </c>
      <c r="AI21" t="s">
        <v>191</v>
      </c>
      <c r="AJ21" t="s">
        <v>245</v>
      </c>
      <c r="AK21" t="s">
        <v>678</v>
      </c>
      <c r="AL21" t="s">
        <v>679</v>
      </c>
      <c r="AM21" t="s">
        <v>572</v>
      </c>
      <c r="AN21">
        <v>1</v>
      </c>
      <c r="AP21">
        <v>2.12</v>
      </c>
      <c r="AQ21" t="s">
        <v>596</v>
      </c>
      <c r="AR21">
        <v>6.5</v>
      </c>
      <c r="AS21" s="8">
        <v>43031.392361111109</v>
      </c>
      <c r="AT21">
        <v>4</v>
      </c>
      <c r="AY21">
        <v>523537</v>
      </c>
      <c r="AZ21">
        <v>0</v>
      </c>
      <c r="BA21">
        <v>523537</v>
      </c>
      <c r="BC21">
        <v>15000</v>
      </c>
      <c r="BF21">
        <v>7</v>
      </c>
      <c r="BG21">
        <v>5</v>
      </c>
      <c r="BH21">
        <v>2</v>
      </c>
    </row>
    <row r="22" spans="1:70" x14ac:dyDescent="0.4">
      <c r="A22" s="33">
        <v>42935.696527777778</v>
      </c>
      <c r="B22" t="s">
        <v>279</v>
      </c>
      <c r="C22" t="s">
        <v>243</v>
      </c>
      <c r="D22" t="s">
        <v>558</v>
      </c>
      <c r="E22" t="s">
        <v>559</v>
      </c>
      <c r="F22" t="s">
        <v>100</v>
      </c>
      <c r="G22" t="s">
        <v>684</v>
      </c>
      <c r="H22" t="b">
        <f>_xlfn.XOR(IFERROR(MATCH(ckCodingTable[[#This Row],[st_code]],EpscorTable[],0)&gt;0,FALSE),IFERROR(FIND("9150",#REF!)&gt;0,FALSE))</f>
        <v>0</v>
      </c>
      <c r="I22" t="b">
        <f>_xlfn.XOR(ckCodingTable[[#This Row],[WMD]]&lt;&gt;"",IFERROR(FIND("9102",#REF!)&gt;0,FALSE))</f>
        <v>0</v>
      </c>
      <c r="J22" t="str">
        <f t="shared" si="0"/>
        <v/>
      </c>
      <c r="K22" t="s">
        <v>557</v>
      </c>
      <c r="L22" s="24"/>
      <c r="M22" s="42">
        <v>1</v>
      </c>
      <c r="N22" s="42">
        <v>0</v>
      </c>
      <c r="O22" s="15" t="str">
        <f xml:space="preserve"> HYPERLINK("mailto:"&amp;ckCodingTable[[#This Row],[email]]&amp;"&amp;subject=Your NSF Proposal:  "&amp;ckCodingTable[[#This Row],[prop_id]],ckCodingTable[[#This Row],[email]])</f>
        <v>nayyeria@eecs.oregonstate.edu</v>
      </c>
      <c r="P22">
        <f xml:space="preserve"> P21+(ckCodingTable[ILN]&lt;"M")</f>
        <v>21</v>
      </c>
      <c r="Q22" t="s">
        <v>102</v>
      </c>
      <c r="R22" t="s">
        <v>527</v>
      </c>
      <c r="S22" s="15" t="str">
        <f>HYPERLINK("https://www.ejacket.nsf.gov/ej/showProposal.do?ID="&amp;ckCodingTable[[#This Row],[prop_id]],"eJ")</f>
        <v>eJ</v>
      </c>
      <c r="T22" t="s">
        <v>527</v>
      </c>
      <c r="U22" t="s">
        <v>681</v>
      </c>
      <c r="V22" t="s">
        <v>682</v>
      </c>
      <c r="W22" s="33">
        <v>43344</v>
      </c>
      <c r="X22">
        <v>60</v>
      </c>
      <c r="Y22">
        <v>4</v>
      </c>
      <c r="Z22">
        <v>1</v>
      </c>
      <c r="AA22" t="s">
        <v>687</v>
      </c>
      <c r="AB22" s="8"/>
      <c r="AC22">
        <v>0</v>
      </c>
      <c r="AD22">
        <v>0</v>
      </c>
      <c r="AE22">
        <v>0</v>
      </c>
      <c r="AF22">
        <v>0</v>
      </c>
      <c r="AG22" t="s">
        <v>194</v>
      </c>
      <c r="AH22" t="s">
        <v>193</v>
      </c>
      <c r="AI22" t="s">
        <v>191</v>
      </c>
      <c r="AJ22" t="s">
        <v>245</v>
      </c>
      <c r="AK22" t="s">
        <v>683</v>
      </c>
      <c r="AL22" t="s">
        <v>685</v>
      </c>
      <c r="AM22" t="s">
        <v>572</v>
      </c>
      <c r="AN22">
        <v>1</v>
      </c>
      <c r="AP22">
        <v>2.1</v>
      </c>
      <c r="AQ22" t="s">
        <v>686</v>
      </c>
      <c r="AR22">
        <v>6.75</v>
      </c>
      <c r="AS22" s="8">
        <v>43031.69027777778</v>
      </c>
      <c r="AT22">
        <v>4</v>
      </c>
      <c r="AY22">
        <v>607459</v>
      </c>
      <c r="AZ22">
        <v>0</v>
      </c>
      <c r="BA22">
        <v>607459</v>
      </c>
      <c r="BC22">
        <v>23133</v>
      </c>
      <c r="BE22">
        <v>5500</v>
      </c>
      <c r="BF22">
        <v>5</v>
      </c>
      <c r="BG22">
        <v>5</v>
      </c>
      <c r="BH22">
        <v>4.5</v>
      </c>
    </row>
    <row r="23" spans="1:70" x14ac:dyDescent="0.4">
      <c r="A23" s="33">
        <v>42935.723611111112</v>
      </c>
      <c r="B23" t="s">
        <v>279</v>
      </c>
      <c r="C23" t="s">
        <v>243</v>
      </c>
      <c r="D23" t="s">
        <v>558</v>
      </c>
      <c r="E23" t="s">
        <v>604</v>
      </c>
      <c r="F23" t="s">
        <v>100</v>
      </c>
      <c r="G23" t="s">
        <v>120</v>
      </c>
      <c r="H23" t="b">
        <f>_xlfn.XOR(IFERROR(MATCH(ckCodingTable[[#This Row],[st_code]],EpscorTable[],0)&gt;0,FALSE),IFERROR(FIND("9150",#REF!)&gt;0,FALSE))</f>
        <v>1</v>
      </c>
      <c r="I23" t="b">
        <f>_xlfn.XOR(ckCodingTable[[#This Row],[WMD]]&lt;&gt;"",IFERROR(FIND("9102",#REF!)&gt;0,FALSE))</f>
        <v>1</v>
      </c>
      <c r="J23" t="str">
        <f t="shared" si="0"/>
        <v>WMD</v>
      </c>
      <c r="K23" t="s">
        <v>557</v>
      </c>
      <c r="L23" s="24"/>
      <c r="M23" s="42">
        <v>1</v>
      </c>
      <c r="N23" s="42">
        <v>0</v>
      </c>
      <c r="O23" s="15" t="str">
        <f xml:space="preserve"> HYPERLINK("mailto:"&amp;ckCodingTable[[#This Row],[email]]&amp;"&amp;subject=Your NSF Proposal:  "&amp;ckCodingTable[[#This Row],[prop_id]],ckCodingTable[[#This Row],[email]])</f>
        <v>brittany@cs.montana.edu</v>
      </c>
      <c r="P23">
        <f xml:space="preserve"> P22+(ckCodingTable[ILN]&lt;"M")</f>
        <v>22</v>
      </c>
      <c r="Q23" t="s">
        <v>102</v>
      </c>
      <c r="R23" t="s">
        <v>528</v>
      </c>
      <c r="S23" s="15" t="str">
        <f>HYPERLINK("https://www.ejacket.nsf.gov/ej/showProposal.do?ID="&amp;ckCodingTable[[#This Row],[prop_id]],"eJ")</f>
        <v>eJ</v>
      </c>
      <c r="T23" t="s">
        <v>528</v>
      </c>
      <c r="U23" t="s">
        <v>688</v>
      </c>
      <c r="V23" t="s">
        <v>689</v>
      </c>
      <c r="W23" s="33">
        <v>43344</v>
      </c>
      <c r="X23">
        <v>60</v>
      </c>
      <c r="Y23">
        <v>4</v>
      </c>
      <c r="Z23">
        <v>1</v>
      </c>
      <c r="AA23" t="s">
        <v>693</v>
      </c>
      <c r="AB23" s="8"/>
      <c r="AC23">
        <v>2</v>
      </c>
      <c r="AD23">
        <v>0</v>
      </c>
      <c r="AE23">
        <v>0</v>
      </c>
      <c r="AF23">
        <v>0</v>
      </c>
      <c r="AG23" t="s">
        <v>194</v>
      </c>
      <c r="AH23" t="s">
        <v>193</v>
      </c>
      <c r="AI23" t="s">
        <v>191</v>
      </c>
      <c r="AJ23" t="s">
        <v>245</v>
      </c>
      <c r="AK23" t="s">
        <v>690</v>
      </c>
      <c r="AL23" t="s">
        <v>691</v>
      </c>
      <c r="AM23" t="s">
        <v>692</v>
      </c>
      <c r="AN23">
        <v>1</v>
      </c>
      <c r="AP23">
        <v>2.09</v>
      </c>
      <c r="AQ23" t="s">
        <v>596</v>
      </c>
      <c r="AR23">
        <v>6.5</v>
      </c>
      <c r="AS23" s="8">
        <v>43031.43472222222</v>
      </c>
      <c r="AT23">
        <v>4</v>
      </c>
      <c r="AY23">
        <v>552355</v>
      </c>
      <c r="AZ23">
        <v>0</v>
      </c>
      <c r="BA23">
        <v>552355</v>
      </c>
      <c r="BC23">
        <v>13000</v>
      </c>
      <c r="BF23">
        <v>12</v>
      </c>
      <c r="BG23">
        <v>5</v>
      </c>
      <c r="BH23">
        <v>5</v>
      </c>
    </row>
    <row r="24" spans="1:70" x14ac:dyDescent="0.4">
      <c r="A24" s="33">
        <v>42935.851388888892</v>
      </c>
      <c r="B24" t="s">
        <v>279</v>
      </c>
      <c r="C24" t="s">
        <v>243</v>
      </c>
      <c r="D24" t="s">
        <v>558</v>
      </c>
      <c r="E24" t="s">
        <v>575</v>
      </c>
      <c r="F24" t="s">
        <v>100</v>
      </c>
      <c r="G24" t="s">
        <v>107</v>
      </c>
      <c r="H24" t="b">
        <f>_xlfn.XOR(IFERROR(MATCH(ckCodingTable[[#This Row],[st_code]],EpscorTable[],0)&gt;0,FALSE),IFERROR(FIND("9150",#REF!)&gt;0,FALSE))</f>
        <v>1</v>
      </c>
      <c r="I24" t="b">
        <f>_xlfn.XOR(ckCodingTable[[#This Row],[WMD]]&lt;&gt;"",IFERROR(FIND("9102",#REF!)&gt;0,FALSE))</f>
        <v>0</v>
      </c>
      <c r="J24" t="str">
        <f t="shared" si="0"/>
        <v/>
      </c>
      <c r="K24" t="s">
        <v>557</v>
      </c>
      <c r="L24" s="24"/>
      <c r="M24" s="42">
        <v>1</v>
      </c>
      <c r="N24" s="42">
        <v>0</v>
      </c>
      <c r="O24" s="15" t="str">
        <f xml:space="preserve"> HYPERLINK("mailto:"&amp;ckCodingTable[[#This Row],[email]]&amp;"&amp;subject=Your NSF Proposal:  "&amp;ckCodingTable[[#This Row],[prop_id]],ckCodingTable[[#This Row],[email]])</f>
        <v>nodari@hawaii.edu</v>
      </c>
      <c r="P24">
        <f xml:space="preserve"> P23+(ckCodingTable[ILN]&lt;"M")</f>
        <v>23</v>
      </c>
      <c r="Q24" t="s">
        <v>102</v>
      </c>
      <c r="R24" t="s">
        <v>529</v>
      </c>
      <c r="S24" s="15" t="str">
        <f>HYPERLINK("https://www.ejacket.nsf.gov/ej/showProposal.do?ID="&amp;ckCodingTable[[#This Row],[prop_id]],"eJ")</f>
        <v>eJ</v>
      </c>
      <c r="T24" t="s">
        <v>529</v>
      </c>
      <c r="U24" t="s">
        <v>694</v>
      </c>
      <c r="V24" t="s">
        <v>695</v>
      </c>
      <c r="W24" s="33">
        <v>43160</v>
      </c>
      <c r="X24">
        <v>60</v>
      </c>
      <c r="Y24">
        <v>4</v>
      </c>
      <c r="Z24">
        <v>1</v>
      </c>
      <c r="AA24" t="s">
        <v>700</v>
      </c>
      <c r="AB24" s="8"/>
      <c r="AC24">
        <v>0</v>
      </c>
      <c r="AD24">
        <v>0</v>
      </c>
      <c r="AE24">
        <v>0</v>
      </c>
      <c r="AF24">
        <v>0</v>
      </c>
      <c r="AG24" t="s">
        <v>194</v>
      </c>
      <c r="AH24" t="s">
        <v>193</v>
      </c>
      <c r="AI24" t="s">
        <v>191</v>
      </c>
      <c r="AJ24" t="s">
        <v>245</v>
      </c>
      <c r="AK24" t="s">
        <v>696</v>
      </c>
      <c r="AL24" t="s">
        <v>697</v>
      </c>
      <c r="AM24" t="s">
        <v>698</v>
      </c>
      <c r="AN24">
        <v>1</v>
      </c>
      <c r="AP24">
        <v>3.13</v>
      </c>
      <c r="AQ24" t="s">
        <v>699</v>
      </c>
      <c r="AR24">
        <v>5.5</v>
      </c>
      <c r="AS24" s="8">
        <v>43031.703472222223</v>
      </c>
      <c r="AT24">
        <v>4</v>
      </c>
      <c r="AY24">
        <v>549999</v>
      </c>
      <c r="AZ24">
        <v>0</v>
      </c>
      <c r="BA24">
        <v>549999</v>
      </c>
      <c r="BC24">
        <v>20000</v>
      </c>
      <c r="BF24">
        <v>5</v>
      </c>
      <c r="BG24">
        <v>5</v>
      </c>
      <c r="BH24">
        <v>5</v>
      </c>
      <c r="BI24">
        <v>4.5199999999999996</v>
      </c>
    </row>
    <row r="25" spans="1:70" x14ac:dyDescent="0.4">
      <c r="A25" s="33">
        <v>42954.500694444447</v>
      </c>
      <c r="B25" t="s">
        <v>702</v>
      </c>
      <c r="C25" t="s">
        <v>243</v>
      </c>
      <c r="D25" t="s">
        <v>703</v>
      </c>
      <c r="E25" t="s">
        <v>575</v>
      </c>
      <c r="F25" t="s">
        <v>100</v>
      </c>
      <c r="G25" t="s">
        <v>312</v>
      </c>
      <c r="H25" t="b">
        <f>_xlfn.XOR(IFERROR(MATCH(ckCodingTable[[#This Row],[st_code]],EpscorTable[],0)&gt;0,FALSE),IFERROR(FIND("9150",#REF!)&gt;0,FALSE))</f>
        <v>0</v>
      </c>
      <c r="I25" t="b">
        <f>_xlfn.XOR(ckCodingTable[[#This Row],[WMD]]&lt;&gt;"",IFERROR(FIND("9102",#REF!)&gt;0,FALSE))</f>
        <v>0</v>
      </c>
      <c r="J25" t="str">
        <f t="shared" si="0"/>
        <v/>
      </c>
      <c r="K25" t="s">
        <v>701</v>
      </c>
      <c r="L25" s="24"/>
      <c r="M25" s="42">
        <v>1</v>
      </c>
      <c r="N25" s="42">
        <v>0</v>
      </c>
      <c r="O25" s="15" t="str">
        <f xml:space="preserve"> HYPERLINK("mailto:"&amp;ckCodingTable[[#This Row],[email]]&amp;"&amp;subject=Your NSF Proposal:  "&amp;ckCodingTable[[#This Row],[prop_id]],ckCodingTable[[#This Row],[email]])</f>
        <v>kwang@georgiasouthern.edu</v>
      </c>
      <c r="P25">
        <f xml:space="preserve"> P24+(ckCodingTable[ILN]&lt;"M")</f>
        <v>24</v>
      </c>
      <c r="Q25" t="s">
        <v>102</v>
      </c>
      <c r="R25" t="s">
        <v>530</v>
      </c>
      <c r="S25" s="15" t="str">
        <f>HYPERLINK("https://www.ejacket.nsf.gov/ej/showProposal.do?ID="&amp;ckCodingTable[[#This Row],[prop_id]],"eJ")</f>
        <v>eJ</v>
      </c>
      <c r="T25" t="s">
        <v>530</v>
      </c>
      <c r="U25" t="s">
        <v>567</v>
      </c>
      <c r="V25" t="s">
        <v>704</v>
      </c>
      <c r="W25" s="33">
        <v>43101</v>
      </c>
      <c r="X25">
        <v>24</v>
      </c>
      <c r="Y25">
        <v>4</v>
      </c>
      <c r="Z25">
        <v>1</v>
      </c>
      <c r="AA25" t="s">
        <v>709</v>
      </c>
      <c r="AB25" s="8"/>
      <c r="AC25">
        <v>0</v>
      </c>
      <c r="AD25">
        <v>0</v>
      </c>
      <c r="AE25">
        <v>0</v>
      </c>
      <c r="AF25">
        <v>0</v>
      </c>
      <c r="AG25" t="s">
        <v>194</v>
      </c>
      <c r="AH25" t="s">
        <v>193</v>
      </c>
      <c r="AI25" t="s">
        <v>191</v>
      </c>
      <c r="AJ25" t="s">
        <v>245</v>
      </c>
      <c r="AK25" t="s">
        <v>705</v>
      </c>
      <c r="AL25" t="s">
        <v>706</v>
      </c>
      <c r="AM25" t="s">
        <v>707</v>
      </c>
      <c r="AN25">
        <v>1</v>
      </c>
      <c r="AP25">
        <v>4.05</v>
      </c>
      <c r="AQ25" t="s">
        <v>708</v>
      </c>
      <c r="AR25">
        <v>3.25</v>
      </c>
      <c r="AS25" s="8">
        <v>43031.775694444441</v>
      </c>
      <c r="AT25">
        <v>4</v>
      </c>
      <c r="AY25">
        <v>168126</v>
      </c>
      <c r="AZ25">
        <v>0</v>
      </c>
      <c r="BA25">
        <v>168126</v>
      </c>
      <c r="BF25">
        <v>4</v>
      </c>
    </row>
    <row r="26" spans="1:70" x14ac:dyDescent="0.4">
      <c r="A26" s="33">
        <v>42956.472222222219</v>
      </c>
      <c r="B26" t="s">
        <v>702</v>
      </c>
      <c r="C26" t="s">
        <v>243</v>
      </c>
      <c r="D26" t="s">
        <v>703</v>
      </c>
      <c r="E26" t="s">
        <v>559</v>
      </c>
      <c r="F26" t="s">
        <v>100</v>
      </c>
      <c r="G26" t="s">
        <v>713</v>
      </c>
      <c r="H26" t="b">
        <f>_xlfn.XOR(IFERROR(MATCH(ckCodingTable[[#This Row],[st_code]],EpscorTable[],0)&gt;0,FALSE),IFERROR(FIND("9150",#REF!)&gt;0,FALSE))</f>
        <v>0</v>
      </c>
      <c r="I26" t="b">
        <f>_xlfn.XOR(ckCodingTable[[#This Row],[WMD]]&lt;&gt;"",IFERROR(FIND("9102",#REF!)&gt;0,FALSE))</f>
        <v>0</v>
      </c>
      <c r="J26" t="str">
        <f t="shared" si="0"/>
        <v/>
      </c>
      <c r="K26" t="s">
        <v>701</v>
      </c>
      <c r="L26" s="24"/>
      <c r="M26" s="42">
        <v>1</v>
      </c>
      <c r="N26" s="42">
        <v>0</v>
      </c>
      <c r="O26" s="15" t="str">
        <f xml:space="preserve"> HYPERLINK("mailto:"&amp;ckCodingTable[[#This Row],[email]]&amp;"&amp;subject=Your NSF Proposal:  "&amp;ckCodingTable[[#This Row],[prop_id]],ckCodingTable[[#This Row],[email]])</f>
        <v>hcharkhgard@usf.edu</v>
      </c>
      <c r="P26">
        <f xml:space="preserve"> P25+(ckCodingTable[ILN]&lt;"M")</f>
        <v>25</v>
      </c>
      <c r="Q26" t="s">
        <v>102</v>
      </c>
      <c r="R26" t="s">
        <v>531</v>
      </c>
      <c r="S26" s="15" t="str">
        <f>HYPERLINK("https://www.ejacket.nsf.gov/ej/showProposal.do?ID="&amp;ckCodingTable[[#This Row],[prop_id]],"eJ")</f>
        <v>eJ</v>
      </c>
      <c r="T26" t="s">
        <v>531</v>
      </c>
      <c r="U26" t="s">
        <v>710</v>
      </c>
      <c r="V26" t="s">
        <v>711</v>
      </c>
      <c r="W26" s="33">
        <v>43221</v>
      </c>
      <c r="X26">
        <v>24</v>
      </c>
      <c r="Y26">
        <v>3</v>
      </c>
      <c r="Z26">
        <v>1</v>
      </c>
      <c r="AA26" t="s">
        <v>716</v>
      </c>
      <c r="AB26" s="8"/>
      <c r="AC26">
        <v>0</v>
      </c>
      <c r="AD26">
        <v>0</v>
      </c>
      <c r="AE26">
        <v>0</v>
      </c>
      <c r="AF26">
        <v>0</v>
      </c>
      <c r="AG26" t="s">
        <v>194</v>
      </c>
      <c r="AH26" t="s">
        <v>193</v>
      </c>
      <c r="AI26" t="s">
        <v>191</v>
      </c>
      <c r="AJ26" t="s">
        <v>245</v>
      </c>
      <c r="AK26" t="s">
        <v>712</v>
      </c>
      <c r="AL26" t="s">
        <v>714</v>
      </c>
      <c r="AM26" t="s">
        <v>707</v>
      </c>
      <c r="AN26">
        <v>1</v>
      </c>
      <c r="AP26">
        <v>3.04</v>
      </c>
      <c r="AQ26" t="s">
        <v>715</v>
      </c>
      <c r="AR26">
        <v>5</v>
      </c>
      <c r="AS26" s="8">
        <v>43031.770833333336</v>
      </c>
      <c r="AT26">
        <v>3</v>
      </c>
      <c r="AY26">
        <v>172682</v>
      </c>
      <c r="AZ26">
        <v>0</v>
      </c>
      <c r="BA26">
        <v>172682</v>
      </c>
      <c r="BF26">
        <v>4</v>
      </c>
    </row>
    <row r="27" spans="1:70" x14ac:dyDescent="0.4">
      <c r="A27" s="33">
        <v>42956.581944444442</v>
      </c>
      <c r="B27" t="s">
        <v>702</v>
      </c>
      <c r="C27" t="s">
        <v>243</v>
      </c>
      <c r="D27" t="s">
        <v>703</v>
      </c>
      <c r="E27" t="s">
        <v>575</v>
      </c>
      <c r="F27" t="s">
        <v>100</v>
      </c>
      <c r="G27" t="s">
        <v>310</v>
      </c>
      <c r="H27" t="b">
        <f>_xlfn.XOR(IFERROR(MATCH(ckCodingTable[[#This Row],[st_code]],EpscorTable[],0)&gt;0,FALSE),IFERROR(FIND("9150",#REF!)&gt;0,FALSE))</f>
        <v>0</v>
      </c>
      <c r="I27" t="b">
        <f>_xlfn.XOR(ckCodingTable[[#This Row],[WMD]]&lt;&gt;"",IFERROR(FIND("9102",#REF!)&gt;0,FALSE))</f>
        <v>0</v>
      </c>
      <c r="J27" t="str">
        <f t="shared" si="0"/>
        <v/>
      </c>
      <c r="K27" t="s">
        <v>701</v>
      </c>
      <c r="L27" s="24"/>
      <c r="M27" s="42">
        <v>1</v>
      </c>
      <c r="N27" s="42">
        <v>0</v>
      </c>
      <c r="O27" s="15" t="str">
        <f xml:space="preserve"> HYPERLINK("mailto:"&amp;ckCodingTable[[#This Row],[email]]&amp;"&amp;subject=Your NSF Proposal:  "&amp;ckCodingTable[[#This Row],[prop_id]],ckCodingTable[[#This Row],[email]])</f>
        <v>Mayank.Goswami@qc.cuny.edu</v>
      </c>
      <c r="P27">
        <f xml:space="preserve"> P26+(ckCodingTable[ILN]&lt;"M")</f>
        <v>26</v>
      </c>
      <c r="Q27" t="s">
        <v>102</v>
      </c>
      <c r="R27" t="s">
        <v>532</v>
      </c>
      <c r="S27" s="15" t="str">
        <f>HYPERLINK("https://www.ejacket.nsf.gov/ej/showProposal.do?ID="&amp;ckCodingTable[[#This Row],[prop_id]],"eJ")</f>
        <v>eJ</v>
      </c>
      <c r="T27" t="s">
        <v>532</v>
      </c>
      <c r="U27" t="s">
        <v>717</v>
      </c>
      <c r="V27" t="s">
        <v>718</v>
      </c>
      <c r="W27" s="33">
        <v>43344</v>
      </c>
      <c r="X27">
        <v>24</v>
      </c>
      <c r="Y27">
        <v>3</v>
      </c>
      <c r="Z27">
        <v>1</v>
      </c>
      <c r="AA27" t="s">
        <v>722</v>
      </c>
      <c r="AB27" s="8"/>
      <c r="AC27">
        <v>0</v>
      </c>
      <c r="AD27">
        <v>0</v>
      </c>
      <c r="AE27">
        <v>0</v>
      </c>
      <c r="AF27">
        <v>0</v>
      </c>
      <c r="AG27" t="s">
        <v>194</v>
      </c>
      <c r="AH27" t="s">
        <v>193</v>
      </c>
      <c r="AI27" t="s">
        <v>191</v>
      </c>
      <c r="AJ27" t="s">
        <v>245</v>
      </c>
      <c r="AK27" t="s">
        <v>719</v>
      </c>
      <c r="AL27" t="s">
        <v>720</v>
      </c>
      <c r="AM27" t="s">
        <v>707</v>
      </c>
      <c r="AN27">
        <v>1</v>
      </c>
      <c r="AP27">
        <v>1.01</v>
      </c>
      <c r="AQ27" t="s">
        <v>721</v>
      </c>
      <c r="AR27">
        <v>7</v>
      </c>
      <c r="AS27" s="8">
        <v>43031.369444444441</v>
      </c>
      <c r="AT27">
        <v>3</v>
      </c>
      <c r="AY27">
        <v>175000</v>
      </c>
      <c r="AZ27">
        <v>0</v>
      </c>
      <c r="BA27">
        <v>175000</v>
      </c>
      <c r="BC27">
        <v>10000</v>
      </c>
      <c r="BF27">
        <v>2</v>
      </c>
    </row>
    <row r="28" spans="1:70" x14ac:dyDescent="0.4">
      <c r="A28" s="33">
        <v>42956.621527777781</v>
      </c>
      <c r="B28" t="s">
        <v>702</v>
      </c>
      <c r="C28" t="s">
        <v>243</v>
      </c>
      <c r="D28" t="s">
        <v>703</v>
      </c>
      <c r="E28" t="s">
        <v>604</v>
      </c>
      <c r="F28" t="s">
        <v>100</v>
      </c>
      <c r="G28" t="s">
        <v>608</v>
      </c>
      <c r="H28" t="b">
        <f>_xlfn.XOR(IFERROR(MATCH(ckCodingTable[[#This Row],[st_code]],EpscorTable[],0)&gt;0,FALSE),IFERROR(FIND("9150",#REF!)&gt;0,FALSE))</f>
        <v>0</v>
      </c>
      <c r="I28" t="b">
        <f>_xlfn.XOR(ckCodingTable[[#This Row],[WMD]]&lt;&gt;"",IFERROR(FIND("9102",#REF!)&gt;0,FALSE))</f>
        <v>0</v>
      </c>
      <c r="J28" t="str">
        <f t="shared" si="0"/>
        <v/>
      </c>
      <c r="K28" t="s">
        <v>701</v>
      </c>
      <c r="L28" s="24"/>
      <c r="M28" s="42">
        <v>1</v>
      </c>
      <c r="N28" s="42">
        <v>0</v>
      </c>
      <c r="O28" s="15" t="str">
        <f xml:space="preserve"> HYPERLINK("mailto:"&amp;ckCodingTable[[#This Row],[email]]&amp;"&amp;subject=Your NSF Proposal:  "&amp;ckCodingTable[[#This Row],[prop_id]],ckCodingTable[[#This Row],[email]])</f>
        <v>ruoyus@illinois.edu</v>
      </c>
      <c r="P28">
        <f xml:space="preserve"> P27+(ckCodingTable[ILN]&lt;"M")</f>
        <v>27</v>
      </c>
      <c r="Q28" t="s">
        <v>102</v>
      </c>
      <c r="R28" t="s">
        <v>533</v>
      </c>
      <c r="S28" s="15" t="str">
        <f>HYPERLINK("https://www.ejacket.nsf.gov/ej/showProposal.do?ID="&amp;ckCodingTable[[#This Row],[prop_id]],"eJ")</f>
        <v>eJ</v>
      </c>
      <c r="T28" t="s">
        <v>533</v>
      </c>
      <c r="U28" t="s">
        <v>723</v>
      </c>
      <c r="V28" t="s">
        <v>724</v>
      </c>
      <c r="W28" s="33">
        <v>43282</v>
      </c>
      <c r="X28">
        <v>24</v>
      </c>
      <c r="Y28">
        <v>3</v>
      </c>
      <c r="Z28">
        <v>1</v>
      </c>
      <c r="AA28" t="s">
        <v>728</v>
      </c>
      <c r="AB28" s="8"/>
      <c r="AC28">
        <v>0</v>
      </c>
      <c r="AD28">
        <v>0</v>
      </c>
      <c r="AE28">
        <v>0</v>
      </c>
      <c r="AF28">
        <v>0</v>
      </c>
      <c r="AG28" t="s">
        <v>194</v>
      </c>
      <c r="AH28" t="s">
        <v>193</v>
      </c>
      <c r="AI28" t="s">
        <v>191</v>
      </c>
      <c r="AJ28" t="s">
        <v>245</v>
      </c>
      <c r="AK28" t="s">
        <v>607</v>
      </c>
      <c r="AL28" t="s">
        <v>725</v>
      </c>
      <c r="AM28" t="s">
        <v>726</v>
      </c>
      <c r="AN28">
        <v>1</v>
      </c>
      <c r="AP28">
        <v>2.02</v>
      </c>
      <c r="AQ28" t="s">
        <v>727</v>
      </c>
      <c r="AR28">
        <v>6.333333333333333</v>
      </c>
      <c r="AS28" s="8">
        <v>43031.767361111109</v>
      </c>
      <c r="AT28">
        <v>3</v>
      </c>
      <c r="AY28">
        <v>175000</v>
      </c>
      <c r="AZ28">
        <v>0</v>
      </c>
      <c r="BA28">
        <v>175000</v>
      </c>
      <c r="BC28">
        <v>4000</v>
      </c>
      <c r="BF28">
        <v>4</v>
      </c>
    </row>
    <row r="29" spans="1:70" x14ac:dyDescent="0.4">
      <c r="A29" s="33">
        <v>42956.647916666669</v>
      </c>
      <c r="B29" t="s">
        <v>702</v>
      </c>
      <c r="C29" t="s">
        <v>243</v>
      </c>
      <c r="D29" t="s">
        <v>703</v>
      </c>
      <c r="E29" t="s">
        <v>559</v>
      </c>
      <c r="F29" t="s">
        <v>100</v>
      </c>
      <c r="G29" t="s">
        <v>126</v>
      </c>
      <c r="H29" t="b">
        <f>_xlfn.XOR(IFERROR(MATCH(ckCodingTable[[#This Row],[st_code]],EpscorTable[],0)&gt;0,FALSE),IFERROR(FIND("9150",#REF!)&gt;0,FALSE))</f>
        <v>1</v>
      </c>
      <c r="I29" t="b">
        <f>_xlfn.XOR(ckCodingTable[[#This Row],[WMD]]&lt;&gt;"",IFERROR(FIND("9102",#REF!)&gt;0,FALSE))</f>
        <v>0</v>
      </c>
      <c r="J29" t="str">
        <f t="shared" si="0"/>
        <v/>
      </c>
      <c r="K29" t="s">
        <v>701</v>
      </c>
      <c r="L29" s="24"/>
      <c r="M29" s="42">
        <v>1</v>
      </c>
      <c r="N29" s="42">
        <v>0</v>
      </c>
      <c r="O29" s="15" t="str">
        <f xml:space="preserve"> HYPERLINK("mailto:"&amp;ckCodingTable[[#This Row],[email]]&amp;"&amp;subject=Your NSF Proposal:  "&amp;ckCodingTable[[#This Row],[prop_id]],ckCodingTable[[#This Row],[email]])</f>
        <v>osan@okstate.edu</v>
      </c>
      <c r="P29">
        <f xml:space="preserve"> P28+(ckCodingTable[ILN]&lt;"M")</f>
        <v>28</v>
      </c>
      <c r="Q29" t="s">
        <v>102</v>
      </c>
      <c r="R29" t="s">
        <v>534</v>
      </c>
      <c r="S29" s="15" t="str">
        <f>HYPERLINK("https://www.ejacket.nsf.gov/ej/showProposal.do?ID="&amp;ckCodingTable[[#This Row],[prop_id]],"eJ")</f>
        <v>eJ</v>
      </c>
      <c r="T29" t="s">
        <v>534</v>
      </c>
      <c r="U29" t="s">
        <v>729</v>
      </c>
      <c r="V29" t="s">
        <v>730</v>
      </c>
      <c r="W29" s="33">
        <v>43252</v>
      </c>
      <c r="X29">
        <v>24</v>
      </c>
      <c r="Y29">
        <v>3</v>
      </c>
      <c r="Z29">
        <v>1</v>
      </c>
      <c r="AA29" t="s">
        <v>735</v>
      </c>
      <c r="AB29" s="8"/>
      <c r="AC29">
        <v>0</v>
      </c>
      <c r="AD29">
        <v>0</v>
      </c>
      <c r="AE29">
        <v>0</v>
      </c>
      <c r="AF29">
        <v>0</v>
      </c>
      <c r="AG29" t="s">
        <v>194</v>
      </c>
      <c r="AH29" t="s">
        <v>193</v>
      </c>
      <c r="AI29" t="s">
        <v>191</v>
      </c>
      <c r="AJ29" t="s">
        <v>245</v>
      </c>
      <c r="AK29" t="s">
        <v>731</v>
      </c>
      <c r="AL29" t="s">
        <v>732</v>
      </c>
      <c r="AM29" t="s">
        <v>733</v>
      </c>
      <c r="AN29">
        <v>1</v>
      </c>
      <c r="AP29">
        <v>4.05</v>
      </c>
      <c r="AQ29" t="s">
        <v>734</v>
      </c>
      <c r="AR29">
        <v>5.333333333333333</v>
      </c>
      <c r="AS29" s="8">
        <v>43031.741666666669</v>
      </c>
      <c r="AT29">
        <v>3</v>
      </c>
      <c r="AY29">
        <v>170144</v>
      </c>
      <c r="AZ29">
        <v>0</v>
      </c>
      <c r="BA29">
        <v>170144</v>
      </c>
      <c r="BF29">
        <v>4</v>
      </c>
    </row>
    <row r="30" spans="1:70" x14ac:dyDescent="0.4">
      <c r="A30" s="33">
        <v>42956.697222222225</v>
      </c>
      <c r="B30" t="s">
        <v>702</v>
      </c>
      <c r="C30" t="s">
        <v>243</v>
      </c>
      <c r="D30" t="s">
        <v>703</v>
      </c>
      <c r="E30" t="s">
        <v>559</v>
      </c>
      <c r="F30" t="s">
        <v>100</v>
      </c>
      <c r="G30" t="s">
        <v>667</v>
      </c>
      <c r="H30" t="b">
        <f>_xlfn.XOR(IFERROR(MATCH(ckCodingTable[[#This Row],[st_code]],EpscorTable[],0)&gt;0,FALSE),IFERROR(FIND("9150",#REF!)&gt;0,FALSE))</f>
        <v>0</v>
      </c>
      <c r="I30" t="b">
        <f>_xlfn.XOR(ckCodingTable[[#This Row],[WMD]]&lt;&gt;"",IFERROR(FIND("9102",#REF!)&gt;0,FALSE))</f>
        <v>1</v>
      </c>
      <c r="J30" t="str">
        <f t="shared" si="0"/>
        <v>WMD</v>
      </c>
      <c r="K30" t="s">
        <v>701</v>
      </c>
      <c r="L30" s="24"/>
      <c r="M30" s="42">
        <v>1</v>
      </c>
      <c r="N30" s="42">
        <v>0</v>
      </c>
      <c r="O30" s="15" t="str">
        <f xml:space="preserve"> HYPERLINK("mailto:"&amp;ckCodingTable[[#This Row],[email]]&amp;"&amp;subject=Your NSF Proposal:  "&amp;ckCodingTable[[#This Row],[prop_id]],ckCodingTable[[#This Row],[email]])</f>
        <v>shima.hm@tamu.edu</v>
      </c>
      <c r="P30">
        <f xml:space="preserve"> P29+(ckCodingTable[ILN]&lt;"M")</f>
        <v>29</v>
      </c>
      <c r="Q30" t="s">
        <v>102</v>
      </c>
      <c r="R30" t="s">
        <v>535</v>
      </c>
      <c r="S30" s="15" t="str">
        <f>HYPERLINK("https://www.ejacket.nsf.gov/ej/showProposal.do?ID="&amp;ckCodingTable[[#This Row],[prop_id]],"eJ")</f>
        <v>eJ</v>
      </c>
      <c r="T30" t="s">
        <v>535</v>
      </c>
      <c r="U30" t="s">
        <v>736</v>
      </c>
      <c r="V30" t="s">
        <v>737</v>
      </c>
      <c r="W30" s="33">
        <v>43252</v>
      </c>
      <c r="X30">
        <v>24</v>
      </c>
      <c r="Y30">
        <v>3</v>
      </c>
      <c r="Z30">
        <v>1</v>
      </c>
      <c r="AA30" t="s">
        <v>741</v>
      </c>
      <c r="AB30" s="8"/>
      <c r="AC30">
        <v>2</v>
      </c>
      <c r="AD30">
        <v>0</v>
      </c>
      <c r="AE30">
        <v>0</v>
      </c>
      <c r="AF30">
        <v>0</v>
      </c>
      <c r="AG30" t="s">
        <v>194</v>
      </c>
      <c r="AH30" t="s">
        <v>193</v>
      </c>
      <c r="AI30" t="s">
        <v>191</v>
      </c>
      <c r="AJ30" t="s">
        <v>245</v>
      </c>
      <c r="AK30" t="s">
        <v>738</v>
      </c>
      <c r="AL30" t="s">
        <v>739</v>
      </c>
      <c r="AM30" t="s">
        <v>726</v>
      </c>
      <c r="AN30">
        <v>1</v>
      </c>
      <c r="AP30">
        <v>4.05</v>
      </c>
      <c r="AQ30" t="s">
        <v>740</v>
      </c>
      <c r="AR30">
        <v>5.333333333333333</v>
      </c>
      <c r="AS30" s="8">
        <v>43032.675694444442</v>
      </c>
      <c r="AT30">
        <v>3</v>
      </c>
      <c r="AY30">
        <v>175000</v>
      </c>
      <c r="AZ30">
        <v>0</v>
      </c>
      <c r="BA30">
        <v>175000</v>
      </c>
      <c r="BF30">
        <v>4</v>
      </c>
    </row>
    <row r="31" spans="1:70" x14ac:dyDescent="0.4">
      <c r="A31" s="33">
        <v>42956.717361111114</v>
      </c>
      <c r="B31" t="s">
        <v>702</v>
      </c>
      <c r="C31" t="s">
        <v>243</v>
      </c>
      <c r="D31" t="s">
        <v>703</v>
      </c>
      <c r="E31" t="s">
        <v>559</v>
      </c>
      <c r="F31" t="s">
        <v>100</v>
      </c>
      <c r="G31" t="s">
        <v>667</v>
      </c>
      <c r="H31" t="b">
        <f>_xlfn.XOR(IFERROR(MATCH(ckCodingTable[[#This Row],[st_code]],EpscorTable[],0)&gt;0,FALSE),IFERROR(FIND("9150",#REF!)&gt;0,FALSE))</f>
        <v>0</v>
      </c>
      <c r="I31" t="b">
        <f>_xlfn.XOR(ckCodingTable[[#This Row],[WMD]]&lt;&gt;"",IFERROR(FIND("9102",#REF!)&gt;0,FALSE))</f>
        <v>0</v>
      </c>
      <c r="J31" t="str">
        <f t="shared" si="0"/>
        <v/>
      </c>
      <c r="K31" t="s">
        <v>701</v>
      </c>
      <c r="L31" s="24"/>
      <c r="M31" s="42">
        <v>1</v>
      </c>
      <c r="N31" s="42">
        <v>0</v>
      </c>
      <c r="O31" s="15" t="str">
        <f xml:space="preserve"> HYPERLINK("mailto:"&amp;ckCodingTable[[#This Row],[email]]&amp;"&amp;subject=Your NSF Proposal:  "&amp;ckCodingTable[[#This Row],[prop_id]],ckCodingTable[[#This Row],[email]])</f>
        <v>harsha@smu.edu</v>
      </c>
      <c r="P31">
        <f xml:space="preserve"> P30+(ckCodingTable[ILN]&lt;"M")</f>
        <v>30</v>
      </c>
      <c r="Q31" t="s">
        <v>102</v>
      </c>
      <c r="R31" t="s">
        <v>536</v>
      </c>
      <c r="S31" s="15" t="str">
        <f>HYPERLINK("https://www.ejacket.nsf.gov/ej/showProposal.do?ID="&amp;ckCodingTable[[#This Row],[prop_id]],"eJ")</f>
        <v>eJ</v>
      </c>
      <c r="T31" t="s">
        <v>536</v>
      </c>
      <c r="U31" t="s">
        <v>742</v>
      </c>
      <c r="V31" t="s">
        <v>743</v>
      </c>
      <c r="W31" s="33">
        <v>43101</v>
      </c>
      <c r="X31">
        <v>24</v>
      </c>
      <c r="Y31">
        <v>3</v>
      </c>
      <c r="Z31">
        <v>1</v>
      </c>
      <c r="AA31" t="s">
        <v>747</v>
      </c>
      <c r="AB31" s="8"/>
      <c r="AC31">
        <v>0</v>
      </c>
      <c r="AD31">
        <v>0</v>
      </c>
      <c r="AE31">
        <v>0</v>
      </c>
      <c r="AF31">
        <v>0</v>
      </c>
      <c r="AG31" t="s">
        <v>194</v>
      </c>
      <c r="AH31" t="s">
        <v>193</v>
      </c>
      <c r="AI31" t="s">
        <v>191</v>
      </c>
      <c r="AJ31" t="s">
        <v>245</v>
      </c>
      <c r="AK31" t="s">
        <v>744</v>
      </c>
      <c r="AL31" t="s">
        <v>745</v>
      </c>
      <c r="AM31" t="s">
        <v>503</v>
      </c>
      <c r="AN31">
        <v>1</v>
      </c>
      <c r="AP31">
        <v>4.05</v>
      </c>
      <c r="AQ31" t="s">
        <v>746</v>
      </c>
      <c r="AR31">
        <v>4.666666666666667</v>
      </c>
      <c r="AS31" s="8">
        <v>43031.75</v>
      </c>
      <c r="AT31">
        <v>3</v>
      </c>
      <c r="AY31">
        <v>175000</v>
      </c>
      <c r="AZ31">
        <v>0</v>
      </c>
      <c r="BA31">
        <v>175000</v>
      </c>
      <c r="BF31">
        <v>4</v>
      </c>
    </row>
    <row r="32" spans="1:70" x14ac:dyDescent="0.4">
      <c r="A32" s="33">
        <v>42956.746527777781</v>
      </c>
      <c r="B32" t="s">
        <v>702</v>
      </c>
      <c r="C32" t="s">
        <v>243</v>
      </c>
      <c r="D32" t="s">
        <v>703</v>
      </c>
      <c r="E32" t="s">
        <v>575</v>
      </c>
      <c r="F32" t="s">
        <v>100</v>
      </c>
      <c r="G32" t="s">
        <v>667</v>
      </c>
      <c r="H32" t="b">
        <f>_xlfn.XOR(IFERROR(MATCH(ckCodingTable[[#This Row],[st_code]],EpscorTable[],0)&gt;0,FALSE),IFERROR(FIND("9150",#REF!)&gt;0,FALSE))</f>
        <v>0</v>
      </c>
      <c r="I32" t="b">
        <f>_xlfn.XOR(ckCodingTable[[#This Row],[WMD]]&lt;&gt;"",IFERROR(FIND("9102",#REF!)&gt;0,FALSE))</f>
        <v>0</v>
      </c>
      <c r="J32" t="str">
        <f t="shared" si="0"/>
        <v/>
      </c>
      <c r="K32" t="s">
        <v>701</v>
      </c>
      <c r="L32" s="24"/>
      <c r="M32" s="42">
        <v>1</v>
      </c>
      <c r="N32" s="42">
        <v>0</v>
      </c>
      <c r="O32" s="15" t="str">
        <f xml:space="preserve"> HYPERLINK("mailto:"&amp;ckCodingTable[[#This Row],[email]]&amp;"&amp;subject=Your NSF Proposal:  "&amp;ckCodingTable[[#This Row],[prop_id]],ckCodingTable[[#This Row],[email]])</f>
        <v>lchen49@central.uh.edu</v>
      </c>
      <c r="P32">
        <f xml:space="preserve"> P31+(ckCodingTable[ILN]&lt;"M")</f>
        <v>31</v>
      </c>
      <c r="Q32" t="s">
        <v>102</v>
      </c>
      <c r="R32" t="s">
        <v>537</v>
      </c>
      <c r="S32" s="15" t="str">
        <f>HYPERLINK("https://www.ejacket.nsf.gov/ej/showProposal.do?ID="&amp;ckCodingTable[[#This Row],[prop_id]],"eJ")</f>
        <v>eJ</v>
      </c>
      <c r="T32" t="s">
        <v>537</v>
      </c>
      <c r="U32" t="s">
        <v>289</v>
      </c>
      <c r="V32" t="s">
        <v>748</v>
      </c>
      <c r="W32" s="33">
        <v>43252</v>
      </c>
      <c r="X32">
        <v>24</v>
      </c>
      <c r="Y32">
        <v>3</v>
      </c>
      <c r="Z32">
        <v>1</v>
      </c>
      <c r="AA32" t="s">
        <v>752</v>
      </c>
      <c r="AB32" s="8"/>
      <c r="AC32">
        <v>0</v>
      </c>
      <c r="AD32">
        <v>0</v>
      </c>
      <c r="AE32">
        <v>0</v>
      </c>
      <c r="AF32">
        <v>0</v>
      </c>
      <c r="AG32" t="s">
        <v>194</v>
      </c>
      <c r="AH32" t="s">
        <v>193</v>
      </c>
      <c r="AI32" t="s">
        <v>191</v>
      </c>
      <c r="AJ32" t="s">
        <v>245</v>
      </c>
      <c r="AK32" t="s">
        <v>749</v>
      </c>
      <c r="AL32" t="s">
        <v>750</v>
      </c>
      <c r="AM32" t="s">
        <v>707</v>
      </c>
      <c r="AN32">
        <v>1</v>
      </c>
      <c r="AP32">
        <v>2.0299999999999998</v>
      </c>
      <c r="AQ32" t="s">
        <v>751</v>
      </c>
      <c r="AR32">
        <v>6</v>
      </c>
      <c r="AS32" s="8">
        <v>43031.734027777777</v>
      </c>
      <c r="AT32">
        <v>3</v>
      </c>
      <c r="AY32">
        <v>148477</v>
      </c>
      <c r="AZ32">
        <v>0</v>
      </c>
      <c r="BA32">
        <v>148477</v>
      </c>
      <c r="BC32">
        <v>7000</v>
      </c>
      <c r="BF32">
        <v>3</v>
      </c>
    </row>
  </sheetData>
  <conditionalFormatting sqref="G2:G32">
    <cfRule type="expression" dxfId="156" priority="5">
      <formula>$H2</formula>
    </cfRule>
  </conditionalFormatting>
  <conditionalFormatting sqref="J2:J32">
    <cfRule type="expression" dxfId="155" priority="4">
      <formula>$I2</formula>
    </cfRule>
  </conditionalFormatting>
  <conditionalFormatting sqref="M2:N32">
    <cfRule type="expression" dxfId="154" priority="1">
      <formula>$M2+$N2&lt;&gt;1</formula>
    </cfRule>
  </conditionalFormatting>
  <conditionalFormatting sqref="A2:BJ32">
    <cfRule type="expression" dxfId="153" priority="947">
      <formula>MOD($P2,2)</formula>
    </cfRule>
  </conditionalFormatting>
  <conditionalFormatting sqref="Y2:Y32">
    <cfRule type="expression" dxfId="152" priority="959">
      <formula>$Y2&lt;#REF!+3</formula>
    </cfRule>
  </conditionalFormatting>
  <conditionalFormatting sqref="Z2:Z32">
    <cfRule type="expression" dxfId="151" priority="971">
      <formula>AND($Q2="N", Z2&lt;&gt;BK1048532)</formula>
    </cfRule>
  </conditionalFormatting>
  <conditionalFormatting sqref="AA2:AA32">
    <cfRule type="expression" dxfId="150" priority="999">
      <formula>AND($Q2="N", AA2&lt;&gt;BP1048532)</formula>
    </cfRule>
  </conditionalFormatting>
  <conditionalFormatting sqref="W17:AA17 B2:F32">
    <cfRule type="expression" dxfId="149" priority="1004">
      <formula>AND($Q2="N", B2&lt;&gt;B1048547)</formula>
    </cfRule>
  </conditionalFormatting>
  <conditionalFormatting sqref="W2:Y32">
    <cfRule type="expression" dxfId="148" priority="1011">
      <formula>AND($Q2="N", W2&lt;&gt;AB1048547)</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Blocks">
    <tabColor theme="6" tint="-0.249977111117893"/>
    <pageSetUpPr fitToPage="1"/>
  </sheetPr>
  <dimension ref="A1:Z99"/>
  <sheetViews>
    <sheetView tabSelected="1" topLeftCell="C1" workbookViewId="0">
      <selection activeCell="I9" sqref="I9"/>
    </sheetView>
  </sheetViews>
  <sheetFormatPr defaultRowHeight="14.6" x14ac:dyDescent="0.4"/>
  <cols>
    <col min="1" max="1" width="6.3828125" style="6" hidden="1" customWidth="1"/>
    <col min="2" max="2" width="2.15234375" hidden="1" customWidth="1"/>
    <col min="3" max="3" width="9.3046875" customWidth="1"/>
    <col min="4" max="4" width="11.84375" customWidth="1"/>
    <col min="5" max="5" width="9" style="33" customWidth="1"/>
    <col min="6" max="6" width="5.84375" customWidth="1"/>
    <col min="7" max="7" width="10" customWidth="1"/>
    <col min="8" max="8" width="8.69140625" customWidth="1"/>
    <col min="9" max="9" width="9" customWidth="1"/>
    <col min="10" max="10" width="5.15234375" customWidth="1"/>
    <col min="11" max="11" width="9.15234375" customWidth="1"/>
    <col min="12" max="12" width="14.53515625" customWidth="1"/>
    <col min="13" max="13" width="2.3828125" customWidth="1"/>
    <col min="14" max="14" width="3.3828125" customWidth="1"/>
    <col min="15" max="15" width="3.53515625" customWidth="1"/>
    <col min="16" max="16" width="10.3046875" customWidth="1"/>
    <col min="17" max="17" width="9.84375" customWidth="1"/>
    <col min="18" max="18" width="10.3046875" customWidth="1"/>
    <col min="19" max="19" width="12.53515625" style="6" customWidth="1"/>
    <col min="20" max="20" width="3" customWidth="1"/>
    <col min="21" max="21" width="3.53515625" customWidth="1"/>
    <col min="22" max="22" width="9.15234375" customWidth="1"/>
    <col min="23" max="23" width="12.53515625" customWidth="1"/>
    <col min="24" max="24" width="11" customWidth="1"/>
    <col min="25" max="25" width="6.53515625" customWidth="1"/>
    <col min="26" max="26" width="16.53515625" customWidth="1"/>
  </cols>
  <sheetData>
    <row r="1" spans="1:26" x14ac:dyDescent="0.4">
      <c r="A1" s="6" t="s">
        <v>141</v>
      </c>
      <c r="L1" s="3"/>
    </row>
    <row r="2" spans="1:26" x14ac:dyDescent="0.4">
      <c r="D2" s="21" t="s">
        <v>16</v>
      </c>
      <c r="G2" s="4" t="s">
        <v>137</v>
      </c>
      <c r="H2" s="12" t="str">
        <f>LOWER($G$4)</f>
        <v>abanerj</v>
      </c>
      <c r="I2" s="4" t="s">
        <v>15</v>
      </c>
      <c r="J2">
        <f ca="1">YEAR(NOW())+(MONTH(NOW())&gt;9)-2000</f>
        <v>18</v>
      </c>
      <c r="L2" s="4"/>
      <c r="M2" s="33"/>
      <c r="N2" s="21" t="s">
        <v>138</v>
      </c>
      <c r="O2" s="33"/>
      <c r="P2" s="33"/>
      <c r="S2" s="22" t="s">
        <v>139</v>
      </c>
      <c r="V2" s="22" t="s">
        <v>140</v>
      </c>
    </row>
    <row r="3" spans="1:26" x14ac:dyDescent="0.4">
      <c r="A3" s="6" t="s">
        <v>0</v>
      </c>
      <c r="B3" t="s">
        <v>89</v>
      </c>
      <c r="C3" s="33" t="s">
        <v>7</v>
      </c>
      <c r="D3" t="s">
        <v>8</v>
      </c>
      <c r="E3" t="s">
        <v>5</v>
      </c>
      <c r="F3" t="s">
        <v>4</v>
      </c>
      <c r="G3" t="s">
        <v>1109</v>
      </c>
      <c r="H3" t="s">
        <v>9</v>
      </c>
      <c r="I3" t="s">
        <v>1</v>
      </c>
      <c r="J3" t="s">
        <v>2</v>
      </c>
      <c r="K3" t="s">
        <v>10</v>
      </c>
      <c r="L3" t="s">
        <v>11</v>
      </c>
      <c r="M3" t="s">
        <v>12</v>
      </c>
      <c r="N3" t="s">
        <v>1110</v>
      </c>
      <c r="O3" t="s">
        <v>1111</v>
      </c>
      <c r="P3" t="s">
        <v>1112</v>
      </c>
      <c r="Q3" t="s">
        <v>1113</v>
      </c>
      <c r="R3" t="s">
        <v>1114</v>
      </c>
      <c r="S3" s="6" t="s">
        <v>1115</v>
      </c>
      <c r="T3" t="s">
        <v>1116</v>
      </c>
      <c r="U3" t="s">
        <v>1117</v>
      </c>
      <c r="V3" t="s">
        <v>6</v>
      </c>
      <c r="W3" t="s">
        <v>1118</v>
      </c>
      <c r="X3" t="s">
        <v>1119</v>
      </c>
      <c r="Y3" t="s">
        <v>1120</v>
      </c>
      <c r="Z3" t="s">
        <v>13</v>
      </c>
    </row>
    <row r="4" spans="1:26" x14ac:dyDescent="0.4">
      <c r="A4" s="10" t="s">
        <v>315</v>
      </c>
      <c r="B4" s="85" t="s">
        <v>102</v>
      </c>
      <c r="C4" s="86">
        <v>42933.697916666664</v>
      </c>
      <c r="D4" s="87" t="s">
        <v>279</v>
      </c>
      <c r="E4" s="87" t="s">
        <v>243</v>
      </c>
      <c r="F4" s="87" t="s">
        <v>313</v>
      </c>
      <c r="G4" s="87" t="s">
        <v>314</v>
      </c>
      <c r="H4" s="87" t="s">
        <v>315</v>
      </c>
      <c r="I4" s="7" t="str">
        <f>IF(RAdata6[[#This Row],[pi_last_name]]=" ","",HYPERLINK("https://www.ejacket.nsf.gov/ej/showProposal.do?Continue=Y&amp;ID="&amp;RAdata6[[#This Row],[prop_id]],RAdata6[[#This Row],[prop_id]]))</f>
        <v>1749539</v>
      </c>
      <c r="J4" s="7" t="str">
        <f>IF(RAdata6[[#This Row],[pi_last_name]]=" ","",HYPERLINK("https://www.ejacket.nsf.gov/ej/processReviewAnalysis.do?dispatch=add&amp;uniqId="&amp;RAdata6[[#This Row],[prop_id]]&amp;pm_ibm_logn_id,"&gt;ra"))</f>
        <v>&gt;ra</v>
      </c>
      <c r="K4" s="87" t="s">
        <v>316</v>
      </c>
      <c r="L4" s="87" t="s">
        <v>241</v>
      </c>
      <c r="M4" s="87" t="s">
        <v>317</v>
      </c>
      <c r="N4" s="87"/>
      <c r="O4" s="87"/>
      <c r="P4" s="88"/>
      <c r="Q4" s="88"/>
      <c r="R4" s="88"/>
      <c r="S4" s="89"/>
      <c r="T4" s="87">
        <v>0</v>
      </c>
      <c r="U4" s="87"/>
      <c r="V4" s="11" t="str">
        <f ca="1">IF(ISBLANK(RAdata6[[#This Row],[budg_seq_yr]]),"FY"&amp;fiscalyear,"FY"&amp;fiscalyear-1+RAdata6[[#This Row],[budg_seq_yr]])</f>
        <v>FY18</v>
      </c>
      <c r="W4" s="88">
        <v>561136</v>
      </c>
      <c r="X4" s="87" t="s">
        <v>243</v>
      </c>
      <c r="Y4" s="87" t="s">
        <v>313</v>
      </c>
      <c r="Z4" s="87" t="s">
        <v>288</v>
      </c>
    </row>
    <row r="5" spans="1:26" x14ac:dyDescent="0.4">
      <c r="A5" s="10" t="s">
        <v>315</v>
      </c>
      <c r="B5" s="85" t="s">
        <v>102</v>
      </c>
      <c r="C5" s="86">
        <v>42933.697916666664</v>
      </c>
      <c r="D5" s="87" t="s">
        <v>279</v>
      </c>
      <c r="E5" s="87" t="s">
        <v>243</v>
      </c>
      <c r="F5" s="87" t="s">
        <v>313</v>
      </c>
      <c r="G5" s="87" t="s">
        <v>314</v>
      </c>
      <c r="H5" s="87" t="s">
        <v>315</v>
      </c>
      <c r="I5" s="7" t="str">
        <f>IF(RAdata6[[#This Row],[pi_last_name]]=" ","",HYPERLINK("https://www.ejacket.nsf.gov/ej/showProposal.do?Continue=Y&amp;ID="&amp;RAdata6[[#This Row],[prop_id]],RAdata6[[#This Row],[prop_id]]))</f>
        <v/>
      </c>
      <c r="J5" s="7" t="str">
        <f>IF(RAdata6[[#This Row],[pi_last_name]]=" ","",HYPERLINK("https://www.ejacket.nsf.gov/ej/processReviewAnalysis.do?dispatch=add&amp;uniqId="&amp;RAdata6[[#This Row],[prop_id]]&amp;pm_ibm_logn_id,"&gt;ra"))</f>
        <v/>
      </c>
      <c r="K5" s="87" t="s">
        <v>14</v>
      </c>
      <c r="L5" s="87" t="s">
        <v>14</v>
      </c>
      <c r="M5" s="87" t="s">
        <v>14</v>
      </c>
      <c r="N5" s="87">
        <v>1</v>
      </c>
      <c r="O5" s="87">
        <v>0.5</v>
      </c>
      <c r="P5" s="88">
        <v>0</v>
      </c>
      <c r="Q5" s="88">
        <v>4000</v>
      </c>
      <c r="R5" s="88">
        <v>0</v>
      </c>
      <c r="S5" s="89">
        <v>108189</v>
      </c>
      <c r="T5" s="87">
        <v>0</v>
      </c>
      <c r="U5" s="87">
        <v>1</v>
      </c>
      <c r="V5" s="11" t="str">
        <f ca="1">IF(ISBLANK(RAdata6[[#This Row],[budg_seq_yr]]),"FY"&amp;fiscalyear,"FY"&amp;fiscalyear-1+RAdata6[[#This Row],[budg_seq_yr]])</f>
        <v>FY18</v>
      </c>
      <c r="W5" s="88">
        <v>108189</v>
      </c>
      <c r="X5" s="87" t="s">
        <v>243</v>
      </c>
      <c r="Y5" s="87" t="s">
        <v>313</v>
      </c>
      <c r="Z5" s="87" t="s">
        <v>288</v>
      </c>
    </row>
    <row r="6" spans="1:26" x14ac:dyDescent="0.4">
      <c r="A6" s="10" t="s">
        <v>315</v>
      </c>
      <c r="B6" s="85" t="s">
        <v>102</v>
      </c>
      <c r="C6" s="86">
        <v>42933.697916666664</v>
      </c>
      <c r="D6" s="87" t="s">
        <v>279</v>
      </c>
      <c r="E6" s="87" t="s">
        <v>243</v>
      </c>
      <c r="F6" s="87" t="s">
        <v>313</v>
      </c>
      <c r="G6" s="87" t="s">
        <v>314</v>
      </c>
      <c r="H6" s="87" t="s">
        <v>315</v>
      </c>
      <c r="I6" s="7" t="str">
        <f>IF(RAdata6[[#This Row],[pi_last_name]]=" ","",HYPERLINK("https://www.ejacket.nsf.gov/ej/showProposal.do?Continue=Y&amp;ID="&amp;RAdata6[[#This Row],[prop_id]],RAdata6[[#This Row],[prop_id]]))</f>
        <v/>
      </c>
      <c r="J6" s="7" t="str">
        <f>IF(RAdata6[[#This Row],[pi_last_name]]=" ","",HYPERLINK("https://www.ejacket.nsf.gov/ej/processReviewAnalysis.do?dispatch=add&amp;uniqId="&amp;RAdata6[[#This Row],[prop_id]]&amp;pm_ibm_logn_id,"&gt;ra"))</f>
        <v/>
      </c>
      <c r="K6" s="87" t="s">
        <v>14</v>
      </c>
      <c r="L6" s="87" t="s">
        <v>14</v>
      </c>
      <c r="M6" s="87" t="s">
        <v>14</v>
      </c>
      <c r="N6" s="87">
        <v>1</v>
      </c>
      <c r="O6" s="87">
        <v>1</v>
      </c>
      <c r="P6" s="88">
        <v>0</v>
      </c>
      <c r="Q6" s="88">
        <v>4000</v>
      </c>
      <c r="R6" s="88">
        <v>0</v>
      </c>
      <c r="S6" s="89">
        <v>113309</v>
      </c>
      <c r="T6" s="87">
        <v>0</v>
      </c>
      <c r="U6" s="87">
        <v>2</v>
      </c>
      <c r="V6" s="11" t="str">
        <f ca="1">IF(ISBLANK(RAdata6[[#This Row],[budg_seq_yr]]),"FY"&amp;fiscalyear,"FY"&amp;fiscalyear-1+RAdata6[[#This Row],[budg_seq_yr]])</f>
        <v>FY19</v>
      </c>
      <c r="W6" s="88">
        <v>113309</v>
      </c>
      <c r="X6" s="87" t="s">
        <v>243</v>
      </c>
      <c r="Y6" s="87" t="s">
        <v>313</v>
      </c>
      <c r="Z6" s="87" t="s">
        <v>288</v>
      </c>
    </row>
    <row r="7" spans="1:26" x14ac:dyDescent="0.4">
      <c r="A7" s="10" t="s">
        <v>315</v>
      </c>
      <c r="B7" s="85" t="s">
        <v>102</v>
      </c>
      <c r="C7" s="86">
        <v>42933.697916666664</v>
      </c>
      <c r="D7" s="87" t="s">
        <v>279</v>
      </c>
      <c r="E7" s="87" t="s">
        <v>243</v>
      </c>
      <c r="F7" s="87" t="s">
        <v>313</v>
      </c>
      <c r="G7" s="87" t="s">
        <v>314</v>
      </c>
      <c r="H7" s="87" t="s">
        <v>315</v>
      </c>
      <c r="I7" s="7" t="str">
        <f>IF(RAdata6[[#This Row],[pi_last_name]]=" ","",HYPERLINK("https://www.ejacket.nsf.gov/ej/showProposal.do?Continue=Y&amp;ID="&amp;RAdata6[[#This Row],[prop_id]],RAdata6[[#This Row],[prop_id]]))</f>
        <v/>
      </c>
      <c r="J7" s="7" t="str">
        <f>IF(RAdata6[[#This Row],[pi_last_name]]=" ","",HYPERLINK("https://www.ejacket.nsf.gov/ej/processReviewAnalysis.do?dispatch=add&amp;uniqId="&amp;RAdata6[[#This Row],[prop_id]]&amp;pm_ibm_logn_id,"&gt;ra"))</f>
        <v/>
      </c>
      <c r="K7" s="87" t="s">
        <v>14</v>
      </c>
      <c r="L7" s="87" t="s">
        <v>14</v>
      </c>
      <c r="M7" s="87" t="s">
        <v>14</v>
      </c>
      <c r="N7" s="87">
        <v>1</v>
      </c>
      <c r="O7" s="87">
        <v>2</v>
      </c>
      <c r="P7" s="88">
        <v>0</v>
      </c>
      <c r="Q7" s="88">
        <v>4000</v>
      </c>
      <c r="R7" s="88">
        <v>0</v>
      </c>
      <c r="S7" s="89">
        <v>122389</v>
      </c>
      <c r="T7" s="87">
        <v>0</v>
      </c>
      <c r="U7" s="87">
        <v>3</v>
      </c>
      <c r="V7" s="11" t="str">
        <f ca="1">IF(ISBLANK(RAdata6[[#This Row],[budg_seq_yr]]),"FY"&amp;fiscalyear,"FY"&amp;fiscalyear-1+RAdata6[[#This Row],[budg_seq_yr]])</f>
        <v>FY20</v>
      </c>
      <c r="W7" s="88">
        <v>122389</v>
      </c>
      <c r="X7" s="87" t="s">
        <v>243</v>
      </c>
      <c r="Y7" s="87" t="s">
        <v>313</v>
      </c>
      <c r="Z7" s="87" t="s">
        <v>288</v>
      </c>
    </row>
    <row r="8" spans="1:26" x14ac:dyDescent="0.4">
      <c r="A8" s="10" t="s">
        <v>315</v>
      </c>
      <c r="B8" s="85" t="s">
        <v>102</v>
      </c>
      <c r="C8" s="86">
        <v>42933.697916666664</v>
      </c>
      <c r="D8" s="87" t="s">
        <v>279</v>
      </c>
      <c r="E8" s="87" t="s">
        <v>243</v>
      </c>
      <c r="F8" s="87" t="s">
        <v>313</v>
      </c>
      <c r="G8" s="87" t="s">
        <v>314</v>
      </c>
      <c r="H8" s="87" t="s">
        <v>315</v>
      </c>
      <c r="I8" s="7" t="str">
        <f>IF(RAdata6[[#This Row],[pi_last_name]]=" ","",HYPERLINK("https://www.ejacket.nsf.gov/ej/showProposal.do?Continue=Y&amp;ID="&amp;RAdata6[[#This Row],[prop_id]],RAdata6[[#This Row],[prop_id]]))</f>
        <v/>
      </c>
      <c r="J8" s="7" t="str">
        <f>IF(RAdata6[[#This Row],[pi_last_name]]=" ","",HYPERLINK("https://www.ejacket.nsf.gov/ej/processReviewAnalysis.do?dispatch=add&amp;uniqId="&amp;RAdata6[[#This Row],[prop_id]]&amp;pm_ibm_logn_id,"&gt;ra"))</f>
        <v/>
      </c>
      <c r="K8" s="87" t="s">
        <v>14</v>
      </c>
      <c r="L8" s="87" t="s">
        <v>14</v>
      </c>
      <c r="M8" s="87" t="s">
        <v>14</v>
      </c>
      <c r="N8" s="87">
        <v>1</v>
      </c>
      <c r="O8" s="87">
        <v>1</v>
      </c>
      <c r="P8" s="88">
        <v>0</v>
      </c>
      <c r="Q8" s="88">
        <v>4000</v>
      </c>
      <c r="R8" s="88">
        <v>0</v>
      </c>
      <c r="S8" s="89">
        <v>111723</v>
      </c>
      <c r="T8" s="87">
        <v>0</v>
      </c>
      <c r="U8" s="87">
        <v>4</v>
      </c>
      <c r="V8" s="11" t="str">
        <f ca="1">IF(ISBLANK(RAdata6[[#This Row],[budg_seq_yr]]),"FY"&amp;fiscalyear,"FY"&amp;fiscalyear-1+RAdata6[[#This Row],[budg_seq_yr]])</f>
        <v>FY21</v>
      </c>
      <c r="W8" s="88">
        <v>111723</v>
      </c>
      <c r="X8" s="87" t="s">
        <v>243</v>
      </c>
      <c r="Y8" s="87" t="s">
        <v>313</v>
      </c>
      <c r="Z8" s="87" t="s">
        <v>288</v>
      </c>
    </row>
    <row r="9" spans="1:26" x14ac:dyDescent="0.4">
      <c r="A9" s="10" t="s">
        <v>315</v>
      </c>
      <c r="B9" s="85" t="s">
        <v>102</v>
      </c>
      <c r="C9" s="86">
        <v>42933.697916666664</v>
      </c>
      <c r="D9" s="87" t="s">
        <v>279</v>
      </c>
      <c r="E9" s="87" t="s">
        <v>243</v>
      </c>
      <c r="F9" s="87" t="s">
        <v>313</v>
      </c>
      <c r="G9" s="87" t="s">
        <v>314</v>
      </c>
      <c r="H9" s="87" t="s">
        <v>315</v>
      </c>
      <c r="I9" s="7" t="str">
        <f>IF(RAdata6[[#This Row],[pi_last_name]]=" ","",HYPERLINK("https://www.ejacket.nsf.gov/ej/showProposal.do?Continue=Y&amp;ID="&amp;RAdata6[[#This Row],[prop_id]],RAdata6[[#This Row],[prop_id]]))</f>
        <v/>
      </c>
      <c r="J9" s="7" t="str">
        <f>IF(RAdata6[[#This Row],[pi_last_name]]=" ","",HYPERLINK("https://www.ejacket.nsf.gov/ej/processReviewAnalysis.do?dispatch=add&amp;uniqId="&amp;RAdata6[[#This Row],[prop_id]]&amp;pm_ibm_logn_id,"&gt;ra"))</f>
        <v/>
      </c>
      <c r="K9" s="87" t="s">
        <v>14</v>
      </c>
      <c r="L9" s="87" t="s">
        <v>14</v>
      </c>
      <c r="M9" s="87" t="s">
        <v>14</v>
      </c>
      <c r="N9" s="87">
        <v>1</v>
      </c>
      <c r="O9" s="87">
        <v>1</v>
      </c>
      <c r="P9" s="88">
        <v>0</v>
      </c>
      <c r="Q9" s="88">
        <v>4000</v>
      </c>
      <c r="R9" s="88">
        <v>0</v>
      </c>
      <c r="S9" s="89">
        <v>105526</v>
      </c>
      <c r="T9" s="87">
        <v>0</v>
      </c>
      <c r="U9" s="87">
        <v>5</v>
      </c>
      <c r="V9" s="11" t="str">
        <f ca="1">IF(ISBLANK(RAdata6[[#This Row],[budg_seq_yr]]),"FY"&amp;fiscalyear,"FY"&amp;fiscalyear-1+RAdata6[[#This Row],[budg_seq_yr]])</f>
        <v>FY22</v>
      </c>
      <c r="W9" s="88">
        <v>105526</v>
      </c>
      <c r="X9" s="87" t="s">
        <v>243</v>
      </c>
      <c r="Y9" s="87" t="s">
        <v>313</v>
      </c>
      <c r="Z9" s="87" t="s">
        <v>288</v>
      </c>
    </row>
    <row r="10" spans="1:26" x14ac:dyDescent="0.4">
      <c r="A10" s="10" t="s">
        <v>319</v>
      </c>
      <c r="B10" s="85" t="s">
        <v>102</v>
      </c>
      <c r="C10" s="86">
        <v>42933.719444444447</v>
      </c>
      <c r="D10" s="87" t="s">
        <v>279</v>
      </c>
      <c r="E10" s="87" t="s">
        <v>243</v>
      </c>
      <c r="F10" s="87" t="s">
        <v>313</v>
      </c>
      <c r="G10" s="87" t="s">
        <v>318</v>
      </c>
      <c r="H10" s="87" t="s">
        <v>319</v>
      </c>
      <c r="I10" s="7" t="str">
        <f>IF(RAdata6[[#This Row],[pi_last_name]]=" ","",HYPERLINK("https://www.ejacket.nsf.gov/ej/showProposal.do?Continue=Y&amp;ID="&amp;RAdata6[[#This Row],[prop_id]],RAdata6[[#This Row],[prop_id]]))</f>
        <v>1749570</v>
      </c>
      <c r="J10" s="7" t="str">
        <f>IF(RAdata6[[#This Row],[pi_last_name]]=" ","",HYPERLINK("https://www.ejacket.nsf.gov/ej/processReviewAnalysis.do?dispatch=add&amp;uniqId="&amp;RAdata6[[#This Row],[prop_id]]&amp;pm_ibm_logn_id,"&gt;ra"))</f>
        <v>&gt;ra</v>
      </c>
      <c r="K10" s="87" t="s">
        <v>320</v>
      </c>
      <c r="L10" s="87" t="s">
        <v>281</v>
      </c>
      <c r="M10" s="87" t="s">
        <v>321</v>
      </c>
      <c r="N10" s="87"/>
      <c r="O10" s="87"/>
      <c r="P10" s="88"/>
      <c r="Q10" s="88"/>
      <c r="R10" s="88"/>
      <c r="S10" s="89"/>
      <c r="T10" s="87">
        <v>0</v>
      </c>
      <c r="U10" s="87"/>
      <c r="V10" s="11" t="str">
        <f ca="1">IF(ISBLANK(RAdata6[[#This Row],[budg_seq_yr]]),"FY"&amp;fiscalyear,"FY"&amp;fiscalyear-1+RAdata6[[#This Row],[budg_seq_yr]])</f>
        <v>FY18</v>
      </c>
      <c r="W10" s="88">
        <v>648665</v>
      </c>
      <c r="X10" s="87" t="s">
        <v>243</v>
      </c>
      <c r="Y10" s="87" t="s">
        <v>313</v>
      </c>
      <c r="Z10" s="87" t="s">
        <v>288</v>
      </c>
    </row>
    <row r="11" spans="1:26" x14ac:dyDescent="0.4">
      <c r="A11" s="10" t="s">
        <v>319</v>
      </c>
      <c r="B11" s="85" t="s">
        <v>102</v>
      </c>
      <c r="C11" s="86">
        <v>42933.719444444447</v>
      </c>
      <c r="D11" s="87" t="s">
        <v>279</v>
      </c>
      <c r="E11" s="87" t="s">
        <v>243</v>
      </c>
      <c r="F11" s="87" t="s">
        <v>313</v>
      </c>
      <c r="G11" s="87" t="s">
        <v>318</v>
      </c>
      <c r="H11" s="87" t="s">
        <v>319</v>
      </c>
      <c r="I11" s="7" t="str">
        <f>IF(RAdata6[[#This Row],[pi_last_name]]=" ","",HYPERLINK("https://www.ejacket.nsf.gov/ej/showProposal.do?Continue=Y&amp;ID="&amp;RAdata6[[#This Row],[prop_id]],RAdata6[[#This Row],[prop_id]]))</f>
        <v/>
      </c>
      <c r="J11" s="7" t="str">
        <f>IF(RAdata6[[#This Row],[pi_last_name]]=" ","",HYPERLINK("https://www.ejacket.nsf.gov/ej/processReviewAnalysis.do?dispatch=add&amp;uniqId="&amp;RAdata6[[#This Row],[prop_id]]&amp;pm_ibm_logn_id,"&gt;ra"))</f>
        <v/>
      </c>
      <c r="K11" s="87" t="s">
        <v>14</v>
      </c>
      <c r="L11" s="87" t="s">
        <v>14</v>
      </c>
      <c r="M11" s="87" t="s">
        <v>14</v>
      </c>
      <c r="N11" s="87">
        <v>1</v>
      </c>
      <c r="O11" s="87">
        <v>0</v>
      </c>
      <c r="P11" s="88">
        <v>0</v>
      </c>
      <c r="Q11" s="88">
        <v>3000</v>
      </c>
      <c r="R11" s="88">
        <v>0</v>
      </c>
      <c r="S11" s="89">
        <v>120782</v>
      </c>
      <c r="T11" s="87">
        <v>0</v>
      </c>
      <c r="U11" s="87">
        <v>1</v>
      </c>
      <c r="V11" s="11" t="str">
        <f ca="1">IF(ISBLANK(RAdata6[[#This Row],[budg_seq_yr]]),"FY"&amp;fiscalyear,"FY"&amp;fiscalyear-1+RAdata6[[#This Row],[budg_seq_yr]])</f>
        <v>FY18</v>
      </c>
      <c r="W11" s="88">
        <v>120782</v>
      </c>
      <c r="X11" s="87" t="s">
        <v>243</v>
      </c>
      <c r="Y11" s="87" t="s">
        <v>313</v>
      </c>
      <c r="Z11" s="87" t="s">
        <v>288</v>
      </c>
    </row>
    <row r="12" spans="1:26" x14ac:dyDescent="0.4">
      <c r="A12" s="10" t="s">
        <v>319</v>
      </c>
      <c r="B12" s="85" t="s">
        <v>102</v>
      </c>
      <c r="C12" s="86">
        <v>42933.719444444447</v>
      </c>
      <c r="D12" s="87" t="s">
        <v>279</v>
      </c>
      <c r="E12" s="87" t="s">
        <v>243</v>
      </c>
      <c r="F12" s="87" t="s">
        <v>313</v>
      </c>
      <c r="G12" s="87" t="s">
        <v>318</v>
      </c>
      <c r="H12" s="87" t="s">
        <v>319</v>
      </c>
      <c r="I12" s="7" t="str">
        <f>IF(RAdata6[[#This Row],[pi_last_name]]=" ","",HYPERLINK("https://www.ejacket.nsf.gov/ej/showProposal.do?Continue=Y&amp;ID="&amp;RAdata6[[#This Row],[prop_id]],RAdata6[[#This Row],[prop_id]]))</f>
        <v/>
      </c>
      <c r="J12" s="7" t="str">
        <f>IF(RAdata6[[#This Row],[pi_last_name]]=" ","",HYPERLINK("https://www.ejacket.nsf.gov/ej/processReviewAnalysis.do?dispatch=add&amp;uniqId="&amp;RAdata6[[#This Row],[prop_id]]&amp;pm_ibm_logn_id,"&gt;ra"))</f>
        <v/>
      </c>
      <c r="K12" s="87" t="s">
        <v>14</v>
      </c>
      <c r="L12" s="87" t="s">
        <v>14</v>
      </c>
      <c r="M12" s="87" t="s">
        <v>14</v>
      </c>
      <c r="N12" s="87">
        <v>1</v>
      </c>
      <c r="O12" s="87">
        <v>0</v>
      </c>
      <c r="P12" s="88">
        <v>0</v>
      </c>
      <c r="Q12" s="88">
        <v>3000</v>
      </c>
      <c r="R12" s="88">
        <v>0</v>
      </c>
      <c r="S12" s="89">
        <v>125260</v>
      </c>
      <c r="T12" s="87">
        <v>0</v>
      </c>
      <c r="U12" s="87">
        <v>2</v>
      </c>
      <c r="V12" s="11" t="str">
        <f ca="1">IF(ISBLANK(RAdata6[[#This Row],[budg_seq_yr]]),"FY"&amp;fiscalyear,"FY"&amp;fiscalyear-1+RAdata6[[#This Row],[budg_seq_yr]])</f>
        <v>FY19</v>
      </c>
      <c r="W12" s="88">
        <v>125260</v>
      </c>
      <c r="X12" s="87" t="s">
        <v>243</v>
      </c>
      <c r="Y12" s="87" t="s">
        <v>313</v>
      </c>
      <c r="Z12" s="87" t="s">
        <v>288</v>
      </c>
    </row>
    <row r="13" spans="1:26" x14ac:dyDescent="0.4">
      <c r="A13" s="10" t="s">
        <v>319</v>
      </c>
      <c r="B13" s="85" t="s">
        <v>102</v>
      </c>
      <c r="C13" s="86">
        <v>42933.719444444447</v>
      </c>
      <c r="D13" s="87" t="s">
        <v>279</v>
      </c>
      <c r="E13" s="87" t="s">
        <v>243</v>
      </c>
      <c r="F13" s="87" t="s">
        <v>313</v>
      </c>
      <c r="G13" s="87" t="s">
        <v>318</v>
      </c>
      <c r="H13" s="87" t="s">
        <v>319</v>
      </c>
      <c r="I13" s="7" t="str">
        <f>IF(RAdata6[[#This Row],[pi_last_name]]=" ","",HYPERLINK("https://www.ejacket.nsf.gov/ej/showProposal.do?Continue=Y&amp;ID="&amp;RAdata6[[#This Row],[prop_id]],RAdata6[[#This Row],[prop_id]]))</f>
        <v/>
      </c>
      <c r="J13" s="7" t="str">
        <f>IF(RAdata6[[#This Row],[pi_last_name]]=" ","",HYPERLINK("https://www.ejacket.nsf.gov/ej/processReviewAnalysis.do?dispatch=add&amp;uniqId="&amp;RAdata6[[#This Row],[prop_id]]&amp;pm_ibm_logn_id,"&gt;ra"))</f>
        <v/>
      </c>
      <c r="K13" s="87" t="s">
        <v>14</v>
      </c>
      <c r="L13" s="87" t="s">
        <v>14</v>
      </c>
      <c r="M13" s="87" t="s">
        <v>14</v>
      </c>
      <c r="N13" s="87">
        <v>1</v>
      </c>
      <c r="O13" s="87">
        <v>0</v>
      </c>
      <c r="P13" s="88">
        <v>0</v>
      </c>
      <c r="Q13" s="88">
        <v>3000</v>
      </c>
      <c r="R13" s="88">
        <v>0</v>
      </c>
      <c r="S13" s="89">
        <v>129595</v>
      </c>
      <c r="T13" s="87">
        <v>0</v>
      </c>
      <c r="U13" s="87">
        <v>3</v>
      </c>
      <c r="V13" s="11" t="str">
        <f ca="1">IF(ISBLANK(RAdata6[[#This Row],[budg_seq_yr]]),"FY"&amp;fiscalyear,"FY"&amp;fiscalyear-1+RAdata6[[#This Row],[budg_seq_yr]])</f>
        <v>FY20</v>
      </c>
      <c r="W13" s="88">
        <v>129595</v>
      </c>
      <c r="X13" s="87" t="s">
        <v>243</v>
      </c>
      <c r="Y13" s="87" t="s">
        <v>313</v>
      </c>
      <c r="Z13" s="87" t="s">
        <v>288</v>
      </c>
    </row>
    <row r="14" spans="1:26" x14ac:dyDescent="0.4">
      <c r="A14" s="10" t="s">
        <v>319</v>
      </c>
      <c r="B14" s="85" t="s">
        <v>102</v>
      </c>
      <c r="C14" s="86">
        <v>42933.719444444447</v>
      </c>
      <c r="D14" s="87" t="s">
        <v>279</v>
      </c>
      <c r="E14" s="87" t="s">
        <v>243</v>
      </c>
      <c r="F14" s="87" t="s">
        <v>313</v>
      </c>
      <c r="G14" s="87" t="s">
        <v>318</v>
      </c>
      <c r="H14" s="87" t="s">
        <v>319</v>
      </c>
      <c r="I14" s="7" t="str">
        <f>IF(RAdata6[[#This Row],[pi_last_name]]=" ","",HYPERLINK("https://www.ejacket.nsf.gov/ej/showProposal.do?Continue=Y&amp;ID="&amp;RAdata6[[#This Row],[prop_id]],RAdata6[[#This Row],[prop_id]]))</f>
        <v/>
      </c>
      <c r="J14" s="7" t="str">
        <f>IF(RAdata6[[#This Row],[pi_last_name]]=" ","",HYPERLINK("https://www.ejacket.nsf.gov/ej/processReviewAnalysis.do?dispatch=add&amp;uniqId="&amp;RAdata6[[#This Row],[prop_id]]&amp;pm_ibm_logn_id,"&gt;ra"))</f>
        <v/>
      </c>
      <c r="K14" s="87" t="s">
        <v>14</v>
      </c>
      <c r="L14" s="87" t="s">
        <v>14</v>
      </c>
      <c r="M14" s="87" t="s">
        <v>14</v>
      </c>
      <c r="N14" s="87">
        <v>1</v>
      </c>
      <c r="O14" s="87">
        <v>0</v>
      </c>
      <c r="P14" s="88">
        <v>0</v>
      </c>
      <c r="Q14" s="88">
        <v>3000</v>
      </c>
      <c r="R14" s="88">
        <v>0</v>
      </c>
      <c r="S14" s="89">
        <v>134136</v>
      </c>
      <c r="T14" s="87">
        <v>0</v>
      </c>
      <c r="U14" s="87">
        <v>4</v>
      </c>
      <c r="V14" s="11" t="str">
        <f ca="1">IF(ISBLANK(RAdata6[[#This Row],[budg_seq_yr]]),"FY"&amp;fiscalyear,"FY"&amp;fiscalyear-1+RAdata6[[#This Row],[budg_seq_yr]])</f>
        <v>FY21</v>
      </c>
      <c r="W14" s="88">
        <v>134136</v>
      </c>
      <c r="X14" s="87" t="s">
        <v>243</v>
      </c>
      <c r="Y14" s="87" t="s">
        <v>313</v>
      </c>
      <c r="Z14" s="87" t="s">
        <v>288</v>
      </c>
    </row>
    <row r="15" spans="1:26" x14ac:dyDescent="0.4">
      <c r="A15" s="10" t="s">
        <v>319</v>
      </c>
      <c r="B15" s="85" t="s">
        <v>102</v>
      </c>
      <c r="C15" s="86">
        <v>42933.719444444447</v>
      </c>
      <c r="D15" s="87" t="s">
        <v>279</v>
      </c>
      <c r="E15" s="87" t="s">
        <v>243</v>
      </c>
      <c r="F15" s="87" t="s">
        <v>313</v>
      </c>
      <c r="G15" s="87" t="s">
        <v>318</v>
      </c>
      <c r="H15" s="87" t="s">
        <v>319</v>
      </c>
      <c r="I15" s="7" t="str">
        <f>IF(RAdata6[[#This Row],[pi_last_name]]=" ","",HYPERLINK("https://www.ejacket.nsf.gov/ej/showProposal.do?Continue=Y&amp;ID="&amp;RAdata6[[#This Row],[prop_id]],RAdata6[[#This Row],[prop_id]]))</f>
        <v/>
      </c>
      <c r="J15" s="7" t="str">
        <f>IF(RAdata6[[#This Row],[pi_last_name]]=" ","",HYPERLINK("https://www.ejacket.nsf.gov/ej/processReviewAnalysis.do?dispatch=add&amp;uniqId="&amp;RAdata6[[#This Row],[prop_id]]&amp;pm_ibm_logn_id,"&gt;ra"))</f>
        <v/>
      </c>
      <c r="K15" s="87" t="s">
        <v>14</v>
      </c>
      <c r="L15" s="87" t="s">
        <v>14</v>
      </c>
      <c r="M15" s="87" t="s">
        <v>14</v>
      </c>
      <c r="N15" s="87">
        <v>1</v>
      </c>
      <c r="O15" s="87">
        <v>0</v>
      </c>
      <c r="P15" s="88">
        <v>0</v>
      </c>
      <c r="Q15" s="88">
        <v>3000</v>
      </c>
      <c r="R15" s="88">
        <v>0</v>
      </c>
      <c r="S15" s="89">
        <v>138892</v>
      </c>
      <c r="T15" s="87">
        <v>0</v>
      </c>
      <c r="U15" s="87">
        <v>5</v>
      </c>
      <c r="V15" s="11" t="str">
        <f ca="1">IF(ISBLANK(RAdata6[[#This Row],[budg_seq_yr]]),"FY"&amp;fiscalyear,"FY"&amp;fiscalyear-1+RAdata6[[#This Row],[budg_seq_yr]])</f>
        <v>FY22</v>
      </c>
      <c r="W15" s="88">
        <v>138892</v>
      </c>
      <c r="X15" s="87" t="s">
        <v>243</v>
      </c>
      <c r="Y15" s="87" t="s">
        <v>313</v>
      </c>
      <c r="Z15" s="87" t="s">
        <v>288</v>
      </c>
    </row>
    <row r="16" spans="1:26" x14ac:dyDescent="0.4">
      <c r="A16" s="10" t="s">
        <v>322</v>
      </c>
      <c r="B16" s="85" t="s">
        <v>102</v>
      </c>
      <c r="C16" s="86">
        <v>42933.731249999997</v>
      </c>
      <c r="D16" s="87" t="s">
        <v>279</v>
      </c>
      <c r="E16" s="87" t="s">
        <v>243</v>
      </c>
      <c r="F16" s="87" t="s">
        <v>313</v>
      </c>
      <c r="G16" s="87" t="s">
        <v>314</v>
      </c>
      <c r="H16" s="87" t="s">
        <v>322</v>
      </c>
      <c r="I16" s="7" t="str">
        <f>IF(RAdata6[[#This Row],[pi_last_name]]=" ","",HYPERLINK("https://www.ejacket.nsf.gov/ej/showProposal.do?Continue=Y&amp;ID="&amp;RAdata6[[#This Row],[prop_id]],RAdata6[[#This Row],[prop_id]]))</f>
        <v>1749576</v>
      </c>
      <c r="J16" s="7" t="str">
        <f>IF(RAdata6[[#This Row],[pi_last_name]]=" ","",HYPERLINK("https://www.ejacket.nsf.gov/ej/processReviewAnalysis.do?dispatch=add&amp;uniqId="&amp;RAdata6[[#This Row],[prop_id]]&amp;pm_ibm_logn_id,"&gt;ra"))</f>
        <v>&gt;ra</v>
      </c>
      <c r="K16" s="87" t="s">
        <v>323</v>
      </c>
      <c r="L16" s="87" t="s">
        <v>324</v>
      </c>
      <c r="M16" s="87" t="s">
        <v>325</v>
      </c>
      <c r="N16" s="87"/>
      <c r="O16" s="87"/>
      <c r="P16" s="88"/>
      <c r="Q16" s="88"/>
      <c r="R16" s="88"/>
      <c r="S16" s="89"/>
      <c r="T16" s="87">
        <v>0</v>
      </c>
      <c r="U16" s="87"/>
      <c r="V16" s="11" t="str">
        <f ca="1">IF(ISBLANK(RAdata6[[#This Row],[budg_seq_yr]]),"FY"&amp;fiscalyear,"FY"&amp;fiscalyear-1+RAdata6[[#This Row],[budg_seq_yr]])</f>
        <v>FY18</v>
      </c>
      <c r="W16" s="88">
        <v>495570</v>
      </c>
      <c r="X16" s="87" t="s">
        <v>243</v>
      </c>
      <c r="Y16" s="87" t="s">
        <v>313</v>
      </c>
      <c r="Z16" s="87" t="s">
        <v>288</v>
      </c>
    </row>
    <row r="17" spans="1:26" x14ac:dyDescent="0.4">
      <c r="A17" s="10" t="s">
        <v>322</v>
      </c>
      <c r="B17" s="85" t="s">
        <v>102</v>
      </c>
      <c r="C17" s="86">
        <v>42933.731249999997</v>
      </c>
      <c r="D17" s="87" t="s">
        <v>279</v>
      </c>
      <c r="E17" s="87" t="s">
        <v>243</v>
      </c>
      <c r="F17" s="87" t="s">
        <v>313</v>
      </c>
      <c r="G17" s="87" t="s">
        <v>314</v>
      </c>
      <c r="H17" s="87" t="s">
        <v>322</v>
      </c>
      <c r="I17" s="7" t="str">
        <f>IF(RAdata6[[#This Row],[pi_last_name]]=" ","",HYPERLINK("https://www.ejacket.nsf.gov/ej/showProposal.do?Continue=Y&amp;ID="&amp;RAdata6[[#This Row],[prop_id]],RAdata6[[#This Row],[prop_id]]))</f>
        <v/>
      </c>
      <c r="J17" s="7" t="str">
        <f>IF(RAdata6[[#This Row],[pi_last_name]]=" ","",HYPERLINK("https://www.ejacket.nsf.gov/ej/processReviewAnalysis.do?dispatch=add&amp;uniqId="&amp;RAdata6[[#This Row],[prop_id]]&amp;pm_ibm_logn_id,"&gt;ra"))</f>
        <v/>
      </c>
      <c r="K17" s="87" t="s">
        <v>14</v>
      </c>
      <c r="L17" s="87" t="s">
        <v>14</v>
      </c>
      <c r="M17" s="87" t="s">
        <v>14</v>
      </c>
      <c r="N17" s="87">
        <v>1</v>
      </c>
      <c r="O17" s="87">
        <v>0.5</v>
      </c>
      <c r="P17" s="88">
        <v>0</v>
      </c>
      <c r="Q17" s="88">
        <v>0</v>
      </c>
      <c r="R17" s="88">
        <v>0</v>
      </c>
      <c r="S17" s="89">
        <v>115672</v>
      </c>
      <c r="T17" s="87">
        <v>0</v>
      </c>
      <c r="U17" s="87">
        <v>1</v>
      </c>
      <c r="V17" s="11" t="str">
        <f ca="1">IF(ISBLANK(RAdata6[[#This Row],[budg_seq_yr]]),"FY"&amp;fiscalyear,"FY"&amp;fiscalyear-1+RAdata6[[#This Row],[budg_seq_yr]])</f>
        <v>FY18</v>
      </c>
      <c r="W17" s="88">
        <v>115672</v>
      </c>
      <c r="X17" s="87" t="s">
        <v>243</v>
      </c>
      <c r="Y17" s="87" t="s">
        <v>313</v>
      </c>
      <c r="Z17" s="87" t="s">
        <v>288</v>
      </c>
    </row>
    <row r="18" spans="1:26" x14ac:dyDescent="0.4">
      <c r="A18" s="10" t="s">
        <v>322</v>
      </c>
      <c r="B18" s="85" t="s">
        <v>102</v>
      </c>
      <c r="C18" s="86">
        <v>42933.731249999997</v>
      </c>
      <c r="D18" s="87" t="s">
        <v>279</v>
      </c>
      <c r="E18" s="87" t="s">
        <v>243</v>
      </c>
      <c r="F18" s="87" t="s">
        <v>313</v>
      </c>
      <c r="G18" s="87" t="s">
        <v>314</v>
      </c>
      <c r="H18" s="87" t="s">
        <v>322</v>
      </c>
      <c r="I18" s="7" t="str">
        <f>IF(RAdata6[[#This Row],[pi_last_name]]=" ","",HYPERLINK("https://www.ejacket.nsf.gov/ej/showProposal.do?Continue=Y&amp;ID="&amp;RAdata6[[#This Row],[prop_id]],RAdata6[[#This Row],[prop_id]]))</f>
        <v/>
      </c>
      <c r="J18" s="7" t="str">
        <f>IF(RAdata6[[#This Row],[pi_last_name]]=" ","",HYPERLINK("https://www.ejacket.nsf.gov/ej/processReviewAnalysis.do?dispatch=add&amp;uniqId="&amp;RAdata6[[#This Row],[prop_id]]&amp;pm_ibm_logn_id,"&gt;ra"))</f>
        <v/>
      </c>
      <c r="K18" s="87" t="s">
        <v>14</v>
      </c>
      <c r="L18" s="87" t="s">
        <v>14</v>
      </c>
      <c r="M18" s="87" t="s">
        <v>14</v>
      </c>
      <c r="N18" s="87">
        <v>1</v>
      </c>
      <c r="O18" s="87">
        <v>0.5</v>
      </c>
      <c r="P18" s="88">
        <v>0</v>
      </c>
      <c r="Q18" s="88">
        <v>0</v>
      </c>
      <c r="R18" s="88">
        <v>0</v>
      </c>
      <c r="S18" s="89">
        <v>119142</v>
      </c>
      <c r="T18" s="87">
        <v>0</v>
      </c>
      <c r="U18" s="87">
        <v>2</v>
      </c>
      <c r="V18" s="11" t="str">
        <f ca="1">IF(ISBLANK(RAdata6[[#This Row],[budg_seq_yr]]),"FY"&amp;fiscalyear,"FY"&amp;fiscalyear-1+RAdata6[[#This Row],[budg_seq_yr]])</f>
        <v>FY19</v>
      </c>
      <c r="W18" s="88">
        <v>119142</v>
      </c>
      <c r="X18" s="87" t="s">
        <v>243</v>
      </c>
      <c r="Y18" s="87" t="s">
        <v>313</v>
      </c>
      <c r="Z18" s="87" t="s">
        <v>288</v>
      </c>
    </row>
    <row r="19" spans="1:26" x14ac:dyDescent="0.4">
      <c r="A19" s="10" t="s">
        <v>322</v>
      </c>
      <c r="B19" s="85" t="s">
        <v>102</v>
      </c>
      <c r="C19" s="86">
        <v>42933.731249999997</v>
      </c>
      <c r="D19" s="87" t="s">
        <v>279</v>
      </c>
      <c r="E19" s="87" t="s">
        <v>243</v>
      </c>
      <c r="F19" s="87" t="s">
        <v>313</v>
      </c>
      <c r="G19" s="87" t="s">
        <v>314</v>
      </c>
      <c r="H19" s="87" t="s">
        <v>322</v>
      </c>
      <c r="I19" s="7" t="str">
        <f>IF(RAdata6[[#This Row],[pi_last_name]]=" ","",HYPERLINK("https://www.ejacket.nsf.gov/ej/showProposal.do?Continue=Y&amp;ID="&amp;RAdata6[[#This Row],[prop_id]],RAdata6[[#This Row],[prop_id]]))</f>
        <v/>
      </c>
      <c r="J19" s="7" t="str">
        <f>IF(RAdata6[[#This Row],[pi_last_name]]=" ","",HYPERLINK("https://www.ejacket.nsf.gov/ej/processReviewAnalysis.do?dispatch=add&amp;uniqId="&amp;RAdata6[[#This Row],[prop_id]]&amp;pm_ibm_logn_id,"&gt;ra"))</f>
        <v/>
      </c>
      <c r="K19" s="87" t="s">
        <v>14</v>
      </c>
      <c r="L19" s="87" t="s">
        <v>14</v>
      </c>
      <c r="M19" s="87" t="s">
        <v>14</v>
      </c>
      <c r="N19" s="87">
        <v>1</v>
      </c>
      <c r="O19" s="87">
        <v>0.5</v>
      </c>
      <c r="P19" s="88">
        <v>0</v>
      </c>
      <c r="Q19" s="88">
        <v>0</v>
      </c>
      <c r="R19" s="88">
        <v>0</v>
      </c>
      <c r="S19" s="89">
        <v>84362</v>
      </c>
      <c r="T19" s="87">
        <v>0</v>
      </c>
      <c r="U19" s="87">
        <v>3</v>
      </c>
      <c r="V19" s="11" t="str">
        <f ca="1">IF(ISBLANK(RAdata6[[#This Row],[budg_seq_yr]]),"FY"&amp;fiscalyear,"FY"&amp;fiscalyear-1+RAdata6[[#This Row],[budg_seq_yr]])</f>
        <v>FY20</v>
      </c>
      <c r="W19" s="88">
        <v>84362</v>
      </c>
      <c r="X19" s="87" t="s">
        <v>243</v>
      </c>
      <c r="Y19" s="87" t="s">
        <v>313</v>
      </c>
      <c r="Z19" s="87" t="s">
        <v>288</v>
      </c>
    </row>
    <row r="20" spans="1:26" x14ac:dyDescent="0.4">
      <c r="A20" s="10" t="s">
        <v>322</v>
      </c>
      <c r="B20" s="85" t="s">
        <v>102</v>
      </c>
      <c r="C20" s="86">
        <v>42933.731249999997</v>
      </c>
      <c r="D20" s="87" t="s">
        <v>279</v>
      </c>
      <c r="E20" s="87" t="s">
        <v>243</v>
      </c>
      <c r="F20" s="87" t="s">
        <v>313</v>
      </c>
      <c r="G20" s="87" t="s">
        <v>314</v>
      </c>
      <c r="H20" s="87" t="s">
        <v>322</v>
      </c>
      <c r="I20" s="7" t="str">
        <f>IF(RAdata6[[#This Row],[pi_last_name]]=" ","",HYPERLINK("https://www.ejacket.nsf.gov/ej/showProposal.do?Continue=Y&amp;ID="&amp;RAdata6[[#This Row],[prop_id]],RAdata6[[#This Row],[prop_id]]))</f>
        <v/>
      </c>
      <c r="J20" s="7" t="str">
        <f>IF(RAdata6[[#This Row],[pi_last_name]]=" ","",HYPERLINK("https://www.ejacket.nsf.gov/ej/processReviewAnalysis.do?dispatch=add&amp;uniqId="&amp;RAdata6[[#This Row],[prop_id]]&amp;pm_ibm_logn_id,"&gt;ra"))</f>
        <v/>
      </c>
      <c r="K20" s="87" t="s">
        <v>14</v>
      </c>
      <c r="L20" s="87" t="s">
        <v>14</v>
      </c>
      <c r="M20" s="87" t="s">
        <v>14</v>
      </c>
      <c r="N20" s="87">
        <v>1</v>
      </c>
      <c r="O20" s="87">
        <v>0.5</v>
      </c>
      <c r="P20" s="88">
        <v>0</v>
      </c>
      <c r="Q20" s="88">
        <v>0</v>
      </c>
      <c r="R20" s="88">
        <v>0</v>
      </c>
      <c r="S20" s="89">
        <v>86894</v>
      </c>
      <c r="T20" s="87">
        <v>0</v>
      </c>
      <c r="U20" s="87">
        <v>4</v>
      </c>
      <c r="V20" s="11" t="str">
        <f ca="1">IF(ISBLANK(RAdata6[[#This Row],[budg_seq_yr]]),"FY"&amp;fiscalyear,"FY"&amp;fiscalyear-1+RAdata6[[#This Row],[budg_seq_yr]])</f>
        <v>FY21</v>
      </c>
      <c r="W20" s="88">
        <v>86894</v>
      </c>
      <c r="X20" s="87" t="s">
        <v>243</v>
      </c>
      <c r="Y20" s="87" t="s">
        <v>313</v>
      </c>
      <c r="Z20" s="87" t="s">
        <v>288</v>
      </c>
    </row>
    <row r="21" spans="1:26" x14ac:dyDescent="0.4">
      <c r="A21" s="10" t="s">
        <v>322</v>
      </c>
      <c r="B21" s="85" t="s">
        <v>102</v>
      </c>
      <c r="C21" s="86">
        <v>42933.731249999997</v>
      </c>
      <c r="D21" s="87" t="s">
        <v>279</v>
      </c>
      <c r="E21" s="87" t="s">
        <v>243</v>
      </c>
      <c r="F21" s="87" t="s">
        <v>313</v>
      </c>
      <c r="G21" s="87" t="s">
        <v>314</v>
      </c>
      <c r="H21" s="87" t="s">
        <v>322</v>
      </c>
      <c r="I21" s="7" t="str">
        <f>IF(RAdata6[[#This Row],[pi_last_name]]=" ","",HYPERLINK("https://www.ejacket.nsf.gov/ej/showProposal.do?Continue=Y&amp;ID="&amp;RAdata6[[#This Row],[prop_id]],RAdata6[[#This Row],[prop_id]]))</f>
        <v/>
      </c>
      <c r="J21" s="7" t="str">
        <f>IF(RAdata6[[#This Row],[pi_last_name]]=" ","",HYPERLINK("https://www.ejacket.nsf.gov/ej/processReviewAnalysis.do?dispatch=add&amp;uniqId="&amp;RAdata6[[#This Row],[prop_id]]&amp;pm_ibm_logn_id,"&gt;ra"))</f>
        <v/>
      </c>
      <c r="K21" s="87" t="s">
        <v>14</v>
      </c>
      <c r="L21" s="87" t="s">
        <v>14</v>
      </c>
      <c r="M21" s="87" t="s">
        <v>14</v>
      </c>
      <c r="N21" s="87">
        <v>1</v>
      </c>
      <c r="O21" s="87">
        <v>0.5</v>
      </c>
      <c r="P21" s="88">
        <v>0</v>
      </c>
      <c r="Q21" s="88">
        <v>0</v>
      </c>
      <c r="R21" s="88">
        <v>0</v>
      </c>
      <c r="S21" s="89">
        <v>89500</v>
      </c>
      <c r="T21" s="87">
        <v>0</v>
      </c>
      <c r="U21" s="87">
        <v>5</v>
      </c>
      <c r="V21" s="11" t="str">
        <f ca="1">IF(ISBLANK(RAdata6[[#This Row],[budg_seq_yr]]),"FY"&amp;fiscalyear,"FY"&amp;fiscalyear-1+RAdata6[[#This Row],[budg_seq_yr]])</f>
        <v>FY22</v>
      </c>
      <c r="W21" s="88">
        <v>89500</v>
      </c>
      <c r="X21" s="87" t="s">
        <v>243</v>
      </c>
      <c r="Y21" s="87" t="s">
        <v>313</v>
      </c>
      <c r="Z21" s="87" t="s">
        <v>288</v>
      </c>
    </row>
    <row r="22" spans="1:26" x14ac:dyDescent="0.4">
      <c r="A22" s="10" t="s">
        <v>326</v>
      </c>
      <c r="B22" s="85" t="s">
        <v>102</v>
      </c>
      <c r="C22" s="86">
        <v>42934.425000000003</v>
      </c>
      <c r="D22" s="87" t="s">
        <v>279</v>
      </c>
      <c r="E22" s="87" t="s">
        <v>243</v>
      </c>
      <c r="F22" s="87" t="s">
        <v>313</v>
      </c>
      <c r="G22" s="87" t="s">
        <v>314</v>
      </c>
      <c r="H22" s="87" t="s">
        <v>326</v>
      </c>
      <c r="I22" s="7" t="str">
        <f>IF(RAdata6[[#This Row],[pi_last_name]]=" ","",HYPERLINK("https://www.ejacket.nsf.gov/ej/showProposal.do?Continue=Y&amp;ID="&amp;RAdata6[[#This Row],[prop_id]],RAdata6[[#This Row],[prop_id]]))</f>
        <v>1749654</v>
      </c>
      <c r="J22" s="7" t="str">
        <f>IF(RAdata6[[#This Row],[pi_last_name]]=" ","",HYPERLINK("https://www.ejacket.nsf.gov/ej/processReviewAnalysis.do?dispatch=add&amp;uniqId="&amp;RAdata6[[#This Row],[prop_id]]&amp;pm_ibm_logn_id,"&gt;ra"))</f>
        <v>&gt;ra</v>
      </c>
      <c r="K22" s="87" t="s">
        <v>327</v>
      </c>
      <c r="L22" s="87" t="s">
        <v>324</v>
      </c>
      <c r="M22" s="87" t="s">
        <v>328</v>
      </c>
      <c r="N22" s="87"/>
      <c r="O22" s="87"/>
      <c r="P22" s="88"/>
      <c r="Q22" s="88"/>
      <c r="R22" s="88"/>
      <c r="S22" s="89"/>
      <c r="T22" s="87">
        <v>0</v>
      </c>
      <c r="U22" s="87"/>
      <c r="V22" s="11" t="str">
        <f ca="1">IF(ISBLANK(RAdata6[[#This Row],[budg_seq_yr]]),"FY"&amp;fiscalyear,"FY"&amp;fiscalyear-1+RAdata6[[#This Row],[budg_seq_yr]])</f>
        <v>FY18</v>
      </c>
      <c r="W22" s="88">
        <v>622204</v>
      </c>
      <c r="X22" s="87" t="s">
        <v>243</v>
      </c>
      <c r="Y22" s="87" t="s">
        <v>313</v>
      </c>
      <c r="Z22" s="87" t="s">
        <v>288</v>
      </c>
    </row>
    <row r="23" spans="1:26" x14ac:dyDescent="0.4">
      <c r="A23" s="10" t="s">
        <v>326</v>
      </c>
      <c r="B23" s="85" t="s">
        <v>102</v>
      </c>
      <c r="C23" s="86">
        <v>42934.425000000003</v>
      </c>
      <c r="D23" s="87" t="s">
        <v>279</v>
      </c>
      <c r="E23" s="87" t="s">
        <v>243</v>
      </c>
      <c r="F23" s="87" t="s">
        <v>313</v>
      </c>
      <c r="G23" s="87" t="s">
        <v>314</v>
      </c>
      <c r="H23" s="87" t="s">
        <v>326</v>
      </c>
      <c r="I23" s="7" t="str">
        <f>IF(RAdata6[[#This Row],[pi_last_name]]=" ","",HYPERLINK("https://www.ejacket.nsf.gov/ej/showProposal.do?Continue=Y&amp;ID="&amp;RAdata6[[#This Row],[prop_id]],RAdata6[[#This Row],[prop_id]]))</f>
        <v/>
      </c>
      <c r="J23" s="7" t="str">
        <f>IF(RAdata6[[#This Row],[pi_last_name]]=" ","",HYPERLINK("https://www.ejacket.nsf.gov/ej/processReviewAnalysis.do?dispatch=add&amp;uniqId="&amp;RAdata6[[#This Row],[prop_id]]&amp;pm_ibm_logn_id,"&gt;ra"))</f>
        <v/>
      </c>
      <c r="K23" s="87" t="s">
        <v>14</v>
      </c>
      <c r="L23" s="87" t="s">
        <v>14</v>
      </c>
      <c r="M23" s="87" t="s">
        <v>14</v>
      </c>
      <c r="N23" s="87">
        <v>1</v>
      </c>
      <c r="O23" s="87">
        <v>1</v>
      </c>
      <c r="P23" s="88">
        <v>0</v>
      </c>
      <c r="Q23" s="88">
        <v>5732</v>
      </c>
      <c r="R23" s="88">
        <v>0</v>
      </c>
      <c r="S23" s="89">
        <v>137028</v>
      </c>
      <c r="T23" s="87">
        <v>0</v>
      </c>
      <c r="U23" s="87">
        <v>1</v>
      </c>
      <c r="V23" s="11" t="str">
        <f ca="1">IF(ISBLANK(RAdata6[[#This Row],[budg_seq_yr]]),"FY"&amp;fiscalyear,"FY"&amp;fiscalyear-1+RAdata6[[#This Row],[budg_seq_yr]])</f>
        <v>FY18</v>
      </c>
      <c r="W23" s="88">
        <v>137028</v>
      </c>
      <c r="X23" s="87" t="s">
        <v>243</v>
      </c>
      <c r="Y23" s="87" t="s">
        <v>313</v>
      </c>
      <c r="Z23" s="87" t="s">
        <v>288</v>
      </c>
    </row>
    <row r="24" spans="1:26" x14ac:dyDescent="0.4">
      <c r="A24" s="10" t="s">
        <v>326</v>
      </c>
      <c r="B24" s="85" t="s">
        <v>102</v>
      </c>
      <c r="C24" s="86">
        <v>42934.425000000003</v>
      </c>
      <c r="D24" s="87" t="s">
        <v>279</v>
      </c>
      <c r="E24" s="87" t="s">
        <v>243</v>
      </c>
      <c r="F24" s="87" t="s">
        <v>313</v>
      </c>
      <c r="G24" s="87" t="s">
        <v>314</v>
      </c>
      <c r="H24" s="87" t="s">
        <v>326</v>
      </c>
      <c r="I24" s="7" t="str">
        <f>IF(RAdata6[[#This Row],[pi_last_name]]=" ","",HYPERLINK("https://www.ejacket.nsf.gov/ej/showProposal.do?Continue=Y&amp;ID="&amp;RAdata6[[#This Row],[prop_id]],RAdata6[[#This Row],[prop_id]]))</f>
        <v/>
      </c>
      <c r="J24" s="7" t="str">
        <f>IF(RAdata6[[#This Row],[pi_last_name]]=" ","",HYPERLINK("https://www.ejacket.nsf.gov/ej/processReviewAnalysis.do?dispatch=add&amp;uniqId="&amp;RAdata6[[#This Row],[prop_id]]&amp;pm_ibm_logn_id,"&gt;ra"))</f>
        <v/>
      </c>
      <c r="K24" s="87" t="s">
        <v>14</v>
      </c>
      <c r="L24" s="87" t="s">
        <v>14</v>
      </c>
      <c r="M24" s="87" t="s">
        <v>14</v>
      </c>
      <c r="N24" s="87">
        <v>1</v>
      </c>
      <c r="O24" s="87">
        <v>1</v>
      </c>
      <c r="P24" s="88">
        <v>0</v>
      </c>
      <c r="Q24" s="88">
        <v>5732</v>
      </c>
      <c r="R24" s="88">
        <v>0</v>
      </c>
      <c r="S24" s="89">
        <v>132556</v>
      </c>
      <c r="T24" s="87">
        <v>0</v>
      </c>
      <c r="U24" s="87">
        <v>2</v>
      </c>
      <c r="V24" s="11" t="str">
        <f ca="1">IF(ISBLANK(RAdata6[[#This Row],[budg_seq_yr]]),"FY"&amp;fiscalyear,"FY"&amp;fiscalyear-1+RAdata6[[#This Row],[budg_seq_yr]])</f>
        <v>FY19</v>
      </c>
      <c r="W24" s="88">
        <v>132556</v>
      </c>
      <c r="X24" s="87" t="s">
        <v>243</v>
      </c>
      <c r="Y24" s="87" t="s">
        <v>313</v>
      </c>
      <c r="Z24" s="87" t="s">
        <v>288</v>
      </c>
    </row>
    <row r="25" spans="1:26" x14ac:dyDescent="0.4">
      <c r="A25" s="10" t="s">
        <v>326</v>
      </c>
      <c r="B25" s="85" t="s">
        <v>102</v>
      </c>
      <c r="C25" s="86">
        <v>42934.425000000003</v>
      </c>
      <c r="D25" s="87" t="s">
        <v>279</v>
      </c>
      <c r="E25" s="87" t="s">
        <v>243</v>
      </c>
      <c r="F25" s="87" t="s">
        <v>313</v>
      </c>
      <c r="G25" s="87" t="s">
        <v>314</v>
      </c>
      <c r="H25" s="87" t="s">
        <v>326</v>
      </c>
      <c r="I25" s="7" t="str">
        <f>IF(RAdata6[[#This Row],[pi_last_name]]=" ","",HYPERLINK("https://www.ejacket.nsf.gov/ej/showProposal.do?Continue=Y&amp;ID="&amp;RAdata6[[#This Row],[prop_id]],RAdata6[[#This Row],[prop_id]]))</f>
        <v/>
      </c>
      <c r="J25" s="7" t="str">
        <f>IF(RAdata6[[#This Row],[pi_last_name]]=" ","",HYPERLINK("https://www.ejacket.nsf.gov/ej/processReviewAnalysis.do?dispatch=add&amp;uniqId="&amp;RAdata6[[#This Row],[prop_id]]&amp;pm_ibm_logn_id,"&gt;ra"))</f>
        <v/>
      </c>
      <c r="K25" s="87" t="s">
        <v>14</v>
      </c>
      <c r="L25" s="87" t="s">
        <v>14</v>
      </c>
      <c r="M25" s="87" t="s">
        <v>14</v>
      </c>
      <c r="N25" s="87">
        <v>1</v>
      </c>
      <c r="O25" s="87">
        <v>1</v>
      </c>
      <c r="P25" s="88">
        <v>0</v>
      </c>
      <c r="Q25" s="88">
        <v>5732</v>
      </c>
      <c r="R25" s="88">
        <v>0</v>
      </c>
      <c r="S25" s="89">
        <v>134001</v>
      </c>
      <c r="T25" s="87">
        <v>0</v>
      </c>
      <c r="U25" s="87">
        <v>3</v>
      </c>
      <c r="V25" s="11" t="str">
        <f ca="1">IF(ISBLANK(RAdata6[[#This Row],[budg_seq_yr]]),"FY"&amp;fiscalyear,"FY"&amp;fiscalyear-1+RAdata6[[#This Row],[budg_seq_yr]])</f>
        <v>FY20</v>
      </c>
      <c r="W25" s="88">
        <v>134001</v>
      </c>
      <c r="X25" s="87" t="s">
        <v>243</v>
      </c>
      <c r="Y25" s="87" t="s">
        <v>313</v>
      </c>
      <c r="Z25" s="87" t="s">
        <v>288</v>
      </c>
    </row>
    <row r="26" spans="1:26" x14ac:dyDescent="0.4">
      <c r="A26" s="10" t="s">
        <v>326</v>
      </c>
      <c r="B26" s="85" t="s">
        <v>102</v>
      </c>
      <c r="C26" s="86">
        <v>42934.425000000003</v>
      </c>
      <c r="D26" s="87" t="s">
        <v>279</v>
      </c>
      <c r="E26" s="87" t="s">
        <v>243</v>
      </c>
      <c r="F26" s="87" t="s">
        <v>313</v>
      </c>
      <c r="G26" s="87" t="s">
        <v>314</v>
      </c>
      <c r="H26" s="87" t="s">
        <v>326</v>
      </c>
      <c r="I26" s="7" t="str">
        <f>IF(RAdata6[[#This Row],[pi_last_name]]=" ","",HYPERLINK("https://www.ejacket.nsf.gov/ej/showProposal.do?Continue=Y&amp;ID="&amp;RAdata6[[#This Row],[prop_id]],RAdata6[[#This Row],[prop_id]]))</f>
        <v/>
      </c>
      <c r="J26" s="7" t="str">
        <f>IF(RAdata6[[#This Row],[pi_last_name]]=" ","",HYPERLINK("https://www.ejacket.nsf.gov/ej/processReviewAnalysis.do?dispatch=add&amp;uniqId="&amp;RAdata6[[#This Row],[prop_id]]&amp;pm_ibm_logn_id,"&gt;ra"))</f>
        <v/>
      </c>
      <c r="K26" s="87" t="s">
        <v>14</v>
      </c>
      <c r="L26" s="87" t="s">
        <v>14</v>
      </c>
      <c r="M26" s="87" t="s">
        <v>14</v>
      </c>
      <c r="N26" s="87">
        <v>1</v>
      </c>
      <c r="O26" s="87">
        <v>1</v>
      </c>
      <c r="P26" s="88">
        <v>0</v>
      </c>
      <c r="Q26" s="88">
        <v>5732</v>
      </c>
      <c r="R26" s="88">
        <v>0</v>
      </c>
      <c r="S26" s="89">
        <v>108543</v>
      </c>
      <c r="T26" s="87">
        <v>0</v>
      </c>
      <c r="U26" s="87">
        <v>4</v>
      </c>
      <c r="V26" s="11" t="str">
        <f ca="1">IF(ISBLANK(RAdata6[[#This Row],[budg_seq_yr]]),"FY"&amp;fiscalyear,"FY"&amp;fiscalyear-1+RAdata6[[#This Row],[budg_seq_yr]])</f>
        <v>FY21</v>
      </c>
      <c r="W26" s="88">
        <v>108543</v>
      </c>
      <c r="X26" s="87" t="s">
        <v>243</v>
      </c>
      <c r="Y26" s="87" t="s">
        <v>313</v>
      </c>
      <c r="Z26" s="87" t="s">
        <v>288</v>
      </c>
    </row>
    <row r="27" spans="1:26" x14ac:dyDescent="0.4">
      <c r="A27" s="10" t="s">
        <v>326</v>
      </c>
      <c r="B27" s="85" t="s">
        <v>102</v>
      </c>
      <c r="C27" s="86">
        <v>42934.425000000003</v>
      </c>
      <c r="D27" s="87" t="s">
        <v>279</v>
      </c>
      <c r="E27" s="87" t="s">
        <v>243</v>
      </c>
      <c r="F27" s="87" t="s">
        <v>313</v>
      </c>
      <c r="G27" s="87" t="s">
        <v>314</v>
      </c>
      <c r="H27" s="87" t="s">
        <v>326</v>
      </c>
      <c r="I27" s="7" t="str">
        <f>IF(RAdata6[[#This Row],[pi_last_name]]=" ","",HYPERLINK("https://www.ejacket.nsf.gov/ej/showProposal.do?Continue=Y&amp;ID="&amp;RAdata6[[#This Row],[prop_id]],RAdata6[[#This Row],[prop_id]]))</f>
        <v/>
      </c>
      <c r="J27" s="7" t="str">
        <f>IF(RAdata6[[#This Row],[pi_last_name]]=" ","",HYPERLINK("https://www.ejacket.nsf.gov/ej/processReviewAnalysis.do?dispatch=add&amp;uniqId="&amp;RAdata6[[#This Row],[prop_id]]&amp;pm_ibm_logn_id,"&gt;ra"))</f>
        <v/>
      </c>
      <c r="K27" s="87" t="s">
        <v>14</v>
      </c>
      <c r="L27" s="87" t="s">
        <v>14</v>
      </c>
      <c r="M27" s="87" t="s">
        <v>14</v>
      </c>
      <c r="N27" s="87">
        <v>1</v>
      </c>
      <c r="O27" s="87">
        <v>1</v>
      </c>
      <c r="P27" s="88">
        <v>0</v>
      </c>
      <c r="Q27" s="88">
        <v>5732</v>
      </c>
      <c r="R27" s="88">
        <v>0</v>
      </c>
      <c r="S27" s="89">
        <v>110076</v>
      </c>
      <c r="T27" s="87">
        <v>0</v>
      </c>
      <c r="U27" s="87">
        <v>5</v>
      </c>
      <c r="V27" s="11" t="str">
        <f ca="1">IF(ISBLANK(RAdata6[[#This Row],[budg_seq_yr]]),"FY"&amp;fiscalyear,"FY"&amp;fiscalyear-1+RAdata6[[#This Row],[budg_seq_yr]])</f>
        <v>FY22</v>
      </c>
      <c r="W27" s="88">
        <v>110076</v>
      </c>
      <c r="X27" s="87" t="s">
        <v>243</v>
      </c>
      <c r="Y27" s="87" t="s">
        <v>313</v>
      </c>
      <c r="Z27" s="87" t="s">
        <v>288</v>
      </c>
    </row>
    <row r="28" spans="1:26" x14ac:dyDescent="0.4">
      <c r="A28" s="10" t="s">
        <v>329</v>
      </c>
      <c r="B28" s="85" t="s">
        <v>102</v>
      </c>
      <c r="C28" s="86">
        <v>42934.681250000001</v>
      </c>
      <c r="D28" s="87" t="s">
        <v>279</v>
      </c>
      <c r="E28" s="87" t="s">
        <v>243</v>
      </c>
      <c r="F28" s="87" t="s">
        <v>313</v>
      </c>
      <c r="G28" s="87" t="s">
        <v>314</v>
      </c>
      <c r="H28" s="87" t="s">
        <v>329</v>
      </c>
      <c r="I28" s="7" t="str">
        <f>IF(RAdata6[[#This Row],[pi_last_name]]=" ","",HYPERLINK("https://www.ejacket.nsf.gov/ej/showProposal.do?Continue=Y&amp;ID="&amp;RAdata6[[#This Row],[prop_id]],RAdata6[[#This Row],[prop_id]]))</f>
        <v>1749960</v>
      </c>
      <c r="J28" s="7" t="str">
        <f>IF(RAdata6[[#This Row],[pi_last_name]]=" ","",HYPERLINK("https://www.ejacket.nsf.gov/ej/processReviewAnalysis.do?dispatch=add&amp;uniqId="&amp;RAdata6[[#This Row],[prop_id]]&amp;pm_ibm_logn_id,"&gt;ra"))</f>
        <v>&gt;ra</v>
      </c>
      <c r="K28" s="87" t="s">
        <v>330</v>
      </c>
      <c r="L28" s="87" t="s">
        <v>331</v>
      </c>
      <c r="M28" s="87" t="s">
        <v>332</v>
      </c>
      <c r="N28" s="87"/>
      <c r="O28" s="87"/>
      <c r="P28" s="88"/>
      <c r="Q28" s="88"/>
      <c r="R28" s="88"/>
      <c r="S28" s="89"/>
      <c r="T28" s="87">
        <v>0</v>
      </c>
      <c r="U28" s="87"/>
      <c r="V28" s="11" t="str">
        <f ca="1">IF(ISBLANK(RAdata6[[#This Row],[budg_seq_yr]]),"FY"&amp;fiscalyear,"FY"&amp;fiscalyear-1+RAdata6[[#This Row],[budg_seq_yr]])</f>
        <v>FY18</v>
      </c>
      <c r="W28" s="88">
        <v>532375</v>
      </c>
      <c r="X28" s="87" t="s">
        <v>243</v>
      </c>
      <c r="Y28" s="87" t="s">
        <v>313</v>
      </c>
      <c r="Z28" s="87" t="s">
        <v>288</v>
      </c>
    </row>
    <row r="29" spans="1:26" x14ac:dyDescent="0.4">
      <c r="A29" s="10" t="s">
        <v>329</v>
      </c>
      <c r="B29" s="85" t="s">
        <v>102</v>
      </c>
      <c r="C29" s="86">
        <v>42934.681250000001</v>
      </c>
      <c r="D29" s="87" t="s">
        <v>279</v>
      </c>
      <c r="E29" s="87" t="s">
        <v>243</v>
      </c>
      <c r="F29" s="87" t="s">
        <v>313</v>
      </c>
      <c r="G29" s="87" t="s">
        <v>314</v>
      </c>
      <c r="H29" s="87" t="s">
        <v>329</v>
      </c>
      <c r="I29" s="7" t="str">
        <f>IF(RAdata6[[#This Row],[pi_last_name]]=" ","",HYPERLINK("https://www.ejacket.nsf.gov/ej/showProposal.do?Continue=Y&amp;ID="&amp;RAdata6[[#This Row],[prop_id]],RAdata6[[#This Row],[prop_id]]))</f>
        <v/>
      </c>
      <c r="J29" s="7" t="str">
        <f>IF(RAdata6[[#This Row],[pi_last_name]]=" ","",HYPERLINK("https://www.ejacket.nsf.gov/ej/processReviewAnalysis.do?dispatch=add&amp;uniqId="&amp;RAdata6[[#This Row],[prop_id]]&amp;pm_ibm_logn_id,"&gt;ra"))</f>
        <v/>
      </c>
      <c r="K29" s="87" t="s">
        <v>14</v>
      </c>
      <c r="L29" s="87" t="s">
        <v>14</v>
      </c>
      <c r="M29" s="87" t="s">
        <v>14</v>
      </c>
      <c r="N29" s="87">
        <v>1</v>
      </c>
      <c r="O29" s="87">
        <v>1</v>
      </c>
      <c r="P29" s="88">
        <v>0</v>
      </c>
      <c r="Q29" s="88">
        <v>0</v>
      </c>
      <c r="R29" s="88">
        <v>9489</v>
      </c>
      <c r="S29" s="89">
        <v>113699</v>
      </c>
      <c r="T29" s="87">
        <v>0</v>
      </c>
      <c r="U29" s="87">
        <v>1</v>
      </c>
      <c r="V29" s="11" t="str">
        <f ca="1">IF(ISBLANK(RAdata6[[#This Row],[budg_seq_yr]]),"FY"&amp;fiscalyear,"FY"&amp;fiscalyear-1+RAdata6[[#This Row],[budg_seq_yr]])</f>
        <v>FY18</v>
      </c>
      <c r="W29" s="88">
        <v>113699</v>
      </c>
      <c r="X29" s="87" t="s">
        <v>243</v>
      </c>
      <c r="Y29" s="87" t="s">
        <v>313</v>
      </c>
      <c r="Z29" s="87" t="s">
        <v>288</v>
      </c>
    </row>
    <row r="30" spans="1:26" x14ac:dyDescent="0.4">
      <c r="A30" s="10" t="s">
        <v>329</v>
      </c>
      <c r="B30" s="85" t="s">
        <v>102</v>
      </c>
      <c r="C30" s="86">
        <v>42934.681250000001</v>
      </c>
      <c r="D30" s="87" t="s">
        <v>279</v>
      </c>
      <c r="E30" s="87" t="s">
        <v>243</v>
      </c>
      <c r="F30" s="87" t="s">
        <v>313</v>
      </c>
      <c r="G30" s="87" t="s">
        <v>314</v>
      </c>
      <c r="H30" s="87" t="s">
        <v>329</v>
      </c>
      <c r="I30" s="7" t="str">
        <f>IF(RAdata6[[#This Row],[pi_last_name]]=" ","",HYPERLINK("https://www.ejacket.nsf.gov/ej/showProposal.do?Continue=Y&amp;ID="&amp;RAdata6[[#This Row],[prop_id]],RAdata6[[#This Row],[prop_id]]))</f>
        <v/>
      </c>
      <c r="J30" s="7" t="str">
        <f>IF(RAdata6[[#This Row],[pi_last_name]]=" ","",HYPERLINK("https://www.ejacket.nsf.gov/ej/processReviewAnalysis.do?dispatch=add&amp;uniqId="&amp;RAdata6[[#This Row],[prop_id]]&amp;pm_ibm_logn_id,"&gt;ra"))</f>
        <v/>
      </c>
      <c r="K30" s="87" t="s">
        <v>14</v>
      </c>
      <c r="L30" s="87" t="s">
        <v>14</v>
      </c>
      <c r="M30" s="87" t="s">
        <v>14</v>
      </c>
      <c r="N30" s="87">
        <v>1</v>
      </c>
      <c r="O30" s="87">
        <v>1</v>
      </c>
      <c r="P30" s="88">
        <v>0</v>
      </c>
      <c r="Q30" s="88">
        <v>0</v>
      </c>
      <c r="R30" s="88">
        <v>514</v>
      </c>
      <c r="S30" s="89">
        <v>108749</v>
      </c>
      <c r="T30" s="87">
        <v>0</v>
      </c>
      <c r="U30" s="87">
        <v>2</v>
      </c>
      <c r="V30" s="11" t="str">
        <f ca="1">IF(ISBLANK(RAdata6[[#This Row],[budg_seq_yr]]),"FY"&amp;fiscalyear,"FY"&amp;fiscalyear-1+RAdata6[[#This Row],[budg_seq_yr]])</f>
        <v>FY19</v>
      </c>
      <c r="W30" s="88">
        <v>108749</v>
      </c>
      <c r="X30" s="87" t="s">
        <v>243</v>
      </c>
      <c r="Y30" s="87" t="s">
        <v>313</v>
      </c>
      <c r="Z30" s="87" t="s">
        <v>288</v>
      </c>
    </row>
    <row r="31" spans="1:26" x14ac:dyDescent="0.4">
      <c r="A31" s="10" t="s">
        <v>329</v>
      </c>
      <c r="B31" s="85" t="s">
        <v>102</v>
      </c>
      <c r="C31" s="86">
        <v>42934.681250000001</v>
      </c>
      <c r="D31" s="87" t="s">
        <v>279</v>
      </c>
      <c r="E31" s="87" t="s">
        <v>243</v>
      </c>
      <c r="F31" s="87" t="s">
        <v>313</v>
      </c>
      <c r="G31" s="87" t="s">
        <v>314</v>
      </c>
      <c r="H31" s="87" t="s">
        <v>329</v>
      </c>
      <c r="I31" s="7" t="str">
        <f>IF(RAdata6[[#This Row],[pi_last_name]]=" ","",HYPERLINK("https://www.ejacket.nsf.gov/ej/showProposal.do?Continue=Y&amp;ID="&amp;RAdata6[[#This Row],[prop_id]],RAdata6[[#This Row],[prop_id]]))</f>
        <v/>
      </c>
      <c r="J31" s="7" t="str">
        <f>IF(RAdata6[[#This Row],[pi_last_name]]=" ","",HYPERLINK("https://www.ejacket.nsf.gov/ej/processReviewAnalysis.do?dispatch=add&amp;uniqId="&amp;RAdata6[[#This Row],[prop_id]]&amp;pm_ibm_logn_id,"&gt;ra"))</f>
        <v/>
      </c>
      <c r="K31" s="87" t="s">
        <v>14</v>
      </c>
      <c r="L31" s="87" t="s">
        <v>14</v>
      </c>
      <c r="M31" s="87" t="s">
        <v>14</v>
      </c>
      <c r="N31" s="87">
        <v>1</v>
      </c>
      <c r="O31" s="87">
        <v>1</v>
      </c>
      <c r="P31" s="88">
        <v>0</v>
      </c>
      <c r="Q31" s="88">
        <v>0</v>
      </c>
      <c r="R31" s="88">
        <v>514</v>
      </c>
      <c r="S31" s="89">
        <v>112880</v>
      </c>
      <c r="T31" s="87">
        <v>0</v>
      </c>
      <c r="U31" s="87">
        <v>3</v>
      </c>
      <c r="V31" s="11" t="str">
        <f ca="1">IF(ISBLANK(RAdata6[[#This Row],[budg_seq_yr]]),"FY"&amp;fiscalyear,"FY"&amp;fiscalyear-1+RAdata6[[#This Row],[budg_seq_yr]])</f>
        <v>FY20</v>
      </c>
      <c r="W31" s="88">
        <v>112880</v>
      </c>
      <c r="X31" s="87" t="s">
        <v>243</v>
      </c>
      <c r="Y31" s="87" t="s">
        <v>313</v>
      </c>
      <c r="Z31" s="87" t="s">
        <v>288</v>
      </c>
    </row>
    <row r="32" spans="1:26" x14ac:dyDescent="0.4">
      <c r="A32" s="10" t="s">
        <v>329</v>
      </c>
      <c r="B32" s="85" t="s">
        <v>102</v>
      </c>
      <c r="C32" s="86">
        <v>42934.681250000001</v>
      </c>
      <c r="D32" s="87" t="s">
        <v>279</v>
      </c>
      <c r="E32" s="87" t="s">
        <v>243</v>
      </c>
      <c r="F32" s="87" t="s">
        <v>313</v>
      </c>
      <c r="G32" s="87" t="s">
        <v>314</v>
      </c>
      <c r="H32" s="87" t="s">
        <v>329</v>
      </c>
      <c r="I32" s="7" t="str">
        <f>IF(RAdata6[[#This Row],[pi_last_name]]=" ","",HYPERLINK("https://www.ejacket.nsf.gov/ej/showProposal.do?Continue=Y&amp;ID="&amp;RAdata6[[#This Row],[prop_id]],RAdata6[[#This Row],[prop_id]]))</f>
        <v/>
      </c>
      <c r="J32" s="7" t="str">
        <f>IF(RAdata6[[#This Row],[pi_last_name]]=" ","",HYPERLINK("https://www.ejacket.nsf.gov/ej/processReviewAnalysis.do?dispatch=add&amp;uniqId="&amp;RAdata6[[#This Row],[prop_id]]&amp;pm_ibm_logn_id,"&gt;ra"))</f>
        <v/>
      </c>
      <c r="K32" s="87" t="s">
        <v>14</v>
      </c>
      <c r="L32" s="87" t="s">
        <v>14</v>
      </c>
      <c r="M32" s="87" t="s">
        <v>14</v>
      </c>
      <c r="N32" s="87">
        <v>1</v>
      </c>
      <c r="O32" s="87">
        <v>1</v>
      </c>
      <c r="P32" s="88">
        <v>0</v>
      </c>
      <c r="Q32" s="88">
        <v>0</v>
      </c>
      <c r="R32" s="88">
        <v>514</v>
      </c>
      <c r="S32" s="89">
        <v>96690</v>
      </c>
      <c r="T32" s="87">
        <v>0</v>
      </c>
      <c r="U32" s="87">
        <v>4</v>
      </c>
      <c r="V32" s="11" t="str">
        <f ca="1">IF(ISBLANK(RAdata6[[#This Row],[budg_seq_yr]]),"FY"&amp;fiscalyear,"FY"&amp;fiscalyear-1+RAdata6[[#This Row],[budg_seq_yr]])</f>
        <v>FY21</v>
      </c>
      <c r="W32" s="88">
        <v>96690</v>
      </c>
      <c r="X32" s="87" t="s">
        <v>243</v>
      </c>
      <c r="Y32" s="87" t="s">
        <v>313</v>
      </c>
      <c r="Z32" s="87" t="s">
        <v>288</v>
      </c>
    </row>
    <row r="33" spans="1:26" x14ac:dyDescent="0.4">
      <c r="A33" s="10" t="s">
        <v>329</v>
      </c>
      <c r="B33" s="85" t="s">
        <v>102</v>
      </c>
      <c r="C33" s="86">
        <v>42934.681250000001</v>
      </c>
      <c r="D33" s="87" t="s">
        <v>279</v>
      </c>
      <c r="E33" s="87" t="s">
        <v>243</v>
      </c>
      <c r="F33" s="87" t="s">
        <v>313</v>
      </c>
      <c r="G33" s="87" t="s">
        <v>314</v>
      </c>
      <c r="H33" s="87" t="s">
        <v>329</v>
      </c>
      <c r="I33" s="7" t="str">
        <f>IF(RAdata6[[#This Row],[pi_last_name]]=" ","",HYPERLINK("https://www.ejacket.nsf.gov/ej/showProposal.do?Continue=Y&amp;ID="&amp;RAdata6[[#This Row],[prop_id]],RAdata6[[#This Row],[prop_id]]))</f>
        <v/>
      </c>
      <c r="J33" s="7" t="str">
        <f>IF(RAdata6[[#This Row],[pi_last_name]]=" ","",HYPERLINK("https://www.ejacket.nsf.gov/ej/processReviewAnalysis.do?dispatch=add&amp;uniqId="&amp;RAdata6[[#This Row],[prop_id]]&amp;pm_ibm_logn_id,"&gt;ra"))</f>
        <v/>
      </c>
      <c r="K33" s="87" t="s">
        <v>14</v>
      </c>
      <c r="L33" s="87" t="s">
        <v>14</v>
      </c>
      <c r="M33" s="87" t="s">
        <v>14</v>
      </c>
      <c r="N33" s="87">
        <v>1</v>
      </c>
      <c r="O33" s="87">
        <v>1</v>
      </c>
      <c r="P33" s="88">
        <v>0</v>
      </c>
      <c r="Q33" s="88">
        <v>0</v>
      </c>
      <c r="R33" s="88">
        <v>514</v>
      </c>
      <c r="S33" s="89">
        <v>100357</v>
      </c>
      <c r="T33" s="87">
        <v>0</v>
      </c>
      <c r="U33" s="87">
        <v>5</v>
      </c>
      <c r="V33" s="11" t="str">
        <f ca="1">IF(ISBLANK(RAdata6[[#This Row],[budg_seq_yr]]),"FY"&amp;fiscalyear,"FY"&amp;fiscalyear-1+RAdata6[[#This Row],[budg_seq_yr]])</f>
        <v>FY22</v>
      </c>
      <c r="W33" s="88">
        <v>100357</v>
      </c>
      <c r="X33" s="87" t="s">
        <v>243</v>
      </c>
      <c r="Y33" s="87" t="s">
        <v>313</v>
      </c>
      <c r="Z33" s="87" t="s">
        <v>288</v>
      </c>
    </row>
    <row r="34" spans="1:26" x14ac:dyDescent="0.4">
      <c r="A34" s="10" t="s">
        <v>333</v>
      </c>
      <c r="B34" s="85" t="s">
        <v>102</v>
      </c>
      <c r="C34" s="86">
        <v>42934.72152777778</v>
      </c>
      <c r="D34" s="87" t="s">
        <v>279</v>
      </c>
      <c r="E34" s="87" t="s">
        <v>243</v>
      </c>
      <c r="F34" s="87" t="s">
        <v>313</v>
      </c>
      <c r="G34" s="87" t="s">
        <v>318</v>
      </c>
      <c r="H34" s="87" t="s">
        <v>333</v>
      </c>
      <c r="I34" s="7" t="str">
        <f>IF(RAdata6[[#This Row],[pi_last_name]]=" ","",HYPERLINK("https://www.ejacket.nsf.gov/ej/showProposal.do?Continue=Y&amp;ID="&amp;RAdata6[[#This Row],[prop_id]],RAdata6[[#This Row],[prop_id]]))</f>
        <v>1750019</v>
      </c>
      <c r="J34" s="7" t="str">
        <f>IF(RAdata6[[#This Row],[pi_last_name]]=" ","",HYPERLINK("https://www.ejacket.nsf.gov/ej/processReviewAnalysis.do?dispatch=add&amp;uniqId="&amp;RAdata6[[#This Row],[prop_id]]&amp;pm_ibm_logn_id,"&gt;ra"))</f>
        <v>&gt;ra</v>
      </c>
      <c r="K34" s="87" t="s">
        <v>334</v>
      </c>
      <c r="L34" s="87" t="s">
        <v>335</v>
      </c>
      <c r="M34" s="87" t="s">
        <v>336</v>
      </c>
      <c r="N34" s="87"/>
      <c r="O34" s="87"/>
      <c r="P34" s="88"/>
      <c r="Q34" s="88"/>
      <c r="R34" s="88"/>
      <c r="S34" s="89"/>
      <c r="T34" s="87">
        <v>0</v>
      </c>
      <c r="U34" s="87"/>
      <c r="V34" s="11" t="str">
        <f ca="1">IF(ISBLANK(RAdata6[[#This Row],[budg_seq_yr]]),"FY"&amp;fiscalyear,"FY"&amp;fiscalyear-1+RAdata6[[#This Row],[budg_seq_yr]])</f>
        <v>FY18</v>
      </c>
      <c r="W34" s="88">
        <v>500272</v>
      </c>
      <c r="X34" s="87" t="s">
        <v>243</v>
      </c>
      <c r="Y34" s="87" t="s">
        <v>313</v>
      </c>
      <c r="Z34" s="87" t="s">
        <v>288</v>
      </c>
    </row>
    <row r="35" spans="1:26" x14ac:dyDescent="0.4">
      <c r="A35" s="10" t="s">
        <v>333</v>
      </c>
      <c r="B35" s="85" t="s">
        <v>102</v>
      </c>
      <c r="C35" s="86">
        <v>42934.72152777778</v>
      </c>
      <c r="D35" s="87" t="s">
        <v>279</v>
      </c>
      <c r="E35" s="87" t="s">
        <v>243</v>
      </c>
      <c r="F35" s="87" t="s">
        <v>313</v>
      </c>
      <c r="G35" s="87" t="s">
        <v>318</v>
      </c>
      <c r="H35" s="87" t="s">
        <v>333</v>
      </c>
      <c r="I35" s="7" t="str">
        <f>IF(RAdata6[[#This Row],[pi_last_name]]=" ","",HYPERLINK("https://www.ejacket.nsf.gov/ej/showProposal.do?Continue=Y&amp;ID="&amp;RAdata6[[#This Row],[prop_id]],RAdata6[[#This Row],[prop_id]]))</f>
        <v/>
      </c>
      <c r="J35" s="7" t="str">
        <f>IF(RAdata6[[#This Row],[pi_last_name]]=" ","",HYPERLINK("https://www.ejacket.nsf.gov/ej/processReviewAnalysis.do?dispatch=add&amp;uniqId="&amp;RAdata6[[#This Row],[prop_id]]&amp;pm_ibm_logn_id,"&gt;ra"))</f>
        <v/>
      </c>
      <c r="K35" s="87" t="s">
        <v>14</v>
      </c>
      <c r="L35" s="87" t="s">
        <v>14</v>
      </c>
      <c r="M35" s="87" t="s">
        <v>14</v>
      </c>
      <c r="N35" s="87">
        <v>1</v>
      </c>
      <c r="O35" s="87">
        <v>1</v>
      </c>
      <c r="P35" s="88">
        <v>0</v>
      </c>
      <c r="Q35" s="88">
        <v>4120</v>
      </c>
      <c r="R35" s="88">
        <v>0</v>
      </c>
      <c r="S35" s="89">
        <v>44486</v>
      </c>
      <c r="T35" s="87">
        <v>0</v>
      </c>
      <c r="U35" s="87">
        <v>1</v>
      </c>
      <c r="V35" s="11" t="str">
        <f ca="1">IF(ISBLANK(RAdata6[[#This Row],[budg_seq_yr]]),"FY"&amp;fiscalyear,"FY"&amp;fiscalyear-1+RAdata6[[#This Row],[budg_seq_yr]])</f>
        <v>FY18</v>
      </c>
      <c r="W35" s="88">
        <v>44486</v>
      </c>
      <c r="X35" s="87" t="s">
        <v>243</v>
      </c>
      <c r="Y35" s="87" t="s">
        <v>313</v>
      </c>
      <c r="Z35" s="87" t="s">
        <v>288</v>
      </c>
    </row>
    <row r="36" spans="1:26" x14ac:dyDescent="0.4">
      <c r="A36" s="10" t="s">
        <v>333</v>
      </c>
      <c r="B36" s="85" t="s">
        <v>102</v>
      </c>
      <c r="C36" s="86">
        <v>42934.72152777778</v>
      </c>
      <c r="D36" s="87" t="s">
        <v>279</v>
      </c>
      <c r="E36" s="87" t="s">
        <v>243</v>
      </c>
      <c r="F36" s="87" t="s">
        <v>313</v>
      </c>
      <c r="G36" s="87" t="s">
        <v>318</v>
      </c>
      <c r="H36" s="87" t="s">
        <v>333</v>
      </c>
      <c r="I36" s="7" t="str">
        <f>IF(RAdata6[[#This Row],[pi_last_name]]=" ","",HYPERLINK("https://www.ejacket.nsf.gov/ej/showProposal.do?Continue=Y&amp;ID="&amp;RAdata6[[#This Row],[prop_id]],RAdata6[[#This Row],[prop_id]]))</f>
        <v/>
      </c>
      <c r="J36" s="7" t="str">
        <f>IF(RAdata6[[#This Row],[pi_last_name]]=" ","",HYPERLINK("https://www.ejacket.nsf.gov/ej/processReviewAnalysis.do?dispatch=add&amp;uniqId="&amp;RAdata6[[#This Row],[prop_id]]&amp;pm_ibm_logn_id,"&gt;ra"))</f>
        <v/>
      </c>
      <c r="K36" s="87" t="s">
        <v>14</v>
      </c>
      <c r="L36" s="87" t="s">
        <v>14</v>
      </c>
      <c r="M36" s="87" t="s">
        <v>14</v>
      </c>
      <c r="N36" s="87">
        <v>1</v>
      </c>
      <c r="O36" s="87">
        <v>1</v>
      </c>
      <c r="P36" s="88">
        <v>0</v>
      </c>
      <c r="Q36" s="88">
        <v>4120</v>
      </c>
      <c r="R36" s="88">
        <v>0</v>
      </c>
      <c r="S36" s="89">
        <v>44486</v>
      </c>
      <c r="T36" s="87">
        <v>0</v>
      </c>
      <c r="U36" s="87">
        <v>2</v>
      </c>
      <c r="V36" s="11" t="str">
        <f ca="1">IF(ISBLANK(RAdata6[[#This Row],[budg_seq_yr]]),"FY"&amp;fiscalyear,"FY"&amp;fiscalyear-1+RAdata6[[#This Row],[budg_seq_yr]])</f>
        <v>FY19</v>
      </c>
      <c r="W36" s="88">
        <v>44486</v>
      </c>
      <c r="X36" s="87" t="s">
        <v>243</v>
      </c>
      <c r="Y36" s="87" t="s">
        <v>313</v>
      </c>
      <c r="Z36" s="87" t="s">
        <v>288</v>
      </c>
    </row>
    <row r="37" spans="1:26" x14ac:dyDescent="0.4">
      <c r="A37" s="10" t="s">
        <v>333</v>
      </c>
      <c r="B37" s="85" t="s">
        <v>102</v>
      </c>
      <c r="C37" s="86">
        <v>42934.72152777778</v>
      </c>
      <c r="D37" s="87" t="s">
        <v>279</v>
      </c>
      <c r="E37" s="87" t="s">
        <v>243</v>
      </c>
      <c r="F37" s="87" t="s">
        <v>313</v>
      </c>
      <c r="G37" s="87" t="s">
        <v>318</v>
      </c>
      <c r="H37" s="87" t="s">
        <v>333</v>
      </c>
      <c r="I37" s="7" t="str">
        <f>IF(RAdata6[[#This Row],[pi_last_name]]=" ","",HYPERLINK("https://www.ejacket.nsf.gov/ej/showProposal.do?Continue=Y&amp;ID="&amp;RAdata6[[#This Row],[prop_id]],RAdata6[[#This Row],[prop_id]]))</f>
        <v/>
      </c>
      <c r="J37" s="7" t="str">
        <f>IF(RAdata6[[#This Row],[pi_last_name]]=" ","",HYPERLINK("https://www.ejacket.nsf.gov/ej/processReviewAnalysis.do?dispatch=add&amp;uniqId="&amp;RAdata6[[#This Row],[prop_id]]&amp;pm_ibm_logn_id,"&gt;ra"))</f>
        <v/>
      </c>
      <c r="K37" s="87" t="s">
        <v>14</v>
      </c>
      <c r="L37" s="87" t="s">
        <v>14</v>
      </c>
      <c r="M37" s="87" t="s">
        <v>14</v>
      </c>
      <c r="N37" s="87">
        <v>1</v>
      </c>
      <c r="O37" s="87">
        <v>2</v>
      </c>
      <c r="P37" s="88">
        <v>56000</v>
      </c>
      <c r="Q37" s="88">
        <v>8240</v>
      </c>
      <c r="R37" s="88">
        <v>0</v>
      </c>
      <c r="S37" s="89">
        <v>179787</v>
      </c>
      <c r="T37" s="87">
        <v>0</v>
      </c>
      <c r="U37" s="87">
        <v>3</v>
      </c>
      <c r="V37" s="11" t="str">
        <f ca="1">IF(ISBLANK(RAdata6[[#This Row],[budg_seq_yr]]),"FY"&amp;fiscalyear,"FY"&amp;fiscalyear-1+RAdata6[[#This Row],[budg_seq_yr]])</f>
        <v>FY20</v>
      </c>
      <c r="W37" s="88">
        <v>179787</v>
      </c>
      <c r="X37" s="87" t="s">
        <v>243</v>
      </c>
      <c r="Y37" s="87" t="s">
        <v>313</v>
      </c>
      <c r="Z37" s="87" t="s">
        <v>288</v>
      </c>
    </row>
    <row r="38" spans="1:26" x14ac:dyDescent="0.4">
      <c r="A38" s="10" t="s">
        <v>333</v>
      </c>
      <c r="B38" s="85" t="s">
        <v>102</v>
      </c>
      <c r="C38" s="86">
        <v>42934.72152777778</v>
      </c>
      <c r="D38" s="87" t="s">
        <v>279</v>
      </c>
      <c r="E38" s="87" t="s">
        <v>243</v>
      </c>
      <c r="F38" s="87" t="s">
        <v>313</v>
      </c>
      <c r="G38" s="87" t="s">
        <v>318</v>
      </c>
      <c r="H38" s="87" t="s">
        <v>333</v>
      </c>
      <c r="I38" s="7" t="str">
        <f>IF(RAdata6[[#This Row],[pi_last_name]]=" ","",HYPERLINK("https://www.ejacket.nsf.gov/ej/showProposal.do?Continue=Y&amp;ID="&amp;RAdata6[[#This Row],[prop_id]],RAdata6[[#This Row],[prop_id]]))</f>
        <v/>
      </c>
      <c r="J38" s="7" t="str">
        <f>IF(RAdata6[[#This Row],[pi_last_name]]=" ","",HYPERLINK("https://www.ejacket.nsf.gov/ej/processReviewAnalysis.do?dispatch=add&amp;uniqId="&amp;RAdata6[[#This Row],[prop_id]]&amp;pm_ibm_logn_id,"&gt;ra"))</f>
        <v/>
      </c>
      <c r="K38" s="87" t="s">
        <v>14</v>
      </c>
      <c r="L38" s="87" t="s">
        <v>14</v>
      </c>
      <c r="M38" s="87" t="s">
        <v>14</v>
      </c>
      <c r="N38" s="87">
        <v>1</v>
      </c>
      <c r="O38" s="87">
        <v>2</v>
      </c>
      <c r="P38" s="88">
        <v>56000</v>
      </c>
      <c r="Q38" s="88">
        <v>8240</v>
      </c>
      <c r="R38" s="88">
        <v>0</v>
      </c>
      <c r="S38" s="89">
        <v>179787</v>
      </c>
      <c r="T38" s="87">
        <v>0</v>
      </c>
      <c r="U38" s="87">
        <v>4</v>
      </c>
      <c r="V38" s="11" t="str">
        <f ca="1">IF(ISBLANK(RAdata6[[#This Row],[budg_seq_yr]]),"FY"&amp;fiscalyear,"FY"&amp;fiscalyear-1+RAdata6[[#This Row],[budg_seq_yr]])</f>
        <v>FY21</v>
      </c>
      <c r="W38" s="88">
        <v>179787</v>
      </c>
      <c r="X38" s="87" t="s">
        <v>243</v>
      </c>
      <c r="Y38" s="87" t="s">
        <v>313</v>
      </c>
      <c r="Z38" s="87" t="s">
        <v>288</v>
      </c>
    </row>
    <row r="39" spans="1:26" x14ac:dyDescent="0.4">
      <c r="A39" s="10" t="s">
        <v>333</v>
      </c>
      <c r="B39" s="85" t="s">
        <v>102</v>
      </c>
      <c r="C39" s="86">
        <v>42934.72152777778</v>
      </c>
      <c r="D39" s="87" t="s">
        <v>279</v>
      </c>
      <c r="E39" s="87" t="s">
        <v>243</v>
      </c>
      <c r="F39" s="87" t="s">
        <v>313</v>
      </c>
      <c r="G39" s="87" t="s">
        <v>318</v>
      </c>
      <c r="H39" s="87" t="s">
        <v>333</v>
      </c>
      <c r="I39" s="7" t="str">
        <f>IF(RAdata6[[#This Row],[pi_last_name]]=" ","",HYPERLINK("https://www.ejacket.nsf.gov/ej/showProposal.do?Continue=Y&amp;ID="&amp;RAdata6[[#This Row],[prop_id]],RAdata6[[#This Row],[prop_id]]))</f>
        <v/>
      </c>
      <c r="J39" s="7" t="str">
        <f>IF(RAdata6[[#This Row],[pi_last_name]]=" ","",HYPERLINK("https://www.ejacket.nsf.gov/ej/processReviewAnalysis.do?dispatch=add&amp;uniqId="&amp;RAdata6[[#This Row],[prop_id]]&amp;pm_ibm_logn_id,"&gt;ra"))</f>
        <v/>
      </c>
      <c r="K39" s="87" t="s">
        <v>14</v>
      </c>
      <c r="L39" s="87" t="s">
        <v>14</v>
      </c>
      <c r="M39" s="87" t="s">
        <v>14</v>
      </c>
      <c r="N39" s="87">
        <v>1</v>
      </c>
      <c r="O39" s="87">
        <v>2</v>
      </c>
      <c r="P39" s="88">
        <v>0</v>
      </c>
      <c r="Q39" s="88">
        <v>8240</v>
      </c>
      <c r="R39" s="88">
        <v>0</v>
      </c>
      <c r="S39" s="89">
        <v>51726</v>
      </c>
      <c r="T39" s="87">
        <v>0</v>
      </c>
      <c r="U39" s="87">
        <v>5</v>
      </c>
      <c r="V39" s="11" t="str">
        <f ca="1">IF(ISBLANK(RAdata6[[#This Row],[budg_seq_yr]]),"FY"&amp;fiscalyear,"FY"&amp;fiscalyear-1+RAdata6[[#This Row],[budg_seq_yr]])</f>
        <v>FY22</v>
      </c>
      <c r="W39" s="88">
        <v>51726</v>
      </c>
      <c r="X39" s="87" t="s">
        <v>243</v>
      </c>
      <c r="Y39" s="87" t="s">
        <v>313</v>
      </c>
      <c r="Z39" s="87" t="s">
        <v>288</v>
      </c>
    </row>
    <row r="40" spans="1:26" x14ac:dyDescent="0.4">
      <c r="A40" s="10" t="s">
        <v>337</v>
      </c>
      <c r="B40" s="85" t="s">
        <v>102</v>
      </c>
      <c r="C40" s="86">
        <v>42935.388194444444</v>
      </c>
      <c r="D40" s="87" t="s">
        <v>279</v>
      </c>
      <c r="E40" s="87" t="s">
        <v>243</v>
      </c>
      <c r="F40" s="87" t="s">
        <v>313</v>
      </c>
      <c r="G40" s="87" t="s">
        <v>314</v>
      </c>
      <c r="H40" s="87" t="s">
        <v>337</v>
      </c>
      <c r="I40" s="7" t="str">
        <f>IF(RAdata6[[#This Row],[pi_last_name]]=" ","",HYPERLINK("https://www.ejacket.nsf.gov/ej/showProposal.do?Continue=Y&amp;ID="&amp;RAdata6[[#This Row],[prop_id]],RAdata6[[#This Row],[prop_id]]))</f>
        <v>1750142</v>
      </c>
      <c r="J40" s="7" t="str">
        <f>IF(RAdata6[[#This Row],[pi_last_name]]=" ","",HYPERLINK("https://www.ejacket.nsf.gov/ej/processReviewAnalysis.do?dispatch=add&amp;uniqId="&amp;RAdata6[[#This Row],[prop_id]]&amp;pm_ibm_logn_id,"&gt;ra"))</f>
        <v>&gt;ra</v>
      </c>
      <c r="K40" s="87" t="s">
        <v>338</v>
      </c>
      <c r="L40" s="87" t="s">
        <v>339</v>
      </c>
      <c r="M40" s="87" t="s">
        <v>340</v>
      </c>
      <c r="N40" s="87"/>
      <c r="O40" s="87"/>
      <c r="P40" s="88"/>
      <c r="Q40" s="88"/>
      <c r="R40" s="88"/>
      <c r="S40" s="89"/>
      <c r="T40" s="87">
        <v>0</v>
      </c>
      <c r="U40" s="87"/>
      <c r="V40" s="11" t="str">
        <f ca="1">IF(ISBLANK(RAdata6[[#This Row],[budg_seq_yr]]),"FY"&amp;fiscalyear,"FY"&amp;fiscalyear-1+RAdata6[[#This Row],[budg_seq_yr]])</f>
        <v>FY18</v>
      </c>
      <c r="W40" s="88">
        <v>498999</v>
      </c>
      <c r="X40" s="87" t="s">
        <v>243</v>
      </c>
      <c r="Y40" s="87" t="s">
        <v>313</v>
      </c>
      <c r="Z40" s="87" t="s">
        <v>288</v>
      </c>
    </row>
    <row r="41" spans="1:26" x14ac:dyDescent="0.4">
      <c r="A41" s="10" t="s">
        <v>337</v>
      </c>
      <c r="B41" s="85" t="s">
        <v>102</v>
      </c>
      <c r="C41" s="86">
        <v>42935.388194444444</v>
      </c>
      <c r="D41" s="87" t="s">
        <v>279</v>
      </c>
      <c r="E41" s="87" t="s">
        <v>243</v>
      </c>
      <c r="F41" s="87" t="s">
        <v>313</v>
      </c>
      <c r="G41" s="87" t="s">
        <v>314</v>
      </c>
      <c r="H41" s="87" t="s">
        <v>337</v>
      </c>
      <c r="I41" s="7" t="str">
        <f>IF(RAdata6[[#This Row],[pi_last_name]]=" ","",HYPERLINK("https://www.ejacket.nsf.gov/ej/showProposal.do?Continue=Y&amp;ID="&amp;RAdata6[[#This Row],[prop_id]],RAdata6[[#This Row],[prop_id]]))</f>
        <v/>
      </c>
      <c r="J41" s="7" t="str">
        <f>IF(RAdata6[[#This Row],[pi_last_name]]=" ","",HYPERLINK("https://www.ejacket.nsf.gov/ej/processReviewAnalysis.do?dispatch=add&amp;uniqId="&amp;RAdata6[[#This Row],[prop_id]]&amp;pm_ibm_logn_id,"&gt;ra"))</f>
        <v/>
      </c>
      <c r="K41" s="87" t="s">
        <v>14</v>
      </c>
      <c r="L41" s="87" t="s">
        <v>14</v>
      </c>
      <c r="M41" s="87" t="s">
        <v>14</v>
      </c>
      <c r="N41" s="87">
        <v>1</v>
      </c>
      <c r="O41" s="87">
        <v>1</v>
      </c>
      <c r="P41" s="88">
        <v>0</v>
      </c>
      <c r="Q41" s="88">
        <v>2500</v>
      </c>
      <c r="R41" s="88">
        <v>0</v>
      </c>
      <c r="S41" s="89">
        <v>101541</v>
      </c>
      <c r="T41" s="87">
        <v>0</v>
      </c>
      <c r="U41" s="87">
        <v>1</v>
      </c>
      <c r="V41" s="11" t="str">
        <f ca="1">IF(ISBLANK(RAdata6[[#This Row],[budg_seq_yr]]),"FY"&amp;fiscalyear,"FY"&amp;fiscalyear-1+RAdata6[[#This Row],[budg_seq_yr]])</f>
        <v>FY18</v>
      </c>
      <c r="W41" s="88">
        <v>101541</v>
      </c>
      <c r="X41" s="87" t="s">
        <v>243</v>
      </c>
      <c r="Y41" s="87" t="s">
        <v>313</v>
      </c>
      <c r="Z41" s="87" t="s">
        <v>288</v>
      </c>
    </row>
    <row r="42" spans="1:26" x14ac:dyDescent="0.4">
      <c r="A42" s="10" t="s">
        <v>337</v>
      </c>
      <c r="B42" s="85" t="s">
        <v>102</v>
      </c>
      <c r="C42" s="86">
        <v>42935.388194444444</v>
      </c>
      <c r="D42" s="87" t="s">
        <v>279</v>
      </c>
      <c r="E42" s="87" t="s">
        <v>243</v>
      </c>
      <c r="F42" s="87" t="s">
        <v>313</v>
      </c>
      <c r="G42" s="87" t="s">
        <v>314</v>
      </c>
      <c r="H42" s="87" t="s">
        <v>337</v>
      </c>
      <c r="I42" s="7" t="str">
        <f>IF(RAdata6[[#This Row],[pi_last_name]]=" ","",HYPERLINK("https://www.ejacket.nsf.gov/ej/showProposal.do?Continue=Y&amp;ID="&amp;RAdata6[[#This Row],[prop_id]],RAdata6[[#This Row],[prop_id]]))</f>
        <v/>
      </c>
      <c r="J42" s="7" t="str">
        <f>IF(RAdata6[[#This Row],[pi_last_name]]=" ","",HYPERLINK("https://www.ejacket.nsf.gov/ej/processReviewAnalysis.do?dispatch=add&amp;uniqId="&amp;RAdata6[[#This Row],[prop_id]]&amp;pm_ibm_logn_id,"&gt;ra"))</f>
        <v/>
      </c>
      <c r="K42" s="87" t="s">
        <v>14</v>
      </c>
      <c r="L42" s="87" t="s">
        <v>14</v>
      </c>
      <c r="M42" s="87" t="s">
        <v>14</v>
      </c>
      <c r="N42" s="87">
        <v>1</v>
      </c>
      <c r="O42" s="87">
        <v>1</v>
      </c>
      <c r="P42" s="88">
        <v>0</v>
      </c>
      <c r="Q42" s="88">
        <v>2500</v>
      </c>
      <c r="R42" s="88">
        <v>0</v>
      </c>
      <c r="S42" s="89">
        <v>103772</v>
      </c>
      <c r="T42" s="87">
        <v>0</v>
      </c>
      <c r="U42" s="87">
        <v>2</v>
      </c>
      <c r="V42" s="11" t="str">
        <f ca="1">IF(ISBLANK(RAdata6[[#This Row],[budg_seq_yr]]),"FY"&amp;fiscalyear,"FY"&amp;fiscalyear-1+RAdata6[[#This Row],[budg_seq_yr]])</f>
        <v>FY19</v>
      </c>
      <c r="W42" s="88">
        <v>103772</v>
      </c>
      <c r="X42" s="87" t="s">
        <v>243</v>
      </c>
      <c r="Y42" s="87" t="s">
        <v>313</v>
      </c>
      <c r="Z42" s="87" t="s">
        <v>288</v>
      </c>
    </row>
    <row r="43" spans="1:26" x14ac:dyDescent="0.4">
      <c r="A43" s="10" t="s">
        <v>337</v>
      </c>
      <c r="B43" s="85" t="s">
        <v>102</v>
      </c>
      <c r="C43" s="86">
        <v>42935.388194444444</v>
      </c>
      <c r="D43" s="87" t="s">
        <v>279</v>
      </c>
      <c r="E43" s="87" t="s">
        <v>243</v>
      </c>
      <c r="F43" s="87" t="s">
        <v>313</v>
      </c>
      <c r="G43" s="87" t="s">
        <v>314</v>
      </c>
      <c r="H43" s="87" t="s">
        <v>337</v>
      </c>
      <c r="I43" s="7" t="str">
        <f>IF(RAdata6[[#This Row],[pi_last_name]]=" ","",HYPERLINK("https://www.ejacket.nsf.gov/ej/showProposal.do?Continue=Y&amp;ID="&amp;RAdata6[[#This Row],[prop_id]],RAdata6[[#This Row],[prop_id]]))</f>
        <v/>
      </c>
      <c r="J43" s="7" t="str">
        <f>IF(RAdata6[[#This Row],[pi_last_name]]=" ","",HYPERLINK("https://www.ejacket.nsf.gov/ej/processReviewAnalysis.do?dispatch=add&amp;uniqId="&amp;RAdata6[[#This Row],[prop_id]]&amp;pm_ibm_logn_id,"&gt;ra"))</f>
        <v/>
      </c>
      <c r="K43" s="87" t="s">
        <v>14</v>
      </c>
      <c r="L43" s="87" t="s">
        <v>14</v>
      </c>
      <c r="M43" s="87" t="s">
        <v>14</v>
      </c>
      <c r="N43" s="87">
        <v>1</v>
      </c>
      <c r="O43" s="87">
        <v>1</v>
      </c>
      <c r="P43" s="88">
        <v>0</v>
      </c>
      <c r="Q43" s="88">
        <v>2500</v>
      </c>
      <c r="R43" s="88">
        <v>0</v>
      </c>
      <c r="S43" s="89">
        <v>106064</v>
      </c>
      <c r="T43" s="87">
        <v>0</v>
      </c>
      <c r="U43" s="87">
        <v>3</v>
      </c>
      <c r="V43" s="11" t="str">
        <f ca="1">IF(ISBLANK(RAdata6[[#This Row],[budg_seq_yr]]),"FY"&amp;fiscalyear,"FY"&amp;fiscalyear-1+RAdata6[[#This Row],[budg_seq_yr]])</f>
        <v>FY20</v>
      </c>
      <c r="W43" s="88">
        <v>106064</v>
      </c>
      <c r="X43" s="87" t="s">
        <v>243</v>
      </c>
      <c r="Y43" s="87" t="s">
        <v>313</v>
      </c>
      <c r="Z43" s="87" t="s">
        <v>288</v>
      </c>
    </row>
    <row r="44" spans="1:26" x14ac:dyDescent="0.4">
      <c r="A44" s="10" t="s">
        <v>337</v>
      </c>
      <c r="B44" s="85" t="s">
        <v>102</v>
      </c>
      <c r="C44" s="86">
        <v>42935.388194444444</v>
      </c>
      <c r="D44" s="87" t="s">
        <v>279</v>
      </c>
      <c r="E44" s="87" t="s">
        <v>243</v>
      </c>
      <c r="F44" s="87" t="s">
        <v>313</v>
      </c>
      <c r="G44" s="87" t="s">
        <v>314</v>
      </c>
      <c r="H44" s="87" t="s">
        <v>337</v>
      </c>
      <c r="I44" s="7" t="str">
        <f>IF(RAdata6[[#This Row],[pi_last_name]]=" ","",HYPERLINK("https://www.ejacket.nsf.gov/ej/showProposal.do?Continue=Y&amp;ID="&amp;RAdata6[[#This Row],[prop_id]],RAdata6[[#This Row],[prop_id]]))</f>
        <v/>
      </c>
      <c r="J44" s="7" t="str">
        <f>IF(RAdata6[[#This Row],[pi_last_name]]=" ","",HYPERLINK("https://www.ejacket.nsf.gov/ej/processReviewAnalysis.do?dispatch=add&amp;uniqId="&amp;RAdata6[[#This Row],[prop_id]]&amp;pm_ibm_logn_id,"&gt;ra"))</f>
        <v/>
      </c>
      <c r="K44" s="87" t="s">
        <v>14</v>
      </c>
      <c r="L44" s="87" t="s">
        <v>14</v>
      </c>
      <c r="M44" s="87" t="s">
        <v>14</v>
      </c>
      <c r="N44" s="87">
        <v>1</v>
      </c>
      <c r="O44" s="87">
        <v>1</v>
      </c>
      <c r="P44" s="88">
        <v>0</v>
      </c>
      <c r="Q44" s="88">
        <v>2500</v>
      </c>
      <c r="R44" s="88">
        <v>0</v>
      </c>
      <c r="S44" s="89">
        <v>92869</v>
      </c>
      <c r="T44" s="87">
        <v>0</v>
      </c>
      <c r="U44" s="87">
        <v>4</v>
      </c>
      <c r="V44" s="11" t="str">
        <f ca="1">IF(ISBLANK(RAdata6[[#This Row],[budg_seq_yr]]),"FY"&amp;fiscalyear,"FY"&amp;fiscalyear-1+RAdata6[[#This Row],[budg_seq_yr]])</f>
        <v>FY21</v>
      </c>
      <c r="W44" s="88">
        <v>92869</v>
      </c>
      <c r="X44" s="87" t="s">
        <v>243</v>
      </c>
      <c r="Y44" s="87" t="s">
        <v>313</v>
      </c>
      <c r="Z44" s="87" t="s">
        <v>288</v>
      </c>
    </row>
    <row r="45" spans="1:26" x14ac:dyDescent="0.4">
      <c r="A45" s="10" t="s">
        <v>337</v>
      </c>
      <c r="B45" s="85" t="s">
        <v>102</v>
      </c>
      <c r="C45" s="86">
        <v>42935.388194444444</v>
      </c>
      <c r="D45" s="87" t="s">
        <v>279</v>
      </c>
      <c r="E45" s="87" t="s">
        <v>243</v>
      </c>
      <c r="F45" s="87" t="s">
        <v>313</v>
      </c>
      <c r="G45" s="87" t="s">
        <v>314</v>
      </c>
      <c r="H45" s="87" t="s">
        <v>337</v>
      </c>
      <c r="I45" s="7" t="str">
        <f>IF(RAdata6[[#This Row],[pi_last_name]]=" ","",HYPERLINK("https://www.ejacket.nsf.gov/ej/showProposal.do?Continue=Y&amp;ID="&amp;RAdata6[[#This Row],[prop_id]],RAdata6[[#This Row],[prop_id]]))</f>
        <v/>
      </c>
      <c r="J45" s="7" t="str">
        <f>IF(RAdata6[[#This Row],[pi_last_name]]=" ","",HYPERLINK("https://www.ejacket.nsf.gov/ej/processReviewAnalysis.do?dispatch=add&amp;uniqId="&amp;RAdata6[[#This Row],[prop_id]]&amp;pm_ibm_logn_id,"&gt;ra"))</f>
        <v/>
      </c>
      <c r="K45" s="87" t="s">
        <v>14</v>
      </c>
      <c r="L45" s="87" t="s">
        <v>14</v>
      </c>
      <c r="M45" s="87" t="s">
        <v>14</v>
      </c>
      <c r="N45" s="87">
        <v>1</v>
      </c>
      <c r="O45" s="87">
        <v>1</v>
      </c>
      <c r="P45" s="88">
        <v>0</v>
      </c>
      <c r="Q45" s="88">
        <v>2500</v>
      </c>
      <c r="R45" s="88">
        <v>0</v>
      </c>
      <c r="S45" s="89">
        <v>94753</v>
      </c>
      <c r="T45" s="87">
        <v>0</v>
      </c>
      <c r="U45" s="87">
        <v>5</v>
      </c>
      <c r="V45" s="11" t="str">
        <f ca="1">IF(ISBLANK(RAdata6[[#This Row],[budg_seq_yr]]),"FY"&amp;fiscalyear,"FY"&amp;fiscalyear-1+RAdata6[[#This Row],[budg_seq_yr]])</f>
        <v>FY22</v>
      </c>
      <c r="W45" s="88">
        <v>94753</v>
      </c>
      <c r="X45" s="87" t="s">
        <v>243</v>
      </c>
      <c r="Y45" s="87" t="s">
        <v>313</v>
      </c>
      <c r="Z45" s="87" t="s">
        <v>288</v>
      </c>
    </row>
    <row r="46" spans="1:26" x14ac:dyDescent="0.4">
      <c r="A46" s="10" t="s">
        <v>341</v>
      </c>
      <c r="B46" s="85" t="s">
        <v>102</v>
      </c>
      <c r="C46" s="86">
        <v>42935.546527777777</v>
      </c>
      <c r="D46" s="87" t="s">
        <v>279</v>
      </c>
      <c r="E46" s="87" t="s">
        <v>243</v>
      </c>
      <c r="F46" s="87" t="s">
        <v>313</v>
      </c>
      <c r="G46" s="87" t="s">
        <v>314</v>
      </c>
      <c r="H46" s="87" t="s">
        <v>341</v>
      </c>
      <c r="I46" s="7" t="str">
        <f>IF(RAdata6[[#This Row],[pi_last_name]]=" ","",HYPERLINK("https://www.ejacket.nsf.gov/ej/showProposal.do?Continue=Y&amp;ID="&amp;RAdata6[[#This Row],[prop_id]],RAdata6[[#This Row],[prop_id]]))</f>
        <v>1750465</v>
      </c>
      <c r="J46" s="7" t="str">
        <f>IF(RAdata6[[#This Row],[pi_last_name]]=" ","",HYPERLINK("https://www.ejacket.nsf.gov/ej/processReviewAnalysis.do?dispatch=add&amp;uniqId="&amp;RAdata6[[#This Row],[prop_id]]&amp;pm_ibm_logn_id,"&gt;ra"))</f>
        <v>&gt;ra</v>
      </c>
      <c r="K46" s="87" t="s">
        <v>342</v>
      </c>
      <c r="L46" s="87" t="s">
        <v>343</v>
      </c>
      <c r="M46" s="87" t="s">
        <v>344</v>
      </c>
      <c r="N46" s="87"/>
      <c r="O46" s="87"/>
      <c r="P46" s="88"/>
      <c r="Q46" s="88"/>
      <c r="R46" s="88"/>
      <c r="S46" s="89"/>
      <c r="T46" s="87">
        <v>0</v>
      </c>
      <c r="U46" s="87"/>
      <c r="V46" s="11" t="str">
        <f ca="1">IF(ISBLANK(RAdata6[[#This Row],[budg_seq_yr]]),"FY"&amp;fiscalyear,"FY"&amp;fiscalyear-1+RAdata6[[#This Row],[budg_seq_yr]])</f>
        <v>FY18</v>
      </c>
      <c r="W46" s="88">
        <v>430917</v>
      </c>
      <c r="X46" s="87" t="s">
        <v>243</v>
      </c>
      <c r="Y46" s="87" t="s">
        <v>313</v>
      </c>
      <c r="Z46" s="87" t="s">
        <v>288</v>
      </c>
    </row>
    <row r="47" spans="1:26" x14ac:dyDescent="0.4">
      <c r="A47" s="10" t="s">
        <v>341</v>
      </c>
      <c r="B47" s="85" t="s">
        <v>102</v>
      </c>
      <c r="C47" s="86">
        <v>42935.546527777777</v>
      </c>
      <c r="D47" s="87" t="s">
        <v>279</v>
      </c>
      <c r="E47" s="87" t="s">
        <v>243</v>
      </c>
      <c r="F47" s="87" t="s">
        <v>313</v>
      </c>
      <c r="G47" s="87" t="s">
        <v>314</v>
      </c>
      <c r="H47" s="87" t="s">
        <v>341</v>
      </c>
      <c r="I47" s="7" t="str">
        <f>IF(RAdata6[[#This Row],[pi_last_name]]=" ","",HYPERLINK("https://www.ejacket.nsf.gov/ej/showProposal.do?Continue=Y&amp;ID="&amp;RAdata6[[#This Row],[prop_id]],RAdata6[[#This Row],[prop_id]]))</f>
        <v/>
      </c>
      <c r="J47" s="7" t="str">
        <f>IF(RAdata6[[#This Row],[pi_last_name]]=" ","",HYPERLINK("https://www.ejacket.nsf.gov/ej/processReviewAnalysis.do?dispatch=add&amp;uniqId="&amp;RAdata6[[#This Row],[prop_id]]&amp;pm_ibm_logn_id,"&gt;ra"))</f>
        <v/>
      </c>
      <c r="K47" s="87" t="s">
        <v>14</v>
      </c>
      <c r="L47" s="87" t="s">
        <v>14</v>
      </c>
      <c r="M47" s="87" t="s">
        <v>14</v>
      </c>
      <c r="N47" s="87">
        <v>1</v>
      </c>
      <c r="O47" s="87">
        <v>2</v>
      </c>
      <c r="P47" s="88">
        <v>0</v>
      </c>
      <c r="Q47" s="88">
        <v>8000</v>
      </c>
      <c r="R47" s="88">
        <v>0</v>
      </c>
      <c r="S47" s="89">
        <v>93718</v>
      </c>
      <c r="T47" s="87">
        <v>0</v>
      </c>
      <c r="U47" s="87">
        <v>1</v>
      </c>
      <c r="V47" s="11" t="str">
        <f ca="1">IF(ISBLANK(RAdata6[[#This Row],[budg_seq_yr]]),"FY"&amp;fiscalyear,"FY"&amp;fiscalyear-1+RAdata6[[#This Row],[budg_seq_yr]])</f>
        <v>FY18</v>
      </c>
      <c r="W47" s="88">
        <v>93718</v>
      </c>
      <c r="X47" s="87" t="s">
        <v>243</v>
      </c>
      <c r="Y47" s="87" t="s">
        <v>313</v>
      </c>
      <c r="Z47" s="87" t="s">
        <v>288</v>
      </c>
    </row>
    <row r="48" spans="1:26" x14ac:dyDescent="0.4">
      <c r="A48" s="10" t="s">
        <v>341</v>
      </c>
      <c r="B48" s="85" t="s">
        <v>102</v>
      </c>
      <c r="C48" s="86">
        <v>42935.546527777777</v>
      </c>
      <c r="D48" s="87" t="s">
        <v>279</v>
      </c>
      <c r="E48" s="87" t="s">
        <v>243</v>
      </c>
      <c r="F48" s="87" t="s">
        <v>313</v>
      </c>
      <c r="G48" s="87" t="s">
        <v>314</v>
      </c>
      <c r="H48" s="87" t="s">
        <v>341</v>
      </c>
      <c r="I48" s="7" t="str">
        <f>IF(RAdata6[[#This Row],[pi_last_name]]=" ","",HYPERLINK("https://www.ejacket.nsf.gov/ej/showProposal.do?Continue=Y&amp;ID="&amp;RAdata6[[#This Row],[prop_id]],RAdata6[[#This Row],[prop_id]]))</f>
        <v/>
      </c>
      <c r="J48" s="7" t="str">
        <f>IF(RAdata6[[#This Row],[pi_last_name]]=" ","",HYPERLINK("https://www.ejacket.nsf.gov/ej/processReviewAnalysis.do?dispatch=add&amp;uniqId="&amp;RAdata6[[#This Row],[prop_id]]&amp;pm_ibm_logn_id,"&gt;ra"))</f>
        <v/>
      </c>
      <c r="K48" s="87" t="s">
        <v>14</v>
      </c>
      <c r="L48" s="87" t="s">
        <v>14</v>
      </c>
      <c r="M48" s="87" t="s">
        <v>14</v>
      </c>
      <c r="N48" s="87">
        <v>1</v>
      </c>
      <c r="O48" s="87">
        <v>2</v>
      </c>
      <c r="P48" s="88">
        <v>0</v>
      </c>
      <c r="Q48" s="88">
        <v>8000</v>
      </c>
      <c r="R48" s="88">
        <v>0</v>
      </c>
      <c r="S48" s="89">
        <v>74976</v>
      </c>
      <c r="T48" s="87">
        <v>0</v>
      </c>
      <c r="U48" s="87">
        <v>2</v>
      </c>
      <c r="V48" s="11" t="str">
        <f ca="1">IF(ISBLANK(RAdata6[[#This Row],[budg_seq_yr]]),"FY"&amp;fiscalyear,"FY"&amp;fiscalyear-1+RAdata6[[#This Row],[budg_seq_yr]])</f>
        <v>FY19</v>
      </c>
      <c r="W48" s="88">
        <v>74976</v>
      </c>
      <c r="X48" s="87" t="s">
        <v>243</v>
      </c>
      <c r="Y48" s="87" t="s">
        <v>313</v>
      </c>
      <c r="Z48" s="87" t="s">
        <v>288</v>
      </c>
    </row>
    <row r="49" spans="1:26" x14ac:dyDescent="0.4">
      <c r="A49" s="10" t="s">
        <v>341</v>
      </c>
      <c r="B49" s="85" t="s">
        <v>102</v>
      </c>
      <c r="C49" s="86">
        <v>42935.546527777777</v>
      </c>
      <c r="D49" s="87" t="s">
        <v>279</v>
      </c>
      <c r="E49" s="87" t="s">
        <v>243</v>
      </c>
      <c r="F49" s="87" t="s">
        <v>313</v>
      </c>
      <c r="G49" s="87" t="s">
        <v>314</v>
      </c>
      <c r="H49" s="87" t="s">
        <v>341</v>
      </c>
      <c r="I49" s="7" t="str">
        <f>IF(RAdata6[[#This Row],[pi_last_name]]=" ","",HYPERLINK("https://www.ejacket.nsf.gov/ej/showProposal.do?Continue=Y&amp;ID="&amp;RAdata6[[#This Row],[prop_id]],RAdata6[[#This Row],[prop_id]]))</f>
        <v/>
      </c>
      <c r="J49" s="7" t="str">
        <f>IF(RAdata6[[#This Row],[pi_last_name]]=" ","",HYPERLINK("https://www.ejacket.nsf.gov/ej/processReviewAnalysis.do?dispatch=add&amp;uniqId="&amp;RAdata6[[#This Row],[prop_id]]&amp;pm_ibm_logn_id,"&gt;ra"))</f>
        <v/>
      </c>
      <c r="K49" s="87" t="s">
        <v>14</v>
      </c>
      <c r="L49" s="87" t="s">
        <v>14</v>
      </c>
      <c r="M49" s="87" t="s">
        <v>14</v>
      </c>
      <c r="N49" s="87">
        <v>1</v>
      </c>
      <c r="O49" s="87">
        <v>2</v>
      </c>
      <c r="P49" s="88">
        <v>0</v>
      </c>
      <c r="Q49" s="88">
        <v>8000</v>
      </c>
      <c r="R49" s="88">
        <v>0</v>
      </c>
      <c r="S49" s="89">
        <v>76273</v>
      </c>
      <c r="T49" s="87">
        <v>0</v>
      </c>
      <c r="U49" s="87">
        <v>3</v>
      </c>
      <c r="V49" s="11" t="str">
        <f ca="1">IF(ISBLANK(RAdata6[[#This Row],[budg_seq_yr]]),"FY"&amp;fiscalyear,"FY"&amp;fiscalyear-1+RAdata6[[#This Row],[budg_seq_yr]])</f>
        <v>FY20</v>
      </c>
      <c r="W49" s="88">
        <v>76273</v>
      </c>
      <c r="X49" s="87" t="s">
        <v>243</v>
      </c>
      <c r="Y49" s="87" t="s">
        <v>313</v>
      </c>
      <c r="Z49" s="87" t="s">
        <v>288</v>
      </c>
    </row>
    <row r="50" spans="1:26" x14ac:dyDescent="0.4">
      <c r="A50" s="10" t="s">
        <v>341</v>
      </c>
      <c r="B50" s="85" t="s">
        <v>102</v>
      </c>
      <c r="C50" s="86">
        <v>42935.546527777777</v>
      </c>
      <c r="D50" s="87" t="s">
        <v>279</v>
      </c>
      <c r="E50" s="87" t="s">
        <v>243</v>
      </c>
      <c r="F50" s="87" t="s">
        <v>313</v>
      </c>
      <c r="G50" s="87" t="s">
        <v>314</v>
      </c>
      <c r="H50" s="87" t="s">
        <v>341</v>
      </c>
      <c r="I50" s="7" t="str">
        <f>IF(RAdata6[[#This Row],[pi_last_name]]=" ","",HYPERLINK("https://www.ejacket.nsf.gov/ej/showProposal.do?Continue=Y&amp;ID="&amp;RAdata6[[#This Row],[prop_id]],RAdata6[[#This Row],[prop_id]]))</f>
        <v/>
      </c>
      <c r="J50" s="7" t="str">
        <f>IF(RAdata6[[#This Row],[pi_last_name]]=" ","",HYPERLINK("https://www.ejacket.nsf.gov/ej/processReviewAnalysis.do?dispatch=add&amp;uniqId="&amp;RAdata6[[#This Row],[prop_id]]&amp;pm_ibm_logn_id,"&gt;ra"))</f>
        <v/>
      </c>
      <c r="K50" s="87" t="s">
        <v>14</v>
      </c>
      <c r="L50" s="87" t="s">
        <v>14</v>
      </c>
      <c r="M50" s="87" t="s">
        <v>14</v>
      </c>
      <c r="N50" s="87">
        <v>1</v>
      </c>
      <c r="O50" s="87">
        <v>2</v>
      </c>
      <c r="P50" s="88">
        <v>0</v>
      </c>
      <c r="Q50" s="88">
        <v>8000</v>
      </c>
      <c r="R50" s="88">
        <v>0</v>
      </c>
      <c r="S50" s="89">
        <v>92609</v>
      </c>
      <c r="T50" s="87">
        <v>0</v>
      </c>
      <c r="U50" s="87">
        <v>4</v>
      </c>
      <c r="V50" s="11" t="str">
        <f ca="1">IF(ISBLANK(RAdata6[[#This Row],[budg_seq_yr]]),"FY"&amp;fiscalyear,"FY"&amp;fiscalyear-1+RAdata6[[#This Row],[budg_seq_yr]])</f>
        <v>FY21</v>
      </c>
      <c r="W50" s="88">
        <v>92609</v>
      </c>
      <c r="X50" s="87" t="s">
        <v>243</v>
      </c>
      <c r="Y50" s="87" t="s">
        <v>313</v>
      </c>
      <c r="Z50" s="87" t="s">
        <v>288</v>
      </c>
    </row>
    <row r="51" spans="1:26" x14ac:dyDescent="0.4">
      <c r="A51" s="10" t="s">
        <v>341</v>
      </c>
      <c r="B51" s="85" t="s">
        <v>102</v>
      </c>
      <c r="C51" s="86">
        <v>42935.546527777777</v>
      </c>
      <c r="D51" s="87" t="s">
        <v>279</v>
      </c>
      <c r="E51" s="87" t="s">
        <v>243</v>
      </c>
      <c r="F51" s="87" t="s">
        <v>313</v>
      </c>
      <c r="G51" s="87" t="s">
        <v>314</v>
      </c>
      <c r="H51" s="87" t="s">
        <v>341</v>
      </c>
      <c r="I51" s="7" t="str">
        <f>IF(RAdata6[[#This Row],[pi_last_name]]=" ","",HYPERLINK("https://www.ejacket.nsf.gov/ej/showProposal.do?Continue=Y&amp;ID="&amp;RAdata6[[#This Row],[prop_id]],RAdata6[[#This Row],[prop_id]]))</f>
        <v/>
      </c>
      <c r="J51" s="7" t="str">
        <f>IF(RAdata6[[#This Row],[pi_last_name]]=" ","",HYPERLINK("https://www.ejacket.nsf.gov/ej/processReviewAnalysis.do?dispatch=add&amp;uniqId="&amp;RAdata6[[#This Row],[prop_id]]&amp;pm_ibm_logn_id,"&gt;ra"))</f>
        <v/>
      </c>
      <c r="K51" s="87" t="s">
        <v>14</v>
      </c>
      <c r="L51" s="87" t="s">
        <v>14</v>
      </c>
      <c r="M51" s="87" t="s">
        <v>14</v>
      </c>
      <c r="N51" s="87">
        <v>1</v>
      </c>
      <c r="O51" s="87">
        <v>2</v>
      </c>
      <c r="P51" s="88">
        <v>0</v>
      </c>
      <c r="Q51" s="88">
        <v>8000</v>
      </c>
      <c r="R51" s="88">
        <v>0</v>
      </c>
      <c r="S51" s="89">
        <v>93341</v>
      </c>
      <c r="T51" s="87">
        <v>0</v>
      </c>
      <c r="U51" s="87">
        <v>5</v>
      </c>
      <c r="V51" s="11" t="str">
        <f ca="1">IF(ISBLANK(RAdata6[[#This Row],[budg_seq_yr]]),"FY"&amp;fiscalyear,"FY"&amp;fiscalyear-1+RAdata6[[#This Row],[budg_seq_yr]])</f>
        <v>FY22</v>
      </c>
      <c r="W51" s="88">
        <v>93341</v>
      </c>
      <c r="X51" s="87" t="s">
        <v>243</v>
      </c>
      <c r="Y51" s="87" t="s">
        <v>313</v>
      </c>
      <c r="Z51" s="87" t="s">
        <v>288</v>
      </c>
    </row>
    <row r="52" spans="1:26" x14ac:dyDescent="0.4">
      <c r="A52" s="10" t="s">
        <v>345</v>
      </c>
      <c r="B52" s="85" t="s">
        <v>102</v>
      </c>
      <c r="C52" s="86">
        <v>42935.551388888889</v>
      </c>
      <c r="D52" s="87" t="s">
        <v>279</v>
      </c>
      <c r="E52" s="87" t="s">
        <v>243</v>
      </c>
      <c r="F52" s="87" t="s">
        <v>313</v>
      </c>
      <c r="G52" s="87" t="s">
        <v>314</v>
      </c>
      <c r="H52" s="87" t="s">
        <v>345</v>
      </c>
      <c r="I52" s="7" t="str">
        <f>IF(RAdata6[[#This Row],[pi_last_name]]=" ","",HYPERLINK("https://www.ejacket.nsf.gov/ej/showProposal.do?Continue=Y&amp;ID="&amp;RAdata6[[#This Row],[prop_id]],RAdata6[[#This Row],[prop_id]]))</f>
        <v>1750482</v>
      </c>
      <c r="J52" s="7" t="str">
        <f>IF(RAdata6[[#This Row],[pi_last_name]]=" ","",HYPERLINK("https://www.ejacket.nsf.gov/ej/processReviewAnalysis.do?dispatch=add&amp;uniqId="&amp;RAdata6[[#This Row],[prop_id]]&amp;pm_ibm_logn_id,"&gt;ra"))</f>
        <v>&gt;ra</v>
      </c>
      <c r="K52" s="87" t="s">
        <v>346</v>
      </c>
      <c r="L52" s="87" t="s">
        <v>347</v>
      </c>
      <c r="M52" s="87" t="s">
        <v>348</v>
      </c>
      <c r="N52" s="87"/>
      <c r="O52" s="87"/>
      <c r="P52" s="88"/>
      <c r="Q52" s="88"/>
      <c r="R52" s="88"/>
      <c r="S52" s="89"/>
      <c r="T52" s="87">
        <v>0</v>
      </c>
      <c r="U52" s="87"/>
      <c r="V52" s="11" t="str">
        <f ca="1">IF(ISBLANK(RAdata6[[#This Row],[budg_seq_yr]]),"FY"&amp;fiscalyear,"FY"&amp;fiscalyear-1+RAdata6[[#This Row],[budg_seq_yr]])</f>
        <v>FY18</v>
      </c>
      <c r="W52" s="88">
        <v>475283</v>
      </c>
      <c r="X52" s="87" t="s">
        <v>243</v>
      </c>
      <c r="Y52" s="87" t="s">
        <v>313</v>
      </c>
      <c r="Z52" s="87" t="s">
        <v>288</v>
      </c>
    </row>
    <row r="53" spans="1:26" x14ac:dyDescent="0.4">
      <c r="A53" s="10" t="s">
        <v>345</v>
      </c>
      <c r="B53" s="85" t="s">
        <v>102</v>
      </c>
      <c r="C53" s="86">
        <v>42935.551388888889</v>
      </c>
      <c r="D53" s="87" t="s">
        <v>279</v>
      </c>
      <c r="E53" s="87" t="s">
        <v>243</v>
      </c>
      <c r="F53" s="87" t="s">
        <v>313</v>
      </c>
      <c r="G53" s="87" t="s">
        <v>314</v>
      </c>
      <c r="H53" s="87" t="s">
        <v>345</v>
      </c>
      <c r="I53" s="7" t="str">
        <f>IF(RAdata6[[#This Row],[pi_last_name]]=" ","",HYPERLINK("https://www.ejacket.nsf.gov/ej/showProposal.do?Continue=Y&amp;ID="&amp;RAdata6[[#This Row],[prop_id]],RAdata6[[#This Row],[prop_id]]))</f>
        <v/>
      </c>
      <c r="J53" s="7" t="str">
        <f>IF(RAdata6[[#This Row],[pi_last_name]]=" ","",HYPERLINK("https://www.ejacket.nsf.gov/ej/processReviewAnalysis.do?dispatch=add&amp;uniqId="&amp;RAdata6[[#This Row],[prop_id]]&amp;pm_ibm_logn_id,"&gt;ra"))</f>
        <v/>
      </c>
      <c r="K53" s="87" t="s">
        <v>14</v>
      </c>
      <c r="L53" s="87" t="s">
        <v>14</v>
      </c>
      <c r="M53" s="87" t="s">
        <v>14</v>
      </c>
      <c r="N53" s="87">
        <v>1</v>
      </c>
      <c r="O53" s="87">
        <v>0</v>
      </c>
      <c r="P53" s="88">
        <v>50000</v>
      </c>
      <c r="Q53" s="88">
        <v>5000</v>
      </c>
      <c r="R53" s="88">
        <v>0</v>
      </c>
      <c r="S53" s="89">
        <v>144290</v>
      </c>
      <c r="T53" s="87">
        <v>0</v>
      </c>
      <c r="U53" s="87">
        <v>1</v>
      </c>
      <c r="V53" s="11" t="str">
        <f ca="1">IF(ISBLANK(RAdata6[[#This Row],[budg_seq_yr]]),"FY"&amp;fiscalyear,"FY"&amp;fiscalyear-1+RAdata6[[#This Row],[budg_seq_yr]])</f>
        <v>FY18</v>
      </c>
      <c r="W53" s="88">
        <v>144290</v>
      </c>
      <c r="X53" s="87" t="s">
        <v>243</v>
      </c>
      <c r="Y53" s="87" t="s">
        <v>313</v>
      </c>
      <c r="Z53" s="87" t="s">
        <v>288</v>
      </c>
    </row>
    <row r="54" spans="1:26" x14ac:dyDescent="0.4">
      <c r="A54" s="10" t="s">
        <v>345</v>
      </c>
      <c r="B54" s="85" t="s">
        <v>102</v>
      </c>
      <c r="C54" s="86">
        <v>42935.551388888889</v>
      </c>
      <c r="D54" s="87" t="s">
        <v>279</v>
      </c>
      <c r="E54" s="87" t="s">
        <v>243</v>
      </c>
      <c r="F54" s="87" t="s">
        <v>313</v>
      </c>
      <c r="G54" s="87" t="s">
        <v>314</v>
      </c>
      <c r="H54" s="87" t="s">
        <v>345</v>
      </c>
      <c r="I54" s="7" t="str">
        <f>IF(RAdata6[[#This Row],[pi_last_name]]=" ","",HYPERLINK("https://www.ejacket.nsf.gov/ej/showProposal.do?Continue=Y&amp;ID="&amp;RAdata6[[#This Row],[prop_id]],RAdata6[[#This Row],[prop_id]]))</f>
        <v/>
      </c>
      <c r="J54" s="7" t="str">
        <f>IF(RAdata6[[#This Row],[pi_last_name]]=" ","",HYPERLINK("https://www.ejacket.nsf.gov/ej/processReviewAnalysis.do?dispatch=add&amp;uniqId="&amp;RAdata6[[#This Row],[prop_id]]&amp;pm_ibm_logn_id,"&gt;ra"))</f>
        <v/>
      </c>
      <c r="K54" s="87" t="s">
        <v>14</v>
      </c>
      <c r="L54" s="87" t="s">
        <v>14</v>
      </c>
      <c r="M54" s="87" t="s">
        <v>14</v>
      </c>
      <c r="N54" s="87">
        <v>1</v>
      </c>
      <c r="O54" s="87">
        <v>1</v>
      </c>
      <c r="P54" s="88">
        <v>51500</v>
      </c>
      <c r="Q54" s="88">
        <v>5000</v>
      </c>
      <c r="R54" s="88">
        <v>0</v>
      </c>
      <c r="S54" s="89">
        <v>159214</v>
      </c>
      <c r="T54" s="87">
        <v>0</v>
      </c>
      <c r="U54" s="87">
        <v>2</v>
      </c>
      <c r="V54" s="11" t="str">
        <f ca="1">IF(ISBLANK(RAdata6[[#This Row],[budg_seq_yr]]),"FY"&amp;fiscalyear,"FY"&amp;fiscalyear-1+RAdata6[[#This Row],[budg_seq_yr]])</f>
        <v>FY19</v>
      </c>
      <c r="W54" s="88">
        <v>159214</v>
      </c>
      <c r="X54" s="87" t="s">
        <v>243</v>
      </c>
      <c r="Y54" s="87" t="s">
        <v>313</v>
      </c>
      <c r="Z54" s="87" t="s">
        <v>288</v>
      </c>
    </row>
    <row r="55" spans="1:26" x14ac:dyDescent="0.4">
      <c r="A55" s="10" t="s">
        <v>345</v>
      </c>
      <c r="B55" s="85" t="s">
        <v>102</v>
      </c>
      <c r="C55" s="86">
        <v>42935.551388888889</v>
      </c>
      <c r="D55" s="87" t="s">
        <v>279</v>
      </c>
      <c r="E55" s="87" t="s">
        <v>243</v>
      </c>
      <c r="F55" s="87" t="s">
        <v>313</v>
      </c>
      <c r="G55" s="87" t="s">
        <v>314</v>
      </c>
      <c r="H55" s="87" t="s">
        <v>345</v>
      </c>
      <c r="I55" s="7" t="str">
        <f>IF(RAdata6[[#This Row],[pi_last_name]]=" ","",HYPERLINK("https://www.ejacket.nsf.gov/ej/showProposal.do?Continue=Y&amp;ID="&amp;RAdata6[[#This Row],[prop_id]],RAdata6[[#This Row],[prop_id]]))</f>
        <v/>
      </c>
      <c r="J55" s="7" t="str">
        <f>IF(RAdata6[[#This Row],[pi_last_name]]=" ","",HYPERLINK("https://www.ejacket.nsf.gov/ej/processReviewAnalysis.do?dispatch=add&amp;uniqId="&amp;RAdata6[[#This Row],[prop_id]]&amp;pm_ibm_logn_id,"&gt;ra"))</f>
        <v/>
      </c>
      <c r="K55" s="87" t="s">
        <v>14</v>
      </c>
      <c r="L55" s="87" t="s">
        <v>14</v>
      </c>
      <c r="M55" s="87" t="s">
        <v>14</v>
      </c>
      <c r="N55" s="87">
        <v>1</v>
      </c>
      <c r="O55" s="87">
        <v>1</v>
      </c>
      <c r="P55" s="88">
        <v>0</v>
      </c>
      <c r="Q55" s="88">
        <v>2500</v>
      </c>
      <c r="R55" s="88">
        <v>0</v>
      </c>
      <c r="S55" s="89">
        <v>46138</v>
      </c>
      <c r="T55" s="87">
        <v>0</v>
      </c>
      <c r="U55" s="87">
        <v>3</v>
      </c>
      <c r="V55" s="11" t="str">
        <f ca="1">IF(ISBLANK(RAdata6[[#This Row],[budg_seq_yr]]),"FY"&amp;fiscalyear,"FY"&amp;fiscalyear-1+RAdata6[[#This Row],[budg_seq_yr]])</f>
        <v>FY20</v>
      </c>
      <c r="W55" s="88">
        <v>46138</v>
      </c>
      <c r="X55" s="87" t="s">
        <v>243</v>
      </c>
      <c r="Y55" s="87" t="s">
        <v>313</v>
      </c>
      <c r="Z55" s="87" t="s">
        <v>288</v>
      </c>
    </row>
    <row r="56" spans="1:26" x14ac:dyDescent="0.4">
      <c r="A56" s="10" t="s">
        <v>345</v>
      </c>
      <c r="B56" s="85" t="s">
        <v>102</v>
      </c>
      <c r="C56" s="86">
        <v>42935.551388888889</v>
      </c>
      <c r="D56" s="87" t="s">
        <v>279</v>
      </c>
      <c r="E56" s="87" t="s">
        <v>243</v>
      </c>
      <c r="F56" s="87" t="s">
        <v>313</v>
      </c>
      <c r="G56" s="87" t="s">
        <v>314</v>
      </c>
      <c r="H56" s="87" t="s">
        <v>345</v>
      </c>
      <c r="I56" s="7" t="str">
        <f>IF(RAdata6[[#This Row],[pi_last_name]]=" ","",HYPERLINK("https://www.ejacket.nsf.gov/ej/showProposal.do?Continue=Y&amp;ID="&amp;RAdata6[[#This Row],[prop_id]],RAdata6[[#This Row],[prop_id]]))</f>
        <v/>
      </c>
      <c r="J56" s="7" t="str">
        <f>IF(RAdata6[[#This Row],[pi_last_name]]=" ","",HYPERLINK("https://www.ejacket.nsf.gov/ej/processReviewAnalysis.do?dispatch=add&amp;uniqId="&amp;RAdata6[[#This Row],[prop_id]]&amp;pm_ibm_logn_id,"&gt;ra"))</f>
        <v/>
      </c>
      <c r="K56" s="87" t="s">
        <v>14</v>
      </c>
      <c r="L56" s="87" t="s">
        <v>14</v>
      </c>
      <c r="M56" s="87" t="s">
        <v>14</v>
      </c>
      <c r="N56" s="87">
        <v>1</v>
      </c>
      <c r="O56" s="87">
        <v>1</v>
      </c>
      <c r="P56" s="88">
        <v>0</v>
      </c>
      <c r="Q56" s="88">
        <v>2500</v>
      </c>
      <c r="R56" s="88">
        <v>0</v>
      </c>
      <c r="S56" s="89">
        <v>61995</v>
      </c>
      <c r="T56" s="87">
        <v>0</v>
      </c>
      <c r="U56" s="87">
        <v>4</v>
      </c>
      <c r="V56" s="11" t="str">
        <f ca="1">IF(ISBLANK(RAdata6[[#This Row],[budg_seq_yr]]),"FY"&amp;fiscalyear,"FY"&amp;fiscalyear-1+RAdata6[[#This Row],[budg_seq_yr]])</f>
        <v>FY21</v>
      </c>
      <c r="W56" s="88">
        <v>61995</v>
      </c>
      <c r="X56" s="87" t="s">
        <v>243</v>
      </c>
      <c r="Y56" s="87" t="s">
        <v>313</v>
      </c>
      <c r="Z56" s="87" t="s">
        <v>288</v>
      </c>
    </row>
    <row r="57" spans="1:26" x14ac:dyDescent="0.4">
      <c r="A57" s="10" t="s">
        <v>345</v>
      </c>
      <c r="B57" s="85" t="s">
        <v>102</v>
      </c>
      <c r="C57" s="86">
        <v>42935.551388888889</v>
      </c>
      <c r="D57" s="87" t="s">
        <v>279</v>
      </c>
      <c r="E57" s="87" t="s">
        <v>243</v>
      </c>
      <c r="F57" s="87" t="s">
        <v>313</v>
      </c>
      <c r="G57" s="87" t="s">
        <v>314</v>
      </c>
      <c r="H57" s="87" t="s">
        <v>345</v>
      </c>
      <c r="I57" s="7" t="str">
        <f>IF(RAdata6[[#This Row],[pi_last_name]]=" ","",HYPERLINK("https://www.ejacket.nsf.gov/ej/showProposal.do?Continue=Y&amp;ID="&amp;RAdata6[[#This Row],[prop_id]],RAdata6[[#This Row],[prop_id]]))</f>
        <v/>
      </c>
      <c r="J57" s="7" t="str">
        <f>IF(RAdata6[[#This Row],[pi_last_name]]=" ","",HYPERLINK("https://www.ejacket.nsf.gov/ej/processReviewAnalysis.do?dispatch=add&amp;uniqId="&amp;RAdata6[[#This Row],[prop_id]]&amp;pm_ibm_logn_id,"&gt;ra"))</f>
        <v/>
      </c>
      <c r="K57" s="87" t="s">
        <v>14</v>
      </c>
      <c r="L57" s="87" t="s">
        <v>14</v>
      </c>
      <c r="M57" s="87" t="s">
        <v>14</v>
      </c>
      <c r="N57" s="87">
        <v>1</v>
      </c>
      <c r="O57" s="87">
        <v>1</v>
      </c>
      <c r="P57" s="88">
        <v>0</v>
      </c>
      <c r="Q57" s="88">
        <v>2500</v>
      </c>
      <c r="R57" s="88">
        <v>0</v>
      </c>
      <c r="S57" s="89">
        <v>63646</v>
      </c>
      <c r="T57" s="87">
        <v>0</v>
      </c>
      <c r="U57" s="87">
        <v>5</v>
      </c>
      <c r="V57" s="11" t="str">
        <f ca="1">IF(ISBLANK(RAdata6[[#This Row],[budg_seq_yr]]),"FY"&amp;fiscalyear,"FY"&amp;fiscalyear-1+RAdata6[[#This Row],[budg_seq_yr]])</f>
        <v>FY22</v>
      </c>
      <c r="W57" s="88">
        <v>63646</v>
      </c>
      <c r="X57" s="87" t="s">
        <v>243</v>
      </c>
      <c r="Y57" s="87" t="s">
        <v>313</v>
      </c>
      <c r="Z57" s="87" t="s">
        <v>288</v>
      </c>
    </row>
    <row r="58" spans="1:26" x14ac:dyDescent="0.4">
      <c r="A58" s="10" t="s">
        <v>349</v>
      </c>
      <c r="B58" s="85" t="s">
        <v>102</v>
      </c>
      <c r="C58" s="86">
        <v>42935.561805555553</v>
      </c>
      <c r="D58" s="87" t="s">
        <v>279</v>
      </c>
      <c r="E58" s="87" t="s">
        <v>243</v>
      </c>
      <c r="F58" s="87" t="s">
        <v>313</v>
      </c>
      <c r="G58" s="87" t="s">
        <v>314</v>
      </c>
      <c r="H58" s="87" t="s">
        <v>349</v>
      </c>
      <c r="I58" s="7" t="str">
        <f>IF(RAdata6[[#This Row],[pi_last_name]]=" ","",HYPERLINK("https://www.ejacket.nsf.gov/ej/showProposal.do?Continue=Y&amp;ID="&amp;RAdata6[[#This Row],[prop_id]],RAdata6[[#This Row],[prop_id]]))</f>
        <v>1750514</v>
      </c>
      <c r="J58" s="7" t="str">
        <f>IF(RAdata6[[#This Row],[pi_last_name]]=" ","",HYPERLINK("https://www.ejacket.nsf.gov/ej/processReviewAnalysis.do?dispatch=add&amp;uniqId="&amp;RAdata6[[#This Row],[prop_id]]&amp;pm_ibm_logn_id,"&gt;ra"))</f>
        <v>&gt;ra</v>
      </c>
      <c r="K58" s="87" t="s">
        <v>350</v>
      </c>
      <c r="L58" s="87" t="s">
        <v>351</v>
      </c>
      <c r="M58" s="87" t="s">
        <v>352</v>
      </c>
      <c r="N58" s="87"/>
      <c r="O58" s="87"/>
      <c r="P58" s="88"/>
      <c r="Q58" s="88"/>
      <c r="R58" s="88"/>
      <c r="S58" s="89"/>
      <c r="T58" s="87">
        <v>0</v>
      </c>
      <c r="U58" s="87"/>
      <c r="V58" s="11" t="str">
        <f ca="1">IF(ISBLANK(RAdata6[[#This Row],[budg_seq_yr]]),"FY"&amp;fiscalyear,"FY"&amp;fiscalyear-1+RAdata6[[#This Row],[budg_seq_yr]])</f>
        <v>FY18</v>
      </c>
      <c r="W58" s="88">
        <v>501687</v>
      </c>
      <c r="X58" s="87" t="s">
        <v>243</v>
      </c>
      <c r="Y58" s="87" t="s">
        <v>313</v>
      </c>
      <c r="Z58" s="87" t="s">
        <v>288</v>
      </c>
    </row>
    <row r="59" spans="1:26" x14ac:dyDescent="0.4">
      <c r="A59" s="10" t="s">
        <v>349</v>
      </c>
      <c r="B59" s="85" t="s">
        <v>102</v>
      </c>
      <c r="C59" s="86">
        <v>42935.561805555553</v>
      </c>
      <c r="D59" s="87" t="s">
        <v>279</v>
      </c>
      <c r="E59" s="87" t="s">
        <v>243</v>
      </c>
      <c r="F59" s="87" t="s">
        <v>313</v>
      </c>
      <c r="G59" s="87" t="s">
        <v>314</v>
      </c>
      <c r="H59" s="87" t="s">
        <v>349</v>
      </c>
      <c r="I59" s="7" t="str">
        <f>IF(RAdata6[[#This Row],[pi_last_name]]=" ","",HYPERLINK("https://www.ejacket.nsf.gov/ej/showProposal.do?Continue=Y&amp;ID="&amp;RAdata6[[#This Row],[prop_id]],RAdata6[[#This Row],[prop_id]]))</f>
        <v/>
      </c>
      <c r="J59" s="7" t="str">
        <f>IF(RAdata6[[#This Row],[pi_last_name]]=" ","",HYPERLINK("https://www.ejacket.nsf.gov/ej/processReviewAnalysis.do?dispatch=add&amp;uniqId="&amp;RAdata6[[#This Row],[prop_id]]&amp;pm_ibm_logn_id,"&gt;ra"))</f>
        <v/>
      </c>
      <c r="K59" s="87" t="s">
        <v>14</v>
      </c>
      <c r="L59" s="87" t="s">
        <v>14</v>
      </c>
      <c r="M59" s="87" t="s">
        <v>14</v>
      </c>
      <c r="N59" s="87">
        <v>1</v>
      </c>
      <c r="O59" s="87">
        <v>1</v>
      </c>
      <c r="P59" s="88">
        <v>0</v>
      </c>
      <c r="Q59" s="88">
        <v>4000</v>
      </c>
      <c r="R59" s="88">
        <v>0</v>
      </c>
      <c r="S59" s="89">
        <v>94272</v>
      </c>
      <c r="T59" s="87">
        <v>0</v>
      </c>
      <c r="U59" s="87">
        <v>1</v>
      </c>
      <c r="V59" s="11" t="str">
        <f ca="1">IF(ISBLANK(RAdata6[[#This Row],[budg_seq_yr]]),"FY"&amp;fiscalyear,"FY"&amp;fiscalyear-1+RAdata6[[#This Row],[budg_seq_yr]])</f>
        <v>FY18</v>
      </c>
      <c r="W59" s="88">
        <v>94272</v>
      </c>
      <c r="X59" s="87" t="s">
        <v>243</v>
      </c>
      <c r="Y59" s="87" t="s">
        <v>313</v>
      </c>
      <c r="Z59" s="87" t="s">
        <v>288</v>
      </c>
    </row>
    <row r="60" spans="1:26" x14ac:dyDescent="0.4">
      <c r="A60" s="10" t="s">
        <v>349</v>
      </c>
      <c r="B60" s="85" t="s">
        <v>102</v>
      </c>
      <c r="C60" s="86">
        <v>42935.561805555553</v>
      </c>
      <c r="D60" s="87" t="s">
        <v>279</v>
      </c>
      <c r="E60" s="87" t="s">
        <v>243</v>
      </c>
      <c r="F60" s="87" t="s">
        <v>313</v>
      </c>
      <c r="G60" s="87" t="s">
        <v>314</v>
      </c>
      <c r="H60" s="87" t="s">
        <v>349</v>
      </c>
      <c r="I60" s="7" t="str">
        <f>IF(RAdata6[[#This Row],[pi_last_name]]=" ","",HYPERLINK("https://www.ejacket.nsf.gov/ej/showProposal.do?Continue=Y&amp;ID="&amp;RAdata6[[#This Row],[prop_id]],RAdata6[[#This Row],[prop_id]]))</f>
        <v/>
      </c>
      <c r="J60" s="7" t="str">
        <f>IF(RAdata6[[#This Row],[pi_last_name]]=" ","",HYPERLINK("https://www.ejacket.nsf.gov/ej/processReviewAnalysis.do?dispatch=add&amp;uniqId="&amp;RAdata6[[#This Row],[prop_id]]&amp;pm_ibm_logn_id,"&gt;ra"))</f>
        <v/>
      </c>
      <c r="K60" s="87" t="s">
        <v>14</v>
      </c>
      <c r="L60" s="87" t="s">
        <v>14</v>
      </c>
      <c r="M60" s="87" t="s">
        <v>14</v>
      </c>
      <c r="N60" s="87">
        <v>1</v>
      </c>
      <c r="O60" s="87">
        <v>1</v>
      </c>
      <c r="P60" s="88">
        <v>0</v>
      </c>
      <c r="Q60" s="88">
        <v>4000</v>
      </c>
      <c r="R60" s="88">
        <v>0</v>
      </c>
      <c r="S60" s="89">
        <v>97189</v>
      </c>
      <c r="T60" s="87">
        <v>0</v>
      </c>
      <c r="U60" s="87">
        <v>2</v>
      </c>
      <c r="V60" s="11" t="str">
        <f ca="1">IF(ISBLANK(RAdata6[[#This Row],[budg_seq_yr]]),"FY"&amp;fiscalyear,"FY"&amp;fiscalyear-1+RAdata6[[#This Row],[budg_seq_yr]])</f>
        <v>FY19</v>
      </c>
      <c r="W60" s="88">
        <v>97189</v>
      </c>
      <c r="X60" s="87" t="s">
        <v>243</v>
      </c>
      <c r="Y60" s="87" t="s">
        <v>313</v>
      </c>
      <c r="Z60" s="87" t="s">
        <v>288</v>
      </c>
    </row>
    <row r="61" spans="1:26" x14ac:dyDescent="0.4">
      <c r="A61" s="10" t="s">
        <v>349</v>
      </c>
      <c r="B61" s="85" t="s">
        <v>102</v>
      </c>
      <c r="C61" s="86">
        <v>42935.561805555553</v>
      </c>
      <c r="D61" s="87" t="s">
        <v>279</v>
      </c>
      <c r="E61" s="87" t="s">
        <v>243</v>
      </c>
      <c r="F61" s="87" t="s">
        <v>313</v>
      </c>
      <c r="G61" s="87" t="s">
        <v>314</v>
      </c>
      <c r="H61" s="87" t="s">
        <v>349</v>
      </c>
      <c r="I61" s="7" t="str">
        <f>IF(RAdata6[[#This Row],[pi_last_name]]=" ","",HYPERLINK("https://www.ejacket.nsf.gov/ej/showProposal.do?Continue=Y&amp;ID="&amp;RAdata6[[#This Row],[prop_id]],RAdata6[[#This Row],[prop_id]]))</f>
        <v/>
      </c>
      <c r="J61" s="7" t="str">
        <f>IF(RAdata6[[#This Row],[pi_last_name]]=" ","",HYPERLINK("https://www.ejacket.nsf.gov/ej/processReviewAnalysis.do?dispatch=add&amp;uniqId="&amp;RAdata6[[#This Row],[prop_id]]&amp;pm_ibm_logn_id,"&gt;ra"))</f>
        <v/>
      </c>
      <c r="K61" s="87" t="s">
        <v>14</v>
      </c>
      <c r="L61" s="87" t="s">
        <v>14</v>
      </c>
      <c r="M61" s="87" t="s">
        <v>14</v>
      </c>
      <c r="N61" s="87">
        <v>1</v>
      </c>
      <c r="O61" s="87">
        <v>1</v>
      </c>
      <c r="P61" s="88">
        <v>0</v>
      </c>
      <c r="Q61" s="88">
        <v>4000</v>
      </c>
      <c r="R61" s="88">
        <v>0</v>
      </c>
      <c r="S61" s="89">
        <v>100220</v>
      </c>
      <c r="T61" s="87">
        <v>0</v>
      </c>
      <c r="U61" s="87">
        <v>3</v>
      </c>
      <c r="V61" s="11" t="str">
        <f ca="1">IF(ISBLANK(RAdata6[[#This Row],[budg_seq_yr]]),"FY"&amp;fiscalyear,"FY"&amp;fiscalyear-1+RAdata6[[#This Row],[budg_seq_yr]])</f>
        <v>FY20</v>
      </c>
      <c r="W61" s="88">
        <v>100220</v>
      </c>
      <c r="X61" s="87" t="s">
        <v>243</v>
      </c>
      <c r="Y61" s="87" t="s">
        <v>313</v>
      </c>
      <c r="Z61" s="87" t="s">
        <v>288</v>
      </c>
    </row>
    <row r="62" spans="1:26" x14ac:dyDescent="0.4">
      <c r="A62" s="10" t="s">
        <v>349</v>
      </c>
      <c r="B62" s="85" t="s">
        <v>102</v>
      </c>
      <c r="C62" s="86">
        <v>42935.561805555553</v>
      </c>
      <c r="D62" s="87" t="s">
        <v>279</v>
      </c>
      <c r="E62" s="87" t="s">
        <v>243</v>
      </c>
      <c r="F62" s="87" t="s">
        <v>313</v>
      </c>
      <c r="G62" s="87" t="s">
        <v>314</v>
      </c>
      <c r="H62" s="87" t="s">
        <v>349</v>
      </c>
      <c r="I62" s="7" t="str">
        <f>IF(RAdata6[[#This Row],[pi_last_name]]=" ","",HYPERLINK("https://www.ejacket.nsf.gov/ej/showProposal.do?Continue=Y&amp;ID="&amp;RAdata6[[#This Row],[prop_id]],RAdata6[[#This Row],[prop_id]]))</f>
        <v/>
      </c>
      <c r="J62" s="7" t="str">
        <f>IF(RAdata6[[#This Row],[pi_last_name]]=" ","",HYPERLINK("https://www.ejacket.nsf.gov/ej/processReviewAnalysis.do?dispatch=add&amp;uniqId="&amp;RAdata6[[#This Row],[prop_id]]&amp;pm_ibm_logn_id,"&gt;ra"))</f>
        <v/>
      </c>
      <c r="K62" s="87" t="s">
        <v>14</v>
      </c>
      <c r="L62" s="87" t="s">
        <v>14</v>
      </c>
      <c r="M62" s="87" t="s">
        <v>14</v>
      </c>
      <c r="N62" s="87">
        <v>1</v>
      </c>
      <c r="O62" s="87">
        <v>1</v>
      </c>
      <c r="P62" s="88">
        <v>0</v>
      </c>
      <c r="Q62" s="88">
        <v>4000</v>
      </c>
      <c r="R62" s="88">
        <v>0</v>
      </c>
      <c r="S62" s="89">
        <v>103367</v>
      </c>
      <c r="T62" s="87">
        <v>0</v>
      </c>
      <c r="U62" s="87">
        <v>4</v>
      </c>
      <c r="V62" s="11" t="str">
        <f ca="1">IF(ISBLANK(RAdata6[[#This Row],[budg_seq_yr]]),"FY"&amp;fiscalyear,"FY"&amp;fiscalyear-1+RAdata6[[#This Row],[budg_seq_yr]])</f>
        <v>FY21</v>
      </c>
      <c r="W62" s="88">
        <v>103367</v>
      </c>
      <c r="X62" s="87" t="s">
        <v>243</v>
      </c>
      <c r="Y62" s="87" t="s">
        <v>313</v>
      </c>
      <c r="Z62" s="87" t="s">
        <v>288</v>
      </c>
    </row>
    <row r="63" spans="1:26" x14ac:dyDescent="0.4">
      <c r="A63" s="10" t="s">
        <v>349</v>
      </c>
      <c r="B63" s="85" t="s">
        <v>102</v>
      </c>
      <c r="C63" s="86">
        <v>42935.561805555553</v>
      </c>
      <c r="D63" s="87" t="s">
        <v>279</v>
      </c>
      <c r="E63" s="87" t="s">
        <v>243</v>
      </c>
      <c r="F63" s="87" t="s">
        <v>313</v>
      </c>
      <c r="G63" s="87" t="s">
        <v>314</v>
      </c>
      <c r="H63" s="87" t="s">
        <v>349</v>
      </c>
      <c r="I63" s="7" t="str">
        <f>IF(RAdata6[[#This Row],[pi_last_name]]=" ","",HYPERLINK("https://www.ejacket.nsf.gov/ej/showProposal.do?Continue=Y&amp;ID="&amp;RAdata6[[#This Row],[prop_id]],RAdata6[[#This Row],[prop_id]]))</f>
        <v/>
      </c>
      <c r="J63" s="7" t="str">
        <f>IF(RAdata6[[#This Row],[pi_last_name]]=" ","",HYPERLINK("https://www.ejacket.nsf.gov/ej/processReviewAnalysis.do?dispatch=add&amp;uniqId="&amp;RAdata6[[#This Row],[prop_id]]&amp;pm_ibm_logn_id,"&gt;ra"))</f>
        <v/>
      </c>
      <c r="K63" s="87" t="s">
        <v>14</v>
      </c>
      <c r="L63" s="87" t="s">
        <v>14</v>
      </c>
      <c r="M63" s="87" t="s">
        <v>14</v>
      </c>
      <c r="N63" s="87">
        <v>1</v>
      </c>
      <c r="O63" s="87">
        <v>1</v>
      </c>
      <c r="P63" s="88">
        <v>0</v>
      </c>
      <c r="Q63" s="88">
        <v>4000</v>
      </c>
      <c r="R63" s="88">
        <v>0</v>
      </c>
      <c r="S63" s="89">
        <v>106639</v>
      </c>
      <c r="T63" s="87">
        <v>0</v>
      </c>
      <c r="U63" s="87">
        <v>5</v>
      </c>
      <c r="V63" s="11" t="str">
        <f ca="1">IF(ISBLANK(RAdata6[[#This Row],[budg_seq_yr]]),"FY"&amp;fiscalyear,"FY"&amp;fiscalyear-1+RAdata6[[#This Row],[budg_seq_yr]])</f>
        <v>FY22</v>
      </c>
      <c r="W63" s="88">
        <v>106639</v>
      </c>
      <c r="X63" s="87" t="s">
        <v>243</v>
      </c>
      <c r="Y63" s="87" t="s">
        <v>313</v>
      </c>
      <c r="Z63" s="87" t="s">
        <v>288</v>
      </c>
    </row>
    <row r="64" spans="1:26" x14ac:dyDescent="0.4">
      <c r="A64" s="10" t="s">
        <v>353</v>
      </c>
      <c r="B64" s="85" t="s">
        <v>102</v>
      </c>
      <c r="C64" s="86">
        <v>42935.652777777781</v>
      </c>
      <c r="D64" s="87" t="s">
        <v>279</v>
      </c>
      <c r="E64" s="87" t="s">
        <v>243</v>
      </c>
      <c r="F64" s="87" t="s">
        <v>313</v>
      </c>
      <c r="G64" s="87" t="s">
        <v>314</v>
      </c>
      <c r="H64" s="87" t="s">
        <v>353</v>
      </c>
      <c r="I64" s="7" t="str">
        <f>IF(RAdata6[[#This Row],[pi_last_name]]=" ","",HYPERLINK("https://www.ejacket.nsf.gov/ej/showProposal.do?Continue=Y&amp;ID="&amp;RAdata6[[#This Row],[prop_id]],RAdata6[[#This Row],[prop_id]]))</f>
        <v>1750886</v>
      </c>
      <c r="J64" s="7" t="str">
        <f>IF(RAdata6[[#This Row],[pi_last_name]]=" ","",HYPERLINK("https://www.ejacket.nsf.gov/ej/processReviewAnalysis.do?dispatch=add&amp;uniqId="&amp;RAdata6[[#This Row],[prop_id]]&amp;pm_ibm_logn_id,"&gt;ra"))</f>
        <v>&gt;ra</v>
      </c>
      <c r="K64" s="87" t="s">
        <v>289</v>
      </c>
      <c r="L64" s="87" t="s">
        <v>354</v>
      </c>
      <c r="M64" s="87" t="s">
        <v>355</v>
      </c>
      <c r="N64" s="87"/>
      <c r="O64" s="87"/>
      <c r="P64" s="88"/>
      <c r="Q64" s="88"/>
      <c r="R64" s="88"/>
      <c r="S64" s="89"/>
      <c r="T64" s="87">
        <v>0</v>
      </c>
      <c r="U64" s="87"/>
      <c r="V64" s="11" t="str">
        <f ca="1">IF(ISBLANK(RAdata6[[#This Row],[budg_seq_yr]]),"FY"&amp;fiscalyear,"FY"&amp;fiscalyear-1+RAdata6[[#This Row],[budg_seq_yr]])</f>
        <v>FY18</v>
      </c>
      <c r="W64" s="88">
        <v>506060</v>
      </c>
      <c r="X64" s="87" t="s">
        <v>243</v>
      </c>
      <c r="Y64" s="87" t="s">
        <v>313</v>
      </c>
      <c r="Z64" s="87" t="s">
        <v>1121</v>
      </c>
    </row>
    <row r="65" spans="1:26" x14ac:dyDescent="0.4">
      <c r="A65" s="10" t="s">
        <v>353</v>
      </c>
      <c r="B65" s="85" t="s">
        <v>102</v>
      </c>
      <c r="C65" s="86">
        <v>42935.652777777781</v>
      </c>
      <c r="D65" s="87" t="s">
        <v>279</v>
      </c>
      <c r="E65" s="87" t="s">
        <v>243</v>
      </c>
      <c r="F65" s="87" t="s">
        <v>313</v>
      </c>
      <c r="G65" s="87" t="s">
        <v>314</v>
      </c>
      <c r="H65" s="87" t="s">
        <v>353</v>
      </c>
      <c r="I65" s="7" t="str">
        <f>IF(RAdata6[[#This Row],[pi_last_name]]=" ","",HYPERLINK("https://www.ejacket.nsf.gov/ej/showProposal.do?Continue=Y&amp;ID="&amp;RAdata6[[#This Row],[prop_id]],RAdata6[[#This Row],[prop_id]]))</f>
        <v/>
      </c>
      <c r="J65" s="7" t="str">
        <f>IF(RAdata6[[#This Row],[pi_last_name]]=" ","",HYPERLINK("https://www.ejacket.nsf.gov/ej/processReviewAnalysis.do?dispatch=add&amp;uniqId="&amp;RAdata6[[#This Row],[prop_id]]&amp;pm_ibm_logn_id,"&gt;ra"))</f>
        <v/>
      </c>
      <c r="K65" s="87" t="s">
        <v>14</v>
      </c>
      <c r="L65" s="87" t="s">
        <v>14</v>
      </c>
      <c r="M65" s="87" t="s">
        <v>14</v>
      </c>
      <c r="N65" s="87">
        <v>1</v>
      </c>
      <c r="O65" s="87">
        <v>1</v>
      </c>
      <c r="P65" s="88">
        <v>0</v>
      </c>
      <c r="Q65" s="88">
        <v>4500</v>
      </c>
      <c r="R65" s="88">
        <v>0</v>
      </c>
      <c r="S65" s="89">
        <v>111622</v>
      </c>
      <c r="T65" s="87">
        <v>0</v>
      </c>
      <c r="U65" s="87">
        <v>1</v>
      </c>
      <c r="V65" s="11" t="str">
        <f ca="1">IF(ISBLANK(RAdata6[[#This Row],[budg_seq_yr]]),"FY"&amp;fiscalyear,"FY"&amp;fiscalyear-1+RAdata6[[#This Row],[budg_seq_yr]])</f>
        <v>FY18</v>
      </c>
      <c r="W65" s="88">
        <v>111622</v>
      </c>
      <c r="X65" s="87" t="s">
        <v>243</v>
      </c>
      <c r="Y65" s="87" t="s">
        <v>313</v>
      </c>
      <c r="Z65" s="87" t="s">
        <v>1121</v>
      </c>
    </row>
    <row r="66" spans="1:26" x14ac:dyDescent="0.4">
      <c r="A66" s="10" t="s">
        <v>353</v>
      </c>
      <c r="B66" s="85" t="s">
        <v>102</v>
      </c>
      <c r="C66" s="86">
        <v>42935.652777777781</v>
      </c>
      <c r="D66" s="87" t="s">
        <v>279</v>
      </c>
      <c r="E66" s="87" t="s">
        <v>243</v>
      </c>
      <c r="F66" s="87" t="s">
        <v>313</v>
      </c>
      <c r="G66" s="87" t="s">
        <v>314</v>
      </c>
      <c r="H66" s="87" t="s">
        <v>353</v>
      </c>
      <c r="I66" s="7" t="str">
        <f>IF(RAdata6[[#This Row],[pi_last_name]]=" ","",HYPERLINK("https://www.ejacket.nsf.gov/ej/showProposal.do?Continue=Y&amp;ID="&amp;RAdata6[[#This Row],[prop_id]],RAdata6[[#This Row],[prop_id]]))</f>
        <v/>
      </c>
      <c r="J66" s="7" t="str">
        <f>IF(RAdata6[[#This Row],[pi_last_name]]=" ","",HYPERLINK("https://www.ejacket.nsf.gov/ej/processReviewAnalysis.do?dispatch=add&amp;uniqId="&amp;RAdata6[[#This Row],[prop_id]]&amp;pm_ibm_logn_id,"&gt;ra"))</f>
        <v/>
      </c>
      <c r="K66" s="87" t="s">
        <v>14</v>
      </c>
      <c r="L66" s="87" t="s">
        <v>14</v>
      </c>
      <c r="M66" s="87" t="s">
        <v>14</v>
      </c>
      <c r="N66" s="87">
        <v>1</v>
      </c>
      <c r="O66" s="87">
        <v>1</v>
      </c>
      <c r="P66" s="88">
        <v>0</v>
      </c>
      <c r="Q66" s="88">
        <v>4500</v>
      </c>
      <c r="R66" s="88">
        <v>0</v>
      </c>
      <c r="S66" s="89">
        <v>114799</v>
      </c>
      <c r="T66" s="87">
        <v>0</v>
      </c>
      <c r="U66" s="87">
        <v>2</v>
      </c>
      <c r="V66" s="11" t="str">
        <f ca="1">IF(ISBLANK(RAdata6[[#This Row],[budg_seq_yr]]),"FY"&amp;fiscalyear,"FY"&amp;fiscalyear-1+RAdata6[[#This Row],[budg_seq_yr]])</f>
        <v>FY19</v>
      </c>
      <c r="W66" s="88">
        <v>114799</v>
      </c>
      <c r="X66" s="87" t="s">
        <v>243</v>
      </c>
      <c r="Y66" s="87" t="s">
        <v>313</v>
      </c>
      <c r="Z66" s="87" t="s">
        <v>1121</v>
      </c>
    </row>
    <row r="67" spans="1:26" x14ac:dyDescent="0.4">
      <c r="A67" s="10" t="s">
        <v>353</v>
      </c>
      <c r="B67" s="85" t="s">
        <v>102</v>
      </c>
      <c r="C67" s="86">
        <v>42935.652777777781</v>
      </c>
      <c r="D67" s="87" t="s">
        <v>279</v>
      </c>
      <c r="E67" s="87" t="s">
        <v>243</v>
      </c>
      <c r="F67" s="87" t="s">
        <v>313</v>
      </c>
      <c r="G67" s="87" t="s">
        <v>314</v>
      </c>
      <c r="H67" s="87" t="s">
        <v>353</v>
      </c>
      <c r="I67" s="7" t="str">
        <f>IF(RAdata6[[#This Row],[pi_last_name]]=" ","",HYPERLINK("https://www.ejacket.nsf.gov/ej/showProposal.do?Continue=Y&amp;ID="&amp;RAdata6[[#This Row],[prop_id]],RAdata6[[#This Row],[prop_id]]))</f>
        <v/>
      </c>
      <c r="J67" s="7" t="str">
        <f>IF(RAdata6[[#This Row],[pi_last_name]]=" ","",HYPERLINK("https://www.ejacket.nsf.gov/ej/processReviewAnalysis.do?dispatch=add&amp;uniqId="&amp;RAdata6[[#This Row],[prop_id]]&amp;pm_ibm_logn_id,"&gt;ra"))</f>
        <v/>
      </c>
      <c r="K67" s="87" t="s">
        <v>14</v>
      </c>
      <c r="L67" s="87" t="s">
        <v>14</v>
      </c>
      <c r="M67" s="87" t="s">
        <v>14</v>
      </c>
      <c r="N67" s="87">
        <v>1</v>
      </c>
      <c r="O67" s="87">
        <v>1</v>
      </c>
      <c r="P67" s="88">
        <v>0</v>
      </c>
      <c r="Q67" s="88">
        <v>4500</v>
      </c>
      <c r="R67" s="88">
        <v>0</v>
      </c>
      <c r="S67" s="89">
        <v>121140</v>
      </c>
      <c r="T67" s="87">
        <v>0</v>
      </c>
      <c r="U67" s="87">
        <v>3</v>
      </c>
      <c r="V67" s="11" t="str">
        <f ca="1">IF(ISBLANK(RAdata6[[#This Row],[budg_seq_yr]]),"FY"&amp;fiscalyear,"FY"&amp;fiscalyear-1+RAdata6[[#This Row],[budg_seq_yr]])</f>
        <v>FY20</v>
      </c>
      <c r="W67" s="88">
        <v>121140</v>
      </c>
      <c r="X67" s="87" t="s">
        <v>243</v>
      </c>
      <c r="Y67" s="87" t="s">
        <v>313</v>
      </c>
      <c r="Z67" s="87" t="s">
        <v>1121</v>
      </c>
    </row>
    <row r="68" spans="1:26" x14ac:dyDescent="0.4">
      <c r="A68" s="10" t="s">
        <v>353</v>
      </c>
      <c r="B68" s="85" t="s">
        <v>102</v>
      </c>
      <c r="C68" s="86">
        <v>42935.652777777781</v>
      </c>
      <c r="D68" s="87" t="s">
        <v>279</v>
      </c>
      <c r="E68" s="87" t="s">
        <v>243</v>
      </c>
      <c r="F68" s="87" t="s">
        <v>313</v>
      </c>
      <c r="G68" s="87" t="s">
        <v>314</v>
      </c>
      <c r="H68" s="87" t="s">
        <v>353</v>
      </c>
      <c r="I68" s="7" t="str">
        <f>IF(RAdata6[[#This Row],[pi_last_name]]=" ","",HYPERLINK("https://www.ejacket.nsf.gov/ej/showProposal.do?Continue=Y&amp;ID="&amp;RAdata6[[#This Row],[prop_id]],RAdata6[[#This Row],[prop_id]]))</f>
        <v/>
      </c>
      <c r="J68" s="7" t="str">
        <f>IF(RAdata6[[#This Row],[pi_last_name]]=" ","",HYPERLINK("https://www.ejacket.nsf.gov/ej/processReviewAnalysis.do?dispatch=add&amp;uniqId="&amp;RAdata6[[#This Row],[prop_id]]&amp;pm_ibm_logn_id,"&gt;ra"))</f>
        <v/>
      </c>
      <c r="K68" s="87" t="s">
        <v>14</v>
      </c>
      <c r="L68" s="87" t="s">
        <v>14</v>
      </c>
      <c r="M68" s="87" t="s">
        <v>14</v>
      </c>
      <c r="N68" s="87">
        <v>1</v>
      </c>
      <c r="O68" s="87">
        <v>1</v>
      </c>
      <c r="P68" s="88">
        <v>0</v>
      </c>
      <c r="Q68" s="88">
        <v>4500</v>
      </c>
      <c r="R68" s="88">
        <v>0</v>
      </c>
      <c r="S68" s="89">
        <v>80554</v>
      </c>
      <c r="T68" s="87">
        <v>0</v>
      </c>
      <c r="U68" s="87">
        <v>4</v>
      </c>
      <c r="V68" s="11" t="str">
        <f ca="1">IF(ISBLANK(RAdata6[[#This Row],[budg_seq_yr]]),"FY"&amp;fiscalyear,"FY"&amp;fiscalyear-1+RAdata6[[#This Row],[budg_seq_yr]])</f>
        <v>FY21</v>
      </c>
      <c r="W68" s="88">
        <v>80554</v>
      </c>
      <c r="X68" s="87" t="s">
        <v>243</v>
      </c>
      <c r="Y68" s="87" t="s">
        <v>313</v>
      </c>
      <c r="Z68" s="87" t="s">
        <v>1121</v>
      </c>
    </row>
    <row r="69" spans="1:26" x14ac:dyDescent="0.4">
      <c r="A69" s="10" t="s">
        <v>353</v>
      </c>
      <c r="B69" s="85" t="s">
        <v>102</v>
      </c>
      <c r="C69" s="86">
        <v>42935.652777777781</v>
      </c>
      <c r="D69" s="87" t="s">
        <v>279</v>
      </c>
      <c r="E69" s="87" t="s">
        <v>243</v>
      </c>
      <c r="F69" s="87" t="s">
        <v>313</v>
      </c>
      <c r="G69" s="87" t="s">
        <v>314</v>
      </c>
      <c r="H69" s="87" t="s">
        <v>353</v>
      </c>
      <c r="I69" s="7" t="str">
        <f>IF(RAdata6[[#This Row],[pi_last_name]]=" ","",HYPERLINK("https://www.ejacket.nsf.gov/ej/showProposal.do?Continue=Y&amp;ID="&amp;RAdata6[[#This Row],[prop_id]],RAdata6[[#This Row],[prop_id]]))</f>
        <v/>
      </c>
      <c r="J69" s="7" t="str">
        <f>IF(RAdata6[[#This Row],[pi_last_name]]=" ","",HYPERLINK("https://www.ejacket.nsf.gov/ej/processReviewAnalysis.do?dispatch=add&amp;uniqId="&amp;RAdata6[[#This Row],[prop_id]]&amp;pm_ibm_logn_id,"&gt;ra"))</f>
        <v/>
      </c>
      <c r="K69" s="87" t="s">
        <v>14</v>
      </c>
      <c r="L69" s="87" t="s">
        <v>14</v>
      </c>
      <c r="M69" s="87" t="s">
        <v>14</v>
      </c>
      <c r="N69" s="87">
        <v>1</v>
      </c>
      <c r="O69" s="87">
        <v>1</v>
      </c>
      <c r="P69" s="88">
        <v>0</v>
      </c>
      <c r="Q69" s="88">
        <v>2250</v>
      </c>
      <c r="R69" s="88">
        <v>0</v>
      </c>
      <c r="S69" s="89">
        <v>77945</v>
      </c>
      <c r="T69" s="87">
        <v>0</v>
      </c>
      <c r="U69" s="87">
        <v>5</v>
      </c>
      <c r="V69" s="11" t="str">
        <f ca="1">IF(ISBLANK(RAdata6[[#This Row],[budg_seq_yr]]),"FY"&amp;fiscalyear,"FY"&amp;fiscalyear-1+RAdata6[[#This Row],[budg_seq_yr]])</f>
        <v>FY22</v>
      </c>
      <c r="W69" s="88">
        <v>77945</v>
      </c>
      <c r="X69" s="87" t="s">
        <v>243</v>
      </c>
      <c r="Y69" s="87" t="s">
        <v>313</v>
      </c>
      <c r="Z69" s="87" t="s">
        <v>1121</v>
      </c>
    </row>
    <row r="70" spans="1:26" x14ac:dyDescent="0.4">
      <c r="A70" s="10" t="s">
        <v>356</v>
      </c>
      <c r="B70" s="85" t="s">
        <v>102</v>
      </c>
      <c r="C70" s="86">
        <v>42935.665277777778</v>
      </c>
      <c r="D70" s="87" t="s">
        <v>279</v>
      </c>
      <c r="E70" s="87" t="s">
        <v>243</v>
      </c>
      <c r="F70" s="87" t="s">
        <v>313</v>
      </c>
      <c r="G70" s="87" t="s">
        <v>318</v>
      </c>
      <c r="H70" s="87" t="s">
        <v>356</v>
      </c>
      <c r="I70" s="7" t="str">
        <f>IF(RAdata6[[#This Row],[pi_last_name]]=" ","",HYPERLINK("https://www.ejacket.nsf.gov/ej/showProposal.do?Continue=Y&amp;ID="&amp;RAdata6[[#This Row],[prop_id]],RAdata6[[#This Row],[prop_id]]))</f>
        <v>1750965</v>
      </c>
      <c r="J70" s="7" t="str">
        <f>IF(RAdata6[[#This Row],[pi_last_name]]=" ","",HYPERLINK("https://www.ejacket.nsf.gov/ej/processReviewAnalysis.do?dispatch=add&amp;uniqId="&amp;RAdata6[[#This Row],[prop_id]]&amp;pm_ibm_logn_id,"&gt;ra"))</f>
        <v>&gt;ra</v>
      </c>
      <c r="K70" s="87" t="s">
        <v>357</v>
      </c>
      <c r="L70" s="87" t="s">
        <v>284</v>
      </c>
      <c r="M70" s="87" t="s">
        <v>358</v>
      </c>
      <c r="N70" s="87"/>
      <c r="O70" s="87"/>
      <c r="P70" s="88"/>
      <c r="Q70" s="88"/>
      <c r="R70" s="88"/>
      <c r="S70" s="89"/>
      <c r="T70" s="87">
        <v>0</v>
      </c>
      <c r="U70" s="87"/>
      <c r="V70" s="11" t="str">
        <f ca="1">IF(ISBLANK(RAdata6[[#This Row],[budg_seq_yr]]),"FY"&amp;fiscalyear,"FY"&amp;fiscalyear-1+RAdata6[[#This Row],[budg_seq_yr]])</f>
        <v>FY18</v>
      </c>
      <c r="W70" s="88">
        <v>571195</v>
      </c>
      <c r="X70" s="87" t="s">
        <v>243</v>
      </c>
      <c r="Y70" s="87" t="s">
        <v>313</v>
      </c>
      <c r="Z70" s="87" t="s">
        <v>288</v>
      </c>
    </row>
    <row r="71" spans="1:26" x14ac:dyDescent="0.4">
      <c r="A71" s="10" t="s">
        <v>356</v>
      </c>
      <c r="B71" s="85" t="s">
        <v>102</v>
      </c>
      <c r="C71" s="86">
        <v>42935.665277777778</v>
      </c>
      <c r="D71" s="87" t="s">
        <v>279</v>
      </c>
      <c r="E71" s="87" t="s">
        <v>243</v>
      </c>
      <c r="F71" s="87" t="s">
        <v>313</v>
      </c>
      <c r="G71" s="87" t="s">
        <v>318</v>
      </c>
      <c r="H71" s="87" t="s">
        <v>356</v>
      </c>
      <c r="I71" s="7" t="str">
        <f>IF(RAdata6[[#This Row],[pi_last_name]]=" ","",HYPERLINK("https://www.ejacket.nsf.gov/ej/showProposal.do?Continue=Y&amp;ID="&amp;RAdata6[[#This Row],[prop_id]],RAdata6[[#This Row],[prop_id]]))</f>
        <v/>
      </c>
      <c r="J71" s="7" t="str">
        <f>IF(RAdata6[[#This Row],[pi_last_name]]=" ","",HYPERLINK("https://www.ejacket.nsf.gov/ej/processReviewAnalysis.do?dispatch=add&amp;uniqId="&amp;RAdata6[[#This Row],[prop_id]]&amp;pm_ibm_logn_id,"&gt;ra"))</f>
        <v/>
      </c>
      <c r="K71" s="87" t="s">
        <v>14</v>
      </c>
      <c r="L71" s="87" t="s">
        <v>14</v>
      </c>
      <c r="M71" s="87" t="s">
        <v>14</v>
      </c>
      <c r="N71" s="87">
        <v>1</v>
      </c>
      <c r="O71" s="87">
        <v>1</v>
      </c>
      <c r="P71" s="88">
        <v>0</v>
      </c>
      <c r="Q71" s="88">
        <v>3000</v>
      </c>
      <c r="R71" s="88">
        <v>0</v>
      </c>
      <c r="S71" s="89">
        <v>113618</v>
      </c>
      <c r="T71" s="87">
        <v>0</v>
      </c>
      <c r="U71" s="87">
        <v>1</v>
      </c>
      <c r="V71" s="11" t="str">
        <f ca="1">IF(ISBLANK(RAdata6[[#This Row],[budg_seq_yr]]),"FY"&amp;fiscalyear,"FY"&amp;fiscalyear-1+RAdata6[[#This Row],[budg_seq_yr]])</f>
        <v>FY18</v>
      </c>
      <c r="W71" s="88">
        <v>113618</v>
      </c>
      <c r="X71" s="87" t="s">
        <v>243</v>
      </c>
      <c r="Y71" s="87" t="s">
        <v>313</v>
      </c>
      <c r="Z71" s="87" t="s">
        <v>288</v>
      </c>
    </row>
    <row r="72" spans="1:26" x14ac:dyDescent="0.4">
      <c r="A72" s="10" t="s">
        <v>356</v>
      </c>
      <c r="B72" s="85" t="s">
        <v>102</v>
      </c>
      <c r="C72" s="86">
        <v>42935.665277777778</v>
      </c>
      <c r="D72" s="87" t="s">
        <v>279</v>
      </c>
      <c r="E72" s="87" t="s">
        <v>243</v>
      </c>
      <c r="F72" s="87" t="s">
        <v>313</v>
      </c>
      <c r="G72" s="87" t="s">
        <v>318</v>
      </c>
      <c r="H72" s="87" t="s">
        <v>356</v>
      </c>
      <c r="I72" s="7" t="str">
        <f>IF(RAdata6[[#This Row],[pi_last_name]]=" ","",HYPERLINK("https://www.ejacket.nsf.gov/ej/showProposal.do?Continue=Y&amp;ID="&amp;RAdata6[[#This Row],[prop_id]],RAdata6[[#This Row],[prop_id]]))</f>
        <v/>
      </c>
      <c r="J72" s="7" t="str">
        <f>IF(RAdata6[[#This Row],[pi_last_name]]=" ","",HYPERLINK("https://www.ejacket.nsf.gov/ej/processReviewAnalysis.do?dispatch=add&amp;uniqId="&amp;RAdata6[[#This Row],[prop_id]]&amp;pm_ibm_logn_id,"&gt;ra"))</f>
        <v/>
      </c>
      <c r="K72" s="87" t="s">
        <v>14</v>
      </c>
      <c r="L72" s="87" t="s">
        <v>14</v>
      </c>
      <c r="M72" s="87" t="s">
        <v>14</v>
      </c>
      <c r="N72" s="87">
        <v>1</v>
      </c>
      <c r="O72" s="87">
        <v>1</v>
      </c>
      <c r="P72" s="88">
        <v>0</v>
      </c>
      <c r="Q72" s="88">
        <v>3090</v>
      </c>
      <c r="R72" s="88">
        <v>0</v>
      </c>
      <c r="S72" s="89">
        <v>109080</v>
      </c>
      <c r="T72" s="87">
        <v>0</v>
      </c>
      <c r="U72" s="87">
        <v>2</v>
      </c>
      <c r="V72" s="11" t="str">
        <f ca="1">IF(ISBLANK(RAdata6[[#This Row],[budg_seq_yr]]),"FY"&amp;fiscalyear,"FY"&amp;fiscalyear-1+RAdata6[[#This Row],[budg_seq_yr]])</f>
        <v>FY19</v>
      </c>
      <c r="W72" s="88">
        <v>109080</v>
      </c>
      <c r="X72" s="87" t="s">
        <v>243</v>
      </c>
      <c r="Y72" s="87" t="s">
        <v>313</v>
      </c>
      <c r="Z72" s="87" t="s">
        <v>288</v>
      </c>
    </row>
    <row r="73" spans="1:26" x14ac:dyDescent="0.4">
      <c r="A73" s="10" t="s">
        <v>356</v>
      </c>
      <c r="B73" s="85" t="s">
        <v>102</v>
      </c>
      <c r="C73" s="86">
        <v>42935.665277777778</v>
      </c>
      <c r="D73" s="87" t="s">
        <v>279</v>
      </c>
      <c r="E73" s="87" t="s">
        <v>243</v>
      </c>
      <c r="F73" s="87" t="s">
        <v>313</v>
      </c>
      <c r="G73" s="87" t="s">
        <v>318</v>
      </c>
      <c r="H73" s="87" t="s">
        <v>356</v>
      </c>
      <c r="I73" s="7" t="str">
        <f>IF(RAdata6[[#This Row],[pi_last_name]]=" ","",HYPERLINK("https://www.ejacket.nsf.gov/ej/showProposal.do?Continue=Y&amp;ID="&amp;RAdata6[[#This Row],[prop_id]],RAdata6[[#This Row],[prop_id]]))</f>
        <v/>
      </c>
      <c r="J73" s="7" t="str">
        <f>IF(RAdata6[[#This Row],[pi_last_name]]=" ","",HYPERLINK("https://www.ejacket.nsf.gov/ej/processReviewAnalysis.do?dispatch=add&amp;uniqId="&amp;RAdata6[[#This Row],[prop_id]]&amp;pm_ibm_logn_id,"&gt;ra"))</f>
        <v/>
      </c>
      <c r="K73" s="87" t="s">
        <v>14</v>
      </c>
      <c r="L73" s="87" t="s">
        <v>14</v>
      </c>
      <c r="M73" s="87" t="s">
        <v>14</v>
      </c>
      <c r="N73" s="87">
        <v>1</v>
      </c>
      <c r="O73" s="87">
        <v>1</v>
      </c>
      <c r="P73" s="88">
        <v>0</v>
      </c>
      <c r="Q73" s="88">
        <v>3183</v>
      </c>
      <c r="R73" s="88">
        <v>0</v>
      </c>
      <c r="S73" s="89">
        <v>112806</v>
      </c>
      <c r="T73" s="87">
        <v>0</v>
      </c>
      <c r="U73" s="87">
        <v>3</v>
      </c>
      <c r="V73" s="11" t="str">
        <f ca="1">IF(ISBLANK(RAdata6[[#This Row],[budg_seq_yr]]),"FY"&amp;fiscalyear,"FY"&amp;fiscalyear-1+RAdata6[[#This Row],[budg_seq_yr]])</f>
        <v>FY20</v>
      </c>
      <c r="W73" s="88">
        <v>112806</v>
      </c>
      <c r="X73" s="87" t="s">
        <v>243</v>
      </c>
      <c r="Y73" s="87" t="s">
        <v>313</v>
      </c>
      <c r="Z73" s="87" t="s">
        <v>288</v>
      </c>
    </row>
    <row r="74" spans="1:26" x14ac:dyDescent="0.4">
      <c r="A74" s="10" t="s">
        <v>356</v>
      </c>
      <c r="B74" s="85" t="s">
        <v>102</v>
      </c>
      <c r="C74" s="86">
        <v>42935.665277777778</v>
      </c>
      <c r="D74" s="87" t="s">
        <v>279</v>
      </c>
      <c r="E74" s="87" t="s">
        <v>243</v>
      </c>
      <c r="F74" s="87" t="s">
        <v>313</v>
      </c>
      <c r="G74" s="87" t="s">
        <v>318</v>
      </c>
      <c r="H74" s="87" t="s">
        <v>356</v>
      </c>
      <c r="I74" s="7" t="str">
        <f>IF(RAdata6[[#This Row],[pi_last_name]]=" ","",HYPERLINK("https://www.ejacket.nsf.gov/ej/showProposal.do?Continue=Y&amp;ID="&amp;RAdata6[[#This Row],[prop_id]],RAdata6[[#This Row],[prop_id]]))</f>
        <v/>
      </c>
      <c r="J74" s="7" t="str">
        <f>IF(RAdata6[[#This Row],[pi_last_name]]=" ","",HYPERLINK("https://www.ejacket.nsf.gov/ej/processReviewAnalysis.do?dispatch=add&amp;uniqId="&amp;RAdata6[[#This Row],[prop_id]]&amp;pm_ibm_logn_id,"&gt;ra"))</f>
        <v/>
      </c>
      <c r="K74" s="87" t="s">
        <v>14</v>
      </c>
      <c r="L74" s="87" t="s">
        <v>14</v>
      </c>
      <c r="M74" s="87" t="s">
        <v>14</v>
      </c>
      <c r="N74" s="87">
        <v>1</v>
      </c>
      <c r="O74" s="87">
        <v>1</v>
      </c>
      <c r="P74" s="88">
        <v>0</v>
      </c>
      <c r="Q74" s="88">
        <v>3278</v>
      </c>
      <c r="R74" s="88">
        <v>0</v>
      </c>
      <c r="S74" s="89">
        <v>116127</v>
      </c>
      <c r="T74" s="87">
        <v>0</v>
      </c>
      <c r="U74" s="87">
        <v>4</v>
      </c>
      <c r="V74" s="11" t="str">
        <f ca="1">IF(ISBLANK(RAdata6[[#This Row],[budg_seq_yr]]),"FY"&amp;fiscalyear,"FY"&amp;fiscalyear-1+RAdata6[[#This Row],[budg_seq_yr]])</f>
        <v>FY21</v>
      </c>
      <c r="W74" s="88">
        <v>116127</v>
      </c>
      <c r="X74" s="87" t="s">
        <v>243</v>
      </c>
      <c r="Y74" s="87" t="s">
        <v>313</v>
      </c>
      <c r="Z74" s="87" t="s">
        <v>288</v>
      </c>
    </row>
    <row r="75" spans="1:26" x14ac:dyDescent="0.4">
      <c r="A75" s="10" t="s">
        <v>356</v>
      </c>
      <c r="B75" s="85" t="s">
        <v>102</v>
      </c>
      <c r="C75" s="86">
        <v>42935.665277777778</v>
      </c>
      <c r="D75" s="87" t="s">
        <v>279</v>
      </c>
      <c r="E75" s="87" t="s">
        <v>243</v>
      </c>
      <c r="F75" s="87" t="s">
        <v>313</v>
      </c>
      <c r="G75" s="87" t="s">
        <v>318</v>
      </c>
      <c r="H75" s="87" t="s">
        <v>356</v>
      </c>
      <c r="I75" s="7" t="str">
        <f>IF(RAdata6[[#This Row],[pi_last_name]]=" ","",HYPERLINK("https://www.ejacket.nsf.gov/ej/showProposal.do?Continue=Y&amp;ID="&amp;RAdata6[[#This Row],[prop_id]],RAdata6[[#This Row],[prop_id]]))</f>
        <v/>
      </c>
      <c r="J75" s="7" t="str">
        <f>IF(RAdata6[[#This Row],[pi_last_name]]=" ","",HYPERLINK("https://www.ejacket.nsf.gov/ej/processReviewAnalysis.do?dispatch=add&amp;uniqId="&amp;RAdata6[[#This Row],[prop_id]]&amp;pm_ibm_logn_id,"&gt;ra"))</f>
        <v/>
      </c>
      <c r="K75" s="87" t="s">
        <v>14</v>
      </c>
      <c r="L75" s="87" t="s">
        <v>14</v>
      </c>
      <c r="M75" s="87" t="s">
        <v>14</v>
      </c>
      <c r="N75" s="87">
        <v>1</v>
      </c>
      <c r="O75" s="87">
        <v>1</v>
      </c>
      <c r="P75" s="88">
        <v>0</v>
      </c>
      <c r="Q75" s="88">
        <v>3377</v>
      </c>
      <c r="R75" s="88">
        <v>0</v>
      </c>
      <c r="S75" s="89">
        <v>119564</v>
      </c>
      <c r="T75" s="87">
        <v>0</v>
      </c>
      <c r="U75" s="87">
        <v>5</v>
      </c>
      <c r="V75" s="11" t="str">
        <f ca="1">IF(ISBLANK(RAdata6[[#This Row],[budg_seq_yr]]),"FY"&amp;fiscalyear,"FY"&amp;fiscalyear-1+RAdata6[[#This Row],[budg_seq_yr]])</f>
        <v>FY22</v>
      </c>
      <c r="W75" s="88">
        <v>119564</v>
      </c>
      <c r="X75" s="87" t="s">
        <v>243</v>
      </c>
      <c r="Y75" s="87" t="s">
        <v>313</v>
      </c>
      <c r="Z75" s="87" t="s">
        <v>288</v>
      </c>
    </row>
    <row r="76" spans="1:26" x14ac:dyDescent="0.4">
      <c r="A76" s="10" t="s">
        <v>359</v>
      </c>
      <c r="B76" s="85" t="s">
        <v>102</v>
      </c>
      <c r="C76" s="86">
        <v>42935.67291666667</v>
      </c>
      <c r="D76" s="87" t="s">
        <v>279</v>
      </c>
      <c r="E76" s="87" t="s">
        <v>243</v>
      </c>
      <c r="F76" s="87" t="s">
        <v>313</v>
      </c>
      <c r="G76" s="87" t="s">
        <v>314</v>
      </c>
      <c r="H76" s="87" t="s">
        <v>359</v>
      </c>
      <c r="I76" s="7" t="str">
        <f>IF(RAdata6[[#This Row],[pi_last_name]]=" ","",HYPERLINK("https://www.ejacket.nsf.gov/ej/showProposal.do?Continue=Y&amp;ID="&amp;RAdata6[[#This Row],[prop_id]],RAdata6[[#This Row],[prop_id]]))</f>
        <v>1751011</v>
      </c>
      <c r="J76" s="7" t="str">
        <f>IF(RAdata6[[#This Row],[pi_last_name]]=" ","",HYPERLINK("https://www.ejacket.nsf.gov/ej/processReviewAnalysis.do?dispatch=add&amp;uniqId="&amp;RAdata6[[#This Row],[prop_id]]&amp;pm_ibm_logn_id,"&gt;ra"))</f>
        <v>&gt;ra</v>
      </c>
      <c r="K76" s="87" t="s">
        <v>360</v>
      </c>
      <c r="L76" s="87" t="s">
        <v>244</v>
      </c>
      <c r="M76" s="87" t="s">
        <v>361</v>
      </c>
      <c r="N76" s="87"/>
      <c r="O76" s="87"/>
      <c r="P76" s="88"/>
      <c r="Q76" s="88"/>
      <c r="R76" s="88"/>
      <c r="S76" s="89"/>
      <c r="T76" s="87">
        <v>0</v>
      </c>
      <c r="U76" s="87"/>
      <c r="V76" s="11" t="str">
        <f ca="1">IF(ISBLANK(RAdata6[[#This Row],[budg_seq_yr]]),"FY"&amp;fiscalyear,"FY"&amp;fiscalyear-1+RAdata6[[#This Row],[budg_seq_yr]])</f>
        <v>FY18</v>
      </c>
      <c r="W76" s="88">
        <v>525000</v>
      </c>
      <c r="X76" s="87" t="s">
        <v>243</v>
      </c>
      <c r="Y76" s="87" t="s">
        <v>313</v>
      </c>
      <c r="Z76" s="87" t="s">
        <v>288</v>
      </c>
    </row>
    <row r="77" spans="1:26" x14ac:dyDescent="0.4">
      <c r="A77" s="10" t="s">
        <v>359</v>
      </c>
      <c r="B77" s="85" t="s">
        <v>102</v>
      </c>
      <c r="C77" s="86">
        <v>42935.67291666667</v>
      </c>
      <c r="D77" s="87" t="s">
        <v>279</v>
      </c>
      <c r="E77" s="87" t="s">
        <v>243</v>
      </c>
      <c r="F77" s="87" t="s">
        <v>313</v>
      </c>
      <c r="G77" s="87" t="s">
        <v>314</v>
      </c>
      <c r="H77" s="87" t="s">
        <v>359</v>
      </c>
      <c r="I77" s="7" t="str">
        <f>IF(RAdata6[[#This Row],[pi_last_name]]=" ","",HYPERLINK("https://www.ejacket.nsf.gov/ej/showProposal.do?Continue=Y&amp;ID="&amp;RAdata6[[#This Row],[prop_id]],RAdata6[[#This Row],[prop_id]]))</f>
        <v/>
      </c>
      <c r="J77" s="7" t="str">
        <f>IF(RAdata6[[#This Row],[pi_last_name]]=" ","",HYPERLINK("https://www.ejacket.nsf.gov/ej/processReviewAnalysis.do?dispatch=add&amp;uniqId="&amp;RAdata6[[#This Row],[prop_id]]&amp;pm_ibm_logn_id,"&gt;ra"))</f>
        <v/>
      </c>
      <c r="K77" s="87" t="s">
        <v>14</v>
      </c>
      <c r="L77" s="87" t="s">
        <v>14</v>
      </c>
      <c r="M77" s="87" t="s">
        <v>14</v>
      </c>
      <c r="N77" s="87">
        <v>1</v>
      </c>
      <c r="O77" s="87">
        <v>0.5</v>
      </c>
      <c r="P77" s="88">
        <v>0</v>
      </c>
      <c r="Q77" s="88">
        <v>0</v>
      </c>
      <c r="R77" s="88">
        <v>0</v>
      </c>
      <c r="S77" s="89">
        <v>102911</v>
      </c>
      <c r="T77" s="87">
        <v>0</v>
      </c>
      <c r="U77" s="87">
        <v>1</v>
      </c>
      <c r="V77" s="11" t="str">
        <f ca="1">IF(ISBLANK(RAdata6[[#This Row],[budg_seq_yr]]),"FY"&amp;fiscalyear,"FY"&amp;fiscalyear-1+RAdata6[[#This Row],[budg_seq_yr]])</f>
        <v>FY18</v>
      </c>
      <c r="W77" s="88">
        <v>102911</v>
      </c>
      <c r="X77" s="87" t="s">
        <v>243</v>
      </c>
      <c r="Y77" s="87" t="s">
        <v>313</v>
      </c>
      <c r="Z77" s="87" t="s">
        <v>288</v>
      </c>
    </row>
    <row r="78" spans="1:26" x14ac:dyDescent="0.4">
      <c r="A78" s="10" t="s">
        <v>359</v>
      </c>
      <c r="B78" s="85" t="s">
        <v>102</v>
      </c>
      <c r="C78" s="86">
        <v>42935.67291666667</v>
      </c>
      <c r="D78" s="87" t="s">
        <v>279</v>
      </c>
      <c r="E78" s="87" t="s">
        <v>243</v>
      </c>
      <c r="F78" s="87" t="s">
        <v>313</v>
      </c>
      <c r="G78" s="87" t="s">
        <v>314</v>
      </c>
      <c r="H78" s="87" t="s">
        <v>359</v>
      </c>
      <c r="I78" s="7" t="str">
        <f>IF(RAdata6[[#This Row],[pi_last_name]]=" ","",HYPERLINK("https://www.ejacket.nsf.gov/ej/showProposal.do?Continue=Y&amp;ID="&amp;RAdata6[[#This Row],[prop_id]],RAdata6[[#This Row],[prop_id]]))</f>
        <v/>
      </c>
      <c r="J78" s="7" t="str">
        <f>IF(RAdata6[[#This Row],[pi_last_name]]=" ","",HYPERLINK("https://www.ejacket.nsf.gov/ej/processReviewAnalysis.do?dispatch=add&amp;uniqId="&amp;RAdata6[[#This Row],[prop_id]]&amp;pm_ibm_logn_id,"&gt;ra"))</f>
        <v/>
      </c>
      <c r="K78" s="87" t="s">
        <v>14</v>
      </c>
      <c r="L78" s="87" t="s">
        <v>14</v>
      </c>
      <c r="M78" s="87" t="s">
        <v>14</v>
      </c>
      <c r="N78" s="87">
        <v>1</v>
      </c>
      <c r="O78" s="87">
        <v>0.5</v>
      </c>
      <c r="P78" s="88">
        <v>0</v>
      </c>
      <c r="Q78" s="88">
        <v>0</v>
      </c>
      <c r="R78" s="88">
        <v>0</v>
      </c>
      <c r="S78" s="89">
        <v>100133</v>
      </c>
      <c r="T78" s="87">
        <v>0</v>
      </c>
      <c r="U78" s="87">
        <v>2</v>
      </c>
      <c r="V78" s="11" t="str">
        <f ca="1">IF(ISBLANK(RAdata6[[#This Row],[budg_seq_yr]]),"FY"&amp;fiscalyear,"FY"&amp;fiscalyear-1+RAdata6[[#This Row],[budg_seq_yr]])</f>
        <v>FY19</v>
      </c>
      <c r="W78" s="88">
        <v>100133</v>
      </c>
      <c r="X78" s="87" t="s">
        <v>243</v>
      </c>
      <c r="Y78" s="87" t="s">
        <v>313</v>
      </c>
      <c r="Z78" s="87" t="s">
        <v>288</v>
      </c>
    </row>
    <row r="79" spans="1:26" x14ac:dyDescent="0.4">
      <c r="A79" s="10" t="s">
        <v>359</v>
      </c>
      <c r="B79" s="85" t="s">
        <v>102</v>
      </c>
      <c r="C79" s="86">
        <v>42935.67291666667</v>
      </c>
      <c r="D79" s="87" t="s">
        <v>279</v>
      </c>
      <c r="E79" s="87" t="s">
        <v>243</v>
      </c>
      <c r="F79" s="87" t="s">
        <v>313</v>
      </c>
      <c r="G79" s="87" t="s">
        <v>314</v>
      </c>
      <c r="H79" s="87" t="s">
        <v>359</v>
      </c>
      <c r="I79" s="7" t="str">
        <f>IF(RAdata6[[#This Row],[pi_last_name]]=" ","",HYPERLINK("https://www.ejacket.nsf.gov/ej/showProposal.do?Continue=Y&amp;ID="&amp;RAdata6[[#This Row],[prop_id]],RAdata6[[#This Row],[prop_id]]))</f>
        <v/>
      </c>
      <c r="J79" s="7" t="str">
        <f>IF(RAdata6[[#This Row],[pi_last_name]]=" ","",HYPERLINK("https://www.ejacket.nsf.gov/ej/processReviewAnalysis.do?dispatch=add&amp;uniqId="&amp;RAdata6[[#This Row],[prop_id]]&amp;pm_ibm_logn_id,"&gt;ra"))</f>
        <v/>
      </c>
      <c r="K79" s="87" t="s">
        <v>14</v>
      </c>
      <c r="L79" s="87" t="s">
        <v>14</v>
      </c>
      <c r="M79" s="87" t="s">
        <v>14</v>
      </c>
      <c r="N79" s="87">
        <v>1</v>
      </c>
      <c r="O79" s="87">
        <v>0.5</v>
      </c>
      <c r="P79" s="88">
        <v>0</v>
      </c>
      <c r="Q79" s="88">
        <v>0</v>
      </c>
      <c r="R79" s="88">
        <v>0</v>
      </c>
      <c r="S79" s="89">
        <v>103396</v>
      </c>
      <c r="T79" s="87">
        <v>0</v>
      </c>
      <c r="U79" s="87">
        <v>3</v>
      </c>
      <c r="V79" s="11" t="str">
        <f ca="1">IF(ISBLANK(RAdata6[[#This Row],[budg_seq_yr]]),"FY"&amp;fiscalyear,"FY"&amp;fiscalyear-1+RAdata6[[#This Row],[budg_seq_yr]])</f>
        <v>FY20</v>
      </c>
      <c r="W79" s="88">
        <v>103396</v>
      </c>
      <c r="X79" s="87" t="s">
        <v>243</v>
      </c>
      <c r="Y79" s="87" t="s">
        <v>313</v>
      </c>
      <c r="Z79" s="87" t="s">
        <v>288</v>
      </c>
    </row>
    <row r="80" spans="1:26" x14ac:dyDescent="0.4">
      <c r="A80" s="10" t="s">
        <v>359</v>
      </c>
      <c r="B80" s="85" t="s">
        <v>102</v>
      </c>
      <c r="C80" s="86">
        <v>42935.67291666667</v>
      </c>
      <c r="D80" s="87" t="s">
        <v>279</v>
      </c>
      <c r="E80" s="87" t="s">
        <v>243</v>
      </c>
      <c r="F80" s="87" t="s">
        <v>313</v>
      </c>
      <c r="G80" s="87" t="s">
        <v>314</v>
      </c>
      <c r="H80" s="87" t="s">
        <v>359</v>
      </c>
      <c r="I80" s="7" t="str">
        <f>IF(RAdata6[[#This Row],[pi_last_name]]=" ","",HYPERLINK("https://www.ejacket.nsf.gov/ej/showProposal.do?Continue=Y&amp;ID="&amp;RAdata6[[#This Row],[prop_id]],RAdata6[[#This Row],[prop_id]]))</f>
        <v/>
      </c>
      <c r="J80" s="7" t="str">
        <f>IF(RAdata6[[#This Row],[pi_last_name]]=" ","",HYPERLINK("https://www.ejacket.nsf.gov/ej/processReviewAnalysis.do?dispatch=add&amp;uniqId="&amp;RAdata6[[#This Row],[prop_id]]&amp;pm_ibm_logn_id,"&gt;ra"))</f>
        <v/>
      </c>
      <c r="K80" s="87" t="s">
        <v>14</v>
      </c>
      <c r="L80" s="87" t="s">
        <v>14</v>
      </c>
      <c r="M80" s="87" t="s">
        <v>14</v>
      </c>
      <c r="N80" s="87">
        <v>1</v>
      </c>
      <c r="O80" s="87">
        <v>0.5</v>
      </c>
      <c r="P80" s="88">
        <v>0</v>
      </c>
      <c r="Q80" s="88">
        <v>0</v>
      </c>
      <c r="R80" s="88">
        <v>0</v>
      </c>
      <c r="S80" s="89">
        <v>106778</v>
      </c>
      <c r="T80" s="87">
        <v>0</v>
      </c>
      <c r="U80" s="87">
        <v>4</v>
      </c>
      <c r="V80" s="11" t="str">
        <f ca="1">IF(ISBLANK(RAdata6[[#This Row],[budg_seq_yr]]),"FY"&amp;fiscalyear,"FY"&amp;fiscalyear-1+RAdata6[[#This Row],[budg_seq_yr]])</f>
        <v>FY21</v>
      </c>
      <c r="W80" s="88">
        <v>106778</v>
      </c>
      <c r="X80" s="87" t="s">
        <v>243</v>
      </c>
      <c r="Y80" s="87" t="s">
        <v>313</v>
      </c>
      <c r="Z80" s="87" t="s">
        <v>288</v>
      </c>
    </row>
    <row r="81" spans="1:26" x14ac:dyDescent="0.4">
      <c r="A81" s="10" t="s">
        <v>359</v>
      </c>
      <c r="B81" s="85" t="s">
        <v>102</v>
      </c>
      <c r="C81" s="86">
        <v>42935.67291666667</v>
      </c>
      <c r="D81" s="87" t="s">
        <v>279</v>
      </c>
      <c r="E81" s="87" t="s">
        <v>243</v>
      </c>
      <c r="F81" s="87" t="s">
        <v>313</v>
      </c>
      <c r="G81" s="87" t="s">
        <v>314</v>
      </c>
      <c r="H81" s="87" t="s">
        <v>359</v>
      </c>
      <c r="I81" s="7" t="str">
        <f>IF(RAdata6[[#This Row],[pi_last_name]]=" ","",HYPERLINK("https://www.ejacket.nsf.gov/ej/showProposal.do?Continue=Y&amp;ID="&amp;RAdata6[[#This Row],[prop_id]],RAdata6[[#This Row],[prop_id]]))</f>
        <v/>
      </c>
      <c r="J81" s="7" t="str">
        <f>IF(RAdata6[[#This Row],[pi_last_name]]=" ","",HYPERLINK("https://www.ejacket.nsf.gov/ej/processReviewAnalysis.do?dispatch=add&amp;uniqId="&amp;RAdata6[[#This Row],[prop_id]]&amp;pm_ibm_logn_id,"&gt;ra"))</f>
        <v/>
      </c>
      <c r="K81" s="87" t="s">
        <v>14</v>
      </c>
      <c r="L81" s="87" t="s">
        <v>14</v>
      </c>
      <c r="M81" s="87" t="s">
        <v>14</v>
      </c>
      <c r="N81" s="87">
        <v>1</v>
      </c>
      <c r="O81" s="87">
        <v>0.5</v>
      </c>
      <c r="P81" s="88">
        <v>0</v>
      </c>
      <c r="Q81" s="88">
        <v>0</v>
      </c>
      <c r="R81" s="88">
        <v>0</v>
      </c>
      <c r="S81" s="89">
        <v>111782</v>
      </c>
      <c r="T81" s="87">
        <v>0</v>
      </c>
      <c r="U81" s="87">
        <v>5</v>
      </c>
      <c r="V81" s="11" t="str">
        <f ca="1">IF(ISBLANK(RAdata6[[#This Row],[budg_seq_yr]]),"FY"&amp;fiscalyear,"FY"&amp;fiscalyear-1+RAdata6[[#This Row],[budg_seq_yr]])</f>
        <v>FY22</v>
      </c>
      <c r="W81" s="88">
        <v>111782</v>
      </c>
      <c r="X81" s="87" t="s">
        <v>243</v>
      </c>
      <c r="Y81" s="87" t="s">
        <v>313</v>
      </c>
      <c r="Z81" s="87" t="s">
        <v>288</v>
      </c>
    </row>
    <row r="82" spans="1:26" x14ac:dyDescent="0.4">
      <c r="A82" s="10" t="s">
        <v>362</v>
      </c>
      <c r="B82" s="85" t="s">
        <v>102</v>
      </c>
      <c r="C82" s="86">
        <v>42935.705555555556</v>
      </c>
      <c r="D82" s="87" t="s">
        <v>279</v>
      </c>
      <c r="E82" s="87" t="s">
        <v>243</v>
      </c>
      <c r="F82" s="87" t="s">
        <v>313</v>
      </c>
      <c r="G82" s="87" t="s">
        <v>314</v>
      </c>
      <c r="H82" s="87" t="s">
        <v>362</v>
      </c>
      <c r="I82" s="7" t="str">
        <f>IF(RAdata6[[#This Row],[pi_last_name]]=" ","",HYPERLINK("https://www.ejacket.nsf.gov/ej/showProposal.do?Continue=Y&amp;ID="&amp;RAdata6[[#This Row],[prop_id]],RAdata6[[#This Row],[prop_id]]))</f>
        <v>1751185</v>
      </c>
      <c r="J82" s="7" t="str">
        <f>IF(RAdata6[[#This Row],[pi_last_name]]=" ","",HYPERLINK("https://www.ejacket.nsf.gov/ej/processReviewAnalysis.do?dispatch=add&amp;uniqId="&amp;RAdata6[[#This Row],[prop_id]]&amp;pm_ibm_logn_id,"&gt;ra"))</f>
        <v>&gt;ra</v>
      </c>
      <c r="K82" s="87" t="s">
        <v>363</v>
      </c>
      <c r="L82" s="87" t="s">
        <v>364</v>
      </c>
      <c r="M82" s="87" t="s">
        <v>365</v>
      </c>
      <c r="N82" s="87"/>
      <c r="O82" s="87"/>
      <c r="P82" s="88"/>
      <c r="Q82" s="88"/>
      <c r="R82" s="88"/>
      <c r="S82" s="89"/>
      <c r="T82" s="87">
        <v>0</v>
      </c>
      <c r="U82" s="87"/>
      <c r="V82" s="11" t="str">
        <f ca="1">IF(ISBLANK(RAdata6[[#This Row],[budg_seq_yr]]),"FY"&amp;fiscalyear,"FY"&amp;fiscalyear-1+RAdata6[[#This Row],[budg_seq_yr]])</f>
        <v>FY18</v>
      </c>
      <c r="W82" s="88">
        <v>580408</v>
      </c>
      <c r="X82" s="87" t="s">
        <v>243</v>
      </c>
      <c r="Y82" s="87" t="s">
        <v>313</v>
      </c>
      <c r="Z82" s="87" t="s">
        <v>288</v>
      </c>
    </row>
    <row r="83" spans="1:26" x14ac:dyDescent="0.4">
      <c r="A83" s="10" t="s">
        <v>362</v>
      </c>
      <c r="B83" s="85" t="s">
        <v>102</v>
      </c>
      <c r="C83" s="86">
        <v>42935.705555555556</v>
      </c>
      <c r="D83" s="87" t="s">
        <v>279</v>
      </c>
      <c r="E83" s="87" t="s">
        <v>243</v>
      </c>
      <c r="F83" s="87" t="s">
        <v>313</v>
      </c>
      <c r="G83" s="87" t="s">
        <v>314</v>
      </c>
      <c r="H83" s="87" t="s">
        <v>362</v>
      </c>
      <c r="I83" s="7" t="str">
        <f>IF(RAdata6[[#This Row],[pi_last_name]]=" ","",HYPERLINK("https://www.ejacket.nsf.gov/ej/showProposal.do?Continue=Y&amp;ID="&amp;RAdata6[[#This Row],[prop_id]],RAdata6[[#This Row],[prop_id]]))</f>
        <v/>
      </c>
      <c r="J83" s="7" t="str">
        <f>IF(RAdata6[[#This Row],[pi_last_name]]=" ","",HYPERLINK("https://www.ejacket.nsf.gov/ej/processReviewAnalysis.do?dispatch=add&amp;uniqId="&amp;RAdata6[[#This Row],[prop_id]]&amp;pm_ibm_logn_id,"&gt;ra"))</f>
        <v/>
      </c>
      <c r="K83" s="87" t="s">
        <v>14</v>
      </c>
      <c r="L83" s="87" t="s">
        <v>14</v>
      </c>
      <c r="M83" s="87" t="s">
        <v>14</v>
      </c>
      <c r="N83" s="87">
        <v>1</v>
      </c>
      <c r="O83" s="87">
        <v>2</v>
      </c>
      <c r="P83" s="88">
        <v>0</v>
      </c>
      <c r="Q83" s="88">
        <v>0</v>
      </c>
      <c r="R83" s="88">
        <v>0</v>
      </c>
      <c r="S83" s="89">
        <v>97349</v>
      </c>
      <c r="T83" s="87">
        <v>0</v>
      </c>
      <c r="U83" s="87">
        <v>1</v>
      </c>
      <c r="V83" s="11" t="str">
        <f ca="1">IF(ISBLANK(RAdata6[[#This Row],[budg_seq_yr]]),"FY"&amp;fiscalyear,"FY"&amp;fiscalyear-1+RAdata6[[#This Row],[budg_seq_yr]])</f>
        <v>FY18</v>
      </c>
      <c r="W83" s="88">
        <v>97349</v>
      </c>
      <c r="X83" s="87" t="s">
        <v>243</v>
      </c>
      <c r="Y83" s="87" t="s">
        <v>313</v>
      </c>
      <c r="Z83" s="87" t="s">
        <v>288</v>
      </c>
    </row>
    <row r="84" spans="1:26" x14ac:dyDescent="0.4">
      <c r="A84" s="10" t="s">
        <v>362</v>
      </c>
      <c r="B84" s="85" t="s">
        <v>102</v>
      </c>
      <c r="C84" s="86">
        <v>42935.705555555556</v>
      </c>
      <c r="D84" s="87" t="s">
        <v>279</v>
      </c>
      <c r="E84" s="87" t="s">
        <v>243</v>
      </c>
      <c r="F84" s="87" t="s">
        <v>313</v>
      </c>
      <c r="G84" s="87" t="s">
        <v>314</v>
      </c>
      <c r="H84" s="87" t="s">
        <v>362</v>
      </c>
      <c r="I84" s="7" t="str">
        <f>IF(RAdata6[[#This Row],[pi_last_name]]=" ","",HYPERLINK("https://www.ejacket.nsf.gov/ej/showProposal.do?Continue=Y&amp;ID="&amp;RAdata6[[#This Row],[prop_id]],RAdata6[[#This Row],[prop_id]]))</f>
        <v/>
      </c>
      <c r="J84" s="7" t="str">
        <f>IF(RAdata6[[#This Row],[pi_last_name]]=" ","",HYPERLINK("https://www.ejacket.nsf.gov/ej/processReviewAnalysis.do?dispatch=add&amp;uniqId="&amp;RAdata6[[#This Row],[prop_id]]&amp;pm_ibm_logn_id,"&gt;ra"))</f>
        <v/>
      </c>
      <c r="K84" s="87" t="s">
        <v>14</v>
      </c>
      <c r="L84" s="87" t="s">
        <v>14</v>
      </c>
      <c r="M84" s="87" t="s">
        <v>14</v>
      </c>
      <c r="N84" s="87">
        <v>1</v>
      </c>
      <c r="O84" s="87">
        <v>2</v>
      </c>
      <c r="P84" s="88">
        <v>0</v>
      </c>
      <c r="Q84" s="88">
        <v>17500</v>
      </c>
      <c r="R84" s="88">
        <v>0</v>
      </c>
      <c r="S84" s="89">
        <v>128402</v>
      </c>
      <c r="T84" s="87">
        <v>0</v>
      </c>
      <c r="U84" s="87">
        <v>2</v>
      </c>
      <c r="V84" s="11" t="str">
        <f ca="1">IF(ISBLANK(RAdata6[[#This Row],[budg_seq_yr]]),"FY"&amp;fiscalyear,"FY"&amp;fiscalyear-1+RAdata6[[#This Row],[budg_seq_yr]])</f>
        <v>FY19</v>
      </c>
      <c r="W84" s="88">
        <v>128402</v>
      </c>
      <c r="X84" s="87" t="s">
        <v>243</v>
      </c>
      <c r="Y84" s="87" t="s">
        <v>313</v>
      </c>
      <c r="Z84" s="87" t="s">
        <v>288</v>
      </c>
    </row>
    <row r="85" spans="1:26" x14ac:dyDescent="0.4">
      <c r="A85" s="10" t="s">
        <v>362</v>
      </c>
      <c r="B85" s="85" t="s">
        <v>102</v>
      </c>
      <c r="C85" s="86">
        <v>42935.705555555556</v>
      </c>
      <c r="D85" s="87" t="s">
        <v>279</v>
      </c>
      <c r="E85" s="87" t="s">
        <v>243</v>
      </c>
      <c r="F85" s="87" t="s">
        <v>313</v>
      </c>
      <c r="G85" s="87" t="s">
        <v>314</v>
      </c>
      <c r="H85" s="87" t="s">
        <v>362</v>
      </c>
      <c r="I85" s="7" t="str">
        <f>IF(RAdata6[[#This Row],[pi_last_name]]=" ","",HYPERLINK("https://www.ejacket.nsf.gov/ej/showProposal.do?Continue=Y&amp;ID="&amp;RAdata6[[#This Row],[prop_id]],RAdata6[[#This Row],[prop_id]]))</f>
        <v/>
      </c>
      <c r="J85" s="7" t="str">
        <f>IF(RAdata6[[#This Row],[pi_last_name]]=" ","",HYPERLINK("https://www.ejacket.nsf.gov/ej/processReviewAnalysis.do?dispatch=add&amp;uniqId="&amp;RAdata6[[#This Row],[prop_id]]&amp;pm_ibm_logn_id,"&gt;ra"))</f>
        <v/>
      </c>
      <c r="K85" s="87" t="s">
        <v>14</v>
      </c>
      <c r="L85" s="87" t="s">
        <v>14</v>
      </c>
      <c r="M85" s="87" t="s">
        <v>14</v>
      </c>
      <c r="N85" s="87">
        <v>1</v>
      </c>
      <c r="O85" s="87">
        <v>2</v>
      </c>
      <c r="P85" s="88">
        <v>0</v>
      </c>
      <c r="Q85" s="88">
        <v>0</v>
      </c>
      <c r="R85" s="88">
        <v>0</v>
      </c>
      <c r="S85" s="89">
        <v>105004</v>
      </c>
      <c r="T85" s="87">
        <v>0</v>
      </c>
      <c r="U85" s="87">
        <v>3</v>
      </c>
      <c r="V85" s="11" t="str">
        <f ca="1">IF(ISBLANK(RAdata6[[#This Row],[budg_seq_yr]]),"FY"&amp;fiscalyear,"FY"&amp;fiscalyear-1+RAdata6[[#This Row],[budg_seq_yr]])</f>
        <v>FY20</v>
      </c>
      <c r="W85" s="88">
        <v>105004</v>
      </c>
      <c r="X85" s="87" t="s">
        <v>243</v>
      </c>
      <c r="Y85" s="87" t="s">
        <v>313</v>
      </c>
      <c r="Z85" s="87" t="s">
        <v>288</v>
      </c>
    </row>
    <row r="86" spans="1:26" x14ac:dyDescent="0.4">
      <c r="A86" s="10" t="s">
        <v>362</v>
      </c>
      <c r="B86" s="85" t="s">
        <v>102</v>
      </c>
      <c r="C86" s="86">
        <v>42935.705555555556</v>
      </c>
      <c r="D86" s="87" t="s">
        <v>279</v>
      </c>
      <c r="E86" s="87" t="s">
        <v>243</v>
      </c>
      <c r="F86" s="87" t="s">
        <v>313</v>
      </c>
      <c r="G86" s="87" t="s">
        <v>314</v>
      </c>
      <c r="H86" s="87" t="s">
        <v>362</v>
      </c>
      <c r="I86" s="7" t="str">
        <f>IF(RAdata6[[#This Row],[pi_last_name]]=" ","",HYPERLINK("https://www.ejacket.nsf.gov/ej/showProposal.do?Continue=Y&amp;ID="&amp;RAdata6[[#This Row],[prop_id]],RAdata6[[#This Row],[prop_id]]))</f>
        <v/>
      </c>
      <c r="J86" s="7" t="str">
        <f>IF(RAdata6[[#This Row],[pi_last_name]]=" ","",HYPERLINK("https://www.ejacket.nsf.gov/ej/processReviewAnalysis.do?dispatch=add&amp;uniqId="&amp;RAdata6[[#This Row],[prop_id]]&amp;pm_ibm_logn_id,"&gt;ra"))</f>
        <v/>
      </c>
      <c r="K86" s="87" t="s">
        <v>14</v>
      </c>
      <c r="L86" s="87" t="s">
        <v>14</v>
      </c>
      <c r="M86" s="87" t="s">
        <v>14</v>
      </c>
      <c r="N86" s="87">
        <v>1</v>
      </c>
      <c r="O86" s="87">
        <v>2</v>
      </c>
      <c r="P86" s="88">
        <v>0</v>
      </c>
      <c r="Q86" s="88">
        <v>17500</v>
      </c>
      <c r="R86" s="88">
        <v>0</v>
      </c>
      <c r="S86" s="89">
        <v>136366</v>
      </c>
      <c r="T86" s="87">
        <v>0</v>
      </c>
      <c r="U86" s="87">
        <v>4</v>
      </c>
      <c r="V86" s="11" t="str">
        <f ca="1">IF(ISBLANK(RAdata6[[#This Row],[budg_seq_yr]]),"FY"&amp;fiscalyear,"FY"&amp;fiscalyear-1+RAdata6[[#This Row],[budg_seq_yr]])</f>
        <v>FY21</v>
      </c>
      <c r="W86" s="88">
        <v>136366</v>
      </c>
      <c r="X86" s="87" t="s">
        <v>243</v>
      </c>
      <c r="Y86" s="87" t="s">
        <v>313</v>
      </c>
      <c r="Z86" s="87" t="s">
        <v>288</v>
      </c>
    </row>
    <row r="87" spans="1:26" x14ac:dyDescent="0.4">
      <c r="A87" s="10" t="s">
        <v>362</v>
      </c>
      <c r="B87" s="85" t="s">
        <v>102</v>
      </c>
      <c r="C87" s="86">
        <v>42935.705555555556</v>
      </c>
      <c r="D87" s="87" t="s">
        <v>279</v>
      </c>
      <c r="E87" s="87" t="s">
        <v>243</v>
      </c>
      <c r="F87" s="87" t="s">
        <v>313</v>
      </c>
      <c r="G87" s="87" t="s">
        <v>314</v>
      </c>
      <c r="H87" s="87" t="s">
        <v>362</v>
      </c>
      <c r="I87" s="7" t="str">
        <f>IF(RAdata6[[#This Row],[pi_last_name]]=" ","",HYPERLINK("https://www.ejacket.nsf.gov/ej/showProposal.do?Continue=Y&amp;ID="&amp;RAdata6[[#This Row],[prop_id]],RAdata6[[#This Row],[prop_id]]))</f>
        <v/>
      </c>
      <c r="J87" s="7" t="str">
        <f>IF(RAdata6[[#This Row],[pi_last_name]]=" ","",HYPERLINK("https://www.ejacket.nsf.gov/ej/processReviewAnalysis.do?dispatch=add&amp;uniqId="&amp;RAdata6[[#This Row],[prop_id]]&amp;pm_ibm_logn_id,"&gt;ra"))</f>
        <v/>
      </c>
      <c r="K87" s="87" t="s">
        <v>14</v>
      </c>
      <c r="L87" s="87" t="s">
        <v>14</v>
      </c>
      <c r="M87" s="87" t="s">
        <v>14</v>
      </c>
      <c r="N87" s="87">
        <v>1</v>
      </c>
      <c r="O87" s="87">
        <v>2</v>
      </c>
      <c r="P87" s="88">
        <v>0</v>
      </c>
      <c r="Q87" s="88">
        <v>0</v>
      </c>
      <c r="R87" s="88">
        <v>0</v>
      </c>
      <c r="S87" s="89">
        <v>113287</v>
      </c>
      <c r="T87" s="87">
        <v>0</v>
      </c>
      <c r="U87" s="87">
        <v>5</v>
      </c>
      <c r="V87" s="11" t="str">
        <f ca="1">IF(ISBLANK(RAdata6[[#This Row],[budg_seq_yr]]),"FY"&amp;fiscalyear,"FY"&amp;fiscalyear-1+RAdata6[[#This Row],[budg_seq_yr]])</f>
        <v>FY22</v>
      </c>
      <c r="W87" s="88">
        <v>113287</v>
      </c>
      <c r="X87" s="87" t="s">
        <v>243</v>
      </c>
      <c r="Y87" s="87" t="s">
        <v>313</v>
      </c>
      <c r="Z87" s="87" t="s">
        <v>288</v>
      </c>
    </row>
    <row r="88" spans="1:26" x14ac:dyDescent="0.4">
      <c r="A88" s="10" t="s">
        <v>366</v>
      </c>
      <c r="B88" s="85" t="s">
        <v>102</v>
      </c>
      <c r="C88" s="86">
        <v>42935.706944444442</v>
      </c>
      <c r="D88" s="87" t="s">
        <v>279</v>
      </c>
      <c r="E88" s="87" t="s">
        <v>243</v>
      </c>
      <c r="F88" s="87" t="s">
        <v>313</v>
      </c>
      <c r="G88" s="87" t="s">
        <v>314</v>
      </c>
      <c r="H88" s="87" t="s">
        <v>366</v>
      </c>
      <c r="I88" s="7" t="str">
        <f>IF(RAdata6[[#This Row],[pi_last_name]]=" ","",HYPERLINK("https://www.ejacket.nsf.gov/ej/showProposal.do?Continue=Y&amp;ID="&amp;RAdata6[[#This Row],[prop_id]],RAdata6[[#This Row],[prop_id]]))</f>
        <v>1751195</v>
      </c>
      <c r="J88" s="7" t="str">
        <f>IF(RAdata6[[#This Row],[pi_last_name]]=" ","",HYPERLINK("https://www.ejacket.nsf.gov/ej/processReviewAnalysis.do?dispatch=add&amp;uniqId="&amp;RAdata6[[#This Row],[prop_id]]&amp;pm_ibm_logn_id,"&gt;ra"))</f>
        <v>&gt;ra</v>
      </c>
      <c r="K88" s="87" t="s">
        <v>367</v>
      </c>
      <c r="L88" s="87" t="s">
        <v>368</v>
      </c>
      <c r="M88" s="87" t="s">
        <v>369</v>
      </c>
      <c r="N88" s="87"/>
      <c r="O88" s="87"/>
      <c r="P88" s="88"/>
      <c r="Q88" s="88"/>
      <c r="R88" s="88"/>
      <c r="S88" s="89"/>
      <c r="T88" s="87">
        <v>0</v>
      </c>
      <c r="U88" s="87"/>
      <c r="V88" s="11" t="str">
        <f ca="1">IF(ISBLANK(RAdata6[[#This Row],[budg_seq_yr]]),"FY"&amp;fiscalyear,"FY"&amp;fiscalyear-1+RAdata6[[#This Row],[budg_seq_yr]])</f>
        <v>FY18</v>
      </c>
      <c r="W88" s="88">
        <v>551069</v>
      </c>
      <c r="X88" s="87" t="s">
        <v>243</v>
      </c>
      <c r="Y88" s="87" t="s">
        <v>313</v>
      </c>
      <c r="Z88" s="87" t="s">
        <v>288</v>
      </c>
    </row>
    <row r="89" spans="1:26" x14ac:dyDescent="0.4">
      <c r="A89" s="10" t="s">
        <v>366</v>
      </c>
      <c r="B89" s="85" t="s">
        <v>102</v>
      </c>
      <c r="C89" s="86">
        <v>42935.706944444442</v>
      </c>
      <c r="D89" s="87" t="s">
        <v>279</v>
      </c>
      <c r="E89" s="87" t="s">
        <v>243</v>
      </c>
      <c r="F89" s="87" t="s">
        <v>313</v>
      </c>
      <c r="G89" s="87" t="s">
        <v>314</v>
      </c>
      <c r="H89" s="87" t="s">
        <v>366</v>
      </c>
      <c r="I89" s="7" t="str">
        <f>IF(RAdata6[[#This Row],[pi_last_name]]=" ","",HYPERLINK("https://www.ejacket.nsf.gov/ej/showProposal.do?Continue=Y&amp;ID="&amp;RAdata6[[#This Row],[prop_id]],RAdata6[[#This Row],[prop_id]]))</f>
        <v/>
      </c>
      <c r="J89" s="7" t="str">
        <f>IF(RAdata6[[#This Row],[pi_last_name]]=" ","",HYPERLINK("https://www.ejacket.nsf.gov/ej/processReviewAnalysis.do?dispatch=add&amp;uniqId="&amp;RAdata6[[#This Row],[prop_id]]&amp;pm_ibm_logn_id,"&gt;ra"))</f>
        <v/>
      </c>
      <c r="K89" s="87" t="s">
        <v>14</v>
      </c>
      <c r="L89" s="87" t="s">
        <v>14</v>
      </c>
      <c r="M89" s="87" t="s">
        <v>14</v>
      </c>
      <c r="N89" s="87">
        <v>1</v>
      </c>
      <c r="O89" s="87">
        <v>0</v>
      </c>
      <c r="P89" s="88">
        <v>0</v>
      </c>
      <c r="Q89" s="88">
        <v>3000</v>
      </c>
      <c r="R89" s="88">
        <v>0</v>
      </c>
      <c r="S89" s="89">
        <v>103719</v>
      </c>
      <c r="T89" s="87">
        <v>0</v>
      </c>
      <c r="U89" s="87">
        <v>1</v>
      </c>
      <c r="V89" s="11" t="str">
        <f ca="1">IF(ISBLANK(RAdata6[[#This Row],[budg_seq_yr]]),"FY"&amp;fiscalyear,"FY"&amp;fiscalyear-1+RAdata6[[#This Row],[budg_seq_yr]])</f>
        <v>FY18</v>
      </c>
      <c r="W89" s="88">
        <v>103719</v>
      </c>
      <c r="X89" s="87" t="s">
        <v>243</v>
      </c>
      <c r="Y89" s="87" t="s">
        <v>313</v>
      </c>
      <c r="Z89" s="87" t="s">
        <v>288</v>
      </c>
    </row>
    <row r="90" spans="1:26" x14ac:dyDescent="0.4">
      <c r="A90" s="10" t="s">
        <v>366</v>
      </c>
      <c r="B90" s="85" t="s">
        <v>102</v>
      </c>
      <c r="C90" s="86">
        <v>42935.706944444442</v>
      </c>
      <c r="D90" s="87" t="s">
        <v>279</v>
      </c>
      <c r="E90" s="87" t="s">
        <v>243</v>
      </c>
      <c r="F90" s="87" t="s">
        <v>313</v>
      </c>
      <c r="G90" s="87" t="s">
        <v>314</v>
      </c>
      <c r="H90" s="87" t="s">
        <v>366</v>
      </c>
      <c r="I90" s="7" t="str">
        <f>IF(RAdata6[[#This Row],[pi_last_name]]=" ","",HYPERLINK("https://www.ejacket.nsf.gov/ej/showProposal.do?Continue=Y&amp;ID="&amp;RAdata6[[#This Row],[prop_id]],RAdata6[[#This Row],[prop_id]]))</f>
        <v/>
      </c>
      <c r="J90" s="7" t="str">
        <f>IF(RAdata6[[#This Row],[pi_last_name]]=" ","",HYPERLINK("https://www.ejacket.nsf.gov/ej/processReviewAnalysis.do?dispatch=add&amp;uniqId="&amp;RAdata6[[#This Row],[prop_id]]&amp;pm_ibm_logn_id,"&gt;ra"))</f>
        <v/>
      </c>
      <c r="K90" s="87" t="s">
        <v>14</v>
      </c>
      <c r="L90" s="87" t="s">
        <v>14</v>
      </c>
      <c r="M90" s="87" t="s">
        <v>14</v>
      </c>
      <c r="N90" s="87">
        <v>1</v>
      </c>
      <c r="O90" s="87">
        <v>0</v>
      </c>
      <c r="P90" s="88">
        <v>0</v>
      </c>
      <c r="Q90" s="88">
        <v>3000</v>
      </c>
      <c r="R90" s="88">
        <v>0</v>
      </c>
      <c r="S90" s="89">
        <v>106857</v>
      </c>
      <c r="T90" s="87">
        <v>0</v>
      </c>
      <c r="U90" s="87">
        <v>2</v>
      </c>
      <c r="V90" s="11" t="str">
        <f ca="1">IF(ISBLANK(RAdata6[[#This Row],[budg_seq_yr]]),"FY"&amp;fiscalyear,"FY"&amp;fiscalyear-1+RAdata6[[#This Row],[budg_seq_yr]])</f>
        <v>FY19</v>
      </c>
      <c r="W90" s="88">
        <v>106857</v>
      </c>
      <c r="X90" s="87" t="s">
        <v>243</v>
      </c>
      <c r="Y90" s="87" t="s">
        <v>313</v>
      </c>
      <c r="Z90" s="87" t="s">
        <v>288</v>
      </c>
    </row>
    <row r="91" spans="1:26" x14ac:dyDescent="0.4">
      <c r="A91" s="10" t="s">
        <v>366</v>
      </c>
      <c r="B91" s="85" t="s">
        <v>102</v>
      </c>
      <c r="C91" s="86">
        <v>42935.706944444442</v>
      </c>
      <c r="D91" s="87" t="s">
        <v>279</v>
      </c>
      <c r="E91" s="87" t="s">
        <v>243</v>
      </c>
      <c r="F91" s="87" t="s">
        <v>313</v>
      </c>
      <c r="G91" s="87" t="s">
        <v>314</v>
      </c>
      <c r="H91" s="87" t="s">
        <v>366</v>
      </c>
      <c r="I91" s="7" t="str">
        <f>IF(RAdata6[[#This Row],[pi_last_name]]=" ","",HYPERLINK("https://www.ejacket.nsf.gov/ej/showProposal.do?Continue=Y&amp;ID="&amp;RAdata6[[#This Row],[prop_id]],RAdata6[[#This Row],[prop_id]]))</f>
        <v/>
      </c>
      <c r="J91" s="7" t="str">
        <f>IF(RAdata6[[#This Row],[pi_last_name]]=" ","",HYPERLINK("https://www.ejacket.nsf.gov/ej/processReviewAnalysis.do?dispatch=add&amp;uniqId="&amp;RAdata6[[#This Row],[prop_id]]&amp;pm_ibm_logn_id,"&gt;ra"))</f>
        <v/>
      </c>
      <c r="K91" s="87" t="s">
        <v>14</v>
      </c>
      <c r="L91" s="87" t="s">
        <v>14</v>
      </c>
      <c r="M91" s="87" t="s">
        <v>14</v>
      </c>
      <c r="N91" s="87">
        <v>1</v>
      </c>
      <c r="O91" s="87">
        <v>0</v>
      </c>
      <c r="P91" s="88">
        <v>0</v>
      </c>
      <c r="Q91" s="88">
        <v>3000</v>
      </c>
      <c r="R91" s="88">
        <v>0</v>
      </c>
      <c r="S91" s="89">
        <v>110102</v>
      </c>
      <c r="T91" s="87">
        <v>0</v>
      </c>
      <c r="U91" s="87">
        <v>3</v>
      </c>
      <c r="V91" s="11" t="str">
        <f ca="1">IF(ISBLANK(RAdata6[[#This Row],[budg_seq_yr]]),"FY"&amp;fiscalyear,"FY"&amp;fiscalyear-1+RAdata6[[#This Row],[budg_seq_yr]])</f>
        <v>FY20</v>
      </c>
      <c r="W91" s="88">
        <v>110102</v>
      </c>
      <c r="X91" s="87" t="s">
        <v>243</v>
      </c>
      <c r="Y91" s="87" t="s">
        <v>313</v>
      </c>
      <c r="Z91" s="87" t="s">
        <v>288</v>
      </c>
    </row>
    <row r="92" spans="1:26" x14ac:dyDescent="0.4">
      <c r="A92" s="10" t="s">
        <v>366</v>
      </c>
      <c r="B92" s="85" t="s">
        <v>102</v>
      </c>
      <c r="C92" s="86">
        <v>42935.706944444442</v>
      </c>
      <c r="D92" s="87" t="s">
        <v>279</v>
      </c>
      <c r="E92" s="87" t="s">
        <v>243</v>
      </c>
      <c r="F92" s="87" t="s">
        <v>313</v>
      </c>
      <c r="G92" s="87" t="s">
        <v>314</v>
      </c>
      <c r="H92" s="87" t="s">
        <v>366</v>
      </c>
      <c r="I92" s="7" t="str">
        <f>IF(RAdata6[[#This Row],[pi_last_name]]=" ","",HYPERLINK("https://www.ejacket.nsf.gov/ej/showProposal.do?Continue=Y&amp;ID="&amp;RAdata6[[#This Row],[prop_id]],RAdata6[[#This Row],[prop_id]]))</f>
        <v/>
      </c>
      <c r="J92" s="7" t="str">
        <f>IF(RAdata6[[#This Row],[pi_last_name]]=" ","",HYPERLINK("https://www.ejacket.nsf.gov/ej/processReviewAnalysis.do?dispatch=add&amp;uniqId="&amp;RAdata6[[#This Row],[prop_id]]&amp;pm_ibm_logn_id,"&gt;ra"))</f>
        <v/>
      </c>
      <c r="K92" s="87" t="s">
        <v>14</v>
      </c>
      <c r="L92" s="87" t="s">
        <v>14</v>
      </c>
      <c r="M92" s="87" t="s">
        <v>14</v>
      </c>
      <c r="N92" s="87">
        <v>1</v>
      </c>
      <c r="O92" s="87">
        <v>0</v>
      </c>
      <c r="P92" s="88">
        <v>0</v>
      </c>
      <c r="Q92" s="88">
        <v>3000</v>
      </c>
      <c r="R92" s="88">
        <v>0</v>
      </c>
      <c r="S92" s="89">
        <v>113461</v>
      </c>
      <c r="T92" s="87">
        <v>0</v>
      </c>
      <c r="U92" s="87">
        <v>4</v>
      </c>
      <c r="V92" s="11" t="str">
        <f ca="1">IF(ISBLANK(RAdata6[[#This Row],[budg_seq_yr]]),"FY"&amp;fiscalyear,"FY"&amp;fiscalyear-1+RAdata6[[#This Row],[budg_seq_yr]])</f>
        <v>FY21</v>
      </c>
      <c r="W92" s="88">
        <v>113461</v>
      </c>
      <c r="X92" s="87" t="s">
        <v>243</v>
      </c>
      <c r="Y92" s="87" t="s">
        <v>313</v>
      </c>
      <c r="Z92" s="87" t="s">
        <v>288</v>
      </c>
    </row>
    <row r="93" spans="1:26" x14ac:dyDescent="0.4">
      <c r="A93" s="10" t="s">
        <v>366</v>
      </c>
      <c r="B93" s="85" t="s">
        <v>102</v>
      </c>
      <c r="C93" s="86">
        <v>42935.706944444442</v>
      </c>
      <c r="D93" s="87" t="s">
        <v>279</v>
      </c>
      <c r="E93" s="87" t="s">
        <v>243</v>
      </c>
      <c r="F93" s="87" t="s">
        <v>313</v>
      </c>
      <c r="G93" s="87" t="s">
        <v>314</v>
      </c>
      <c r="H93" s="87" t="s">
        <v>366</v>
      </c>
      <c r="I93" s="7" t="str">
        <f>IF(RAdata6[[#This Row],[pi_last_name]]=" ","",HYPERLINK("https://www.ejacket.nsf.gov/ej/showProposal.do?Continue=Y&amp;ID="&amp;RAdata6[[#This Row],[prop_id]],RAdata6[[#This Row],[prop_id]]))</f>
        <v/>
      </c>
      <c r="J93" s="7" t="str">
        <f>IF(RAdata6[[#This Row],[pi_last_name]]=" ","",HYPERLINK("https://www.ejacket.nsf.gov/ej/processReviewAnalysis.do?dispatch=add&amp;uniqId="&amp;RAdata6[[#This Row],[prop_id]]&amp;pm_ibm_logn_id,"&gt;ra"))</f>
        <v/>
      </c>
      <c r="K93" s="87" t="s">
        <v>14</v>
      </c>
      <c r="L93" s="87" t="s">
        <v>14</v>
      </c>
      <c r="M93" s="87" t="s">
        <v>14</v>
      </c>
      <c r="N93" s="87">
        <v>1</v>
      </c>
      <c r="O93" s="87">
        <v>0</v>
      </c>
      <c r="P93" s="88">
        <v>0</v>
      </c>
      <c r="Q93" s="88">
        <v>3000</v>
      </c>
      <c r="R93" s="88">
        <v>0</v>
      </c>
      <c r="S93" s="89">
        <v>116930</v>
      </c>
      <c r="T93" s="87">
        <v>0</v>
      </c>
      <c r="U93" s="87">
        <v>5</v>
      </c>
      <c r="V93" s="11" t="str">
        <f ca="1">IF(ISBLANK(RAdata6[[#This Row],[budg_seq_yr]]),"FY"&amp;fiscalyear,"FY"&amp;fiscalyear-1+RAdata6[[#This Row],[budg_seq_yr]])</f>
        <v>FY22</v>
      </c>
      <c r="W93" s="88">
        <v>116930</v>
      </c>
      <c r="X93" s="87" t="s">
        <v>243</v>
      </c>
      <c r="Y93" s="87" t="s">
        <v>313</v>
      </c>
      <c r="Z93" s="87" t="s">
        <v>288</v>
      </c>
    </row>
    <row r="94" spans="1:26" x14ac:dyDescent="0.4">
      <c r="A94" s="10" t="s">
        <v>370</v>
      </c>
      <c r="B94" s="85" t="s">
        <v>102</v>
      </c>
      <c r="C94" s="86">
        <v>42935.757638888892</v>
      </c>
      <c r="D94" s="87" t="s">
        <v>279</v>
      </c>
      <c r="E94" s="87" t="s">
        <v>243</v>
      </c>
      <c r="F94" s="87" t="s">
        <v>313</v>
      </c>
      <c r="G94" s="87" t="s">
        <v>318</v>
      </c>
      <c r="H94" s="87" t="s">
        <v>370</v>
      </c>
      <c r="I94" s="7" t="str">
        <f>IF(RAdata6[[#This Row],[pi_last_name]]=" ","",HYPERLINK("https://www.ejacket.nsf.gov/ej/showProposal.do?Continue=Y&amp;ID="&amp;RAdata6[[#This Row],[prop_id]],RAdata6[[#This Row],[prop_id]]))</f>
        <v>1751333</v>
      </c>
      <c r="J94" s="7" t="str">
        <f>IF(RAdata6[[#This Row],[pi_last_name]]=" ","",HYPERLINK("https://www.ejacket.nsf.gov/ej/processReviewAnalysis.do?dispatch=add&amp;uniqId="&amp;RAdata6[[#This Row],[prop_id]]&amp;pm_ibm_logn_id,"&gt;ra"))</f>
        <v>&gt;ra</v>
      </c>
      <c r="K94" s="87" t="s">
        <v>371</v>
      </c>
      <c r="L94" s="87" t="s">
        <v>372</v>
      </c>
      <c r="M94" s="87" t="s">
        <v>373</v>
      </c>
      <c r="N94" s="87"/>
      <c r="O94" s="87"/>
      <c r="P94" s="88"/>
      <c r="Q94" s="88"/>
      <c r="R94" s="88"/>
      <c r="S94" s="89"/>
      <c r="T94" s="87">
        <v>0</v>
      </c>
      <c r="U94" s="87"/>
      <c r="V94" s="11" t="str">
        <f ca="1">IF(ISBLANK(RAdata6[[#This Row],[budg_seq_yr]]),"FY"&amp;fiscalyear,"FY"&amp;fiscalyear-1+RAdata6[[#This Row],[budg_seq_yr]])</f>
        <v>FY18</v>
      </c>
      <c r="W94" s="88">
        <v>542402</v>
      </c>
      <c r="X94" s="87" t="s">
        <v>243</v>
      </c>
      <c r="Y94" s="87" t="s">
        <v>313</v>
      </c>
      <c r="Z94" s="87" t="s">
        <v>288</v>
      </c>
    </row>
    <row r="95" spans="1:26" x14ac:dyDescent="0.4">
      <c r="A95" s="10" t="s">
        <v>370</v>
      </c>
      <c r="B95" s="85" t="s">
        <v>102</v>
      </c>
      <c r="C95" s="86">
        <v>42935.757638888892</v>
      </c>
      <c r="D95" s="87" t="s">
        <v>279</v>
      </c>
      <c r="E95" s="87" t="s">
        <v>243</v>
      </c>
      <c r="F95" s="87" t="s">
        <v>313</v>
      </c>
      <c r="G95" s="87" t="s">
        <v>318</v>
      </c>
      <c r="H95" s="87" t="s">
        <v>370</v>
      </c>
      <c r="I95" s="7" t="str">
        <f>IF(RAdata6[[#This Row],[pi_last_name]]=" ","",HYPERLINK("https://www.ejacket.nsf.gov/ej/showProposal.do?Continue=Y&amp;ID="&amp;RAdata6[[#This Row],[prop_id]],RAdata6[[#This Row],[prop_id]]))</f>
        <v/>
      </c>
      <c r="J95" s="7" t="str">
        <f>IF(RAdata6[[#This Row],[pi_last_name]]=" ","",HYPERLINK("https://www.ejacket.nsf.gov/ej/processReviewAnalysis.do?dispatch=add&amp;uniqId="&amp;RAdata6[[#This Row],[prop_id]]&amp;pm_ibm_logn_id,"&gt;ra"))</f>
        <v/>
      </c>
      <c r="K95" s="87" t="s">
        <v>14</v>
      </c>
      <c r="L95" s="87" t="s">
        <v>14</v>
      </c>
      <c r="M95" s="87" t="s">
        <v>14</v>
      </c>
      <c r="N95" s="87">
        <v>1</v>
      </c>
      <c r="O95" s="87">
        <v>0.5</v>
      </c>
      <c r="P95" s="88">
        <v>0</v>
      </c>
      <c r="Q95" s="88">
        <v>0</v>
      </c>
      <c r="R95" s="88">
        <v>1500</v>
      </c>
      <c r="S95" s="89">
        <v>107753</v>
      </c>
      <c r="T95" s="87">
        <v>0</v>
      </c>
      <c r="U95" s="87">
        <v>1</v>
      </c>
      <c r="V95" s="11" t="str">
        <f ca="1">IF(ISBLANK(RAdata6[[#This Row],[budg_seq_yr]]),"FY"&amp;fiscalyear,"FY"&amp;fiscalyear-1+RAdata6[[#This Row],[budg_seq_yr]])</f>
        <v>FY18</v>
      </c>
      <c r="W95" s="88">
        <v>107753</v>
      </c>
      <c r="X95" s="87" t="s">
        <v>243</v>
      </c>
      <c r="Y95" s="87" t="s">
        <v>313</v>
      </c>
      <c r="Z95" s="87" t="s">
        <v>288</v>
      </c>
    </row>
    <row r="96" spans="1:26" x14ac:dyDescent="0.4">
      <c r="A96" s="10" t="s">
        <v>370</v>
      </c>
      <c r="B96" s="85" t="s">
        <v>102</v>
      </c>
      <c r="C96" s="86">
        <v>42935.757638888892</v>
      </c>
      <c r="D96" s="87" t="s">
        <v>279</v>
      </c>
      <c r="E96" s="87" t="s">
        <v>243</v>
      </c>
      <c r="F96" s="87" t="s">
        <v>313</v>
      </c>
      <c r="G96" s="87" t="s">
        <v>318</v>
      </c>
      <c r="H96" s="87" t="s">
        <v>370</v>
      </c>
      <c r="I96" s="7" t="str">
        <f>IF(RAdata6[[#This Row],[pi_last_name]]=" ","",HYPERLINK("https://www.ejacket.nsf.gov/ej/showProposal.do?Continue=Y&amp;ID="&amp;RAdata6[[#This Row],[prop_id]],RAdata6[[#This Row],[prop_id]]))</f>
        <v/>
      </c>
      <c r="J96" s="7" t="str">
        <f>IF(RAdata6[[#This Row],[pi_last_name]]=" ","",HYPERLINK("https://www.ejacket.nsf.gov/ej/processReviewAnalysis.do?dispatch=add&amp;uniqId="&amp;RAdata6[[#This Row],[prop_id]]&amp;pm_ibm_logn_id,"&gt;ra"))</f>
        <v/>
      </c>
      <c r="K96" s="87" t="s">
        <v>14</v>
      </c>
      <c r="L96" s="87" t="s">
        <v>14</v>
      </c>
      <c r="M96" s="87" t="s">
        <v>14</v>
      </c>
      <c r="N96" s="87">
        <v>1</v>
      </c>
      <c r="O96" s="87">
        <v>0.5</v>
      </c>
      <c r="P96" s="88">
        <v>0</v>
      </c>
      <c r="Q96" s="88">
        <v>0</v>
      </c>
      <c r="R96" s="88">
        <v>1500</v>
      </c>
      <c r="S96" s="89">
        <v>103362</v>
      </c>
      <c r="T96" s="87">
        <v>0</v>
      </c>
      <c r="U96" s="87">
        <v>2</v>
      </c>
      <c r="V96" s="11" t="str">
        <f ca="1">IF(ISBLANK(RAdata6[[#This Row],[budg_seq_yr]]),"FY"&amp;fiscalyear,"FY"&amp;fiscalyear-1+RAdata6[[#This Row],[budg_seq_yr]])</f>
        <v>FY19</v>
      </c>
      <c r="W96" s="88">
        <v>103362</v>
      </c>
      <c r="X96" s="87" t="s">
        <v>243</v>
      </c>
      <c r="Y96" s="87" t="s">
        <v>313</v>
      </c>
      <c r="Z96" s="87" t="s">
        <v>288</v>
      </c>
    </row>
    <row r="97" spans="1:26" x14ac:dyDescent="0.4">
      <c r="A97" s="10" t="s">
        <v>370</v>
      </c>
      <c r="B97" s="85" t="s">
        <v>102</v>
      </c>
      <c r="C97" s="86">
        <v>42935.757638888892</v>
      </c>
      <c r="D97" s="87" t="s">
        <v>279</v>
      </c>
      <c r="E97" s="87" t="s">
        <v>243</v>
      </c>
      <c r="F97" s="87" t="s">
        <v>313</v>
      </c>
      <c r="G97" s="87" t="s">
        <v>318</v>
      </c>
      <c r="H97" s="87" t="s">
        <v>370</v>
      </c>
      <c r="I97" s="7" t="str">
        <f>IF(RAdata6[[#This Row],[pi_last_name]]=" ","",HYPERLINK("https://www.ejacket.nsf.gov/ej/showProposal.do?Continue=Y&amp;ID="&amp;RAdata6[[#This Row],[prop_id]],RAdata6[[#This Row],[prop_id]]))</f>
        <v/>
      </c>
      <c r="J97" s="7" t="str">
        <f>IF(RAdata6[[#This Row],[pi_last_name]]=" ","",HYPERLINK("https://www.ejacket.nsf.gov/ej/processReviewAnalysis.do?dispatch=add&amp;uniqId="&amp;RAdata6[[#This Row],[prop_id]]&amp;pm_ibm_logn_id,"&gt;ra"))</f>
        <v/>
      </c>
      <c r="K97" s="87" t="s">
        <v>14</v>
      </c>
      <c r="L97" s="87" t="s">
        <v>14</v>
      </c>
      <c r="M97" s="87" t="s">
        <v>14</v>
      </c>
      <c r="N97" s="87">
        <v>1</v>
      </c>
      <c r="O97" s="87">
        <v>0.5</v>
      </c>
      <c r="P97" s="88">
        <v>0</v>
      </c>
      <c r="Q97" s="88">
        <v>0</v>
      </c>
      <c r="R97" s="88">
        <v>1500</v>
      </c>
      <c r="S97" s="89">
        <v>106801</v>
      </c>
      <c r="T97" s="87">
        <v>0</v>
      </c>
      <c r="U97" s="87">
        <v>3</v>
      </c>
      <c r="V97" s="11" t="str">
        <f ca="1">IF(ISBLANK(RAdata6[[#This Row],[budg_seq_yr]]),"FY"&amp;fiscalyear,"FY"&amp;fiscalyear-1+RAdata6[[#This Row],[budg_seq_yr]])</f>
        <v>FY20</v>
      </c>
      <c r="W97" s="88">
        <v>106801</v>
      </c>
      <c r="X97" s="87" t="s">
        <v>243</v>
      </c>
      <c r="Y97" s="87" t="s">
        <v>313</v>
      </c>
      <c r="Z97" s="87" t="s">
        <v>288</v>
      </c>
    </row>
    <row r="98" spans="1:26" x14ac:dyDescent="0.4">
      <c r="A98" s="10" t="s">
        <v>370</v>
      </c>
      <c r="B98" s="85" t="s">
        <v>102</v>
      </c>
      <c r="C98" s="86">
        <v>42935.757638888892</v>
      </c>
      <c r="D98" s="87" t="s">
        <v>279</v>
      </c>
      <c r="E98" s="87" t="s">
        <v>243</v>
      </c>
      <c r="F98" s="87" t="s">
        <v>313</v>
      </c>
      <c r="G98" s="87" t="s">
        <v>318</v>
      </c>
      <c r="H98" s="87" t="s">
        <v>370</v>
      </c>
      <c r="I98" s="7" t="str">
        <f>IF(RAdata6[[#This Row],[pi_last_name]]=" ","",HYPERLINK("https://www.ejacket.nsf.gov/ej/showProposal.do?Continue=Y&amp;ID="&amp;RAdata6[[#This Row],[prop_id]],RAdata6[[#This Row],[prop_id]]))</f>
        <v/>
      </c>
      <c r="J98" s="7" t="str">
        <f>IF(RAdata6[[#This Row],[pi_last_name]]=" ","",HYPERLINK("https://www.ejacket.nsf.gov/ej/processReviewAnalysis.do?dispatch=add&amp;uniqId="&amp;RAdata6[[#This Row],[prop_id]]&amp;pm_ibm_logn_id,"&gt;ra"))</f>
        <v/>
      </c>
      <c r="K98" s="87" t="s">
        <v>14</v>
      </c>
      <c r="L98" s="87" t="s">
        <v>14</v>
      </c>
      <c r="M98" s="87" t="s">
        <v>14</v>
      </c>
      <c r="N98" s="87">
        <v>1</v>
      </c>
      <c r="O98" s="87">
        <v>0.5</v>
      </c>
      <c r="P98" s="88">
        <v>0</v>
      </c>
      <c r="Q98" s="88">
        <v>0</v>
      </c>
      <c r="R98" s="88">
        <v>1500</v>
      </c>
      <c r="S98" s="89">
        <v>110381</v>
      </c>
      <c r="T98" s="87">
        <v>0</v>
      </c>
      <c r="U98" s="87">
        <v>4</v>
      </c>
      <c r="V98" s="11" t="str">
        <f ca="1">IF(ISBLANK(RAdata6[[#This Row],[budg_seq_yr]]),"FY"&amp;fiscalyear,"FY"&amp;fiscalyear-1+RAdata6[[#This Row],[budg_seq_yr]])</f>
        <v>FY21</v>
      </c>
      <c r="W98" s="88">
        <v>110381</v>
      </c>
      <c r="X98" s="87" t="s">
        <v>243</v>
      </c>
      <c r="Y98" s="87" t="s">
        <v>313</v>
      </c>
      <c r="Z98" s="87" t="s">
        <v>288</v>
      </c>
    </row>
    <row r="99" spans="1:26" x14ac:dyDescent="0.4">
      <c r="A99" s="10" t="s">
        <v>370</v>
      </c>
      <c r="B99" s="85" t="s">
        <v>102</v>
      </c>
      <c r="C99" s="86">
        <v>42935.757638888892</v>
      </c>
      <c r="D99" s="87" t="s">
        <v>279</v>
      </c>
      <c r="E99" s="87" t="s">
        <v>243</v>
      </c>
      <c r="F99" s="87" t="s">
        <v>313</v>
      </c>
      <c r="G99" s="87" t="s">
        <v>318</v>
      </c>
      <c r="H99" s="87" t="s">
        <v>370</v>
      </c>
      <c r="I99" s="7" t="str">
        <f>IF(RAdata6[[#This Row],[pi_last_name]]=" ","",HYPERLINK("https://www.ejacket.nsf.gov/ej/showProposal.do?Continue=Y&amp;ID="&amp;RAdata6[[#This Row],[prop_id]],RAdata6[[#This Row],[prop_id]]))</f>
        <v/>
      </c>
      <c r="J99" s="7" t="str">
        <f>IF(RAdata6[[#This Row],[pi_last_name]]=" ","",HYPERLINK("https://www.ejacket.nsf.gov/ej/processReviewAnalysis.do?dispatch=add&amp;uniqId="&amp;RAdata6[[#This Row],[prop_id]]&amp;pm_ibm_logn_id,"&gt;ra"))</f>
        <v/>
      </c>
      <c r="K99" s="87" t="s">
        <v>14</v>
      </c>
      <c r="L99" s="87" t="s">
        <v>14</v>
      </c>
      <c r="M99" s="87" t="s">
        <v>14</v>
      </c>
      <c r="N99" s="87">
        <v>1</v>
      </c>
      <c r="O99" s="87">
        <v>0.5</v>
      </c>
      <c r="P99" s="88">
        <v>0</v>
      </c>
      <c r="Q99" s="88">
        <v>0</v>
      </c>
      <c r="R99" s="88">
        <v>1500</v>
      </c>
      <c r="S99" s="89">
        <v>114105</v>
      </c>
      <c r="T99" s="87">
        <v>0</v>
      </c>
      <c r="U99" s="87">
        <v>5</v>
      </c>
      <c r="V99" s="11" t="str">
        <f ca="1">IF(ISBLANK(RAdata6[[#This Row],[budg_seq_yr]]),"FY"&amp;fiscalyear,"FY"&amp;fiscalyear-1+RAdata6[[#This Row],[budg_seq_yr]])</f>
        <v>FY22</v>
      </c>
      <c r="W99" s="88">
        <v>114105</v>
      </c>
      <c r="X99" s="87" t="s">
        <v>243</v>
      </c>
      <c r="Y99" s="87" t="s">
        <v>313</v>
      </c>
      <c r="Z99" s="87" t="s">
        <v>288</v>
      </c>
    </row>
  </sheetData>
  <conditionalFormatting sqref="I4:Z99">
    <cfRule type="expression" dxfId="102" priority="1">
      <formula>MOD($A4,5)=3</formula>
    </cfRule>
    <cfRule type="expression" dxfId="101" priority="2">
      <formula>MOD($A4,5)=0</formula>
    </cfRule>
    <cfRule type="expression" dxfId="100" priority="3">
      <formula>MOD($A4,5)=2</formula>
    </cfRule>
    <cfRule type="expression" dxfId="99" priority="4">
      <formula>MOD($A4,5)=1</formula>
    </cfRule>
    <cfRule type="expression" dxfId="98" priority="5">
      <formula>ISBLANK($U4)</formula>
    </cfRule>
  </conditionalFormatting>
  <conditionalFormatting sqref="A99:H99">
    <cfRule type="expression" dxfId="97" priority="6">
      <formula>MOD($H99,5)=1</formula>
    </cfRule>
    <cfRule type="expression" dxfId="96" priority="7">
      <formula>$H99&lt;&gt;$H1048010</formula>
    </cfRule>
    <cfRule type="expression" dxfId="95" priority="8">
      <formula>MOD($H99,5)=2</formula>
    </cfRule>
    <cfRule type="expression" dxfId="94" priority="9">
      <formula>MOD($H99,5)=0</formula>
    </cfRule>
    <cfRule type="expression" dxfId="93" priority="10">
      <formula>MOD($H99,5)=3</formula>
    </cfRule>
  </conditionalFormatting>
  <conditionalFormatting sqref="A81:H81">
    <cfRule type="expression" dxfId="92" priority="11">
      <formula>MOD($H81,5)=1</formula>
    </cfRule>
    <cfRule type="expression" dxfId="91" priority="12">
      <formula>$H81&lt;&gt;$H1047842</formula>
    </cfRule>
    <cfRule type="expression" dxfId="90" priority="13">
      <formula>MOD($H81,5)=2</formula>
    </cfRule>
    <cfRule type="expression" dxfId="89" priority="14">
      <formula>MOD($H81,5)=0</formula>
    </cfRule>
    <cfRule type="expression" dxfId="88" priority="15">
      <formula>MOD($H81,5)=3</formula>
    </cfRule>
  </conditionalFormatting>
  <conditionalFormatting sqref="A4:H80 A82:H98">
    <cfRule type="expression" dxfId="87" priority="16">
      <formula>MOD($H4,5)=1</formula>
    </cfRule>
    <cfRule type="expression" dxfId="86" priority="17">
      <formula>$H4&lt;&gt;$H1047849</formula>
    </cfRule>
    <cfRule type="expression" dxfId="85" priority="18">
      <formula>MOD($H4,5)=2</formula>
    </cfRule>
    <cfRule type="expression" dxfId="84" priority="19">
      <formula>MOD($H4,5)=0</formula>
    </cfRule>
    <cfRule type="expression" dxfId="83" priority="20">
      <formula>MOD($H4,5)=3</formula>
    </cfRule>
  </conditionalFormatting>
  <pageMargins left="0.25" right="0.25" top="0.75" bottom="0.75" header="0.3" footer="0.3"/>
  <pageSetup paperSize="3" scale="65" fitToHeight="0"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sheetPr>
  <dimension ref="A1:AW17"/>
  <sheetViews>
    <sheetView workbookViewId="0">
      <selection sqref="A1:XFD1"/>
    </sheetView>
  </sheetViews>
  <sheetFormatPr defaultRowHeight="14.6" x14ac:dyDescent="0.4"/>
  <cols>
    <col min="1" max="1" width="9.3046875" style="33" customWidth="1"/>
    <col min="2" max="2" width="11.15234375" customWidth="1"/>
    <col min="3" max="3" width="11.3828125" customWidth="1"/>
    <col min="4" max="4" width="5.3828125" customWidth="1"/>
    <col min="6" max="6" width="5.84375" style="33" customWidth="1"/>
    <col min="7" max="7" width="3.3046875" style="33" customWidth="1"/>
    <col min="8" max="8" width="3.53515625" style="33" customWidth="1"/>
    <col min="9" max="9" width="13.53515625" customWidth="1"/>
    <col min="10" max="10" width="3.84375" customWidth="1"/>
    <col min="11" max="12" width="7.3828125" hidden="1" customWidth="1"/>
    <col min="13" max="13" width="5.3828125" customWidth="1"/>
    <col min="14" max="14" width="11" customWidth="1"/>
    <col min="15" max="15" width="14.3046875" style="24" customWidth="1"/>
    <col min="16" max="16" width="5.3046875" style="42" customWidth="1"/>
    <col min="17" max="17" width="4.53515625" style="42" customWidth="1"/>
    <col min="18" max="18" width="11.84375" customWidth="1"/>
    <col min="19" max="19" width="4.3828125" customWidth="1"/>
    <col min="20" max="20" width="3.69140625" customWidth="1"/>
    <col min="21" max="21" width="8.69140625" style="33" customWidth="1"/>
    <col min="22" max="22" width="3.69140625" customWidth="1"/>
    <col min="23" max="23" width="9.23046875" style="33"/>
    <col min="24" max="24" width="9.53515625" style="33" customWidth="1"/>
    <col min="25" max="25" width="11.53515625" customWidth="1"/>
    <col min="26" max="26" width="12.15234375" customWidth="1"/>
    <col min="27" max="27" width="9.84375" customWidth="1"/>
    <col min="28" max="28" width="10.15234375" customWidth="1"/>
    <col min="29" max="29" width="4.3828125" customWidth="1"/>
    <col min="30" max="35" width="3" customWidth="1"/>
    <col min="36" max="36" width="9.23046875" style="1"/>
    <col min="38" max="38" width="85.53515625" customWidth="1"/>
    <col min="39" max="39" width="10.3828125" customWidth="1"/>
    <col min="40" max="40" width="9.53515625" style="13" customWidth="1"/>
    <col min="41" max="41" width="10.3828125" customWidth="1"/>
    <col min="42" max="42" width="15.3828125" customWidth="1"/>
    <col min="43" max="43" width="11.69140625" customWidth="1"/>
    <col min="44" max="44" width="9.3046875" hidden="1" customWidth="1"/>
    <col min="45" max="45" width="11" hidden="1" customWidth="1"/>
    <col min="46" max="49" width="4.3046875" customWidth="1"/>
  </cols>
  <sheetData>
    <row r="1" spans="1:49" ht="29.15" customHeight="1" x14ac:dyDescent="0.4">
      <c r="A1" s="33" t="s">
        <v>7</v>
      </c>
      <c r="B1" t="s">
        <v>8</v>
      </c>
      <c r="C1" t="s">
        <v>5</v>
      </c>
      <c r="D1" t="s">
        <v>4</v>
      </c>
      <c r="E1" t="s">
        <v>93</v>
      </c>
      <c r="F1" t="s">
        <v>94</v>
      </c>
      <c r="G1" t="s">
        <v>95</v>
      </c>
      <c r="H1" t="s">
        <v>96</v>
      </c>
      <c r="I1" t="s">
        <v>13</v>
      </c>
      <c r="J1" t="s">
        <v>98</v>
      </c>
      <c r="K1" t="s">
        <v>136</v>
      </c>
      <c r="L1" t="s">
        <v>151</v>
      </c>
      <c r="M1" t="s">
        <v>150</v>
      </c>
      <c r="N1" t="s">
        <v>18</v>
      </c>
      <c r="O1" s="24" t="s">
        <v>17</v>
      </c>
      <c r="P1" s="42" t="s">
        <v>134</v>
      </c>
      <c r="Q1" s="42" t="s">
        <v>135</v>
      </c>
      <c r="R1" s="14" t="s">
        <v>142</v>
      </c>
      <c r="S1" s="14" t="s">
        <v>108</v>
      </c>
      <c r="T1" t="s">
        <v>89</v>
      </c>
      <c r="U1" t="s">
        <v>9</v>
      </c>
      <c r="V1" t="s">
        <v>1</v>
      </c>
      <c r="W1" t="s">
        <v>0</v>
      </c>
      <c r="X1" t="s">
        <v>10</v>
      </c>
      <c r="Y1" t="s">
        <v>19</v>
      </c>
      <c r="Z1" t="s">
        <v>11</v>
      </c>
      <c r="AA1" s="1" t="s">
        <v>90</v>
      </c>
      <c r="AB1" s="33" t="s">
        <v>20</v>
      </c>
      <c r="AC1" t="s">
        <v>21</v>
      </c>
      <c r="AD1" t="s">
        <v>152</v>
      </c>
      <c r="AE1" t="s">
        <v>153</v>
      </c>
      <c r="AF1" t="s">
        <v>154</v>
      </c>
      <c r="AG1" t="s">
        <v>155</v>
      </c>
      <c r="AH1" t="s">
        <v>156</v>
      </c>
      <c r="AI1" t="s">
        <v>157</v>
      </c>
      <c r="AJ1" t="s">
        <v>91</v>
      </c>
      <c r="AK1" t="s">
        <v>92</v>
      </c>
      <c r="AL1" t="s">
        <v>37</v>
      </c>
      <c r="AM1" t="s">
        <v>144</v>
      </c>
      <c r="AN1" s="13" t="s">
        <v>145</v>
      </c>
      <c r="AO1" t="s">
        <v>143</v>
      </c>
      <c r="AP1" t="s">
        <v>12</v>
      </c>
      <c r="AQ1" t="s">
        <v>88</v>
      </c>
      <c r="AR1" t="s">
        <v>97</v>
      </c>
      <c r="AS1" t="s">
        <v>99</v>
      </c>
      <c r="AT1" t="s">
        <v>146</v>
      </c>
      <c r="AU1" t="s">
        <v>147</v>
      </c>
      <c r="AV1" t="s">
        <v>148</v>
      </c>
      <c r="AW1" t="s">
        <v>149</v>
      </c>
    </row>
    <row r="2" spans="1:49" x14ac:dyDescent="0.4">
      <c r="A2" s="33">
        <v>42933.697916666664</v>
      </c>
      <c r="B2" t="s">
        <v>279</v>
      </c>
      <c r="C2" t="s">
        <v>243</v>
      </c>
      <c r="D2" t="s">
        <v>313</v>
      </c>
      <c r="E2" t="s">
        <v>314</v>
      </c>
      <c r="F2" t="s">
        <v>100</v>
      </c>
      <c r="G2" t="s">
        <v>101</v>
      </c>
      <c r="H2" t="s">
        <v>298</v>
      </c>
      <c r="I2" t="s">
        <v>306</v>
      </c>
      <c r="J2" t="s">
        <v>310</v>
      </c>
      <c r="K2" t="b">
        <f>_xlfn.XOR(IFERROR(MATCH(ckAwdTable[[#This Row],[st_code]],EpscorTable[],0)&gt;0,FALSE),IFERROR(FIND("9150",ckAwdTable[[#This Row],[PRCs]])&gt;0,FALSE))</f>
        <v>0</v>
      </c>
      <c r="L2" t="b">
        <f>_xlfn.XOR(ckAwdTable[[#This Row],[WMD]]&lt;&gt;"",IFERROR(FIND("9102",ckAwdTable[[#This Row],[PRCs]])&gt;0,FALSE))</f>
        <v>0</v>
      </c>
      <c r="M2" t="str">
        <f t="shared" ref="M2:M17" si="0">IF(SUM(AT2:AW2)&gt;0,"WMD","")</f>
        <v/>
      </c>
      <c r="P2" s="42">
        <v>0</v>
      </c>
      <c r="Q2" s="42">
        <v>0</v>
      </c>
      <c r="R2" s="15" t="str">
        <f>HYPERLINK("mailto:"&amp;ckAwdTable[[#This Row],[pi_emai_addr]]&amp;"&amp;subject=Your NSF Proposal:  "&amp;ckAwdTable[[#This Row],[prop_id]], ckAwdTable[[#This Row],[pi_emai_addr]])</f>
        <v>lziarek@buffalo.edu</v>
      </c>
      <c r="S2">
        <f xml:space="preserve"> S1+(ckAwdTable[ILN]&lt;"M")</f>
        <v>1</v>
      </c>
      <c r="T2" t="s">
        <v>102</v>
      </c>
      <c r="U2" t="s">
        <v>315</v>
      </c>
      <c r="V2" s="15" t="str">
        <f>HYPERLINK("https://www.ejacket.nsf.gov/ej/showProposal.do?ID="&amp;ckAwdTable[[#This Row],[prop_id]],"eJ")</f>
        <v>eJ</v>
      </c>
      <c r="W2" t="s">
        <v>315</v>
      </c>
      <c r="X2" t="s">
        <v>316</v>
      </c>
      <c r="Y2" t="s">
        <v>385</v>
      </c>
      <c r="Z2" t="s">
        <v>241</v>
      </c>
      <c r="AA2" s="1">
        <v>561136</v>
      </c>
      <c r="AB2" s="33">
        <v>43101</v>
      </c>
      <c r="AC2">
        <v>60</v>
      </c>
      <c r="AD2">
        <v>5</v>
      </c>
      <c r="AF2">
        <v>5</v>
      </c>
      <c r="AG2">
        <v>1</v>
      </c>
      <c r="AI2">
        <v>1</v>
      </c>
      <c r="AJ2"/>
      <c r="AL2" t="s">
        <v>386</v>
      </c>
      <c r="AN2" s="13">
        <v>20000</v>
      </c>
      <c r="AO2" t="s">
        <v>404</v>
      </c>
      <c r="AP2" t="s">
        <v>317</v>
      </c>
      <c r="AQ2" s="8"/>
      <c r="AR2" t="s">
        <v>309</v>
      </c>
      <c r="AS2" t="s">
        <v>405</v>
      </c>
      <c r="AT2">
        <v>0</v>
      </c>
      <c r="AU2">
        <v>0</v>
      </c>
      <c r="AV2">
        <v>0</v>
      </c>
      <c r="AW2">
        <v>0</v>
      </c>
    </row>
    <row r="3" spans="1:49" x14ac:dyDescent="0.4">
      <c r="A3" s="33">
        <v>42933.719444444447</v>
      </c>
      <c r="B3" t="s">
        <v>279</v>
      </c>
      <c r="C3" t="s">
        <v>243</v>
      </c>
      <c r="D3" t="s">
        <v>313</v>
      </c>
      <c r="E3" t="s">
        <v>318</v>
      </c>
      <c r="F3" t="s">
        <v>100</v>
      </c>
      <c r="G3" t="s">
        <v>101</v>
      </c>
      <c r="H3" t="s">
        <v>298</v>
      </c>
      <c r="I3" t="s">
        <v>306</v>
      </c>
      <c r="J3" t="s">
        <v>304</v>
      </c>
      <c r="K3" t="b">
        <f>_xlfn.XOR(IFERROR(MATCH(ckAwdTable[[#This Row],[st_code]],EpscorTable[],0)&gt;0,FALSE),IFERROR(FIND("9150",ckAwdTable[[#This Row],[PRCs]])&gt;0,FALSE))</f>
        <v>0</v>
      </c>
      <c r="L3" t="b">
        <f>_xlfn.XOR(ckAwdTable[[#This Row],[WMD]]&lt;&gt;"",IFERROR(FIND("9102",ckAwdTable[[#This Row],[PRCs]])&gt;0,FALSE))</f>
        <v>0</v>
      </c>
      <c r="M3" t="str">
        <f t="shared" si="0"/>
        <v/>
      </c>
      <c r="P3" s="42">
        <v>0</v>
      </c>
      <c r="Q3" s="42">
        <v>0</v>
      </c>
      <c r="R3" s="15" t="str">
        <f>HYPERLINK("mailto:"&amp;ckAwdTable[[#This Row],[pi_emai_addr]]&amp;"&amp;subject=Your NSF Proposal:  "&amp;ckAwdTable[[#This Row],[prop_id]], ckAwdTable[[#This Row],[pi_emai_addr]])</f>
        <v>ztatlock@cs.washington.edu</v>
      </c>
      <c r="S3">
        <f xml:space="preserve"> S2+(ckAwdTable[ILN]&lt;"M")</f>
        <v>2</v>
      </c>
      <c r="T3" t="s">
        <v>102</v>
      </c>
      <c r="U3" t="s">
        <v>319</v>
      </c>
      <c r="V3" s="15" t="str">
        <f>HYPERLINK("https://www.ejacket.nsf.gov/ej/showProposal.do?ID="&amp;ckAwdTable[[#This Row],[prop_id]],"eJ")</f>
        <v>eJ</v>
      </c>
      <c r="W3" t="s">
        <v>319</v>
      </c>
      <c r="X3" t="s">
        <v>320</v>
      </c>
      <c r="Y3" t="s">
        <v>379</v>
      </c>
      <c r="Z3" t="s">
        <v>281</v>
      </c>
      <c r="AA3" s="1">
        <v>648665</v>
      </c>
      <c r="AB3" s="33">
        <v>43191</v>
      </c>
      <c r="AC3">
        <v>60</v>
      </c>
      <c r="AD3">
        <v>4</v>
      </c>
      <c r="AF3">
        <v>4</v>
      </c>
      <c r="AG3">
        <v>1</v>
      </c>
      <c r="AI3">
        <v>1</v>
      </c>
      <c r="AJ3"/>
      <c r="AL3" t="s">
        <v>380</v>
      </c>
      <c r="AN3" s="13">
        <v>15000</v>
      </c>
      <c r="AO3" t="s">
        <v>297</v>
      </c>
      <c r="AP3" t="s">
        <v>321</v>
      </c>
      <c r="AQ3" s="8"/>
      <c r="AR3" t="s">
        <v>303</v>
      </c>
      <c r="AS3" t="s">
        <v>406</v>
      </c>
      <c r="AT3">
        <v>0</v>
      </c>
      <c r="AU3">
        <v>0</v>
      </c>
      <c r="AV3">
        <v>0</v>
      </c>
      <c r="AW3">
        <v>0</v>
      </c>
    </row>
    <row r="4" spans="1:49" x14ac:dyDescent="0.4">
      <c r="A4" s="33">
        <v>42933.731249999997</v>
      </c>
      <c r="B4" t="s">
        <v>279</v>
      </c>
      <c r="C4" t="s">
        <v>243</v>
      </c>
      <c r="D4" t="s">
        <v>313</v>
      </c>
      <c r="E4" t="s">
        <v>314</v>
      </c>
      <c r="F4" t="s">
        <v>100</v>
      </c>
      <c r="G4" t="s">
        <v>101</v>
      </c>
      <c r="H4" t="s">
        <v>298</v>
      </c>
      <c r="I4" t="s">
        <v>306</v>
      </c>
      <c r="J4" t="s">
        <v>300</v>
      </c>
      <c r="K4" t="b">
        <f>_xlfn.XOR(IFERROR(MATCH(ckAwdTable[[#This Row],[st_code]],EpscorTable[],0)&gt;0,FALSE),IFERROR(FIND("9150",ckAwdTable[[#This Row],[PRCs]])&gt;0,FALSE))</f>
        <v>0</v>
      </c>
      <c r="L4" t="b">
        <f>_xlfn.XOR(ckAwdTable[[#This Row],[WMD]]&lt;&gt;"",IFERROR(FIND("9102",ckAwdTable[[#This Row],[PRCs]])&gt;0,FALSE))</f>
        <v>0</v>
      </c>
      <c r="M4" t="str">
        <f t="shared" si="0"/>
        <v/>
      </c>
      <c r="P4" s="42">
        <v>0</v>
      </c>
      <c r="Q4" s="42">
        <v>0</v>
      </c>
      <c r="R4" s="15" t="str">
        <f>HYPERLINK("mailto:"&amp;ckAwdTable[[#This Row],[pi_emai_addr]]&amp;"&amp;subject=Your NSF Proposal:  "&amp;ckAwdTable[[#This Row],[prop_id]], ckAwdTable[[#This Row],[pi_emai_addr]])</f>
        <v>gbm26@drexel.edu</v>
      </c>
      <c r="S4">
        <f xml:space="preserve"> S3+(ckAwdTable[ILN]&lt;"M")</f>
        <v>3</v>
      </c>
      <c r="T4" t="s">
        <v>102</v>
      </c>
      <c r="U4" t="s">
        <v>322</v>
      </c>
      <c r="V4" s="15" t="str">
        <f>HYPERLINK("https://www.ejacket.nsf.gov/ej/showProposal.do?ID="&amp;ckAwdTable[[#This Row],[prop_id]],"eJ")</f>
        <v>eJ</v>
      </c>
      <c r="W4" t="s">
        <v>322</v>
      </c>
      <c r="X4" t="s">
        <v>323</v>
      </c>
      <c r="Y4" t="s">
        <v>391</v>
      </c>
      <c r="Z4" t="s">
        <v>324</v>
      </c>
      <c r="AA4" s="1">
        <v>495570</v>
      </c>
      <c r="AB4" s="33">
        <v>43101</v>
      </c>
      <c r="AC4">
        <v>60</v>
      </c>
      <c r="AD4">
        <v>4</v>
      </c>
      <c r="AF4">
        <v>4</v>
      </c>
      <c r="AG4">
        <v>1</v>
      </c>
      <c r="AI4">
        <v>1</v>
      </c>
      <c r="AJ4"/>
      <c r="AL4" t="s">
        <v>392</v>
      </c>
      <c r="AN4" s="13">
        <v>0</v>
      </c>
      <c r="AP4" t="s">
        <v>325</v>
      </c>
      <c r="AQ4" s="8"/>
      <c r="AR4" t="s">
        <v>407</v>
      </c>
      <c r="AS4" t="s">
        <v>408</v>
      </c>
      <c r="AT4">
        <v>0</v>
      </c>
      <c r="AU4">
        <v>0</v>
      </c>
      <c r="AV4">
        <v>0</v>
      </c>
      <c r="AW4">
        <v>0</v>
      </c>
    </row>
    <row r="5" spans="1:49" x14ac:dyDescent="0.4">
      <c r="A5" s="33">
        <v>42934.425000000003</v>
      </c>
      <c r="B5" t="s">
        <v>279</v>
      </c>
      <c r="C5" t="s">
        <v>243</v>
      </c>
      <c r="D5" t="s">
        <v>313</v>
      </c>
      <c r="E5" t="s">
        <v>314</v>
      </c>
      <c r="F5" t="s">
        <v>100</v>
      </c>
      <c r="G5" t="s">
        <v>101</v>
      </c>
      <c r="H5" t="s">
        <v>298</v>
      </c>
      <c r="I5" t="s">
        <v>306</v>
      </c>
      <c r="J5" t="s">
        <v>300</v>
      </c>
      <c r="K5" t="b">
        <f>_xlfn.XOR(IFERROR(MATCH(ckAwdTable[[#This Row],[st_code]],EpscorTable[],0)&gt;0,FALSE),IFERROR(FIND("9150",ckAwdTable[[#This Row],[PRCs]])&gt;0,FALSE))</f>
        <v>0</v>
      </c>
      <c r="L5" t="b">
        <f>_xlfn.XOR(ckAwdTable[[#This Row],[WMD]]&lt;&gt;"",IFERROR(FIND("9102",ckAwdTable[[#This Row],[PRCs]])&gt;0,FALSE))</f>
        <v>0</v>
      </c>
      <c r="M5" t="str">
        <f t="shared" si="0"/>
        <v/>
      </c>
      <c r="P5" s="42">
        <v>0</v>
      </c>
      <c r="Q5" s="42">
        <v>0</v>
      </c>
      <c r="R5" s="15" t="str">
        <f>HYPERLINK("mailto:"&amp;ckAwdTable[[#This Row],[pi_emai_addr]]&amp;"&amp;subject=Your NSF Proposal:  "&amp;ckAwdTable[[#This Row],[prop_id]], ckAwdTable[[#This Row],[pi_emai_addr]])</f>
        <v>csg63@drexel.edu</v>
      </c>
      <c r="S5">
        <f xml:space="preserve"> S4+(ckAwdTable[ILN]&lt;"M")</f>
        <v>4</v>
      </c>
      <c r="T5" t="s">
        <v>102</v>
      </c>
      <c r="U5" t="s">
        <v>326</v>
      </c>
      <c r="V5" s="15" t="str">
        <f>HYPERLINK("https://www.ejacket.nsf.gov/ej/showProposal.do?ID="&amp;ckAwdTable[[#This Row],[prop_id]],"eJ")</f>
        <v>eJ</v>
      </c>
      <c r="W5" t="s">
        <v>326</v>
      </c>
      <c r="X5" t="s">
        <v>327</v>
      </c>
      <c r="Y5" t="s">
        <v>382</v>
      </c>
      <c r="Z5" t="s">
        <v>324</v>
      </c>
      <c r="AA5" s="1">
        <v>622204</v>
      </c>
      <c r="AB5" s="33">
        <v>43344</v>
      </c>
      <c r="AC5">
        <v>60</v>
      </c>
      <c r="AD5">
        <v>4</v>
      </c>
      <c r="AF5">
        <v>4</v>
      </c>
      <c r="AG5">
        <v>1</v>
      </c>
      <c r="AI5">
        <v>1</v>
      </c>
      <c r="AJ5"/>
      <c r="AL5" t="s">
        <v>383</v>
      </c>
      <c r="AN5" s="13">
        <v>28660</v>
      </c>
      <c r="AO5" t="s">
        <v>297</v>
      </c>
      <c r="AP5" t="s">
        <v>328</v>
      </c>
      <c r="AQ5" s="8"/>
      <c r="AR5" t="s">
        <v>407</v>
      </c>
      <c r="AS5" t="s">
        <v>409</v>
      </c>
      <c r="AT5">
        <v>0</v>
      </c>
      <c r="AU5">
        <v>0</v>
      </c>
      <c r="AV5">
        <v>0</v>
      </c>
      <c r="AW5">
        <v>0</v>
      </c>
    </row>
    <row r="6" spans="1:49" x14ac:dyDescent="0.4">
      <c r="A6" s="33">
        <v>42934.681250000001</v>
      </c>
      <c r="B6" t="s">
        <v>279</v>
      </c>
      <c r="C6" t="s">
        <v>243</v>
      </c>
      <c r="D6" t="s">
        <v>313</v>
      </c>
      <c r="E6" t="s">
        <v>314</v>
      </c>
      <c r="F6" t="s">
        <v>100</v>
      </c>
      <c r="G6" t="s">
        <v>101</v>
      </c>
      <c r="H6" t="s">
        <v>298</v>
      </c>
      <c r="I6" t="s">
        <v>306</v>
      </c>
      <c r="J6" t="s">
        <v>308</v>
      </c>
      <c r="K6" t="b">
        <f>_xlfn.XOR(IFERROR(MATCH(ckAwdTable[[#This Row],[st_code]],EpscorTable[],0)&gt;0,FALSE),IFERROR(FIND("9150",ckAwdTable[[#This Row],[PRCs]])&gt;0,FALSE))</f>
        <v>0</v>
      </c>
      <c r="L6" t="b">
        <f>_xlfn.XOR(ckAwdTable[[#This Row],[WMD]]&lt;&gt;"",IFERROR(FIND("9102",ckAwdTable[[#This Row],[PRCs]])&gt;0,FALSE))</f>
        <v>0</v>
      </c>
      <c r="M6" t="str">
        <f t="shared" si="0"/>
        <v/>
      </c>
      <c r="P6" s="42">
        <v>0</v>
      </c>
      <c r="Q6" s="42">
        <v>0</v>
      </c>
      <c r="R6" s="15" t="str">
        <f>HYPERLINK("mailto:"&amp;ckAwdTable[[#This Row],[pi_emai_addr]]&amp;"&amp;subject=Your NSF Proposal:  "&amp;ckAwdTable[[#This Row],[prop_id]], ckAwdTable[[#This Row],[pi_emai_addr]])</f>
        <v>arjun@cs.umass.edu</v>
      </c>
      <c r="S6">
        <f xml:space="preserve"> S5+(ckAwdTable[ILN]&lt;"M")</f>
        <v>5</v>
      </c>
      <c r="T6" t="s">
        <v>102</v>
      </c>
      <c r="U6" t="s">
        <v>329</v>
      </c>
      <c r="V6" s="15" t="str">
        <f>HYPERLINK("https://www.ejacket.nsf.gov/ej/showProposal.do?ID="&amp;ckAwdTable[[#This Row],[prop_id]],"eJ")</f>
        <v>eJ</v>
      </c>
      <c r="W6" t="s">
        <v>329</v>
      </c>
      <c r="X6" t="s">
        <v>330</v>
      </c>
      <c r="Y6" t="s">
        <v>393</v>
      </c>
      <c r="Z6" t="s">
        <v>331</v>
      </c>
      <c r="AA6" s="1">
        <v>532375</v>
      </c>
      <c r="AB6" s="33">
        <v>43101</v>
      </c>
      <c r="AC6">
        <v>60</v>
      </c>
      <c r="AD6">
        <v>4</v>
      </c>
      <c r="AF6">
        <v>4</v>
      </c>
      <c r="AG6">
        <v>1</v>
      </c>
      <c r="AI6">
        <v>1</v>
      </c>
      <c r="AJ6"/>
      <c r="AL6" t="s">
        <v>394</v>
      </c>
      <c r="AN6" s="13">
        <v>0</v>
      </c>
      <c r="AP6" t="s">
        <v>332</v>
      </c>
      <c r="AQ6" s="8"/>
      <c r="AR6" t="s">
        <v>410</v>
      </c>
      <c r="AS6" t="s">
        <v>411</v>
      </c>
      <c r="AT6">
        <v>0</v>
      </c>
      <c r="AU6">
        <v>0</v>
      </c>
      <c r="AV6">
        <v>0</v>
      </c>
      <c r="AW6">
        <v>0</v>
      </c>
    </row>
    <row r="7" spans="1:49" x14ac:dyDescent="0.4">
      <c r="A7" s="33">
        <v>42934.72152777778</v>
      </c>
      <c r="B7" t="s">
        <v>279</v>
      </c>
      <c r="C7" t="s">
        <v>243</v>
      </c>
      <c r="D7" t="s">
        <v>313</v>
      </c>
      <c r="E7" t="s">
        <v>318</v>
      </c>
      <c r="F7" t="s">
        <v>100</v>
      </c>
      <c r="G7" t="s">
        <v>101</v>
      </c>
      <c r="H7" t="s">
        <v>298</v>
      </c>
      <c r="I7" t="s">
        <v>306</v>
      </c>
      <c r="J7" t="s">
        <v>312</v>
      </c>
      <c r="K7" t="b">
        <f>_xlfn.XOR(IFERROR(MATCH(ckAwdTable[[#This Row],[st_code]],EpscorTable[],0)&gt;0,FALSE),IFERROR(FIND("9150",ckAwdTable[[#This Row],[PRCs]])&gt;0,FALSE))</f>
        <v>0</v>
      </c>
      <c r="L7" t="b">
        <f>_xlfn.XOR(ckAwdTable[[#This Row],[WMD]]&lt;&gt;"",IFERROR(FIND("9102",ckAwdTable[[#This Row],[PRCs]])&gt;0,FALSE))</f>
        <v>0</v>
      </c>
      <c r="M7" t="str">
        <f t="shared" si="0"/>
        <v/>
      </c>
      <c r="P7" s="42">
        <v>0</v>
      </c>
      <c r="Q7" s="42">
        <v>0</v>
      </c>
      <c r="R7" s="15" t="str">
        <f>HYPERLINK("mailto:"&amp;ckAwdTable[[#This Row],[pi_emai_addr]]&amp;"&amp;subject=Your NSF Proposal:  "&amp;ckAwdTable[[#This Row],[prop_id]], ckAwdTable[[#This Row],[pi_emai_addr]])</f>
        <v>heades@augusta.edu</v>
      </c>
      <c r="S7">
        <f xml:space="preserve"> S6+(ckAwdTable[ILN]&lt;"M")</f>
        <v>6</v>
      </c>
      <c r="T7" t="s">
        <v>102</v>
      </c>
      <c r="U7" t="s">
        <v>333</v>
      </c>
      <c r="V7" s="15" t="str">
        <f>HYPERLINK("https://www.ejacket.nsf.gov/ej/showProposal.do?ID="&amp;ckAwdTable[[#This Row],[prop_id]],"eJ")</f>
        <v>eJ</v>
      </c>
      <c r="W7" t="s">
        <v>333</v>
      </c>
      <c r="X7" t="s">
        <v>334</v>
      </c>
      <c r="Y7" t="s">
        <v>395</v>
      </c>
      <c r="Z7" t="s">
        <v>335</v>
      </c>
      <c r="AA7" s="1">
        <v>500272</v>
      </c>
      <c r="AB7" s="33">
        <v>43160</v>
      </c>
      <c r="AC7">
        <v>60</v>
      </c>
      <c r="AD7">
        <v>5</v>
      </c>
      <c r="AF7">
        <v>5</v>
      </c>
      <c r="AG7">
        <v>1</v>
      </c>
      <c r="AI7">
        <v>1</v>
      </c>
      <c r="AJ7"/>
      <c r="AL7" t="s">
        <v>396</v>
      </c>
      <c r="AN7" s="13">
        <v>32960</v>
      </c>
      <c r="AO7" t="s">
        <v>297</v>
      </c>
      <c r="AP7" t="s">
        <v>336</v>
      </c>
      <c r="AQ7" s="8"/>
      <c r="AR7" t="s">
        <v>412</v>
      </c>
      <c r="AS7" t="s">
        <v>413</v>
      </c>
      <c r="AT7">
        <v>0</v>
      </c>
      <c r="AU7">
        <v>0</v>
      </c>
      <c r="AV7">
        <v>0</v>
      </c>
      <c r="AW7">
        <v>0</v>
      </c>
    </row>
    <row r="8" spans="1:49" x14ac:dyDescent="0.4">
      <c r="A8" s="33">
        <v>42935.388194444444</v>
      </c>
      <c r="B8" t="s">
        <v>279</v>
      </c>
      <c r="C8" t="s">
        <v>243</v>
      </c>
      <c r="D8" t="s">
        <v>313</v>
      </c>
      <c r="E8" t="s">
        <v>314</v>
      </c>
      <c r="F8" t="s">
        <v>100</v>
      </c>
      <c r="G8" t="s">
        <v>101</v>
      </c>
      <c r="H8" t="s">
        <v>298</v>
      </c>
      <c r="I8" t="s">
        <v>306</v>
      </c>
      <c r="J8" t="s">
        <v>300</v>
      </c>
      <c r="K8" t="b">
        <f>_xlfn.XOR(IFERROR(MATCH(ckAwdTable[[#This Row],[st_code]],EpscorTable[],0)&gt;0,FALSE),IFERROR(FIND("9150",ckAwdTable[[#This Row],[PRCs]])&gt;0,FALSE))</f>
        <v>0</v>
      </c>
      <c r="L8" t="b">
        <f>_xlfn.XOR(ckAwdTable[[#This Row],[WMD]]&lt;&gt;"",IFERROR(FIND("9102",ckAwdTable[[#This Row],[PRCs]])&gt;0,FALSE))</f>
        <v>0</v>
      </c>
      <c r="M8" t="str">
        <f t="shared" si="0"/>
        <v/>
      </c>
      <c r="P8" s="42">
        <v>0</v>
      </c>
      <c r="Q8" s="42">
        <v>0</v>
      </c>
      <c r="R8" s="15" t="str">
        <f>HYPERLINK("mailto:"&amp;ckAwdTable[[#This Row],[pi_emai_addr]]&amp;"&amp;subject=Your NSF Proposal:  "&amp;ckAwdTable[[#This Row],[prop_id]], ckAwdTable[[#This Row],[pi_emai_addr]])</f>
        <v>zhang@cse.psu.edu</v>
      </c>
      <c r="S8">
        <f xml:space="preserve"> S7+(ckAwdTable[ILN]&lt;"M")</f>
        <v>7</v>
      </c>
      <c r="T8" t="s">
        <v>102</v>
      </c>
      <c r="U8" t="s">
        <v>337</v>
      </c>
      <c r="V8" s="15" t="str">
        <f>HYPERLINK("https://www.ejacket.nsf.gov/ej/showProposal.do?ID="&amp;ckAwdTable[[#This Row],[prop_id]],"eJ")</f>
        <v>eJ</v>
      </c>
      <c r="W8" t="s">
        <v>337</v>
      </c>
      <c r="X8" t="s">
        <v>338</v>
      </c>
      <c r="Y8" t="s">
        <v>397</v>
      </c>
      <c r="Z8" t="s">
        <v>339</v>
      </c>
      <c r="AA8" s="1">
        <v>498999</v>
      </c>
      <c r="AB8" s="33">
        <v>43282</v>
      </c>
      <c r="AC8">
        <v>60</v>
      </c>
      <c r="AD8">
        <v>4</v>
      </c>
      <c r="AF8">
        <v>4</v>
      </c>
      <c r="AG8">
        <v>2</v>
      </c>
      <c r="AI8">
        <v>2</v>
      </c>
      <c r="AJ8"/>
      <c r="AL8" t="s">
        <v>398</v>
      </c>
      <c r="AN8" s="13">
        <v>12500</v>
      </c>
      <c r="AO8" t="s">
        <v>414</v>
      </c>
      <c r="AP8" t="s">
        <v>340</v>
      </c>
      <c r="AQ8" s="8"/>
      <c r="AR8" t="s">
        <v>415</v>
      </c>
      <c r="AS8" t="s">
        <v>416</v>
      </c>
      <c r="AT8">
        <v>0</v>
      </c>
      <c r="AU8">
        <v>0</v>
      </c>
      <c r="AV8">
        <v>0</v>
      </c>
      <c r="AW8">
        <v>0</v>
      </c>
    </row>
    <row r="9" spans="1:49" x14ac:dyDescent="0.4">
      <c r="A9" s="33">
        <v>42935.546527777777</v>
      </c>
      <c r="B9" t="s">
        <v>279</v>
      </c>
      <c r="C9" t="s">
        <v>243</v>
      </c>
      <c r="D9" t="s">
        <v>313</v>
      </c>
      <c r="E9" t="s">
        <v>314</v>
      </c>
      <c r="F9" t="s">
        <v>100</v>
      </c>
      <c r="G9" t="s">
        <v>101</v>
      </c>
      <c r="H9" t="s">
        <v>298</v>
      </c>
      <c r="I9" t="s">
        <v>306</v>
      </c>
      <c r="J9" t="s">
        <v>305</v>
      </c>
      <c r="K9" t="b">
        <f>_xlfn.XOR(IFERROR(MATCH(ckAwdTable[[#This Row],[st_code]],EpscorTable[],0)&gt;0,FALSE),IFERROR(FIND("9150",ckAwdTable[[#This Row],[PRCs]])&gt;0,FALSE))</f>
        <v>0</v>
      </c>
      <c r="L9" t="b">
        <f>_xlfn.XOR(ckAwdTable[[#This Row],[WMD]]&lt;&gt;"",IFERROR(FIND("9102",ckAwdTable[[#This Row],[PRCs]])&gt;0,FALSE))</f>
        <v>0</v>
      </c>
      <c r="M9" t="str">
        <f t="shared" si="0"/>
        <v/>
      </c>
      <c r="P9" s="42">
        <v>0</v>
      </c>
      <c r="Q9" s="42">
        <v>0</v>
      </c>
      <c r="R9" s="15" t="str">
        <f>HYPERLINK("mailto:"&amp;ckAwdTable[[#This Row],[pi_emai_addr]]&amp;"&amp;subject=Your NSF Proposal:  "&amp;ckAwdTable[[#This Row],[prop_id]], ckAwdTable[[#This Row],[pi_emai_addr]])</f>
        <v>michael.greenberg@pomona.edu</v>
      </c>
      <c r="S9">
        <f xml:space="preserve"> S8+(ckAwdTable[ILN]&lt;"M")</f>
        <v>8</v>
      </c>
      <c r="T9" t="s">
        <v>102</v>
      </c>
      <c r="U9" t="s">
        <v>341</v>
      </c>
      <c r="V9" s="15" t="str">
        <f>HYPERLINK("https://www.ejacket.nsf.gov/ej/showProposal.do?ID="&amp;ckAwdTable[[#This Row],[prop_id]],"eJ")</f>
        <v>eJ</v>
      </c>
      <c r="W9" t="s">
        <v>341</v>
      </c>
      <c r="X9" t="s">
        <v>342</v>
      </c>
      <c r="Y9" t="s">
        <v>296</v>
      </c>
      <c r="Z9" t="s">
        <v>343</v>
      </c>
      <c r="AA9" s="1">
        <v>430917</v>
      </c>
      <c r="AB9" s="33">
        <v>43191</v>
      </c>
      <c r="AC9">
        <v>60</v>
      </c>
      <c r="AD9">
        <v>5</v>
      </c>
      <c r="AF9">
        <v>5</v>
      </c>
      <c r="AG9">
        <v>1</v>
      </c>
      <c r="AI9">
        <v>1</v>
      </c>
      <c r="AJ9"/>
      <c r="AL9" t="s">
        <v>384</v>
      </c>
      <c r="AN9" s="13">
        <v>40000</v>
      </c>
      <c r="AO9" t="s">
        <v>297</v>
      </c>
      <c r="AP9" t="s">
        <v>344</v>
      </c>
      <c r="AQ9" s="8"/>
      <c r="AR9" t="s">
        <v>417</v>
      </c>
      <c r="AS9" t="s">
        <v>418</v>
      </c>
      <c r="AT9">
        <v>0</v>
      </c>
      <c r="AU9">
        <v>0</v>
      </c>
      <c r="AV9">
        <v>0</v>
      </c>
      <c r="AW9">
        <v>0</v>
      </c>
    </row>
    <row r="10" spans="1:49" x14ac:dyDescent="0.4">
      <c r="A10" s="33">
        <v>42935.551388888889</v>
      </c>
      <c r="B10" t="s">
        <v>279</v>
      </c>
      <c r="C10" t="s">
        <v>243</v>
      </c>
      <c r="D10" t="s">
        <v>313</v>
      </c>
      <c r="E10" t="s">
        <v>314</v>
      </c>
      <c r="F10" t="s">
        <v>100</v>
      </c>
      <c r="G10" t="s">
        <v>101</v>
      </c>
      <c r="H10" t="s">
        <v>298</v>
      </c>
      <c r="I10" t="s">
        <v>306</v>
      </c>
      <c r="J10" t="s">
        <v>308</v>
      </c>
      <c r="K10" t="b">
        <f>_xlfn.XOR(IFERROR(MATCH(ckAwdTable[[#This Row],[st_code]],EpscorTable[],0)&gt;0,FALSE),IFERROR(FIND("9150",ckAwdTable[[#This Row],[PRCs]])&gt;0,FALSE))</f>
        <v>0</v>
      </c>
      <c r="L10" t="b">
        <f>_xlfn.XOR(ckAwdTable[[#This Row],[WMD]]&lt;&gt;"",IFERROR(FIND("9102",ckAwdTable[[#This Row],[PRCs]])&gt;0,FALSE))</f>
        <v>0</v>
      </c>
      <c r="M10" t="str">
        <f t="shared" si="0"/>
        <v/>
      </c>
      <c r="P10" s="42">
        <v>0</v>
      </c>
      <c r="Q10" s="42">
        <v>0</v>
      </c>
      <c r="R10" s="15" t="str">
        <f>HYPERLINK("mailto:"&amp;ckAwdTable[[#This Row],[pi_emai_addr]]&amp;"&amp;subject=Your NSF Proposal:  "&amp;ckAwdTable[[#This Row],[prop_id]], ckAwdTable[[#This Row],[pi_emai_addr]])</f>
        <v>bwood5@wellesley.edu</v>
      </c>
      <c r="S10">
        <f xml:space="preserve"> S9+(ckAwdTable[ILN]&lt;"M")</f>
        <v>9</v>
      </c>
      <c r="T10" t="s">
        <v>102</v>
      </c>
      <c r="U10" t="s">
        <v>345</v>
      </c>
      <c r="V10" s="15" t="str">
        <f>HYPERLINK("https://www.ejacket.nsf.gov/ej/showProposal.do?ID="&amp;ckAwdTable[[#This Row],[prop_id]],"eJ")</f>
        <v>eJ</v>
      </c>
      <c r="W10" t="s">
        <v>345</v>
      </c>
      <c r="X10" t="s">
        <v>346</v>
      </c>
      <c r="Y10" t="s">
        <v>285</v>
      </c>
      <c r="Z10" t="s">
        <v>347</v>
      </c>
      <c r="AA10" s="1">
        <v>475283</v>
      </c>
      <c r="AB10" s="33">
        <v>43191</v>
      </c>
      <c r="AC10">
        <v>60</v>
      </c>
      <c r="AD10">
        <v>4</v>
      </c>
      <c r="AF10">
        <v>4</v>
      </c>
      <c r="AG10">
        <v>1</v>
      </c>
      <c r="AI10">
        <v>1</v>
      </c>
      <c r="AJ10"/>
      <c r="AL10" t="s">
        <v>399</v>
      </c>
      <c r="AN10" s="13">
        <v>17500</v>
      </c>
      <c r="AO10" t="s">
        <v>297</v>
      </c>
      <c r="AP10" t="s">
        <v>348</v>
      </c>
      <c r="AQ10" s="8"/>
      <c r="AR10" t="s">
        <v>419</v>
      </c>
      <c r="AS10" t="s">
        <v>420</v>
      </c>
      <c r="AT10">
        <v>0</v>
      </c>
      <c r="AU10">
        <v>0</v>
      </c>
      <c r="AV10">
        <v>0</v>
      </c>
      <c r="AW10">
        <v>0</v>
      </c>
    </row>
    <row r="11" spans="1:49" x14ac:dyDescent="0.4">
      <c r="A11" s="33">
        <v>42935.561805555553</v>
      </c>
      <c r="B11" t="s">
        <v>279</v>
      </c>
      <c r="C11" t="s">
        <v>243</v>
      </c>
      <c r="D11" t="s">
        <v>313</v>
      </c>
      <c r="E11" t="s">
        <v>314</v>
      </c>
      <c r="F11" t="s">
        <v>100</v>
      </c>
      <c r="G11" t="s">
        <v>101</v>
      </c>
      <c r="H11" t="s">
        <v>298</v>
      </c>
      <c r="I11" t="s">
        <v>306</v>
      </c>
      <c r="J11" t="s">
        <v>422</v>
      </c>
      <c r="K11" t="b">
        <f>_xlfn.XOR(IFERROR(MATCH(ckAwdTable[[#This Row],[st_code]],EpscorTable[],0)&gt;0,FALSE),IFERROR(FIND("9150",ckAwdTable[[#This Row],[PRCs]])&gt;0,FALSE))</f>
        <v>0</v>
      </c>
      <c r="L11" t="b">
        <f>_xlfn.XOR(ckAwdTable[[#This Row],[WMD]]&lt;&gt;"",IFERROR(FIND("9102",ckAwdTable[[#This Row],[PRCs]])&gt;0,FALSE))</f>
        <v>0</v>
      </c>
      <c r="M11" t="str">
        <f t="shared" si="0"/>
        <v/>
      </c>
      <c r="P11" s="42">
        <v>0</v>
      </c>
      <c r="Q11" s="42">
        <v>0</v>
      </c>
      <c r="R11" s="15" t="str">
        <f>HYPERLINK("mailto:"&amp;ckAwdTable[[#This Row],[pi_emai_addr]]&amp;"&amp;subject=Your NSF Proposal:  "&amp;ckAwdTable[[#This Row],[prop_id]], ckAwdTable[[#This Row],[pi_emai_addr]])</f>
        <v>samth@cs.indiana.edu</v>
      </c>
      <c r="S11">
        <f xml:space="preserve"> S10+(ckAwdTable[ILN]&lt;"M")</f>
        <v>10</v>
      </c>
      <c r="T11" t="s">
        <v>102</v>
      </c>
      <c r="U11" t="s">
        <v>349</v>
      </c>
      <c r="V11" s="15" t="str">
        <f>HYPERLINK("https://www.ejacket.nsf.gov/ej/showProposal.do?ID="&amp;ckAwdTable[[#This Row],[prop_id]],"eJ")</f>
        <v>eJ</v>
      </c>
      <c r="W11" t="s">
        <v>349</v>
      </c>
      <c r="X11" t="s">
        <v>350</v>
      </c>
      <c r="Y11" t="s">
        <v>389</v>
      </c>
      <c r="Z11" t="s">
        <v>351</v>
      </c>
      <c r="AA11" s="1">
        <v>501687</v>
      </c>
      <c r="AB11" s="33">
        <v>43282</v>
      </c>
      <c r="AC11">
        <v>60</v>
      </c>
      <c r="AD11">
        <v>4</v>
      </c>
      <c r="AF11">
        <v>4</v>
      </c>
      <c r="AG11">
        <v>1</v>
      </c>
      <c r="AI11">
        <v>1</v>
      </c>
      <c r="AJ11"/>
      <c r="AL11" t="s">
        <v>390</v>
      </c>
      <c r="AN11" s="13">
        <v>20000</v>
      </c>
      <c r="AO11" t="s">
        <v>297</v>
      </c>
      <c r="AP11" t="s">
        <v>352</v>
      </c>
      <c r="AQ11" s="8"/>
      <c r="AR11" t="s">
        <v>421</v>
      </c>
      <c r="AS11" t="s">
        <v>423</v>
      </c>
      <c r="AT11">
        <v>0</v>
      </c>
      <c r="AU11">
        <v>0</v>
      </c>
      <c r="AV11">
        <v>0</v>
      </c>
      <c r="AW11">
        <v>0</v>
      </c>
    </row>
    <row r="12" spans="1:49" x14ac:dyDescent="0.4">
      <c r="A12" s="33">
        <v>42935.652777777781</v>
      </c>
      <c r="B12" t="s">
        <v>279</v>
      </c>
      <c r="C12" t="s">
        <v>243</v>
      </c>
      <c r="D12" t="s">
        <v>313</v>
      </c>
      <c r="E12" t="s">
        <v>314</v>
      </c>
      <c r="F12" t="s">
        <v>100</v>
      </c>
      <c r="G12" t="s">
        <v>101</v>
      </c>
      <c r="H12" t="s">
        <v>298</v>
      </c>
      <c r="I12" t="s">
        <v>424</v>
      </c>
      <c r="J12" t="s">
        <v>116</v>
      </c>
      <c r="K12" t="b">
        <f>_xlfn.XOR(IFERROR(MATCH(ckAwdTable[[#This Row],[st_code]],EpscorTable[],0)&gt;0,FALSE),IFERROR(FIND("9150",ckAwdTable[[#This Row],[PRCs]])&gt;0,FALSE))</f>
        <v>0</v>
      </c>
      <c r="L12" t="b">
        <f>_xlfn.XOR(ckAwdTable[[#This Row],[WMD]]&lt;&gt;"",IFERROR(FIND("9102",ckAwdTable[[#This Row],[PRCs]])&gt;0,FALSE))</f>
        <v>0</v>
      </c>
      <c r="M12" t="str">
        <f t="shared" si="0"/>
        <v/>
      </c>
      <c r="P12" s="42">
        <v>0</v>
      </c>
      <c r="Q12" s="42">
        <v>0</v>
      </c>
      <c r="R12" s="15" t="str">
        <f>HYPERLINK("mailto:"&amp;ckAwdTable[[#This Row],[pi_emai_addr]]&amp;"&amp;subject=Your NSF Proposal:  "&amp;ckAwdTable[[#This Row],[prop_id]], ckAwdTable[[#This Row],[pi_emai_addr]])</f>
        <v>sxc2311@louisiana.edu</v>
      </c>
      <c r="S12">
        <f xml:space="preserve"> S11+(ckAwdTable[ILN]&lt;"M")</f>
        <v>11</v>
      </c>
      <c r="T12" t="s">
        <v>102</v>
      </c>
      <c r="U12" t="s">
        <v>353</v>
      </c>
      <c r="V12" s="15" t="str">
        <f>HYPERLINK("https://www.ejacket.nsf.gov/ej/showProposal.do?ID="&amp;ckAwdTable[[#This Row],[prop_id]],"eJ")</f>
        <v>eJ</v>
      </c>
      <c r="W12" t="s">
        <v>353</v>
      </c>
      <c r="X12" t="s">
        <v>289</v>
      </c>
      <c r="Y12" t="s">
        <v>375</v>
      </c>
      <c r="Z12" t="s">
        <v>354</v>
      </c>
      <c r="AA12" s="1">
        <v>506060</v>
      </c>
      <c r="AB12" s="33">
        <v>43132</v>
      </c>
      <c r="AC12">
        <v>60</v>
      </c>
      <c r="AD12">
        <v>4</v>
      </c>
      <c r="AF12">
        <v>4</v>
      </c>
      <c r="AG12">
        <v>1</v>
      </c>
      <c r="AI12">
        <v>1</v>
      </c>
      <c r="AJ12"/>
      <c r="AL12" t="s">
        <v>376</v>
      </c>
      <c r="AN12" s="13">
        <v>20250</v>
      </c>
      <c r="AO12" t="s">
        <v>297</v>
      </c>
      <c r="AP12" t="s">
        <v>355</v>
      </c>
      <c r="AQ12" s="8"/>
      <c r="AR12" t="s">
        <v>425</v>
      </c>
      <c r="AS12" t="s">
        <v>426</v>
      </c>
      <c r="AT12">
        <v>0</v>
      </c>
      <c r="AU12">
        <v>0</v>
      </c>
      <c r="AV12">
        <v>0</v>
      </c>
      <c r="AW12">
        <v>0</v>
      </c>
    </row>
    <row r="13" spans="1:49" x14ac:dyDescent="0.4">
      <c r="A13" s="33">
        <v>42935.665277777778</v>
      </c>
      <c r="B13" t="s">
        <v>279</v>
      </c>
      <c r="C13" t="s">
        <v>243</v>
      </c>
      <c r="D13" t="s">
        <v>313</v>
      </c>
      <c r="E13" t="s">
        <v>318</v>
      </c>
      <c r="F13" t="s">
        <v>100</v>
      </c>
      <c r="G13" t="s">
        <v>101</v>
      </c>
      <c r="H13" t="s">
        <v>298</v>
      </c>
      <c r="I13" t="s">
        <v>306</v>
      </c>
      <c r="J13" t="s">
        <v>302</v>
      </c>
      <c r="K13" t="b">
        <f>_xlfn.XOR(IFERROR(MATCH(ckAwdTable[[#This Row],[st_code]],EpscorTable[],0)&gt;0,FALSE),IFERROR(FIND("9150",ckAwdTable[[#This Row],[PRCs]])&gt;0,FALSE))</f>
        <v>0</v>
      </c>
      <c r="L13" t="b">
        <f>_xlfn.XOR(ckAwdTable[[#This Row],[WMD]]&lt;&gt;"",IFERROR(FIND("9102",ckAwdTable[[#This Row],[PRCs]])&gt;0,FALSE))</f>
        <v>0</v>
      </c>
      <c r="M13" t="str">
        <f t="shared" si="0"/>
        <v/>
      </c>
      <c r="P13" s="42">
        <v>0</v>
      </c>
      <c r="Q13" s="42">
        <v>0</v>
      </c>
      <c r="R13" s="15" t="str">
        <f>HYPERLINK("mailto:"&amp;ckAwdTable[[#This Row],[pi_emai_addr]]&amp;"&amp;subject=Your NSF Proposal:  "&amp;ckAwdTable[[#This Row],[prop_id]], ckAwdTable[[#This Row],[pi_emai_addr]])</f>
        <v>loris@cs.wisc.edu</v>
      </c>
      <c r="S13">
        <f xml:space="preserve"> S12+(ckAwdTable[ILN]&lt;"M")</f>
        <v>12</v>
      </c>
      <c r="T13" t="s">
        <v>102</v>
      </c>
      <c r="U13" t="s">
        <v>356</v>
      </c>
      <c r="V13" s="15" t="str">
        <f>HYPERLINK("https://www.ejacket.nsf.gov/ej/showProposal.do?ID="&amp;ckAwdTable[[#This Row],[prop_id]],"eJ")</f>
        <v>eJ</v>
      </c>
      <c r="W13" t="s">
        <v>356</v>
      </c>
      <c r="X13" t="s">
        <v>357</v>
      </c>
      <c r="Y13" t="s">
        <v>377</v>
      </c>
      <c r="Z13" t="s">
        <v>284</v>
      </c>
      <c r="AA13" s="1">
        <v>571195</v>
      </c>
      <c r="AB13" s="33">
        <v>43344</v>
      </c>
      <c r="AC13">
        <v>60</v>
      </c>
      <c r="AD13">
        <v>4</v>
      </c>
      <c r="AF13">
        <v>4</v>
      </c>
      <c r="AG13">
        <v>1</v>
      </c>
      <c r="AI13">
        <v>1</v>
      </c>
      <c r="AJ13"/>
      <c r="AL13" t="s">
        <v>378</v>
      </c>
      <c r="AN13" s="13">
        <v>15928</v>
      </c>
      <c r="AO13" t="s">
        <v>297</v>
      </c>
      <c r="AP13" t="s">
        <v>358</v>
      </c>
      <c r="AQ13" s="8"/>
      <c r="AR13" t="s">
        <v>301</v>
      </c>
      <c r="AS13" t="s">
        <v>427</v>
      </c>
      <c r="AT13">
        <v>0</v>
      </c>
      <c r="AU13">
        <v>0</v>
      </c>
      <c r="AV13">
        <v>0</v>
      </c>
      <c r="AW13">
        <v>0</v>
      </c>
    </row>
    <row r="14" spans="1:49" x14ac:dyDescent="0.4">
      <c r="A14" s="33">
        <v>42935.67291666667</v>
      </c>
      <c r="B14" t="s">
        <v>279</v>
      </c>
      <c r="C14" t="s">
        <v>243</v>
      </c>
      <c r="D14" t="s">
        <v>313</v>
      </c>
      <c r="E14" t="s">
        <v>314</v>
      </c>
      <c r="F14" t="s">
        <v>100</v>
      </c>
      <c r="G14" t="s">
        <v>101</v>
      </c>
      <c r="H14" t="s">
        <v>298</v>
      </c>
      <c r="I14" t="s">
        <v>306</v>
      </c>
      <c r="J14" t="s">
        <v>308</v>
      </c>
      <c r="K14" t="b">
        <f>_xlfn.XOR(IFERROR(MATCH(ckAwdTable[[#This Row],[st_code]],EpscorTable[],0)&gt;0,FALSE),IFERROR(FIND("9150",ckAwdTable[[#This Row],[PRCs]])&gt;0,FALSE))</f>
        <v>0</v>
      </c>
      <c r="L14" t="b">
        <f>_xlfn.XOR(ckAwdTable[[#This Row],[WMD]]&lt;&gt;"",IFERROR(FIND("9102",ckAwdTable[[#This Row],[PRCs]])&gt;0,FALSE))</f>
        <v>0</v>
      </c>
      <c r="M14" t="str">
        <f t="shared" si="0"/>
        <v/>
      </c>
      <c r="P14" s="42">
        <v>0</v>
      </c>
      <c r="Q14" s="42">
        <v>0</v>
      </c>
      <c r="R14" s="15" t="str">
        <f>HYPERLINK("mailto:"&amp;ckAwdTable[[#This Row],[pi_emai_addr]]&amp;"&amp;subject=Your NSF Proposal:  "&amp;ckAwdTable[[#This Row],[prop_id]], ckAwdTable[[#This Row],[pi_emai_addr]])</f>
        <v>mcarbin@csail.mit.edu</v>
      </c>
      <c r="S14">
        <f xml:space="preserve"> S13+(ckAwdTable[ILN]&lt;"M")</f>
        <v>13</v>
      </c>
      <c r="T14" t="s">
        <v>102</v>
      </c>
      <c r="U14" t="s">
        <v>359</v>
      </c>
      <c r="V14" s="15" t="str">
        <f>HYPERLINK("https://www.ejacket.nsf.gov/ej/showProposal.do?ID="&amp;ckAwdTable[[#This Row],[prop_id]],"eJ")</f>
        <v>eJ</v>
      </c>
      <c r="W14" t="s">
        <v>359</v>
      </c>
      <c r="X14" t="s">
        <v>360</v>
      </c>
      <c r="Y14" t="s">
        <v>296</v>
      </c>
      <c r="Z14" t="s">
        <v>244</v>
      </c>
      <c r="AA14" s="1">
        <v>525000</v>
      </c>
      <c r="AB14" s="33">
        <v>43282</v>
      </c>
      <c r="AC14">
        <v>60</v>
      </c>
      <c r="AD14">
        <v>4</v>
      </c>
      <c r="AF14">
        <v>4</v>
      </c>
      <c r="AG14">
        <v>1</v>
      </c>
      <c r="AI14">
        <v>1</v>
      </c>
      <c r="AJ14"/>
      <c r="AL14" t="s">
        <v>381</v>
      </c>
      <c r="AN14" s="13">
        <v>0</v>
      </c>
      <c r="AP14" t="s">
        <v>361</v>
      </c>
      <c r="AQ14" s="8"/>
      <c r="AR14" t="s">
        <v>307</v>
      </c>
      <c r="AS14" t="s">
        <v>428</v>
      </c>
      <c r="AT14">
        <v>0</v>
      </c>
      <c r="AU14">
        <v>0</v>
      </c>
      <c r="AV14">
        <v>0</v>
      </c>
      <c r="AW14">
        <v>0</v>
      </c>
    </row>
    <row r="15" spans="1:49" x14ac:dyDescent="0.4">
      <c r="A15" s="33">
        <v>42935.705555555556</v>
      </c>
      <c r="B15" t="s">
        <v>279</v>
      </c>
      <c r="C15" t="s">
        <v>243</v>
      </c>
      <c r="D15" t="s">
        <v>313</v>
      </c>
      <c r="E15" t="s">
        <v>314</v>
      </c>
      <c r="F15" t="s">
        <v>100</v>
      </c>
      <c r="G15" t="s">
        <v>101</v>
      </c>
      <c r="H15" t="s">
        <v>298</v>
      </c>
      <c r="I15" t="s">
        <v>306</v>
      </c>
      <c r="J15" t="s">
        <v>310</v>
      </c>
      <c r="K15" t="b">
        <f>_xlfn.XOR(IFERROR(MATCH(ckAwdTable[[#This Row],[st_code]],EpscorTable[],0)&gt;0,FALSE),IFERROR(FIND("9150",ckAwdTable[[#This Row],[PRCs]])&gt;0,FALSE))</f>
        <v>0</v>
      </c>
      <c r="L15" t="b">
        <f>_xlfn.XOR(ckAwdTable[[#This Row],[WMD]]&lt;&gt;"",IFERROR(FIND("9102",ckAwdTable[[#This Row],[PRCs]])&gt;0,FALSE))</f>
        <v>0</v>
      </c>
      <c r="M15" t="str">
        <f t="shared" si="0"/>
        <v/>
      </c>
      <c r="P15" s="42">
        <v>0</v>
      </c>
      <c r="Q15" s="42">
        <v>0</v>
      </c>
      <c r="R15" s="15" t="str">
        <f>HYPERLINK("mailto:"&amp;ckAwdTable[[#This Row],[pi_emai_addr]]&amp;"&amp;subject=Your NSF Proposal:  "&amp;ckAwdTable[[#This Row],[prop_id]], ckAwdTable[[#This Row],[pi_emai_addr]])</f>
        <v>raffi.khatchadourian@hunter.cuny.edu</v>
      </c>
      <c r="S15">
        <f xml:space="preserve"> S14+(ckAwdTable[ILN]&lt;"M")</f>
        <v>14</v>
      </c>
      <c r="T15" t="s">
        <v>102</v>
      </c>
      <c r="U15" t="s">
        <v>362</v>
      </c>
      <c r="V15" s="15" t="str">
        <f>HYPERLINK("https://www.ejacket.nsf.gov/ej/showProposal.do?ID="&amp;ckAwdTable[[#This Row],[prop_id]],"eJ")</f>
        <v>eJ</v>
      </c>
      <c r="W15" t="s">
        <v>362</v>
      </c>
      <c r="X15" t="s">
        <v>363</v>
      </c>
      <c r="Y15" t="s">
        <v>400</v>
      </c>
      <c r="Z15" t="s">
        <v>364</v>
      </c>
      <c r="AA15" s="1">
        <v>580408</v>
      </c>
      <c r="AB15" s="33">
        <v>43344</v>
      </c>
      <c r="AC15">
        <v>60</v>
      </c>
      <c r="AD15">
        <v>5</v>
      </c>
      <c r="AF15">
        <v>5</v>
      </c>
      <c r="AG15">
        <v>1</v>
      </c>
      <c r="AI15">
        <v>1</v>
      </c>
      <c r="AJ15"/>
      <c r="AL15" t="s">
        <v>401</v>
      </c>
      <c r="AN15" s="13">
        <v>35000</v>
      </c>
      <c r="AO15" t="s">
        <v>429</v>
      </c>
      <c r="AP15" t="s">
        <v>365</v>
      </c>
      <c r="AQ15" s="8"/>
      <c r="AR15" t="s">
        <v>430</v>
      </c>
      <c r="AS15" t="s">
        <v>431</v>
      </c>
      <c r="AT15">
        <v>0</v>
      </c>
      <c r="AU15">
        <v>0</v>
      </c>
      <c r="AV15">
        <v>0</v>
      </c>
      <c r="AW15">
        <v>0</v>
      </c>
    </row>
    <row r="16" spans="1:49" x14ac:dyDescent="0.4">
      <c r="A16" s="33">
        <v>42935.706944444442</v>
      </c>
      <c r="B16" t="s">
        <v>279</v>
      </c>
      <c r="C16" t="s">
        <v>243</v>
      </c>
      <c r="D16" t="s">
        <v>313</v>
      </c>
      <c r="E16" t="s">
        <v>314</v>
      </c>
      <c r="F16" t="s">
        <v>100</v>
      </c>
      <c r="G16" t="s">
        <v>101</v>
      </c>
      <c r="H16" t="s">
        <v>298</v>
      </c>
      <c r="I16" t="s">
        <v>306</v>
      </c>
      <c r="J16" t="s">
        <v>311</v>
      </c>
      <c r="K16" t="b">
        <f>_xlfn.XOR(IFERROR(MATCH(ckAwdTable[[#This Row],[st_code]],EpscorTable[],0)&gt;0,FALSE),IFERROR(FIND("9150",ckAwdTable[[#This Row],[PRCs]])&gt;0,FALSE))</f>
        <v>0</v>
      </c>
      <c r="L16" t="b">
        <f>_xlfn.XOR(ckAwdTable[[#This Row],[WMD]]&lt;&gt;"",IFERROR(FIND("9102",ckAwdTable[[#This Row],[PRCs]])&gt;0,FALSE))</f>
        <v>0</v>
      </c>
      <c r="M16" t="str">
        <f t="shared" si="0"/>
        <v/>
      </c>
      <c r="P16" s="42">
        <v>0</v>
      </c>
      <c r="Q16" s="42">
        <v>0</v>
      </c>
      <c r="R16" s="15" t="str">
        <f>HYPERLINK("mailto:"&amp;ckAwdTable[[#This Row],[pi_emai_addr]]&amp;"&amp;subject=Your NSF Proposal:  "&amp;ckAwdTable[[#This Row],[prop_id]], ckAwdTable[[#This Row],[pi_emai_addr]])</f>
        <v>dvanhorn@cs.umd.edu</v>
      </c>
      <c r="S16">
        <f xml:space="preserve"> S15+(ckAwdTable[ILN]&lt;"M")</f>
        <v>15</v>
      </c>
      <c r="T16" t="s">
        <v>102</v>
      </c>
      <c r="U16" t="s">
        <v>366</v>
      </c>
      <c r="V16" s="15" t="str">
        <f>HYPERLINK("https://www.ejacket.nsf.gov/ej/showProposal.do?ID="&amp;ckAwdTable[[#This Row],[prop_id]],"eJ")</f>
        <v>eJ</v>
      </c>
      <c r="W16" t="s">
        <v>366</v>
      </c>
      <c r="X16" t="s">
        <v>367</v>
      </c>
      <c r="Y16" t="s">
        <v>387</v>
      </c>
      <c r="Z16" t="s">
        <v>368</v>
      </c>
      <c r="AA16" s="1">
        <v>551069</v>
      </c>
      <c r="AB16" s="33">
        <v>43101</v>
      </c>
      <c r="AC16">
        <v>60</v>
      </c>
      <c r="AD16">
        <v>4</v>
      </c>
      <c r="AF16">
        <v>4</v>
      </c>
      <c r="AG16">
        <v>1</v>
      </c>
      <c r="AI16">
        <v>1</v>
      </c>
      <c r="AJ16"/>
      <c r="AL16" t="s">
        <v>388</v>
      </c>
      <c r="AN16" s="13">
        <v>15000</v>
      </c>
      <c r="AO16" t="s">
        <v>297</v>
      </c>
      <c r="AP16" t="s">
        <v>369</v>
      </c>
      <c r="AQ16" s="8"/>
      <c r="AR16" t="s">
        <v>432</v>
      </c>
      <c r="AS16" t="s">
        <v>433</v>
      </c>
      <c r="AT16">
        <v>0</v>
      </c>
      <c r="AU16">
        <v>0</v>
      </c>
      <c r="AV16">
        <v>0</v>
      </c>
      <c r="AW16">
        <v>0</v>
      </c>
    </row>
    <row r="17" spans="1:49" x14ac:dyDescent="0.4">
      <c r="A17" s="33">
        <v>42935.757638888892</v>
      </c>
      <c r="B17" t="s">
        <v>279</v>
      </c>
      <c r="C17" t="s">
        <v>243</v>
      </c>
      <c r="D17" t="s">
        <v>313</v>
      </c>
      <c r="E17" t="s">
        <v>318</v>
      </c>
      <c r="F17" t="s">
        <v>100</v>
      </c>
      <c r="G17" t="s">
        <v>101</v>
      </c>
      <c r="H17" t="s">
        <v>298</v>
      </c>
      <c r="I17" t="s">
        <v>306</v>
      </c>
      <c r="J17" t="s">
        <v>299</v>
      </c>
      <c r="K17" t="b">
        <f>_xlfn.XOR(IFERROR(MATCH(ckAwdTable[[#This Row],[st_code]],EpscorTable[],0)&gt;0,FALSE),IFERROR(FIND("9150",ckAwdTable[[#This Row],[PRCs]])&gt;0,FALSE))</f>
        <v>0</v>
      </c>
      <c r="L17" t="b">
        <f>_xlfn.XOR(ckAwdTable[[#This Row],[WMD]]&lt;&gt;"",IFERROR(FIND("9102",ckAwdTable[[#This Row],[PRCs]])&gt;0,FALSE))</f>
        <v>0</v>
      </c>
      <c r="M17" t="str">
        <f t="shared" si="0"/>
        <v/>
      </c>
      <c r="P17" s="42">
        <v>0</v>
      </c>
      <c r="Q17" s="42">
        <v>0</v>
      </c>
      <c r="R17" s="15" t="str">
        <f>HYPERLINK("mailto:"&amp;ckAwdTable[[#This Row],[pi_emai_addr]]&amp;"&amp;subject=Your NSF Proposal:  "&amp;ckAwdTable[[#This Row],[prop_id]], ckAwdTable[[#This Row],[pi_emai_addr]])</f>
        <v>pavol.cerny@colorado.edu</v>
      </c>
      <c r="S17">
        <f xml:space="preserve"> S16+(ckAwdTable[ILN]&lt;"M")</f>
        <v>16</v>
      </c>
      <c r="T17" t="s">
        <v>102</v>
      </c>
      <c r="U17" t="s">
        <v>370</v>
      </c>
      <c r="V17" s="15" t="str">
        <f>HYPERLINK("https://www.ejacket.nsf.gov/ej/showProposal.do?ID="&amp;ckAwdTable[[#This Row],[prop_id]],"eJ")</f>
        <v>eJ</v>
      </c>
      <c r="W17" t="s">
        <v>370</v>
      </c>
      <c r="X17" t="s">
        <v>371</v>
      </c>
      <c r="Y17" t="s">
        <v>402</v>
      </c>
      <c r="Z17" t="s">
        <v>372</v>
      </c>
      <c r="AA17" s="1">
        <v>542402</v>
      </c>
      <c r="AB17" s="33">
        <v>43282</v>
      </c>
      <c r="AC17">
        <v>60</v>
      </c>
      <c r="AD17">
        <v>4</v>
      </c>
      <c r="AF17">
        <v>4</v>
      </c>
      <c r="AG17">
        <v>1</v>
      </c>
      <c r="AI17">
        <v>1</v>
      </c>
      <c r="AJ17"/>
      <c r="AL17" t="s">
        <v>403</v>
      </c>
      <c r="AN17" s="13">
        <v>0</v>
      </c>
      <c r="AP17" t="s">
        <v>373</v>
      </c>
      <c r="AQ17" s="8"/>
      <c r="AR17" t="s">
        <v>434</v>
      </c>
      <c r="AS17" t="s">
        <v>435</v>
      </c>
      <c r="AT17">
        <v>0</v>
      </c>
      <c r="AU17">
        <v>0</v>
      </c>
      <c r="AV17">
        <v>0</v>
      </c>
      <c r="AW17">
        <v>0</v>
      </c>
    </row>
  </sheetData>
  <conditionalFormatting sqref="A2:AW17">
    <cfRule type="expression" dxfId="147" priority="6">
      <formula>MOD($S2,2)</formula>
    </cfRule>
  </conditionalFormatting>
  <conditionalFormatting sqref="J2:J17">
    <cfRule type="expression" dxfId="146" priority="5">
      <formula>$K2</formula>
    </cfRule>
  </conditionalFormatting>
  <conditionalFormatting sqref="M2:M17">
    <cfRule type="expression" dxfId="145" priority="4">
      <formula>$L2</formula>
    </cfRule>
  </conditionalFormatting>
  <conditionalFormatting sqref="AF2:AF17 AI2:AI17">
    <cfRule type="expression" dxfId="144" priority="3">
      <formula>AF2&gt;0</formula>
    </cfRule>
  </conditionalFormatting>
  <conditionalFormatting sqref="AD2:AE17">
    <cfRule type="expression" dxfId="143" priority="2">
      <formula>$AD2&lt;$AE2+3</formula>
    </cfRule>
  </conditionalFormatting>
  <conditionalFormatting sqref="B2:H16 AB2:AO16">
    <cfRule type="expression" dxfId="142" priority="7">
      <formula>AND($T2="N", B2&lt;&gt;B1048532)</formula>
    </cfRule>
  </conditionalFormatting>
  <conditionalFormatting sqref="B17:H17 AB17:AO17">
    <cfRule type="expression" dxfId="141" priority="8">
      <formula>AND($T17="N", B17&lt;&gt;B1)</formula>
    </cfRule>
  </conditionalFormatting>
  <conditionalFormatting sqref="P2:Q17">
    <cfRule type="expression" dxfId="140" priority="1">
      <formula>$P2+$Q2&lt;&gt;1</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rgb="FF6C8B1B"/>
  </sheetPr>
  <dimension ref="A1:AW17"/>
  <sheetViews>
    <sheetView workbookViewId="0">
      <selection activeCell="D15" sqref="D15"/>
    </sheetView>
  </sheetViews>
  <sheetFormatPr defaultRowHeight="14.6" x14ac:dyDescent="0.4"/>
  <cols>
    <col min="1" max="1" width="9.3046875" style="33" customWidth="1"/>
    <col min="2" max="2" width="11.15234375" customWidth="1"/>
    <col min="3" max="3" width="11.3828125" customWidth="1"/>
    <col min="4" max="4" width="5.3828125" customWidth="1"/>
    <col min="6" max="6" width="5.84375" style="33" customWidth="1"/>
    <col min="7" max="7" width="3.3046875" style="33" customWidth="1"/>
    <col min="8" max="8" width="3.53515625" style="33" customWidth="1"/>
    <col min="9" max="9" width="13.53515625" customWidth="1"/>
    <col min="10" max="10" width="3.84375" customWidth="1"/>
    <col min="11" max="12" width="7.3828125" hidden="1" customWidth="1"/>
    <col min="13" max="13" width="5.3828125" customWidth="1"/>
    <col min="14" max="14" width="11" customWidth="1"/>
    <col min="15" max="15" width="14.3046875" style="24" customWidth="1"/>
    <col min="16" max="16" width="5.3046875" style="42" customWidth="1"/>
    <col min="17" max="17" width="4.53515625" style="42" customWidth="1"/>
    <col min="18" max="18" width="11.84375" customWidth="1"/>
    <col min="19" max="19" width="4.3828125" customWidth="1"/>
    <col min="20" max="20" width="3.69140625" customWidth="1"/>
    <col min="21" max="21" width="8.69140625" style="33" customWidth="1"/>
    <col min="22" max="22" width="3.69140625" customWidth="1"/>
    <col min="23" max="23" width="9.23046875" style="33"/>
    <col min="24" max="24" width="9.53515625" style="33" customWidth="1"/>
    <col min="25" max="25" width="11.53515625" customWidth="1"/>
    <col min="26" max="26" width="12.15234375" customWidth="1"/>
    <col min="27" max="27" width="9.84375" customWidth="1"/>
    <col min="28" max="28" width="10.15234375" customWidth="1"/>
    <col min="29" max="29" width="4.3828125" customWidth="1"/>
    <col min="30" max="35" width="3" customWidth="1"/>
    <col min="36" max="36" width="9.23046875" style="1"/>
    <col min="38" max="38" width="85.53515625" customWidth="1"/>
    <col min="39" max="39" width="10.3828125" customWidth="1"/>
    <col min="40" max="40" width="9.53515625" style="13" customWidth="1"/>
    <col min="41" max="41" width="10.3828125" customWidth="1"/>
    <col min="42" max="42" width="15.3828125" customWidth="1"/>
    <col min="43" max="43" width="11.69140625" customWidth="1"/>
    <col min="44" max="44" width="9.3046875" hidden="1" customWidth="1"/>
    <col min="45" max="45" width="11" hidden="1" customWidth="1"/>
    <col min="46" max="49" width="4.3046875" customWidth="1"/>
  </cols>
  <sheetData>
    <row r="1" spans="1:49" ht="29.15" customHeight="1" x14ac:dyDescent="0.4">
      <c r="A1" s="33" t="s">
        <v>7</v>
      </c>
      <c r="B1" t="s">
        <v>8</v>
      </c>
      <c r="C1" t="s">
        <v>5</v>
      </c>
      <c r="D1" t="s">
        <v>4</v>
      </c>
      <c r="E1" t="s">
        <v>93</v>
      </c>
      <c r="F1" t="s">
        <v>94</v>
      </c>
      <c r="G1" t="s">
        <v>95</v>
      </c>
      <c r="H1" t="s">
        <v>96</v>
      </c>
      <c r="I1" t="s">
        <v>13</v>
      </c>
      <c r="J1" t="s">
        <v>98</v>
      </c>
      <c r="K1" t="s">
        <v>136</v>
      </c>
      <c r="L1" t="s">
        <v>151</v>
      </c>
      <c r="M1" t="s">
        <v>150</v>
      </c>
      <c r="N1" t="s">
        <v>18</v>
      </c>
      <c r="O1" s="24" t="s">
        <v>17</v>
      </c>
      <c r="P1" s="42" t="s">
        <v>134</v>
      </c>
      <c r="Q1" s="42" t="s">
        <v>135</v>
      </c>
      <c r="R1" s="14" t="s">
        <v>142</v>
      </c>
      <c r="S1" s="14" t="s">
        <v>108</v>
      </c>
      <c r="T1" t="s">
        <v>89</v>
      </c>
      <c r="U1" t="s">
        <v>9</v>
      </c>
      <c r="V1" t="s">
        <v>1</v>
      </c>
      <c r="W1" t="s">
        <v>0</v>
      </c>
      <c r="X1" t="s">
        <v>10</v>
      </c>
      <c r="Y1" t="s">
        <v>19</v>
      </c>
      <c r="Z1" t="s">
        <v>11</v>
      </c>
      <c r="AA1" s="1" t="s">
        <v>90</v>
      </c>
      <c r="AB1" s="33" t="s">
        <v>20</v>
      </c>
      <c r="AC1" t="s">
        <v>21</v>
      </c>
      <c r="AD1" t="s">
        <v>152</v>
      </c>
      <c r="AE1" t="s">
        <v>153</v>
      </c>
      <c r="AF1" t="s">
        <v>154</v>
      </c>
      <c r="AG1" t="s">
        <v>155</v>
      </c>
      <c r="AH1" t="s">
        <v>156</v>
      </c>
      <c r="AI1" t="s">
        <v>157</v>
      </c>
      <c r="AJ1" t="s">
        <v>91</v>
      </c>
      <c r="AK1" t="s">
        <v>92</v>
      </c>
      <c r="AL1" t="s">
        <v>37</v>
      </c>
      <c r="AM1" t="s">
        <v>144</v>
      </c>
      <c r="AN1" s="13" t="s">
        <v>145</v>
      </c>
      <c r="AO1" t="s">
        <v>143</v>
      </c>
      <c r="AP1" t="s">
        <v>12</v>
      </c>
      <c r="AQ1" t="s">
        <v>88</v>
      </c>
      <c r="AR1" t="s">
        <v>97</v>
      </c>
      <c r="AS1" t="s">
        <v>99</v>
      </c>
      <c r="AT1" t="s">
        <v>146</v>
      </c>
      <c r="AU1" t="s">
        <v>147</v>
      </c>
      <c r="AV1" t="s">
        <v>148</v>
      </c>
      <c r="AW1" t="s">
        <v>149</v>
      </c>
    </row>
    <row r="2" spans="1:49" x14ac:dyDescent="0.4">
      <c r="A2" s="33">
        <v>42933.697916666664</v>
      </c>
      <c r="B2" t="s">
        <v>279</v>
      </c>
      <c r="C2" t="s">
        <v>243</v>
      </c>
      <c r="D2" t="s">
        <v>313</v>
      </c>
      <c r="E2" t="s">
        <v>314</v>
      </c>
      <c r="F2" t="s">
        <v>100</v>
      </c>
      <c r="G2" t="s">
        <v>101</v>
      </c>
      <c r="H2" t="s">
        <v>298</v>
      </c>
      <c r="I2" t="s">
        <v>306</v>
      </c>
      <c r="J2" t="s">
        <v>310</v>
      </c>
      <c r="K2" t="b">
        <f>_xlfn.XOR(IFERROR(MATCH(ckSplitTable[[#This Row],[st_code]],EpscorTable[],0)&gt;0,FALSE),IFERROR(FIND("9150",ckSplitTable[[#This Row],[PRCs]])&gt;0,FALSE))</f>
        <v>0</v>
      </c>
      <c r="L2" t="b">
        <f>_xlfn.XOR(ckSplitTable[[#This Row],[WMD]]&lt;&gt;"",IFERROR(FIND("9102",ckSplitTable[[#This Row],[PRCs]])&gt;0,FALSE))</f>
        <v>0</v>
      </c>
      <c r="M2" t="str">
        <f t="shared" ref="M2:M17" si="0">IF(SUM(AT2:AW2)&gt;0,"WMD","")</f>
        <v/>
      </c>
      <c r="P2" s="42">
        <v>0</v>
      </c>
      <c r="Q2" s="42">
        <v>0</v>
      </c>
      <c r="R2" s="15" t="str">
        <f>HYPERLINK("mailto:"&amp;ckSplitTable[[#This Row],[pi_emai_addr]]&amp;"&amp;subject=Your NSF Proposal:  "&amp;ckSplitTable[[#This Row],[prop_id]], ckSplitTable[[#This Row],[pi_emai_addr]])</f>
        <v>lziarek@buffalo.edu</v>
      </c>
      <c r="S2">
        <f xml:space="preserve"> S1+(ckSplitTable[ILN]&lt;"M")</f>
        <v>1</v>
      </c>
      <c r="T2" t="s">
        <v>102</v>
      </c>
      <c r="U2" t="s">
        <v>315</v>
      </c>
      <c r="V2" s="15" t="str">
        <f>HYPERLINK("https://www.ejacket.nsf.gov/ej/showProposal.do?ID="&amp;ckSplitTable[[#This Row],[prop_id]],"eJ")</f>
        <v>eJ</v>
      </c>
      <c r="W2" t="s">
        <v>315</v>
      </c>
      <c r="X2" t="s">
        <v>316</v>
      </c>
      <c r="Y2" t="s">
        <v>385</v>
      </c>
      <c r="Z2" t="s">
        <v>241</v>
      </c>
      <c r="AA2" s="1">
        <v>561136</v>
      </c>
      <c r="AB2" s="33">
        <v>43101</v>
      </c>
      <c r="AC2">
        <v>60</v>
      </c>
      <c r="AD2">
        <v>5</v>
      </c>
      <c r="AF2">
        <v>5</v>
      </c>
      <c r="AG2">
        <v>1</v>
      </c>
      <c r="AI2">
        <v>1</v>
      </c>
      <c r="AJ2"/>
      <c r="AL2" t="s">
        <v>386</v>
      </c>
      <c r="AN2" s="13">
        <v>20000</v>
      </c>
      <c r="AO2" t="s">
        <v>404</v>
      </c>
      <c r="AP2" t="s">
        <v>317</v>
      </c>
      <c r="AQ2" s="8"/>
      <c r="AR2" t="s">
        <v>309</v>
      </c>
      <c r="AS2" t="s">
        <v>405</v>
      </c>
      <c r="AT2">
        <v>0</v>
      </c>
      <c r="AU2">
        <v>0</v>
      </c>
      <c r="AV2">
        <v>0</v>
      </c>
      <c r="AW2">
        <v>0</v>
      </c>
    </row>
    <row r="3" spans="1:49" x14ac:dyDescent="0.4">
      <c r="A3" s="33">
        <v>42933.719444444447</v>
      </c>
      <c r="B3" t="s">
        <v>279</v>
      </c>
      <c r="C3" t="s">
        <v>243</v>
      </c>
      <c r="D3" t="s">
        <v>313</v>
      </c>
      <c r="E3" t="s">
        <v>318</v>
      </c>
      <c r="F3" t="s">
        <v>100</v>
      </c>
      <c r="G3" t="s">
        <v>101</v>
      </c>
      <c r="H3" t="s">
        <v>298</v>
      </c>
      <c r="I3" t="s">
        <v>306</v>
      </c>
      <c r="J3" t="s">
        <v>304</v>
      </c>
      <c r="K3" t="b">
        <f>_xlfn.XOR(IFERROR(MATCH(ckSplitTable[[#This Row],[st_code]],EpscorTable[],0)&gt;0,FALSE),IFERROR(FIND("9150",ckSplitTable[[#This Row],[PRCs]])&gt;0,FALSE))</f>
        <v>0</v>
      </c>
      <c r="L3" t="b">
        <f>_xlfn.XOR(ckSplitTable[[#This Row],[WMD]]&lt;&gt;"",IFERROR(FIND("9102",ckSplitTable[[#This Row],[PRCs]])&gt;0,FALSE))</f>
        <v>0</v>
      </c>
      <c r="M3" t="str">
        <f t="shared" si="0"/>
        <v/>
      </c>
      <c r="P3" s="42">
        <v>0</v>
      </c>
      <c r="Q3" s="42">
        <v>0</v>
      </c>
      <c r="R3" s="15" t="str">
        <f>HYPERLINK("mailto:"&amp;ckSplitTable[[#This Row],[pi_emai_addr]]&amp;"&amp;subject=Your NSF Proposal:  "&amp;ckSplitTable[[#This Row],[prop_id]], ckSplitTable[[#This Row],[pi_emai_addr]])</f>
        <v>ztatlock@cs.washington.edu</v>
      </c>
      <c r="S3">
        <f xml:space="preserve"> S2+(ckSplitTable[ILN]&lt;"M")</f>
        <v>2</v>
      </c>
      <c r="T3" t="s">
        <v>102</v>
      </c>
      <c r="U3" t="s">
        <v>319</v>
      </c>
      <c r="V3" s="15" t="str">
        <f>HYPERLINK("https://www.ejacket.nsf.gov/ej/showProposal.do?ID="&amp;ckSplitTable[[#This Row],[prop_id]],"eJ")</f>
        <v>eJ</v>
      </c>
      <c r="W3" t="s">
        <v>319</v>
      </c>
      <c r="X3" t="s">
        <v>320</v>
      </c>
      <c r="Y3" t="s">
        <v>379</v>
      </c>
      <c r="Z3" t="s">
        <v>281</v>
      </c>
      <c r="AA3" s="1">
        <v>648665</v>
      </c>
      <c r="AB3" s="33">
        <v>43191</v>
      </c>
      <c r="AC3">
        <v>60</v>
      </c>
      <c r="AD3">
        <v>4</v>
      </c>
      <c r="AF3">
        <v>4</v>
      </c>
      <c r="AG3">
        <v>1</v>
      </c>
      <c r="AI3">
        <v>1</v>
      </c>
      <c r="AJ3"/>
      <c r="AL3" t="s">
        <v>380</v>
      </c>
      <c r="AN3" s="13">
        <v>15000</v>
      </c>
      <c r="AO3" t="s">
        <v>297</v>
      </c>
      <c r="AP3" t="s">
        <v>321</v>
      </c>
      <c r="AQ3" s="8"/>
      <c r="AR3" t="s">
        <v>303</v>
      </c>
      <c r="AS3" t="s">
        <v>406</v>
      </c>
      <c r="AT3">
        <v>0</v>
      </c>
      <c r="AU3">
        <v>0</v>
      </c>
      <c r="AV3">
        <v>0</v>
      </c>
      <c r="AW3">
        <v>0</v>
      </c>
    </row>
    <row r="4" spans="1:49" x14ac:dyDescent="0.4">
      <c r="A4" s="33">
        <v>42933.731249999997</v>
      </c>
      <c r="B4" t="s">
        <v>279</v>
      </c>
      <c r="C4" t="s">
        <v>243</v>
      </c>
      <c r="D4" t="s">
        <v>313</v>
      </c>
      <c r="E4" t="s">
        <v>314</v>
      </c>
      <c r="F4" t="s">
        <v>100</v>
      </c>
      <c r="G4" t="s">
        <v>101</v>
      </c>
      <c r="H4" t="s">
        <v>298</v>
      </c>
      <c r="I4" t="s">
        <v>306</v>
      </c>
      <c r="J4" t="s">
        <v>300</v>
      </c>
      <c r="K4" t="b">
        <f>_xlfn.XOR(IFERROR(MATCH(ckSplitTable[[#This Row],[st_code]],EpscorTable[],0)&gt;0,FALSE),IFERROR(FIND("9150",ckSplitTable[[#This Row],[PRCs]])&gt;0,FALSE))</f>
        <v>0</v>
      </c>
      <c r="L4" t="b">
        <f>_xlfn.XOR(ckSplitTable[[#This Row],[WMD]]&lt;&gt;"",IFERROR(FIND("9102",ckSplitTable[[#This Row],[PRCs]])&gt;0,FALSE))</f>
        <v>0</v>
      </c>
      <c r="M4" t="str">
        <f t="shared" si="0"/>
        <v/>
      </c>
      <c r="P4" s="42">
        <v>0</v>
      </c>
      <c r="Q4" s="42">
        <v>0</v>
      </c>
      <c r="R4" s="15" t="str">
        <f>HYPERLINK("mailto:"&amp;ckSplitTable[[#This Row],[pi_emai_addr]]&amp;"&amp;subject=Your NSF Proposal:  "&amp;ckSplitTable[[#This Row],[prop_id]], ckSplitTable[[#This Row],[pi_emai_addr]])</f>
        <v>gbm26@drexel.edu</v>
      </c>
      <c r="S4">
        <f xml:space="preserve"> S3+(ckSplitTable[ILN]&lt;"M")</f>
        <v>3</v>
      </c>
      <c r="T4" t="s">
        <v>102</v>
      </c>
      <c r="U4" t="s">
        <v>322</v>
      </c>
      <c r="V4" s="15" t="str">
        <f>HYPERLINK("https://www.ejacket.nsf.gov/ej/showProposal.do?ID="&amp;ckSplitTable[[#This Row],[prop_id]],"eJ")</f>
        <v>eJ</v>
      </c>
      <c r="W4" t="s">
        <v>322</v>
      </c>
      <c r="X4" t="s">
        <v>323</v>
      </c>
      <c r="Y4" t="s">
        <v>391</v>
      </c>
      <c r="Z4" t="s">
        <v>324</v>
      </c>
      <c r="AA4" s="1">
        <v>495570</v>
      </c>
      <c r="AB4" s="33">
        <v>43101</v>
      </c>
      <c r="AC4">
        <v>60</v>
      </c>
      <c r="AD4">
        <v>4</v>
      </c>
      <c r="AF4">
        <v>4</v>
      </c>
      <c r="AG4">
        <v>1</v>
      </c>
      <c r="AI4">
        <v>1</v>
      </c>
      <c r="AJ4"/>
      <c r="AL4" t="s">
        <v>392</v>
      </c>
      <c r="AN4" s="13">
        <v>0</v>
      </c>
      <c r="AP4" t="s">
        <v>325</v>
      </c>
      <c r="AQ4" s="8"/>
      <c r="AR4" t="s">
        <v>407</v>
      </c>
      <c r="AS4" t="s">
        <v>408</v>
      </c>
      <c r="AT4">
        <v>0</v>
      </c>
      <c r="AU4">
        <v>0</v>
      </c>
      <c r="AV4">
        <v>0</v>
      </c>
      <c r="AW4">
        <v>0</v>
      </c>
    </row>
    <row r="5" spans="1:49" x14ac:dyDescent="0.4">
      <c r="A5" s="33">
        <v>42934.425000000003</v>
      </c>
      <c r="B5" t="s">
        <v>279</v>
      </c>
      <c r="C5" t="s">
        <v>243</v>
      </c>
      <c r="D5" t="s">
        <v>313</v>
      </c>
      <c r="E5" t="s">
        <v>314</v>
      </c>
      <c r="F5" t="s">
        <v>100</v>
      </c>
      <c r="G5" t="s">
        <v>101</v>
      </c>
      <c r="H5" t="s">
        <v>298</v>
      </c>
      <c r="I5" t="s">
        <v>306</v>
      </c>
      <c r="J5" t="s">
        <v>300</v>
      </c>
      <c r="K5" t="b">
        <f>_xlfn.XOR(IFERROR(MATCH(ckSplitTable[[#This Row],[st_code]],EpscorTable[],0)&gt;0,FALSE),IFERROR(FIND("9150",ckSplitTable[[#This Row],[PRCs]])&gt;0,FALSE))</f>
        <v>0</v>
      </c>
      <c r="L5" t="b">
        <f>_xlfn.XOR(ckSplitTable[[#This Row],[WMD]]&lt;&gt;"",IFERROR(FIND("9102",ckSplitTable[[#This Row],[PRCs]])&gt;0,FALSE))</f>
        <v>0</v>
      </c>
      <c r="M5" t="str">
        <f t="shared" si="0"/>
        <v/>
      </c>
      <c r="P5" s="42">
        <v>0</v>
      </c>
      <c r="Q5" s="42">
        <v>0</v>
      </c>
      <c r="R5" s="15" t="str">
        <f>HYPERLINK("mailto:"&amp;ckSplitTable[[#This Row],[pi_emai_addr]]&amp;"&amp;subject=Your NSF Proposal:  "&amp;ckSplitTable[[#This Row],[prop_id]], ckSplitTable[[#This Row],[pi_emai_addr]])</f>
        <v>csg63@drexel.edu</v>
      </c>
      <c r="S5">
        <f xml:space="preserve"> S4+(ckSplitTable[ILN]&lt;"M")</f>
        <v>4</v>
      </c>
      <c r="T5" t="s">
        <v>102</v>
      </c>
      <c r="U5" t="s">
        <v>326</v>
      </c>
      <c r="V5" s="15" t="str">
        <f>HYPERLINK("https://www.ejacket.nsf.gov/ej/showProposal.do?ID="&amp;ckSplitTable[[#This Row],[prop_id]],"eJ")</f>
        <v>eJ</v>
      </c>
      <c r="W5" t="s">
        <v>326</v>
      </c>
      <c r="X5" t="s">
        <v>327</v>
      </c>
      <c r="Y5" t="s">
        <v>382</v>
      </c>
      <c r="Z5" t="s">
        <v>324</v>
      </c>
      <c r="AA5" s="1">
        <v>622204</v>
      </c>
      <c r="AB5" s="33">
        <v>43344</v>
      </c>
      <c r="AC5">
        <v>60</v>
      </c>
      <c r="AD5">
        <v>4</v>
      </c>
      <c r="AF5">
        <v>4</v>
      </c>
      <c r="AG5">
        <v>1</v>
      </c>
      <c r="AI5">
        <v>1</v>
      </c>
      <c r="AJ5"/>
      <c r="AL5" t="s">
        <v>383</v>
      </c>
      <c r="AN5" s="13">
        <v>28660</v>
      </c>
      <c r="AO5" t="s">
        <v>297</v>
      </c>
      <c r="AP5" t="s">
        <v>328</v>
      </c>
      <c r="AQ5" s="8"/>
      <c r="AR5" t="s">
        <v>407</v>
      </c>
      <c r="AS5" t="s">
        <v>409</v>
      </c>
      <c r="AT5">
        <v>0</v>
      </c>
      <c r="AU5">
        <v>0</v>
      </c>
      <c r="AV5">
        <v>0</v>
      </c>
      <c r="AW5">
        <v>0</v>
      </c>
    </row>
    <row r="6" spans="1:49" x14ac:dyDescent="0.4">
      <c r="A6" s="33">
        <v>42934.681250000001</v>
      </c>
      <c r="B6" t="s">
        <v>279</v>
      </c>
      <c r="C6" t="s">
        <v>243</v>
      </c>
      <c r="D6" t="s">
        <v>313</v>
      </c>
      <c r="E6" t="s">
        <v>314</v>
      </c>
      <c r="F6" t="s">
        <v>100</v>
      </c>
      <c r="G6" t="s">
        <v>101</v>
      </c>
      <c r="H6" t="s">
        <v>298</v>
      </c>
      <c r="I6" t="s">
        <v>306</v>
      </c>
      <c r="J6" t="s">
        <v>308</v>
      </c>
      <c r="K6" t="b">
        <f>_xlfn.XOR(IFERROR(MATCH(ckSplitTable[[#This Row],[st_code]],EpscorTable[],0)&gt;0,FALSE),IFERROR(FIND("9150",ckSplitTable[[#This Row],[PRCs]])&gt;0,FALSE))</f>
        <v>0</v>
      </c>
      <c r="L6" t="b">
        <f>_xlfn.XOR(ckSplitTable[[#This Row],[WMD]]&lt;&gt;"",IFERROR(FIND("9102",ckSplitTable[[#This Row],[PRCs]])&gt;0,FALSE))</f>
        <v>0</v>
      </c>
      <c r="M6" t="str">
        <f t="shared" si="0"/>
        <v/>
      </c>
      <c r="P6" s="42">
        <v>0</v>
      </c>
      <c r="Q6" s="42">
        <v>0</v>
      </c>
      <c r="R6" s="15" t="str">
        <f>HYPERLINK("mailto:"&amp;ckSplitTable[[#This Row],[pi_emai_addr]]&amp;"&amp;subject=Your NSF Proposal:  "&amp;ckSplitTable[[#This Row],[prop_id]], ckSplitTable[[#This Row],[pi_emai_addr]])</f>
        <v>arjun@cs.umass.edu</v>
      </c>
      <c r="S6">
        <f xml:space="preserve"> S5+(ckSplitTable[ILN]&lt;"M")</f>
        <v>5</v>
      </c>
      <c r="T6" t="s">
        <v>102</v>
      </c>
      <c r="U6" t="s">
        <v>329</v>
      </c>
      <c r="V6" s="15" t="str">
        <f>HYPERLINK("https://www.ejacket.nsf.gov/ej/showProposal.do?ID="&amp;ckSplitTable[[#This Row],[prop_id]],"eJ")</f>
        <v>eJ</v>
      </c>
      <c r="W6" t="s">
        <v>329</v>
      </c>
      <c r="X6" t="s">
        <v>330</v>
      </c>
      <c r="Y6" t="s">
        <v>393</v>
      </c>
      <c r="Z6" t="s">
        <v>331</v>
      </c>
      <c r="AA6" s="1">
        <v>532375</v>
      </c>
      <c r="AB6" s="33">
        <v>43101</v>
      </c>
      <c r="AC6">
        <v>60</v>
      </c>
      <c r="AD6">
        <v>4</v>
      </c>
      <c r="AF6">
        <v>4</v>
      </c>
      <c r="AG6">
        <v>1</v>
      </c>
      <c r="AI6">
        <v>1</v>
      </c>
      <c r="AJ6"/>
      <c r="AL6" t="s">
        <v>394</v>
      </c>
      <c r="AN6" s="13">
        <v>0</v>
      </c>
      <c r="AP6" t="s">
        <v>332</v>
      </c>
      <c r="AQ6" s="8"/>
      <c r="AR6" t="s">
        <v>410</v>
      </c>
      <c r="AS6" t="s">
        <v>411</v>
      </c>
      <c r="AT6">
        <v>0</v>
      </c>
      <c r="AU6">
        <v>0</v>
      </c>
      <c r="AV6">
        <v>0</v>
      </c>
      <c r="AW6">
        <v>0</v>
      </c>
    </row>
    <row r="7" spans="1:49" x14ac:dyDescent="0.4">
      <c r="A7" s="33">
        <v>42934.72152777778</v>
      </c>
      <c r="B7" t="s">
        <v>279</v>
      </c>
      <c r="C7" t="s">
        <v>243</v>
      </c>
      <c r="D7" t="s">
        <v>313</v>
      </c>
      <c r="E7" t="s">
        <v>318</v>
      </c>
      <c r="F7" t="s">
        <v>100</v>
      </c>
      <c r="G7" t="s">
        <v>101</v>
      </c>
      <c r="H7" t="s">
        <v>298</v>
      </c>
      <c r="I7" t="s">
        <v>306</v>
      </c>
      <c r="J7" t="s">
        <v>312</v>
      </c>
      <c r="K7" t="b">
        <f>_xlfn.XOR(IFERROR(MATCH(ckSplitTable[[#This Row],[st_code]],EpscorTable[],0)&gt;0,FALSE),IFERROR(FIND("9150",ckSplitTable[[#This Row],[PRCs]])&gt;0,FALSE))</f>
        <v>0</v>
      </c>
      <c r="L7" t="b">
        <f>_xlfn.XOR(ckSplitTable[[#This Row],[WMD]]&lt;&gt;"",IFERROR(FIND("9102",ckSplitTable[[#This Row],[PRCs]])&gt;0,FALSE))</f>
        <v>0</v>
      </c>
      <c r="M7" t="str">
        <f t="shared" si="0"/>
        <v/>
      </c>
      <c r="P7" s="42">
        <v>0</v>
      </c>
      <c r="Q7" s="42">
        <v>0</v>
      </c>
      <c r="R7" s="15" t="str">
        <f>HYPERLINK("mailto:"&amp;ckSplitTable[[#This Row],[pi_emai_addr]]&amp;"&amp;subject=Your NSF Proposal:  "&amp;ckSplitTable[[#This Row],[prop_id]], ckSplitTable[[#This Row],[pi_emai_addr]])</f>
        <v>heades@augusta.edu</v>
      </c>
      <c r="S7">
        <f xml:space="preserve"> S6+(ckSplitTable[ILN]&lt;"M")</f>
        <v>6</v>
      </c>
      <c r="T7" t="s">
        <v>102</v>
      </c>
      <c r="U7" t="s">
        <v>333</v>
      </c>
      <c r="V7" s="15" t="str">
        <f>HYPERLINK("https://www.ejacket.nsf.gov/ej/showProposal.do?ID="&amp;ckSplitTable[[#This Row],[prop_id]],"eJ")</f>
        <v>eJ</v>
      </c>
      <c r="W7" t="s">
        <v>333</v>
      </c>
      <c r="X7" t="s">
        <v>334</v>
      </c>
      <c r="Y7" t="s">
        <v>395</v>
      </c>
      <c r="Z7" t="s">
        <v>335</v>
      </c>
      <c r="AA7" s="1">
        <v>500272</v>
      </c>
      <c r="AB7" s="33">
        <v>43160</v>
      </c>
      <c r="AC7">
        <v>60</v>
      </c>
      <c r="AD7">
        <v>5</v>
      </c>
      <c r="AF7">
        <v>5</v>
      </c>
      <c r="AG7">
        <v>1</v>
      </c>
      <c r="AI7">
        <v>1</v>
      </c>
      <c r="AJ7"/>
      <c r="AL7" t="s">
        <v>396</v>
      </c>
      <c r="AN7" s="13">
        <v>32960</v>
      </c>
      <c r="AO7" t="s">
        <v>297</v>
      </c>
      <c r="AP7" t="s">
        <v>336</v>
      </c>
      <c r="AQ7" s="8"/>
      <c r="AR7" t="s">
        <v>412</v>
      </c>
      <c r="AS7" t="s">
        <v>413</v>
      </c>
      <c r="AT7">
        <v>0</v>
      </c>
      <c r="AU7">
        <v>0</v>
      </c>
      <c r="AV7">
        <v>0</v>
      </c>
      <c r="AW7">
        <v>0</v>
      </c>
    </row>
    <row r="8" spans="1:49" x14ac:dyDescent="0.4">
      <c r="A8" s="33">
        <v>42935.388194444444</v>
      </c>
      <c r="B8" t="s">
        <v>279</v>
      </c>
      <c r="C8" t="s">
        <v>243</v>
      </c>
      <c r="D8" t="s">
        <v>313</v>
      </c>
      <c r="E8" t="s">
        <v>314</v>
      </c>
      <c r="F8" t="s">
        <v>100</v>
      </c>
      <c r="G8" t="s">
        <v>101</v>
      </c>
      <c r="H8" t="s">
        <v>298</v>
      </c>
      <c r="I8" t="s">
        <v>306</v>
      </c>
      <c r="J8" t="s">
        <v>300</v>
      </c>
      <c r="K8" t="b">
        <f>_xlfn.XOR(IFERROR(MATCH(ckSplitTable[[#This Row],[st_code]],EpscorTable[],0)&gt;0,FALSE),IFERROR(FIND("9150",ckSplitTable[[#This Row],[PRCs]])&gt;0,FALSE))</f>
        <v>0</v>
      </c>
      <c r="L8" t="b">
        <f>_xlfn.XOR(ckSplitTable[[#This Row],[WMD]]&lt;&gt;"",IFERROR(FIND("9102",ckSplitTable[[#This Row],[PRCs]])&gt;0,FALSE))</f>
        <v>0</v>
      </c>
      <c r="M8" t="str">
        <f t="shared" si="0"/>
        <v/>
      </c>
      <c r="P8" s="42">
        <v>0</v>
      </c>
      <c r="Q8" s="42">
        <v>0</v>
      </c>
      <c r="R8" s="15" t="str">
        <f>HYPERLINK("mailto:"&amp;ckSplitTable[[#This Row],[pi_emai_addr]]&amp;"&amp;subject=Your NSF Proposal:  "&amp;ckSplitTable[[#This Row],[prop_id]], ckSplitTable[[#This Row],[pi_emai_addr]])</f>
        <v>zhang@cse.psu.edu</v>
      </c>
      <c r="S8">
        <f xml:space="preserve"> S7+(ckSplitTable[ILN]&lt;"M")</f>
        <v>7</v>
      </c>
      <c r="T8" t="s">
        <v>102</v>
      </c>
      <c r="U8" t="s">
        <v>337</v>
      </c>
      <c r="V8" s="15" t="str">
        <f>HYPERLINK("https://www.ejacket.nsf.gov/ej/showProposal.do?ID="&amp;ckSplitTable[[#This Row],[prop_id]],"eJ")</f>
        <v>eJ</v>
      </c>
      <c r="W8" t="s">
        <v>337</v>
      </c>
      <c r="X8" t="s">
        <v>338</v>
      </c>
      <c r="Y8" t="s">
        <v>397</v>
      </c>
      <c r="Z8" t="s">
        <v>339</v>
      </c>
      <c r="AA8" s="1">
        <v>498999</v>
      </c>
      <c r="AB8" s="33">
        <v>43282</v>
      </c>
      <c r="AC8">
        <v>60</v>
      </c>
      <c r="AD8">
        <v>4</v>
      </c>
      <c r="AF8">
        <v>4</v>
      </c>
      <c r="AG8">
        <v>2</v>
      </c>
      <c r="AI8">
        <v>2</v>
      </c>
      <c r="AJ8"/>
      <c r="AL8" t="s">
        <v>398</v>
      </c>
      <c r="AN8" s="13">
        <v>12500</v>
      </c>
      <c r="AO8" t="s">
        <v>414</v>
      </c>
      <c r="AP8" t="s">
        <v>340</v>
      </c>
      <c r="AQ8" s="8"/>
      <c r="AR8" t="s">
        <v>415</v>
      </c>
      <c r="AS8" t="s">
        <v>416</v>
      </c>
      <c r="AT8">
        <v>0</v>
      </c>
      <c r="AU8">
        <v>0</v>
      </c>
      <c r="AV8">
        <v>0</v>
      </c>
      <c r="AW8">
        <v>0</v>
      </c>
    </row>
    <row r="9" spans="1:49" x14ac:dyDescent="0.4">
      <c r="A9" s="33">
        <v>42935.546527777777</v>
      </c>
      <c r="B9" t="s">
        <v>279</v>
      </c>
      <c r="C9" t="s">
        <v>243</v>
      </c>
      <c r="D9" t="s">
        <v>313</v>
      </c>
      <c r="E9" t="s">
        <v>314</v>
      </c>
      <c r="F9" t="s">
        <v>100</v>
      </c>
      <c r="G9" t="s">
        <v>101</v>
      </c>
      <c r="H9" t="s">
        <v>298</v>
      </c>
      <c r="I9" t="s">
        <v>306</v>
      </c>
      <c r="J9" t="s">
        <v>305</v>
      </c>
      <c r="K9" t="b">
        <f>_xlfn.XOR(IFERROR(MATCH(ckSplitTable[[#This Row],[st_code]],EpscorTable[],0)&gt;0,FALSE),IFERROR(FIND("9150",ckSplitTable[[#This Row],[PRCs]])&gt;0,FALSE))</f>
        <v>0</v>
      </c>
      <c r="L9" t="b">
        <f>_xlfn.XOR(ckSplitTable[[#This Row],[WMD]]&lt;&gt;"",IFERROR(FIND("9102",ckSplitTable[[#This Row],[PRCs]])&gt;0,FALSE))</f>
        <v>0</v>
      </c>
      <c r="M9" t="str">
        <f t="shared" si="0"/>
        <v/>
      </c>
      <c r="P9" s="42">
        <v>0</v>
      </c>
      <c r="Q9" s="42">
        <v>0</v>
      </c>
      <c r="R9" s="15" t="str">
        <f>HYPERLINK("mailto:"&amp;ckSplitTable[[#This Row],[pi_emai_addr]]&amp;"&amp;subject=Your NSF Proposal:  "&amp;ckSplitTable[[#This Row],[prop_id]], ckSplitTable[[#This Row],[pi_emai_addr]])</f>
        <v>michael.greenberg@pomona.edu</v>
      </c>
      <c r="S9">
        <f xml:space="preserve"> S8+(ckSplitTable[ILN]&lt;"M")</f>
        <v>8</v>
      </c>
      <c r="T9" t="s">
        <v>102</v>
      </c>
      <c r="U9" t="s">
        <v>341</v>
      </c>
      <c r="V9" s="15" t="str">
        <f>HYPERLINK("https://www.ejacket.nsf.gov/ej/showProposal.do?ID="&amp;ckSplitTable[[#This Row],[prop_id]],"eJ")</f>
        <v>eJ</v>
      </c>
      <c r="W9" t="s">
        <v>341</v>
      </c>
      <c r="X9" t="s">
        <v>342</v>
      </c>
      <c r="Y9" t="s">
        <v>296</v>
      </c>
      <c r="Z9" t="s">
        <v>343</v>
      </c>
      <c r="AA9" s="1">
        <v>430917</v>
      </c>
      <c r="AB9" s="33">
        <v>43191</v>
      </c>
      <c r="AC9">
        <v>60</v>
      </c>
      <c r="AD9">
        <v>5</v>
      </c>
      <c r="AF9">
        <v>5</v>
      </c>
      <c r="AG9">
        <v>1</v>
      </c>
      <c r="AI9">
        <v>1</v>
      </c>
      <c r="AJ9"/>
      <c r="AL9" t="s">
        <v>384</v>
      </c>
      <c r="AN9" s="13">
        <v>40000</v>
      </c>
      <c r="AO9" t="s">
        <v>297</v>
      </c>
      <c r="AP9" t="s">
        <v>344</v>
      </c>
      <c r="AQ9" s="8"/>
      <c r="AR9" t="s">
        <v>417</v>
      </c>
      <c r="AS9" t="s">
        <v>418</v>
      </c>
      <c r="AT9">
        <v>0</v>
      </c>
      <c r="AU9">
        <v>0</v>
      </c>
      <c r="AV9">
        <v>0</v>
      </c>
      <c r="AW9">
        <v>0</v>
      </c>
    </row>
    <row r="10" spans="1:49" x14ac:dyDescent="0.4">
      <c r="A10" s="33">
        <v>42935.551388888889</v>
      </c>
      <c r="B10" t="s">
        <v>279</v>
      </c>
      <c r="C10" t="s">
        <v>243</v>
      </c>
      <c r="D10" t="s">
        <v>313</v>
      </c>
      <c r="E10" t="s">
        <v>314</v>
      </c>
      <c r="F10" t="s">
        <v>100</v>
      </c>
      <c r="G10" t="s">
        <v>101</v>
      </c>
      <c r="H10" t="s">
        <v>298</v>
      </c>
      <c r="I10" t="s">
        <v>306</v>
      </c>
      <c r="J10" t="s">
        <v>308</v>
      </c>
      <c r="K10" t="b">
        <f>_xlfn.XOR(IFERROR(MATCH(ckSplitTable[[#This Row],[st_code]],EpscorTable[],0)&gt;0,FALSE),IFERROR(FIND("9150",ckSplitTable[[#This Row],[PRCs]])&gt;0,FALSE))</f>
        <v>0</v>
      </c>
      <c r="L10" t="b">
        <f>_xlfn.XOR(ckSplitTable[[#This Row],[WMD]]&lt;&gt;"",IFERROR(FIND("9102",ckSplitTable[[#This Row],[PRCs]])&gt;0,FALSE))</f>
        <v>0</v>
      </c>
      <c r="M10" t="str">
        <f t="shared" si="0"/>
        <v/>
      </c>
      <c r="P10" s="42">
        <v>0</v>
      </c>
      <c r="Q10" s="42">
        <v>0</v>
      </c>
      <c r="R10" s="15" t="str">
        <f>HYPERLINK("mailto:"&amp;ckSplitTable[[#This Row],[pi_emai_addr]]&amp;"&amp;subject=Your NSF Proposal:  "&amp;ckSplitTable[[#This Row],[prop_id]], ckSplitTable[[#This Row],[pi_emai_addr]])</f>
        <v>bwood5@wellesley.edu</v>
      </c>
      <c r="S10">
        <f xml:space="preserve"> S9+(ckSplitTable[ILN]&lt;"M")</f>
        <v>9</v>
      </c>
      <c r="T10" t="s">
        <v>102</v>
      </c>
      <c r="U10" t="s">
        <v>345</v>
      </c>
      <c r="V10" s="15" t="str">
        <f>HYPERLINK("https://www.ejacket.nsf.gov/ej/showProposal.do?ID="&amp;ckSplitTable[[#This Row],[prop_id]],"eJ")</f>
        <v>eJ</v>
      </c>
      <c r="W10" t="s">
        <v>345</v>
      </c>
      <c r="X10" t="s">
        <v>346</v>
      </c>
      <c r="Y10" t="s">
        <v>285</v>
      </c>
      <c r="Z10" t="s">
        <v>347</v>
      </c>
      <c r="AA10" s="1">
        <v>475283</v>
      </c>
      <c r="AB10" s="33">
        <v>43191</v>
      </c>
      <c r="AC10">
        <v>60</v>
      </c>
      <c r="AD10">
        <v>4</v>
      </c>
      <c r="AF10">
        <v>4</v>
      </c>
      <c r="AG10">
        <v>1</v>
      </c>
      <c r="AI10">
        <v>1</v>
      </c>
      <c r="AJ10"/>
      <c r="AL10" t="s">
        <v>399</v>
      </c>
      <c r="AN10" s="13">
        <v>17500</v>
      </c>
      <c r="AO10" t="s">
        <v>297</v>
      </c>
      <c r="AP10" t="s">
        <v>348</v>
      </c>
      <c r="AQ10" s="8"/>
      <c r="AR10" t="s">
        <v>419</v>
      </c>
      <c r="AS10" t="s">
        <v>420</v>
      </c>
      <c r="AT10">
        <v>0</v>
      </c>
      <c r="AU10">
        <v>0</v>
      </c>
      <c r="AV10">
        <v>0</v>
      </c>
      <c r="AW10">
        <v>0</v>
      </c>
    </row>
    <row r="11" spans="1:49" x14ac:dyDescent="0.4">
      <c r="A11" s="33">
        <v>42935.561805555553</v>
      </c>
      <c r="B11" t="s">
        <v>279</v>
      </c>
      <c r="C11" t="s">
        <v>243</v>
      </c>
      <c r="D11" t="s">
        <v>313</v>
      </c>
      <c r="E11" t="s">
        <v>314</v>
      </c>
      <c r="F11" t="s">
        <v>100</v>
      </c>
      <c r="G11" t="s">
        <v>101</v>
      </c>
      <c r="H11" t="s">
        <v>298</v>
      </c>
      <c r="I11" t="s">
        <v>306</v>
      </c>
      <c r="J11" t="s">
        <v>422</v>
      </c>
      <c r="K11" t="b">
        <f>_xlfn.XOR(IFERROR(MATCH(ckSplitTable[[#This Row],[st_code]],EpscorTable[],0)&gt;0,FALSE),IFERROR(FIND("9150",ckSplitTable[[#This Row],[PRCs]])&gt;0,FALSE))</f>
        <v>0</v>
      </c>
      <c r="L11" t="b">
        <f>_xlfn.XOR(ckSplitTable[[#This Row],[WMD]]&lt;&gt;"",IFERROR(FIND("9102",ckSplitTable[[#This Row],[PRCs]])&gt;0,FALSE))</f>
        <v>0</v>
      </c>
      <c r="M11" t="str">
        <f t="shared" si="0"/>
        <v/>
      </c>
      <c r="P11" s="42">
        <v>0</v>
      </c>
      <c r="Q11" s="42">
        <v>0</v>
      </c>
      <c r="R11" s="15" t="str">
        <f>HYPERLINK("mailto:"&amp;ckSplitTable[[#This Row],[pi_emai_addr]]&amp;"&amp;subject=Your NSF Proposal:  "&amp;ckSplitTable[[#This Row],[prop_id]], ckSplitTable[[#This Row],[pi_emai_addr]])</f>
        <v>samth@cs.indiana.edu</v>
      </c>
      <c r="S11">
        <f xml:space="preserve"> S10+(ckSplitTable[ILN]&lt;"M")</f>
        <v>10</v>
      </c>
      <c r="T11" t="s">
        <v>102</v>
      </c>
      <c r="U11" t="s">
        <v>349</v>
      </c>
      <c r="V11" s="15" t="str">
        <f>HYPERLINK("https://www.ejacket.nsf.gov/ej/showProposal.do?ID="&amp;ckSplitTable[[#This Row],[prop_id]],"eJ")</f>
        <v>eJ</v>
      </c>
      <c r="W11" t="s">
        <v>349</v>
      </c>
      <c r="X11" t="s">
        <v>350</v>
      </c>
      <c r="Y11" t="s">
        <v>389</v>
      </c>
      <c r="Z11" t="s">
        <v>351</v>
      </c>
      <c r="AA11" s="1">
        <v>501687</v>
      </c>
      <c r="AB11" s="33">
        <v>43282</v>
      </c>
      <c r="AC11">
        <v>60</v>
      </c>
      <c r="AD11">
        <v>4</v>
      </c>
      <c r="AF11">
        <v>4</v>
      </c>
      <c r="AG11">
        <v>1</v>
      </c>
      <c r="AI11">
        <v>1</v>
      </c>
      <c r="AJ11"/>
      <c r="AL11" t="s">
        <v>390</v>
      </c>
      <c r="AN11" s="13">
        <v>20000</v>
      </c>
      <c r="AO11" t="s">
        <v>297</v>
      </c>
      <c r="AP11" t="s">
        <v>352</v>
      </c>
      <c r="AQ11" s="8"/>
      <c r="AR11" t="s">
        <v>421</v>
      </c>
      <c r="AS11" t="s">
        <v>423</v>
      </c>
      <c r="AT11">
        <v>0</v>
      </c>
      <c r="AU11">
        <v>0</v>
      </c>
      <c r="AV11">
        <v>0</v>
      </c>
      <c r="AW11">
        <v>0</v>
      </c>
    </row>
    <row r="12" spans="1:49" x14ac:dyDescent="0.4">
      <c r="A12" s="33">
        <v>42935.652777777781</v>
      </c>
      <c r="B12" t="s">
        <v>279</v>
      </c>
      <c r="C12" t="s">
        <v>243</v>
      </c>
      <c r="D12" t="s">
        <v>313</v>
      </c>
      <c r="E12" t="s">
        <v>314</v>
      </c>
      <c r="F12" t="s">
        <v>100</v>
      </c>
      <c r="G12" t="s">
        <v>101</v>
      </c>
      <c r="H12" t="s">
        <v>298</v>
      </c>
      <c r="I12" t="s">
        <v>424</v>
      </c>
      <c r="J12" t="s">
        <v>116</v>
      </c>
      <c r="K12" t="b">
        <f>_xlfn.XOR(IFERROR(MATCH(ckSplitTable[[#This Row],[st_code]],EpscorTable[],0)&gt;0,FALSE),IFERROR(FIND("9150",ckSplitTable[[#This Row],[PRCs]])&gt;0,FALSE))</f>
        <v>0</v>
      </c>
      <c r="L12" t="b">
        <f>_xlfn.XOR(ckSplitTable[[#This Row],[WMD]]&lt;&gt;"",IFERROR(FIND("9102",ckSplitTable[[#This Row],[PRCs]])&gt;0,FALSE))</f>
        <v>0</v>
      </c>
      <c r="M12" t="str">
        <f t="shared" si="0"/>
        <v/>
      </c>
      <c r="P12" s="42">
        <v>0</v>
      </c>
      <c r="Q12" s="42">
        <v>0</v>
      </c>
      <c r="R12" s="15" t="str">
        <f>HYPERLINK("mailto:"&amp;ckSplitTable[[#This Row],[pi_emai_addr]]&amp;"&amp;subject=Your NSF Proposal:  "&amp;ckSplitTable[[#This Row],[prop_id]], ckSplitTable[[#This Row],[pi_emai_addr]])</f>
        <v>sxc2311@louisiana.edu</v>
      </c>
      <c r="S12">
        <f xml:space="preserve"> S11+(ckSplitTable[ILN]&lt;"M")</f>
        <v>11</v>
      </c>
      <c r="T12" t="s">
        <v>102</v>
      </c>
      <c r="U12" t="s">
        <v>353</v>
      </c>
      <c r="V12" s="15" t="str">
        <f>HYPERLINK("https://www.ejacket.nsf.gov/ej/showProposal.do?ID="&amp;ckSplitTable[[#This Row],[prop_id]],"eJ")</f>
        <v>eJ</v>
      </c>
      <c r="W12" t="s">
        <v>353</v>
      </c>
      <c r="X12" t="s">
        <v>289</v>
      </c>
      <c r="Y12" t="s">
        <v>375</v>
      </c>
      <c r="Z12" t="s">
        <v>354</v>
      </c>
      <c r="AA12" s="1">
        <v>506060</v>
      </c>
      <c r="AB12" s="33">
        <v>43132</v>
      </c>
      <c r="AC12">
        <v>60</v>
      </c>
      <c r="AD12">
        <v>4</v>
      </c>
      <c r="AF12">
        <v>4</v>
      </c>
      <c r="AG12">
        <v>1</v>
      </c>
      <c r="AI12">
        <v>1</v>
      </c>
      <c r="AJ12"/>
      <c r="AL12" t="s">
        <v>376</v>
      </c>
      <c r="AN12" s="13">
        <v>20250</v>
      </c>
      <c r="AO12" t="s">
        <v>297</v>
      </c>
      <c r="AP12" t="s">
        <v>355</v>
      </c>
      <c r="AQ12" s="8"/>
      <c r="AR12" t="s">
        <v>425</v>
      </c>
      <c r="AS12" t="s">
        <v>426</v>
      </c>
      <c r="AT12">
        <v>0</v>
      </c>
      <c r="AU12">
        <v>0</v>
      </c>
      <c r="AV12">
        <v>0</v>
      </c>
      <c r="AW12">
        <v>0</v>
      </c>
    </row>
    <row r="13" spans="1:49" x14ac:dyDescent="0.4">
      <c r="A13" s="33">
        <v>42935.665277777778</v>
      </c>
      <c r="B13" t="s">
        <v>279</v>
      </c>
      <c r="C13" t="s">
        <v>243</v>
      </c>
      <c r="D13" t="s">
        <v>313</v>
      </c>
      <c r="E13" t="s">
        <v>318</v>
      </c>
      <c r="F13" t="s">
        <v>100</v>
      </c>
      <c r="G13" t="s">
        <v>101</v>
      </c>
      <c r="H13" t="s">
        <v>298</v>
      </c>
      <c r="I13" t="s">
        <v>306</v>
      </c>
      <c r="J13" t="s">
        <v>302</v>
      </c>
      <c r="K13" t="b">
        <f>_xlfn.XOR(IFERROR(MATCH(ckSplitTable[[#This Row],[st_code]],EpscorTable[],0)&gt;0,FALSE),IFERROR(FIND("9150",ckSplitTable[[#This Row],[PRCs]])&gt;0,FALSE))</f>
        <v>0</v>
      </c>
      <c r="L13" t="b">
        <f>_xlfn.XOR(ckSplitTable[[#This Row],[WMD]]&lt;&gt;"",IFERROR(FIND("9102",ckSplitTable[[#This Row],[PRCs]])&gt;0,FALSE))</f>
        <v>0</v>
      </c>
      <c r="M13" t="str">
        <f t="shared" si="0"/>
        <v/>
      </c>
      <c r="P13" s="42">
        <v>0</v>
      </c>
      <c r="Q13" s="42">
        <v>0</v>
      </c>
      <c r="R13" s="15" t="str">
        <f>HYPERLINK("mailto:"&amp;ckSplitTable[[#This Row],[pi_emai_addr]]&amp;"&amp;subject=Your NSF Proposal:  "&amp;ckSplitTable[[#This Row],[prop_id]], ckSplitTable[[#This Row],[pi_emai_addr]])</f>
        <v>loris@cs.wisc.edu</v>
      </c>
      <c r="S13">
        <f xml:space="preserve"> S12+(ckSplitTable[ILN]&lt;"M")</f>
        <v>12</v>
      </c>
      <c r="T13" t="s">
        <v>102</v>
      </c>
      <c r="U13" t="s">
        <v>356</v>
      </c>
      <c r="V13" s="15" t="str">
        <f>HYPERLINK("https://www.ejacket.nsf.gov/ej/showProposal.do?ID="&amp;ckSplitTable[[#This Row],[prop_id]],"eJ")</f>
        <v>eJ</v>
      </c>
      <c r="W13" t="s">
        <v>356</v>
      </c>
      <c r="X13" t="s">
        <v>357</v>
      </c>
      <c r="Y13" t="s">
        <v>377</v>
      </c>
      <c r="Z13" t="s">
        <v>284</v>
      </c>
      <c r="AA13" s="1">
        <v>571195</v>
      </c>
      <c r="AB13" s="33">
        <v>43344</v>
      </c>
      <c r="AC13">
        <v>60</v>
      </c>
      <c r="AD13">
        <v>4</v>
      </c>
      <c r="AF13">
        <v>4</v>
      </c>
      <c r="AG13">
        <v>1</v>
      </c>
      <c r="AI13">
        <v>1</v>
      </c>
      <c r="AJ13"/>
      <c r="AL13" t="s">
        <v>378</v>
      </c>
      <c r="AN13" s="13">
        <v>15928</v>
      </c>
      <c r="AO13" t="s">
        <v>297</v>
      </c>
      <c r="AP13" t="s">
        <v>358</v>
      </c>
      <c r="AQ13" s="8"/>
      <c r="AR13" t="s">
        <v>301</v>
      </c>
      <c r="AS13" t="s">
        <v>427</v>
      </c>
      <c r="AT13">
        <v>0</v>
      </c>
      <c r="AU13">
        <v>0</v>
      </c>
      <c r="AV13">
        <v>0</v>
      </c>
      <c r="AW13">
        <v>0</v>
      </c>
    </row>
    <row r="14" spans="1:49" x14ac:dyDescent="0.4">
      <c r="A14" s="33">
        <v>42935.67291666667</v>
      </c>
      <c r="B14" t="s">
        <v>279</v>
      </c>
      <c r="C14" t="s">
        <v>243</v>
      </c>
      <c r="D14" t="s">
        <v>313</v>
      </c>
      <c r="E14" t="s">
        <v>314</v>
      </c>
      <c r="F14" t="s">
        <v>100</v>
      </c>
      <c r="G14" t="s">
        <v>101</v>
      </c>
      <c r="H14" t="s">
        <v>298</v>
      </c>
      <c r="I14" t="s">
        <v>306</v>
      </c>
      <c r="J14" t="s">
        <v>308</v>
      </c>
      <c r="K14" t="b">
        <f>_xlfn.XOR(IFERROR(MATCH(ckSplitTable[[#This Row],[st_code]],EpscorTable[],0)&gt;0,FALSE),IFERROR(FIND("9150",ckSplitTable[[#This Row],[PRCs]])&gt;0,FALSE))</f>
        <v>0</v>
      </c>
      <c r="L14" t="b">
        <f>_xlfn.XOR(ckSplitTable[[#This Row],[WMD]]&lt;&gt;"",IFERROR(FIND("9102",ckSplitTable[[#This Row],[PRCs]])&gt;0,FALSE))</f>
        <v>0</v>
      </c>
      <c r="M14" t="str">
        <f t="shared" si="0"/>
        <v/>
      </c>
      <c r="P14" s="42">
        <v>0</v>
      </c>
      <c r="Q14" s="42">
        <v>0</v>
      </c>
      <c r="R14" s="15" t="str">
        <f>HYPERLINK("mailto:"&amp;ckSplitTable[[#This Row],[pi_emai_addr]]&amp;"&amp;subject=Your NSF Proposal:  "&amp;ckSplitTable[[#This Row],[prop_id]], ckSplitTable[[#This Row],[pi_emai_addr]])</f>
        <v>mcarbin@csail.mit.edu</v>
      </c>
      <c r="S14">
        <f xml:space="preserve"> S13+(ckSplitTable[ILN]&lt;"M")</f>
        <v>13</v>
      </c>
      <c r="T14" t="s">
        <v>102</v>
      </c>
      <c r="U14" t="s">
        <v>359</v>
      </c>
      <c r="V14" s="15" t="str">
        <f>HYPERLINK("https://www.ejacket.nsf.gov/ej/showProposal.do?ID="&amp;ckSplitTable[[#This Row],[prop_id]],"eJ")</f>
        <v>eJ</v>
      </c>
      <c r="W14" t="s">
        <v>359</v>
      </c>
      <c r="X14" t="s">
        <v>360</v>
      </c>
      <c r="Y14" t="s">
        <v>296</v>
      </c>
      <c r="Z14" t="s">
        <v>244</v>
      </c>
      <c r="AA14" s="1">
        <v>525000</v>
      </c>
      <c r="AB14" s="33">
        <v>43282</v>
      </c>
      <c r="AC14">
        <v>60</v>
      </c>
      <c r="AD14">
        <v>4</v>
      </c>
      <c r="AF14">
        <v>4</v>
      </c>
      <c r="AG14">
        <v>1</v>
      </c>
      <c r="AI14">
        <v>1</v>
      </c>
      <c r="AJ14"/>
      <c r="AL14" t="s">
        <v>381</v>
      </c>
      <c r="AN14" s="13">
        <v>0</v>
      </c>
      <c r="AP14" t="s">
        <v>361</v>
      </c>
      <c r="AQ14" s="8"/>
      <c r="AR14" t="s">
        <v>307</v>
      </c>
      <c r="AS14" t="s">
        <v>428</v>
      </c>
      <c r="AT14">
        <v>0</v>
      </c>
      <c r="AU14">
        <v>0</v>
      </c>
      <c r="AV14">
        <v>0</v>
      </c>
      <c r="AW14">
        <v>0</v>
      </c>
    </row>
    <row r="15" spans="1:49" x14ac:dyDescent="0.4">
      <c r="A15" s="33">
        <v>42935.705555555556</v>
      </c>
      <c r="B15" t="s">
        <v>279</v>
      </c>
      <c r="C15" t="s">
        <v>243</v>
      </c>
      <c r="D15" t="s">
        <v>313</v>
      </c>
      <c r="E15" t="s">
        <v>314</v>
      </c>
      <c r="F15" t="s">
        <v>100</v>
      </c>
      <c r="G15" t="s">
        <v>101</v>
      </c>
      <c r="H15" t="s">
        <v>298</v>
      </c>
      <c r="I15" t="s">
        <v>306</v>
      </c>
      <c r="J15" t="s">
        <v>310</v>
      </c>
      <c r="K15" t="b">
        <f>_xlfn.XOR(IFERROR(MATCH(ckSplitTable[[#This Row],[st_code]],EpscorTable[],0)&gt;0,FALSE),IFERROR(FIND("9150",ckSplitTable[[#This Row],[PRCs]])&gt;0,FALSE))</f>
        <v>0</v>
      </c>
      <c r="L15" t="b">
        <f>_xlfn.XOR(ckSplitTable[[#This Row],[WMD]]&lt;&gt;"",IFERROR(FIND("9102",ckSplitTable[[#This Row],[PRCs]])&gt;0,FALSE))</f>
        <v>0</v>
      </c>
      <c r="M15" t="str">
        <f t="shared" si="0"/>
        <v/>
      </c>
      <c r="P15" s="42">
        <v>0</v>
      </c>
      <c r="Q15" s="42">
        <v>0</v>
      </c>
      <c r="R15" s="15" t="str">
        <f>HYPERLINK("mailto:"&amp;ckSplitTable[[#This Row],[pi_emai_addr]]&amp;"&amp;subject=Your NSF Proposal:  "&amp;ckSplitTable[[#This Row],[prop_id]], ckSplitTable[[#This Row],[pi_emai_addr]])</f>
        <v>raffi.khatchadourian@hunter.cuny.edu</v>
      </c>
      <c r="S15">
        <f xml:space="preserve"> S14+(ckSplitTable[ILN]&lt;"M")</f>
        <v>14</v>
      </c>
      <c r="T15" t="s">
        <v>102</v>
      </c>
      <c r="U15" t="s">
        <v>362</v>
      </c>
      <c r="V15" s="15" t="str">
        <f>HYPERLINK("https://www.ejacket.nsf.gov/ej/showProposal.do?ID="&amp;ckSplitTable[[#This Row],[prop_id]],"eJ")</f>
        <v>eJ</v>
      </c>
      <c r="W15" t="s">
        <v>362</v>
      </c>
      <c r="X15" t="s">
        <v>363</v>
      </c>
      <c r="Y15" t="s">
        <v>400</v>
      </c>
      <c r="Z15" t="s">
        <v>364</v>
      </c>
      <c r="AA15" s="1">
        <v>580408</v>
      </c>
      <c r="AB15" s="33">
        <v>43344</v>
      </c>
      <c r="AC15">
        <v>60</v>
      </c>
      <c r="AD15">
        <v>5</v>
      </c>
      <c r="AF15">
        <v>5</v>
      </c>
      <c r="AG15">
        <v>1</v>
      </c>
      <c r="AI15">
        <v>1</v>
      </c>
      <c r="AJ15"/>
      <c r="AL15" t="s">
        <v>401</v>
      </c>
      <c r="AN15" s="13">
        <v>35000</v>
      </c>
      <c r="AO15" t="s">
        <v>429</v>
      </c>
      <c r="AP15" t="s">
        <v>365</v>
      </c>
      <c r="AQ15" s="8"/>
      <c r="AR15" t="s">
        <v>430</v>
      </c>
      <c r="AS15" t="s">
        <v>431</v>
      </c>
      <c r="AT15">
        <v>0</v>
      </c>
      <c r="AU15">
        <v>0</v>
      </c>
      <c r="AV15">
        <v>0</v>
      </c>
      <c r="AW15">
        <v>0</v>
      </c>
    </row>
    <row r="16" spans="1:49" x14ac:dyDescent="0.4">
      <c r="A16" s="33">
        <v>42935.706944444442</v>
      </c>
      <c r="B16" t="s">
        <v>279</v>
      </c>
      <c r="C16" t="s">
        <v>243</v>
      </c>
      <c r="D16" t="s">
        <v>313</v>
      </c>
      <c r="E16" t="s">
        <v>314</v>
      </c>
      <c r="F16" t="s">
        <v>100</v>
      </c>
      <c r="G16" t="s">
        <v>101</v>
      </c>
      <c r="H16" t="s">
        <v>298</v>
      </c>
      <c r="I16" t="s">
        <v>306</v>
      </c>
      <c r="J16" t="s">
        <v>311</v>
      </c>
      <c r="K16" t="b">
        <f>_xlfn.XOR(IFERROR(MATCH(ckSplitTable[[#This Row],[st_code]],EpscorTable[],0)&gt;0,FALSE),IFERROR(FIND("9150",ckSplitTable[[#This Row],[PRCs]])&gt;0,FALSE))</f>
        <v>0</v>
      </c>
      <c r="L16" t="b">
        <f>_xlfn.XOR(ckSplitTable[[#This Row],[WMD]]&lt;&gt;"",IFERROR(FIND("9102",ckSplitTable[[#This Row],[PRCs]])&gt;0,FALSE))</f>
        <v>0</v>
      </c>
      <c r="M16" t="str">
        <f t="shared" si="0"/>
        <v/>
      </c>
      <c r="P16" s="42">
        <v>0</v>
      </c>
      <c r="Q16" s="42">
        <v>0</v>
      </c>
      <c r="R16" s="15" t="str">
        <f>HYPERLINK("mailto:"&amp;ckSplitTable[[#This Row],[pi_emai_addr]]&amp;"&amp;subject=Your NSF Proposal:  "&amp;ckSplitTable[[#This Row],[prop_id]], ckSplitTable[[#This Row],[pi_emai_addr]])</f>
        <v>dvanhorn@cs.umd.edu</v>
      </c>
      <c r="S16">
        <f xml:space="preserve"> S15+(ckSplitTable[ILN]&lt;"M")</f>
        <v>15</v>
      </c>
      <c r="T16" t="s">
        <v>102</v>
      </c>
      <c r="U16" t="s">
        <v>366</v>
      </c>
      <c r="V16" s="15" t="str">
        <f>HYPERLINK("https://www.ejacket.nsf.gov/ej/showProposal.do?ID="&amp;ckSplitTable[[#This Row],[prop_id]],"eJ")</f>
        <v>eJ</v>
      </c>
      <c r="W16" t="s">
        <v>366</v>
      </c>
      <c r="X16" t="s">
        <v>367</v>
      </c>
      <c r="Y16" t="s">
        <v>387</v>
      </c>
      <c r="Z16" t="s">
        <v>368</v>
      </c>
      <c r="AA16" s="1">
        <v>551069</v>
      </c>
      <c r="AB16" s="33">
        <v>43101</v>
      </c>
      <c r="AC16">
        <v>60</v>
      </c>
      <c r="AD16">
        <v>4</v>
      </c>
      <c r="AF16">
        <v>4</v>
      </c>
      <c r="AG16">
        <v>1</v>
      </c>
      <c r="AI16">
        <v>1</v>
      </c>
      <c r="AJ16"/>
      <c r="AL16" t="s">
        <v>388</v>
      </c>
      <c r="AN16" s="13">
        <v>15000</v>
      </c>
      <c r="AO16" t="s">
        <v>297</v>
      </c>
      <c r="AP16" t="s">
        <v>369</v>
      </c>
      <c r="AQ16" s="8"/>
      <c r="AR16" t="s">
        <v>432</v>
      </c>
      <c r="AS16" t="s">
        <v>433</v>
      </c>
      <c r="AT16">
        <v>0</v>
      </c>
      <c r="AU16">
        <v>0</v>
      </c>
      <c r="AV16">
        <v>0</v>
      </c>
      <c r="AW16">
        <v>0</v>
      </c>
    </row>
    <row r="17" spans="1:49" x14ac:dyDescent="0.4">
      <c r="A17" s="33">
        <v>42935.757638888892</v>
      </c>
      <c r="B17" t="s">
        <v>279</v>
      </c>
      <c r="C17" t="s">
        <v>243</v>
      </c>
      <c r="D17" t="s">
        <v>313</v>
      </c>
      <c r="E17" t="s">
        <v>318</v>
      </c>
      <c r="F17" t="s">
        <v>100</v>
      </c>
      <c r="G17" t="s">
        <v>101</v>
      </c>
      <c r="H17" t="s">
        <v>298</v>
      </c>
      <c r="I17" t="s">
        <v>306</v>
      </c>
      <c r="J17" t="s">
        <v>299</v>
      </c>
      <c r="K17" t="b">
        <f>_xlfn.XOR(IFERROR(MATCH(ckSplitTable[[#This Row],[st_code]],EpscorTable[],0)&gt;0,FALSE),IFERROR(FIND("9150",ckSplitTable[[#This Row],[PRCs]])&gt;0,FALSE))</f>
        <v>0</v>
      </c>
      <c r="L17" t="b">
        <f>_xlfn.XOR(ckSplitTable[[#This Row],[WMD]]&lt;&gt;"",IFERROR(FIND("9102",ckSplitTable[[#This Row],[PRCs]])&gt;0,FALSE))</f>
        <v>0</v>
      </c>
      <c r="M17" t="str">
        <f t="shared" si="0"/>
        <v/>
      </c>
      <c r="P17" s="42">
        <v>0</v>
      </c>
      <c r="Q17" s="42">
        <v>0</v>
      </c>
      <c r="R17" s="15" t="str">
        <f>HYPERLINK("mailto:"&amp;ckSplitTable[[#This Row],[pi_emai_addr]]&amp;"&amp;subject=Your NSF Proposal:  "&amp;ckSplitTable[[#This Row],[prop_id]], ckSplitTable[[#This Row],[pi_emai_addr]])</f>
        <v>pavol.cerny@colorado.edu</v>
      </c>
      <c r="S17">
        <f xml:space="preserve"> S16+(ckSplitTable[ILN]&lt;"M")</f>
        <v>16</v>
      </c>
      <c r="T17" t="s">
        <v>102</v>
      </c>
      <c r="U17" t="s">
        <v>370</v>
      </c>
      <c r="V17" s="15" t="str">
        <f>HYPERLINK("https://www.ejacket.nsf.gov/ej/showProposal.do?ID="&amp;ckSplitTable[[#This Row],[prop_id]],"eJ")</f>
        <v>eJ</v>
      </c>
      <c r="W17" t="s">
        <v>370</v>
      </c>
      <c r="X17" t="s">
        <v>371</v>
      </c>
      <c r="Y17" t="s">
        <v>402</v>
      </c>
      <c r="Z17" t="s">
        <v>372</v>
      </c>
      <c r="AA17" s="1">
        <v>542402</v>
      </c>
      <c r="AB17" s="33">
        <v>43282</v>
      </c>
      <c r="AC17">
        <v>60</v>
      </c>
      <c r="AD17">
        <v>4</v>
      </c>
      <c r="AF17">
        <v>4</v>
      </c>
      <c r="AG17">
        <v>1</v>
      </c>
      <c r="AI17">
        <v>1</v>
      </c>
      <c r="AJ17"/>
      <c r="AL17" t="s">
        <v>403</v>
      </c>
      <c r="AN17" s="13">
        <v>0</v>
      </c>
      <c r="AP17" t="s">
        <v>373</v>
      </c>
      <c r="AQ17" s="8"/>
      <c r="AR17" t="s">
        <v>434</v>
      </c>
      <c r="AS17" t="s">
        <v>435</v>
      </c>
      <c r="AT17">
        <v>0</v>
      </c>
      <c r="AU17">
        <v>0</v>
      </c>
      <c r="AV17">
        <v>0</v>
      </c>
      <c r="AW17">
        <v>0</v>
      </c>
    </row>
  </sheetData>
  <conditionalFormatting sqref="A2:AW17">
    <cfRule type="expression" dxfId="129" priority="6">
      <formula>MOD($S2,2)</formula>
    </cfRule>
  </conditionalFormatting>
  <conditionalFormatting sqref="J2:J17">
    <cfRule type="expression" dxfId="128" priority="5">
      <formula>$K2</formula>
    </cfRule>
  </conditionalFormatting>
  <conditionalFormatting sqref="M2:M17">
    <cfRule type="expression" dxfId="127" priority="4">
      <formula>$L2</formula>
    </cfRule>
  </conditionalFormatting>
  <conditionalFormatting sqref="AF2:AF17 AI2:AI17">
    <cfRule type="expression" dxfId="126" priority="3">
      <formula>AF2&gt;0</formula>
    </cfRule>
  </conditionalFormatting>
  <conditionalFormatting sqref="AD2:AE17">
    <cfRule type="expression" dxfId="125" priority="2">
      <formula>$AD2&lt;$AE2+3</formula>
    </cfRule>
  </conditionalFormatting>
  <conditionalFormatting sqref="B2:H16 AB2:AO16">
    <cfRule type="expression" dxfId="124" priority="7">
      <formula>AND($T2="N", B2&lt;&gt;B1048532)</formula>
    </cfRule>
  </conditionalFormatting>
  <conditionalFormatting sqref="B17:H17 AB17:AO17">
    <cfRule type="expression" dxfId="123" priority="8">
      <formula>AND($T17="N", B17&lt;&gt;B1)</formula>
    </cfRule>
  </conditionalFormatting>
  <conditionalFormatting sqref="P2:Q17">
    <cfRule type="expression" dxfId="122" priority="1">
      <formula>$P2+$Q2&lt;&gt;1</formula>
    </cfRule>
  </conditionalFormatting>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178"/>
  <sheetViews>
    <sheetView workbookViewId="0">
      <selection activeCell="F11" sqref="F11"/>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31" customWidth="1"/>
    <col min="12" max="12" width="16.15234375" customWidth="1"/>
    <col min="13" max="14" width="6.3046875" style="23" customWidth="1"/>
    <col min="15" max="15" width="5.15234375" customWidth="1"/>
    <col min="16" max="16" width="80.53515625" bestFit="1" customWidth="1"/>
  </cols>
  <sheetData>
    <row r="1" spans="1:16" ht="51.45" customHeight="1" x14ac:dyDescent="0.4">
      <c r="A1" t="s">
        <v>108</v>
      </c>
      <c r="B1" t="s">
        <v>9</v>
      </c>
      <c r="C1" t="s">
        <v>10</v>
      </c>
      <c r="D1" t="s">
        <v>204</v>
      </c>
      <c r="E1" t="s">
        <v>205</v>
      </c>
      <c r="F1" t="s">
        <v>206</v>
      </c>
      <c r="G1" t="s">
        <v>207</v>
      </c>
      <c r="H1" t="s">
        <v>208</v>
      </c>
      <c r="I1" t="s">
        <v>209</v>
      </c>
      <c r="J1" t="s">
        <v>210</v>
      </c>
      <c r="K1" s="31" t="s">
        <v>211</v>
      </c>
      <c r="L1" t="s">
        <v>212</v>
      </c>
      <c r="M1" s="23" t="s">
        <v>213</v>
      </c>
      <c r="N1" s="23" t="s">
        <v>214</v>
      </c>
      <c r="O1" t="s">
        <v>215</v>
      </c>
      <c r="P1" t="s">
        <v>216</v>
      </c>
    </row>
    <row r="2" spans="1:16" x14ac:dyDescent="0.4">
      <c r="A2">
        <f t="shared" ref="A2:A33" si="0">A1+(B2&lt;&gt;B1)</f>
        <v>1</v>
      </c>
      <c r="B2" t="s">
        <v>507</v>
      </c>
      <c r="C2" t="s">
        <v>560</v>
      </c>
      <c r="D2" t="s">
        <v>229</v>
      </c>
      <c r="E2" t="s">
        <v>604</v>
      </c>
      <c r="F2" t="s">
        <v>769</v>
      </c>
      <c r="G2" t="s">
        <v>883</v>
      </c>
      <c r="H2" t="s">
        <v>770</v>
      </c>
      <c r="I2" t="s">
        <v>224</v>
      </c>
      <c r="J2" t="s">
        <v>884</v>
      </c>
      <c r="K2" s="33">
        <v>43031</v>
      </c>
      <c r="L2" s="8"/>
      <c r="M2" s="23">
        <f>LEN(ProjTextTable[[#This Row],[text]])</f>
        <v>3392</v>
      </c>
      <c r="N2" s="23">
        <f>LEN(TRIM(CLEAN(SUBSTITUTE(ProjTextTable[[#This Row],[text]],CHAR(10)," "))))+1 - LEN(SUBSTITUTE(CLEAN(SUBSTITUTE(ProjTextTable[[#This Row],[text]],CHAR(10)," "))," ",""))</f>
        <v>513</v>
      </c>
      <c r="O2" t="s">
        <v>644</v>
      </c>
      <c r="P2" t="s">
        <v>885</v>
      </c>
    </row>
    <row r="3" spans="1:16" x14ac:dyDescent="0.4">
      <c r="A3">
        <f t="shared" si="0"/>
        <v>1</v>
      </c>
      <c r="B3" t="s">
        <v>507</v>
      </c>
      <c r="C3" t="s">
        <v>560</v>
      </c>
      <c r="D3" t="s">
        <v>218</v>
      </c>
      <c r="E3" t="s">
        <v>604</v>
      </c>
      <c r="F3" t="s">
        <v>886</v>
      </c>
      <c r="G3" t="s">
        <v>887</v>
      </c>
      <c r="H3" t="s">
        <v>888</v>
      </c>
      <c r="I3" t="s">
        <v>235</v>
      </c>
      <c r="J3" t="s">
        <v>197</v>
      </c>
      <c r="K3" s="33">
        <v>43032</v>
      </c>
      <c r="L3" s="8">
        <v>43031.583935185183</v>
      </c>
      <c r="M3" s="23">
        <f>LEN(ProjTextTable[[#This Row],[text]])</f>
        <v>3353</v>
      </c>
      <c r="N3" s="23">
        <f>LEN(TRIM(CLEAN(SUBSTITUTE(ProjTextTable[[#This Row],[text]],CHAR(10)," "))))+1 - LEN(SUBSTITUTE(CLEAN(SUBSTITUTE(ProjTextTable[[#This Row],[text]],CHAR(10)," "))," ",""))</f>
        <v>545</v>
      </c>
      <c r="O3" t="s">
        <v>242</v>
      </c>
      <c r="P3" t="s">
        <v>889</v>
      </c>
    </row>
    <row r="4" spans="1:16" x14ac:dyDescent="0.4">
      <c r="A4">
        <f t="shared" si="0"/>
        <v>1</v>
      </c>
      <c r="B4" t="s">
        <v>507</v>
      </c>
      <c r="C4" t="s">
        <v>560</v>
      </c>
      <c r="D4" t="s">
        <v>218</v>
      </c>
      <c r="E4" t="s">
        <v>604</v>
      </c>
      <c r="F4" t="s">
        <v>890</v>
      </c>
      <c r="G4" t="s">
        <v>891</v>
      </c>
      <c r="H4" t="s">
        <v>892</v>
      </c>
      <c r="I4" t="s">
        <v>235</v>
      </c>
      <c r="J4" t="s">
        <v>197</v>
      </c>
      <c r="K4" s="33">
        <v>43032</v>
      </c>
      <c r="L4" s="8">
        <v>43031.52008101852</v>
      </c>
      <c r="M4" s="23">
        <f>LEN(ProjTextTable[[#This Row],[text]])</f>
        <v>1749</v>
      </c>
      <c r="N4" s="23">
        <f>LEN(TRIM(CLEAN(SUBSTITUTE(ProjTextTable[[#This Row],[text]],CHAR(10)," "))))+1 - LEN(SUBSTITUTE(CLEAN(SUBSTITUTE(ProjTextTable[[#This Row],[text]],CHAR(10)," "))," ",""))</f>
        <v>271</v>
      </c>
      <c r="O4" t="s">
        <v>225</v>
      </c>
      <c r="P4" t="s">
        <v>893</v>
      </c>
    </row>
    <row r="5" spans="1:16" x14ac:dyDescent="0.4">
      <c r="A5">
        <f t="shared" si="0"/>
        <v>1</v>
      </c>
      <c r="B5" t="s">
        <v>507</v>
      </c>
      <c r="C5" t="s">
        <v>560</v>
      </c>
      <c r="D5" t="s">
        <v>218</v>
      </c>
      <c r="E5" t="s">
        <v>604</v>
      </c>
      <c r="F5" t="s">
        <v>894</v>
      </c>
      <c r="G5" t="s">
        <v>895</v>
      </c>
      <c r="H5" t="s">
        <v>896</v>
      </c>
      <c r="I5" t="s">
        <v>235</v>
      </c>
      <c r="J5" t="s">
        <v>197</v>
      </c>
      <c r="K5" s="33">
        <v>43032</v>
      </c>
      <c r="L5" s="8">
        <v>43026.508344907408</v>
      </c>
      <c r="M5" s="23">
        <f>LEN(ProjTextTable[[#This Row],[text]])</f>
        <v>3446</v>
      </c>
      <c r="N5" s="23">
        <f>LEN(TRIM(CLEAN(SUBSTITUTE(ProjTextTable[[#This Row],[text]],CHAR(10)," "))))+1 - LEN(SUBSTITUTE(CLEAN(SUBSTITUTE(ProjTextTable[[#This Row],[text]],CHAR(10)," "))," ",""))</f>
        <v>531</v>
      </c>
      <c r="O5" t="s">
        <v>223</v>
      </c>
      <c r="P5" t="s">
        <v>897</v>
      </c>
    </row>
    <row r="6" spans="1:16" x14ac:dyDescent="0.4">
      <c r="A6">
        <f t="shared" si="0"/>
        <v>1</v>
      </c>
      <c r="B6" t="s">
        <v>507</v>
      </c>
      <c r="C6" t="s">
        <v>560</v>
      </c>
      <c r="D6" t="s">
        <v>218</v>
      </c>
      <c r="E6" t="s">
        <v>559</v>
      </c>
      <c r="F6" t="s">
        <v>898</v>
      </c>
      <c r="G6" t="s">
        <v>899</v>
      </c>
      <c r="H6" t="s">
        <v>900</v>
      </c>
      <c r="I6" t="s">
        <v>235</v>
      </c>
      <c r="J6" t="s">
        <v>197</v>
      </c>
      <c r="K6" s="33">
        <v>43032</v>
      </c>
      <c r="L6" s="8">
        <v>43018.840243055558</v>
      </c>
      <c r="M6" s="23">
        <f>LEN(ProjTextTable[[#This Row],[text]])</f>
        <v>2975</v>
      </c>
      <c r="N6" s="23">
        <f>LEN(TRIM(CLEAN(SUBSTITUTE(ProjTextTable[[#This Row],[text]],CHAR(10)," "))))+1 - LEN(SUBSTITUTE(CLEAN(SUBSTITUTE(ProjTextTable[[#This Row],[text]],CHAR(10)," "))," ",""))</f>
        <v>476</v>
      </c>
      <c r="O6" t="s">
        <v>225</v>
      </c>
      <c r="P6" t="s">
        <v>901</v>
      </c>
    </row>
    <row r="7" spans="1:16" x14ac:dyDescent="0.4">
      <c r="A7">
        <f t="shared" si="0"/>
        <v>1</v>
      </c>
      <c r="B7" t="s">
        <v>507</v>
      </c>
      <c r="C7" t="s">
        <v>560</v>
      </c>
      <c r="D7" t="s">
        <v>220</v>
      </c>
      <c r="E7" t="s">
        <v>559</v>
      </c>
      <c r="F7" t="s">
        <v>14</v>
      </c>
      <c r="G7" t="s">
        <v>14</v>
      </c>
      <c r="H7" t="s">
        <v>14</v>
      </c>
      <c r="K7" s="33"/>
      <c r="L7" s="8">
        <v>42931.442777777775</v>
      </c>
      <c r="M7" s="23">
        <f>LEN(ProjTextTable[[#This Row],[text]])</f>
        <v>3950</v>
      </c>
      <c r="N7" s="23">
        <f>LEN(TRIM(CLEAN(SUBSTITUTE(ProjTextTable[[#This Row],[text]],CHAR(10)," "))))+1 - LEN(SUBSTITUTE(CLEAN(SUBSTITUTE(ProjTextTable[[#This Row],[text]],CHAR(10)," "))," ",""))</f>
        <v>602</v>
      </c>
      <c r="O7" t="s">
        <v>14</v>
      </c>
      <c r="P7" t="s">
        <v>902</v>
      </c>
    </row>
    <row r="8" spans="1:16" x14ac:dyDescent="0.4">
      <c r="A8">
        <f t="shared" si="0"/>
        <v>2</v>
      </c>
      <c r="B8" t="s">
        <v>508</v>
      </c>
      <c r="C8" t="s">
        <v>567</v>
      </c>
      <c r="D8" t="s">
        <v>229</v>
      </c>
      <c r="E8" t="s">
        <v>604</v>
      </c>
      <c r="F8" t="s">
        <v>769</v>
      </c>
      <c r="G8" t="s">
        <v>883</v>
      </c>
      <c r="H8" t="s">
        <v>287</v>
      </c>
      <c r="I8" t="s">
        <v>217</v>
      </c>
      <c r="J8" t="s">
        <v>903</v>
      </c>
      <c r="K8" s="33">
        <v>43031</v>
      </c>
      <c r="L8" s="8"/>
      <c r="M8" s="23">
        <f>LEN(ProjTextTable[[#This Row],[text]])</f>
        <v>4739</v>
      </c>
      <c r="N8" s="23">
        <f>LEN(TRIM(CLEAN(SUBSTITUTE(ProjTextTable[[#This Row],[text]],CHAR(10)," "))))+1 - LEN(SUBSTITUTE(CLEAN(SUBSTITUTE(ProjTextTable[[#This Row],[text]],CHAR(10)," "))," ",""))</f>
        <v>677</v>
      </c>
      <c r="O8" t="s">
        <v>286</v>
      </c>
      <c r="P8" t="s">
        <v>904</v>
      </c>
    </row>
    <row r="9" spans="1:16" x14ac:dyDescent="0.4">
      <c r="A9">
        <f t="shared" si="0"/>
        <v>2</v>
      </c>
      <c r="B9" t="s">
        <v>508</v>
      </c>
      <c r="C9" t="s">
        <v>567</v>
      </c>
      <c r="D9" t="s">
        <v>218</v>
      </c>
      <c r="E9" t="s">
        <v>604</v>
      </c>
      <c r="F9" t="s">
        <v>905</v>
      </c>
      <c r="G9" t="s">
        <v>906</v>
      </c>
      <c r="H9" t="s">
        <v>907</v>
      </c>
      <c r="I9" t="s">
        <v>235</v>
      </c>
      <c r="J9" t="s">
        <v>197</v>
      </c>
      <c r="K9" s="33">
        <v>43032</v>
      </c>
      <c r="L9" s="8">
        <v>43029.002870370372</v>
      </c>
      <c r="M9" s="23">
        <f>LEN(ProjTextTable[[#This Row],[text]])</f>
        <v>3294</v>
      </c>
      <c r="N9" s="23">
        <f>LEN(TRIM(CLEAN(SUBSTITUTE(ProjTextTable[[#This Row],[text]],CHAR(10)," "))))+1 - LEN(SUBSTITUTE(CLEAN(SUBSTITUTE(ProjTextTable[[#This Row],[text]],CHAR(10)," "))," ",""))</f>
        <v>495</v>
      </c>
      <c r="O9" t="s">
        <v>219</v>
      </c>
      <c r="P9" t="s">
        <v>908</v>
      </c>
    </row>
    <row r="10" spans="1:16" x14ac:dyDescent="0.4">
      <c r="A10">
        <f t="shared" si="0"/>
        <v>2</v>
      </c>
      <c r="B10" t="s">
        <v>508</v>
      </c>
      <c r="C10" t="s">
        <v>567</v>
      </c>
      <c r="D10" t="s">
        <v>218</v>
      </c>
      <c r="E10" t="s">
        <v>559</v>
      </c>
      <c r="F10" t="s">
        <v>909</v>
      </c>
      <c r="G10" t="s">
        <v>910</v>
      </c>
      <c r="H10" t="s">
        <v>911</v>
      </c>
      <c r="I10" t="s">
        <v>235</v>
      </c>
      <c r="J10" t="s">
        <v>197</v>
      </c>
      <c r="K10" s="33">
        <v>43032</v>
      </c>
      <c r="L10" s="8">
        <v>43030.179826388892</v>
      </c>
      <c r="M10" s="23">
        <f>LEN(ProjTextTable[[#This Row],[text]])</f>
        <v>2298</v>
      </c>
      <c r="N10" s="23">
        <f>LEN(TRIM(CLEAN(SUBSTITUTE(ProjTextTable[[#This Row],[text]],CHAR(10)," "))))+1 - LEN(SUBSTITUTE(CLEAN(SUBSTITUTE(ProjTextTable[[#This Row],[text]],CHAR(10)," "))," ",""))</f>
        <v>339</v>
      </c>
      <c r="O10" t="s">
        <v>223</v>
      </c>
      <c r="P10" t="s">
        <v>912</v>
      </c>
    </row>
    <row r="11" spans="1:16" x14ac:dyDescent="0.4">
      <c r="A11">
        <f t="shared" si="0"/>
        <v>2</v>
      </c>
      <c r="B11" t="s">
        <v>508</v>
      </c>
      <c r="C11" t="s">
        <v>567</v>
      </c>
      <c r="D11" t="s">
        <v>218</v>
      </c>
      <c r="E11" t="s">
        <v>604</v>
      </c>
      <c r="F11" t="s">
        <v>913</v>
      </c>
      <c r="G11" t="s">
        <v>914</v>
      </c>
      <c r="H11" t="s">
        <v>915</v>
      </c>
      <c r="I11" t="s">
        <v>235</v>
      </c>
      <c r="J11" t="s">
        <v>197</v>
      </c>
      <c r="K11" s="33">
        <v>43032</v>
      </c>
      <c r="L11" s="8">
        <v>43028.861863425926</v>
      </c>
      <c r="M11" s="23">
        <f>LEN(ProjTextTable[[#This Row],[text]])</f>
        <v>2774</v>
      </c>
      <c r="N11" s="23">
        <f>LEN(TRIM(CLEAN(SUBSTITUTE(ProjTextTable[[#This Row],[text]],CHAR(10)," "))))+1 - LEN(SUBSTITUTE(CLEAN(SUBSTITUTE(ProjTextTable[[#This Row],[text]],CHAR(10)," "))," ",""))</f>
        <v>392</v>
      </c>
      <c r="O11" t="s">
        <v>290</v>
      </c>
      <c r="P11" t="s">
        <v>916</v>
      </c>
    </row>
    <row r="12" spans="1:16" x14ac:dyDescent="0.4">
      <c r="A12">
        <f t="shared" si="0"/>
        <v>2</v>
      </c>
      <c r="B12" t="s">
        <v>508</v>
      </c>
      <c r="C12" t="s">
        <v>567</v>
      </c>
      <c r="D12" t="s">
        <v>218</v>
      </c>
      <c r="E12" t="s">
        <v>604</v>
      </c>
      <c r="F12" t="s">
        <v>917</v>
      </c>
      <c r="G12" t="s">
        <v>918</v>
      </c>
      <c r="H12" t="s">
        <v>919</v>
      </c>
      <c r="I12" t="s">
        <v>235</v>
      </c>
      <c r="J12" t="s">
        <v>197</v>
      </c>
      <c r="K12" s="33">
        <v>43032</v>
      </c>
      <c r="L12" s="8">
        <v>43029.985185185185</v>
      </c>
      <c r="M12" s="23">
        <f>LEN(ProjTextTable[[#This Row],[text]])</f>
        <v>3648</v>
      </c>
      <c r="N12" s="23">
        <f>LEN(TRIM(CLEAN(SUBSTITUTE(ProjTextTable[[#This Row],[text]],CHAR(10)," "))))+1 - LEN(SUBSTITUTE(CLEAN(SUBSTITUTE(ProjTextTable[[#This Row],[text]],CHAR(10)," "))," ",""))</f>
        <v>547</v>
      </c>
      <c r="O12" t="s">
        <v>227</v>
      </c>
      <c r="P12" t="s">
        <v>920</v>
      </c>
    </row>
    <row r="13" spans="1:16" x14ac:dyDescent="0.4">
      <c r="A13">
        <f t="shared" si="0"/>
        <v>2</v>
      </c>
      <c r="B13" t="s">
        <v>508</v>
      </c>
      <c r="C13" t="s">
        <v>567</v>
      </c>
      <c r="D13" t="s">
        <v>220</v>
      </c>
      <c r="E13" t="s">
        <v>559</v>
      </c>
      <c r="F13" t="s">
        <v>14</v>
      </c>
      <c r="G13" t="s">
        <v>14</v>
      </c>
      <c r="H13" t="s">
        <v>14</v>
      </c>
      <c r="K13" s="33"/>
      <c r="L13" s="8">
        <v>42934.042766203704</v>
      </c>
      <c r="M13" s="23">
        <f>LEN(ProjTextTable[[#This Row],[text]])</f>
        <v>3482</v>
      </c>
      <c r="N13" s="23">
        <f>LEN(TRIM(CLEAN(SUBSTITUTE(ProjTextTable[[#This Row],[text]],CHAR(10)," "))))+1 - LEN(SUBSTITUTE(CLEAN(SUBSTITUTE(ProjTextTable[[#This Row],[text]],CHAR(10)," "))," ",""))</f>
        <v>489</v>
      </c>
      <c r="O13" t="s">
        <v>14</v>
      </c>
      <c r="P13" t="s">
        <v>921</v>
      </c>
    </row>
    <row r="14" spans="1:16" x14ac:dyDescent="0.4">
      <c r="A14">
        <f t="shared" si="0"/>
        <v>3</v>
      </c>
      <c r="B14" t="s">
        <v>509</v>
      </c>
      <c r="C14" t="s">
        <v>576</v>
      </c>
      <c r="D14" t="s">
        <v>229</v>
      </c>
      <c r="E14" t="s">
        <v>604</v>
      </c>
      <c r="F14" t="s">
        <v>769</v>
      </c>
      <c r="G14" t="s">
        <v>883</v>
      </c>
      <c r="H14" t="s">
        <v>287</v>
      </c>
      <c r="I14" t="s">
        <v>217</v>
      </c>
      <c r="J14" t="s">
        <v>903</v>
      </c>
      <c r="K14" s="33">
        <v>43031</v>
      </c>
      <c r="L14" s="8"/>
      <c r="M14" s="23">
        <f>LEN(ProjTextTable[[#This Row],[text]])</f>
        <v>4890</v>
      </c>
      <c r="N14" s="23">
        <f>LEN(TRIM(CLEAN(SUBSTITUTE(ProjTextTable[[#This Row],[text]],CHAR(10)," "))))+1 - LEN(SUBSTITUTE(CLEAN(SUBSTITUTE(ProjTextTable[[#This Row],[text]],CHAR(10)," "))," ",""))</f>
        <v>733</v>
      </c>
      <c r="O14" t="s">
        <v>286</v>
      </c>
      <c r="P14" t="s">
        <v>922</v>
      </c>
    </row>
    <row r="15" spans="1:16" x14ac:dyDescent="0.4">
      <c r="A15">
        <f t="shared" si="0"/>
        <v>3</v>
      </c>
      <c r="B15" t="s">
        <v>509</v>
      </c>
      <c r="C15" t="s">
        <v>576</v>
      </c>
      <c r="D15" t="s">
        <v>218</v>
      </c>
      <c r="E15" t="s">
        <v>604</v>
      </c>
      <c r="F15" t="s">
        <v>890</v>
      </c>
      <c r="G15" t="s">
        <v>891</v>
      </c>
      <c r="H15" t="s">
        <v>892</v>
      </c>
      <c r="I15" t="s">
        <v>235</v>
      </c>
      <c r="J15" t="s">
        <v>197</v>
      </c>
      <c r="K15" s="33">
        <v>43032</v>
      </c>
      <c r="L15" s="8">
        <v>43032.397743055553</v>
      </c>
      <c r="M15" s="23">
        <f>LEN(ProjTextTable[[#This Row],[text]])</f>
        <v>3674</v>
      </c>
      <c r="N15" s="23">
        <f>LEN(TRIM(CLEAN(SUBSTITUTE(ProjTextTable[[#This Row],[text]],CHAR(10)," "))))+1 - LEN(SUBSTITUTE(CLEAN(SUBSTITUTE(ProjTextTable[[#This Row],[text]],CHAR(10)," "))," ",""))</f>
        <v>555</v>
      </c>
      <c r="O15" t="s">
        <v>219</v>
      </c>
      <c r="P15" t="s">
        <v>923</v>
      </c>
    </row>
    <row r="16" spans="1:16" x14ac:dyDescent="0.4">
      <c r="A16">
        <f t="shared" si="0"/>
        <v>3</v>
      </c>
      <c r="B16" t="s">
        <v>509</v>
      </c>
      <c r="C16" t="s">
        <v>576</v>
      </c>
      <c r="D16" t="s">
        <v>218</v>
      </c>
      <c r="E16" t="s">
        <v>604</v>
      </c>
      <c r="F16" t="s">
        <v>894</v>
      </c>
      <c r="G16" t="s">
        <v>895</v>
      </c>
      <c r="H16" t="s">
        <v>896</v>
      </c>
      <c r="I16" t="s">
        <v>235</v>
      </c>
      <c r="J16" t="s">
        <v>197</v>
      </c>
      <c r="K16" s="33">
        <v>43032</v>
      </c>
      <c r="L16" s="8">
        <v>43026.400833333333</v>
      </c>
      <c r="M16" s="23">
        <f>LEN(ProjTextTable[[#This Row],[text]])</f>
        <v>2867</v>
      </c>
      <c r="N16" s="23">
        <f>LEN(TRIM(CLEAN(SUBSTITUTE(ProjTextTable[[#This Row],[text]],CHAR(10)," "))))+1 - LEN(SUBSTITUTE(CLEAN(SUBSTITUTE(ProjTextTable[[#This Row],[text]],CHAR(10)," "))," ",""))</f>
        <v>428</v>
      </c>
      <c r="O16" t="s">
        <v>222</v>
      </c>
      <c r="P16" t="s">
        <v>924</v>
      </c>
    </row>
    <row r="17" spans="1:16" x14ac:dyDescent="0.4">
      <c r="A17">
        <f t="shared" si="0"/>
        <v>3</v>
      </c>
      <c r="B17" t="s">
        <v>509</v>
      </c>
      <c r="C17" t="s">
        <v>576</v>
      </c>
      <c r="D17" t="s">
        <v>218</v>
      </c>
      <c r="E17" t="s">
        <v>604</v>
      </c>
      <c r="F17" t="s">
        <v>925</v>
      </c>
      <c r="G17" t="s">
        <v>926</v>
      </c>
      <c r="H17" t="s">
        <v>927</v>
      </c>
      <c r="I17" t="s">
        <v>235</v>
      </c>
      <c r="J17" t="s">
        <v>197</v>
      </c>
      <c r="K17" s="33">
        <v>43032</v>
      </c>
      <c r="L17" s="8">
        <v>43032.510775462964</v>
      </c>
      <c r="M17" s="23">
        <f>LEN(ProjTextTable[[#This Row],[text]])</f>
        <v>6678</v>
      </c>
      <c r="N17" s="23">
        <f>LEN(TRIM(CLEAN(SUBSTITUTE(ProjTextTable[[#This Row],[text]],CHAR(10)," "))))+1 - LEN(SUBSTITUTE(CLEAN(SUBSTITUTE(ProjTextTable[[#This Row],[text]],CHAR(10)," "))," ",""))</f>
        <v>1128</v>
      </c>
      <c r="O17" t="s">
        <v>223</v>
      </c>
      <c r="P17" t="s">
        <v>928</v>
      </c>
    </row>
    <row r="18" spans="1:16" x14ac:dyDescent="0.4">
      <c r="A18">
        <f t="shared" si="0"/>
        <v>3</v>
      </c>
      <c r="B18" t="s">
        <v>509</v>
      </c>
      <c r="C18" t="s">
        <v>576</v>
      </c>
      <c r="D18" t="s">
        <v>218</v>
      </c>
      <c r="E18" t="s">
        <v>604</v>
      </c>
      <c r="F18" t="s">
        <v>917</v>
      </c>
      <c r="G18" t="s">
        <v>918</v>
      </c>
      <c r="H18" t="s">
        <v>919</v>
      </c>
      <c r="I18" t="s">
        <v>235</v>
      </c>
      <c r="J18" t="s">
        <v>197</v>
      </c>
      <c r="K18" s="33">
        <v>43032</v>
      </c>
      <c r="L18" s="8">
        <v>43030.016840277778</v>
      </c>
      <c r="M18" s="23">
        <f>LEN(ProjTextTable[[#This Row],[text]])</f>
        <v>2387</v>
      </c>
      <c r="N18" s="23">
        <f>LEN(TRIM(CLEAN(SUBSTITUTE(ProjTextTable[[#This Row],[text]],CHAR(10)," "))))+1 - LEN(SUBSTITUTE(CLEAN(SUBSTITUTE(ProjTextTable[[#This Row],[text]],CHAR(10)," "))," ",""))</f>
        <v>347</v>
      </c>
      <c r="O18" t="s">
        <v>290</v>
      </c>
      <c r="P18" t="s">
        <v>929</v>
      </c>
    </row>
    <row r="19" spans="1:16" x14ac:dyDescent="0.4">
      <c r="A19">
        <f t="shared" si="0"/>
        <v>3</v>
      </c>
      <c r="B19" t="s">
        <v>509</v>
      </c>
      <c r="C19" t="s">
        <v>576</v>
      </c>
      <c r="D19" t="s">
        <v>218</v>
      </c>
      <c r="E19" t="s">
        <v>604</v>
      </c>
      <c r="F19" t="s">
        <v>930</v>
      </c>
      <c r="G19" t="s">
        <v>931</v>
      </c>
      <c r="H19" t="s">
        <v>932</v>
      </c>
      <c r="I19" t="s">
        <v>235</v>
      </c>
      <c r="J19" t="s">
        <v>197</v>
      </c>
      <c r="K19" s="33">
        <v>43032</v>
      </c>
      <c r="L19" s="8">
        <v>43028.956053240741</v>
      </c>
      <c r="M19" s="23">
        <f>LEN(ProjTextTable[[#This Row],[text]])</f>
        <v>1695</v>
      </c>
      <c r="N19" s="23">
        <f>LEN(TRIM(CLEAN(SUBSTITUTE(ProjTextTable[[#This Row],[text]],CHAR(10)," "))))+1 - LEN(SUBSTITUTE(CLEAN(SUBSTITUTE(ProjTextTable[[#This Row],[text]],CHAR(10)," "))," ",""))</f>
        <v>264</v>
      </c>
      <c r="O19" t="s">
        <v>219</v>
      </c>
      <c r="P19" t="s">
        <v>933</v>
      </c>
    </row>
    <row r="20" spans="1:16" x14ac:dyDescent="0.4">
      <c r="A20">
        <f t="shared" si="0"/>
        <v>3</v>
      </c>
      <c r="B20" t="s">
        <v>509</v>
      </c>
      <c r="C20" t="s">
        <v>576</v>
      </c>
      <c r="D20" t="s">
        <v>220</v>
      </c>
      <c r="E20" t="s">
        <v>575</v>
      </c>
      <c r="F20" t="s">
        <v>14</v>
      </c>
      <c r="G20" t="s">
        <v>14</v>
      </c>
      <c r="H20" t="s">
        <v>14</v>
      </c>
      <c r="K20" s="33"/>
      <c r="L20" s="8">
        <v>42934.04283564815</v>
      </c>
      <c r="M20" s="23">
        <f>LEN(ProjTextTable[[#This Row],[text]])</f>
        <v>3485</v>
      </c>
      <c r="N20" s="23">
        <f>LEN(TRIM(CLEAN(SUBSTITUTE(ProjTextTable[[#This Row],[text]],CHAR(10)," "))))+1 - LEN(SUBSTITUTE(CLEAN(SUBSTITUTE(ProjTextTable[[#This Row],[text]],CHAR(10)," "))," ",""))</f>
        <v>473</v>
      </c>
      <c r="O20" t="s">
        <v>14</v>
      </c>
      <c r="P20" t="s">
        <v>934</v>
      </c>
    </row>
    <row r="21" spans="1:16" x14ac:dyDescent="0.4">
      <c r="A21">
        <f t="shared" si="0"/>
        <v>4</v>
      </c>
      <c r="B21" t="s">
        <v>510</v>
      </c>
      <c r="C21" t="s">
        <v>582</v>
      </c>
      <c r="D21" t="s">
        <v>229</v>
      </c>
      <c r="E21" t="s">
        <v>604</v>
      </c>
      <c r="F21" t="s">
        <v>769</v>
      </c>
      <c r="G21" t="s">
        <v>883</v>
      </c>
      <c r="H21" t="s">
        <v>232</v>
      </c>
      <c r="I21" t="s">
        <v>221</v>
      </c>
      <c r="J21" t="s">
        <v>217</v>
      </c>
      <c r="K21" s="33">
        <v>43031</v>
      </c>
      <c r="L21" s="8"/>
      <c r="M21" s="23">
        <f>LEN(ProjTextTable[[#This Row],[text]])</f>
        <v>4547</v>
      </c>
      <c r="N21" s="23">
        <f>LEN(TRIM(CLEAN(SUBSTITUTE(ProjTextTable[[#This Row],[text]],CHAR(10)," "))))+1 - LEN(SUBSTITUTE(CLEAN(SUBSTITUTE(ProjTextTable[[#This Row],[text]],CHAR(10)," "))," ",""))</f>
        <v>673</v>
      </c>
      <c r="O21" t="s">
        <v>233</v>
      </c>
      <c r="P21" t="s">
        <v>935</v>
      </c>
    </row>
    <row r="22" spans="1:16" x14ac:dyDescent="0.4">
      <c r="A22">
        <f t="shared" si="0"/>
        <v>4</v>
      </c>
      <c r="B22" t="s">
        <v>510</v>
      </c>
      <c r="C22" t="s">
        <v>582</v>
      </c>
      <c r="D22" t="s">
        <v>218</v>
      </c>
      <c r="E22" t="s">
        <v>604</v>
      </c>
      <c r="F22" t="s">
        <v>886</v>
      </c>
      <c r="G22" t="s">
        <v>887</v>
      </c>
      <c r="H22" t="s">
        <v>888</v>
      </c>
      <c r="I22" t="s">
        <v>235</v>
      </c>
      <c r="J22" t="s">
        <v>197</v>
      </c>
      <c r="K22" s="33">
        <v>43032</v>
      </c>
      <c r="L22" s="8">
        <v>43031.584305555552</v>
      </c>
      <c r="M22" s="23">
        <f>LEN(ProjTextTable[[#This Row],[text]])</f>
        <v>2413</v>
      </c>
      <c r="N22" s="23">
        <f>LEN(TRIM(CLEAN(SUBSTITUTE(ProjTextTable[[#This Row],[text]],CHAR(10)," "))))+1 - LEN(SUBSTITUTE(CLEAN(SUBSTITUTE(ProjTextTable[[#This Row],[text]],CHAR(10)," "))," ",""))</f>
        <v>378</v>
      </c>
      <c r="O22" t="s">
        <v>222</v>
      </c>
      <c r="P22" t="s">
        <v>936</v>
      </c>
    </row>
    <row r="23" spans="1:16" x14ac:dyDescent="0.4">
      <c r="A23">
        <f t="shared" si="0"/>
        <v>4</v>
      </c>
      <c r="B23" t="s">
        <v>510</v>
      </c>
      <c r="C23" t="s">
        <v>582</v>
      </c>
      <c r="D23" t="s">
        <v>218</v>
      </c>
      <c r="E23" t="s">
        <v>604</v>
      </c>
      <c r="F23" t="s">
        <v>890</v>
      </c>
      <c r="G23" t="s">
        <v>891</v>
      </c>
      <c r="H23" t="s">
        <v>892</v>
      </c>
      <c r="I23" t="s">
        <v>235</v>
      </c>
      <c r="J23" t="s">
        <v>197</v>
      </c>
      <c r="K23" s="33">
        <v>43032</v>
      </c>
      <c r="L23" s="8">
        <v>43031.433321759258</v>
      </c>
      <c r="M23" s="23">
        <f>LEN(ProjTextTable[[#This Row],[text]])</f>
        <v>2325</v>
      </c>
      <c r="N23" s="23">
        <f>LEN(TRIM(CLEAN(SUBSTITUTE(ProjTextTable[[#This Row],[text]],CHAR(10)," "))))+1 - LEN(SUBSTITUTE(CLEAN(SUBSTITUTE(ProjTextTable[[#This Row],[text]],CHAR(10)," "))," ",""))</f>
        <v>359</v>
      </c>
      <c r="O23" t="s">
        <v>226</v>
      </c>
      <c r="P23" t="s">
        <v>937</v>
      </c>
    </row>
    <row r="24" spans="1:16" x14ac:dyDescent="0.4">
      <c r="A24">
        <f t="shared" si="0"/>
        <v>4</v>
      </c>
      <c r="B24" t="s">
        <v>510</v>
      </c>
      <c r="C24" t="s">
        <v>582</v>
      </c>
      <c r="D24" t="s">
        <v>218</v>
      </c>
      <c r="E24" t="s">
        <v>559</v>
      </c>
      <c r="F24" t="s">
        <v>898</v>
      </c>
      <c r="G24" t="s">
        <v>899</v>
      </c>
      <c r="H24" t="s">
        <v>900</v>
      </c>
      <c r="I24" t="s">
        <v>235</v>
      </c>
      <c r="J24" t="s">
        <v>197</v>
      </c>
      <c r="K24" s="33">
        <v>43032</v>
      </c>
      <c r="L24" s="8">
        <v>43018.886724537035</v>
      </c>
      <c r="M24" s="23">
        <f>LEN(ProjTextTable[[#This Row],[text]])</f>
        <v>1961</v>
      </c>
      <c r="N24" s="23">
        <f>LEN(TRIM(CLEAN(SUBSTITUTE(ProjTextTable[[#This Row],[text]],CHAR(10)," "))))+1 - LEN(SUBSTITUTE(CLEAN(SUBSTITUTE(ProjTextTable[[#This Row],[text]],CHAR(10)," "))," ",""))</f>
        <v>296</v>
      </c>
      <c r="O24" t="s">
        <v>223</v>
      </c>
      <c r="P24" t="s">
        <v>938</v>
      </c>
    </row>
    <row r="25" spans="1:16" x14ac:dyDescent="0.4">
      <c r="A25">
        <f t="shared" si="0"/>
        <v>4</v>
      </c>
      <c r="B25" t="s">
        <v>510</v>
      </c>
      <c r="C25" t="s">
        <v>582</v>
      </c>
      <c r="D25" t="s">
        <v>218</v>
      </c>
      <c r="E25" t="s">
        <v>604</v>
      </c>
      <c r="F25" t="s">
        <v>930</v>
      </c>
      <c r="G25" t="s">
        <v>931</v>
      </c>
      <c r="H25" t="s">
        <v>932</v>
      </c>
      <c r="I25" t="s">
        <v>235</v>
      </c>
      <c r="J25" t="s">
        <v>197</v>
      </c>
      <c r="K25" s="33">
        <v>43032</v>
      </c>
      <c r="L25" s="8">
        <v>43029.019606481481</v>
      </c>
      <c r="M25" s="23">
        <f>LEN(ProjTextTable[[#This Row],[text]])</f>
        <v>1910</v>
      </c>
      <c r="N25" s="23">
        <f>LEN(TRIM(CLEAN(SUBSTITUTE(ProjTextTable[[#This Row],[text]],CHAR(10)," "))))+1 - LEN(SUBSTITUTE(CLEAN(SUBSTITUTE(ProjTextTable[[#This Row],[text]],CHAR(10)," "))," ",""))</f>
        <v>279</v>
      </c>
      <c r="O25" t="s">
        <v>223</v>
      </c>
      <c r="P25" t="s">
        <v>939</v>
      </c>
    </row>
    <row r="26" spans="1:16" x14ac:dyDescent="0.4">
      <c r="A26">
        <f t="shared" si="0"/>
        <v>4</v>
      </c>
      <c r="B26" t="s">
        <v>510</v>
      </c>
      <c r="C26" t="s">
        <v>582</v>
      </c>
      <c r="D26" t="s">
        <v>220</v>
      </c>
      <c r="E26" t="s">
        <v>559</v>
      </c>
      <c r="F26" t="s">
        <v>14</v>
      </c>
      <c r="G26" t="s">
        <v>14</v>
      </c>
      <c r="H26" t="s">
        <v>14</v>
      </c>
      <c r="K26" s="33"/>
      <c r="L26" s="8">
        <v>42934.043171296296</v>
      </c>
      <c r="M26" s="23">
        <f>LEN(ProjTextTable[[#This Row],[text]])</f>
        <v>4358</v>
      </c>
      <c r="N26" s="23">
        <f>LEN(TRIM(CLEAN(SUBSTITUTE(ProjTextTable[[#This Row],[text]],CHAR(10)," "))))+1 - LEN(SUBSTITUTE(CLEAN(SUBSTITUTE(ProjTextTable[[#This Row],[text]],CHAR(10)," "))," ",""))</f>
        <v>666</v>
      </c>
      <c r="O26" t="s">
        <v>14</v>
      </c>
      <c r="P26" t="s">
        <v>940</v>
      </c>
    </row>
    <row r="27" spans="1:16" x14ac:dyDescent="0.4">
      <c r="A27">
        <f t="shared" si="0"/>
        <v>5</v>
      </c>
      <c r="B27" t="s">
        <v>511</v>
      </c>
      <c r="C27" t="s">
        <v>587</v>
      </c>
      <c r="D27" t="s">
        <v>229</v>
      </c>
      <c r="E27" t="s">
        <v>604</v>
      </c>
      <c r="F27" t="s">
        <v>769</v>
      </c>
      <c r="G27" t="s">
        <v>883</v>
      </c>
      <c r="H27" t="s">
        <v>282</v>
      </c>
      <c r="I27" t="s">
        <v>101</v>
      </c>
      <c r="J27" t="s">
        <v>101</v>
      </c>
      <c r="K27" s="33">
        <v>43031</v>
      </c>
      <c r="L27" s="8"/>
      <c r="M27" s="23">
        <f>LEN(ProjTextTable[[#This Row],[text]])</f>
        <v>3611</v>
      </c>
      <c r="N27" s="23">
        <f>LEN(TRIM(CLEAN(SUBSTITUTE(ProjTextTable[[#This Row],[text]],CHAR(10)," "))))+1 - LEN(SUBSTITUTE(CLEAN(SUBSTITUTE(ProjTextTable[[#This Row],[text]],CHAR(10)," "))," ",""))</f>
        <v>527</v>
      </c>
      <c r="O27" t="s">
        <v>280</v>
      </c>
      <c r="P27" t="s">
        <v>941</v>
      </c>
    </row>
    <row r="28" spans="1:16" x14ac:dyDescent="0.4">
      <c r="A28">
        <f t="shared" si="0"/>
        <v>5</v>
      </c>
      <c r="B28" t="s">
        <v>511</v>
      </c>
      <c r="C28" t="s">
        <v>587</v>
      </c>
      <c r="D28" t="s">
        <v>218</v>
      </c>
      <c r="E28" t="s">
        <v>604</v>
      </c>
      <c r="F28" t="s">
        <v>913</v>
      </c>
      <c r="G28" t="s">
        <v>914</v>
      </c>
      <c r="H28" t="s">
        <v>915</v>
      </c>
      <c r="I28" t="s">
        <v>235</v>
      </c>
      <c r="J28" t="s">
        <v>197</v>
      </c>
      <c r="K28" s="33">
        <v>43032</v>
      </c>
      <c r="L28" s="8">
        <v>43028.861875000002</v>
      </c>
      <c r="M28" s="23">
        <f>LEN(ProjTextTable[[#This Row],[text]])</f>
        <v>2647</v>
      </c>
      <c r="N28" s="23">
        <f>LEN(TRIM(CLEAN(SUBSTITUTE(ProjTextTable[[#This Row],[text]],CHAR(10)," "))))+1 - LEN(SUBSTITUTE(CLEAN(SUBSTITUTE(ProjTextTable[[#This Row],[text]],CHAR(10)," "))," ",""))</f>
        <v>399</v>
      </c>
      <c r="O28" t="s">
        <v>290</v>
      </c>
      <c r="P28" t="s">
        <v>942</v>
      </c>
    </row>
    <row r="29" spans="1:16" x14ac:dyDescent="0.4">
      <c r="A29">
        <f t="shared" si="0"/>
        <v>5</v>
      </c>
      <c r="B29" t="s">
        <v>511</v>
      </c>
      <c r="C29" t="s">
        <v>587</v>
      </c>
      <c r="D29" t="s">
        <v>218</v>
      </c>
      <c r="E29" t="s">
        <v>604</v>
      </c>
      <c r="F29" t="s">
        <v>890</v>
      </c>
      <c r="G29" t="s">
        <v>891</v>
      </c>
      <c r="H29" t="s">
        <v>892</v>
      </c>
      <c r="I29" t="s">
        <v>235</v>
      </c>
      <c r="J29" t="s">
        <v>197</v>
      </c>
      <c r="K29" s="33">
        <v>43032</v>
      </c>
      <c r="L29" s="8">
        <v>43031.376006944447</v>
      </c>
      <c r="M29" s="23">
        <f>LEN(ProjTextTable[[#This Row],[text]])</f>
        <v>2191</v>
      </c>
      <c r="N29" s="23">
        <f>LEN(TRIM(CLEAN(SUBSTITUTE(ProjTextTable[[#This Row],[text]],CHAR(10)," "))))+1 - LEN(SUBSTITUTE(CLEAN(SUBSTITUTE(ProjTextTable[[#This Row],[text]],CHAR(10)," "))," ",""))</f>
        <v>350</v>
      </c>
      <c r="O29" t="s">
        <v>290</v>
      </c>
      <c r="P29" t="s">
        <v>943</v>
      </c>
    </row>
    <row r="30" spans="1:16" x14ac:dyDescent="0.4">
      <c r="A30">
        <f t="shared" si="0"/>
        <v>5</v>
      </c>
      <c r="B30" t="s">
        <v>511</v>
      </c>
      <c r="C30" t="s">
        <v>587</v>
      </c>
      <c r="D30" t="s">
        <v>218</v>
      </c>
      <c r="E30" t="s">
        <v>604</v>
      </c>
      <c r="F30" t="s">
        <v>894</v>
      </c>
      <c r="G30" t="s">
        <v>895</v>
      </c>
      <c r="H30" t="s">
        <v>896</v>
      </c>
      <c r="I30" t="s">
        <v>235</v>
      </c>
      <c r="J30" t="s">
        <v>197</v>
      </c>
      <c r="K30" s="33">
        <v>43032</v>
      </c>
      <c r="L30" s="8">
        <v>43030.878263888888</v>
      </c>
      <c r="M30" s="23">
        <f>LEN(ProjTextTable[[#This Row],[text]])</f>
        <v>1995</v>
      </c>
      <c r="N30" s="23">
        <f>LEN(TRIM(CLEAN(SUBSTITUTE(ProjTextTable[[#This Row],[text]],CHAR(10)," "))))+1 - LEN(SUBSTITUTE(CLEAN(SUBSTITUTE(ProjTextTable[[#This Row],[text]],CHAR(10)," "))," ",""))</f>
        <v>300</v>
      </c>
      <c r="O30" t="s">
        <v>222</v>
      </c>
      <c r="P30" t="s">
        <v>944</v>
      </c>
    </row>
    <row r="31" spans="1:16" x14ac:dyDescent="0.4">
      <c r="A31">
        <f t="shared" si="0"/>
        <v>5</v>
      </c>
      <c r="B31" t="s">
        <v>511</v>
      </c>
      <c r="C31" t="s">
        <v>587</v>
      </c>
      <c r="D31" t="s">
        <v>218</v>
      </c>
      <c r="E31" t="s">
        <v>559</v>
      </c>
      <c r="F31" t="s">
        <v>898</v>
      </c>
      <c r="G31" t="s">
        <v>899</v>
      </c>
      <c r="H31" t="s">
        <v>900</v>
      </c>
      <c r="I31" t="s">
        <v>235</v>
      </c>
      <c r="J31" t="s">
        <v>197</v>
      </c>
      <c r="K31" s="33">
        <v>43032</v>
      </c>
      <c r="L31" s="8">
        <v>43023.931284722225</v>
      </c>
      <c r="M31" s="23">
        <f>LEN(ProjTextTable[[#This Row],[text]])</f>
        <v>2561</v>
      </c>
      <c r="N31" s="23">
        <f>LEN(TRIM(CLEAN(SUBSTITUTE(ProjTextTable[[#This Row],[text]],CHAR(10)," "))))+1 - LEN(SUBSTITUTE(CLEAN(SUBSTITUTE(ProjTextTable[[#This Row],[text]],CHAR(10)," "))," ",""))</f>
        <v>401</v>
      </c>
      <c r="O31" t="s">
        <v>226</v>
      </c>
      <c r="P31" t="s">
        <v>945</v>
      </c>
    </row>
    <row r="32" spans="1:16" x14ac:dyDescent="0.4">
      <c r="A32">
        <f t="shared" si="0"/>
        <v>5</v>
      </c>
      <c r="B32" t="s">
        <v>511</v>
      </c>
      <c r="C32" t="s">
        <v>587</v>
      </c>
      <c r="D32" t="s">
        <v>220</v>
      </c>
      <c r="E32" t="s">
        <v>559</v>
      </c>
      <c r="F32" t="s">
        <v>14</v>
      </c>
      <c r="G32" t="s">
        <v>14</v>
      </c>
      <c r="H32" t="s">
        <v>14</v>
      </c>
      <c r="K32" s="33"/>
      <c r="L32" s="8">
        <v>42934.043275462966</v>
      </c>
      <c r="M32" s="23">
        <f>LEN(ProjTextTable[[#This Row],[text]])</f>
        <v>3506</v>
      </c>
      <c r="N32" s="23">
        <f>LEN(TRIM(CLEAN(SUBSTITUTE(ProjTextTable[[#This Row],[text]],CHAR(10)," "))))+1 - LEN(SUBSTITUTE(CLEAN(SUBSTITUTE(ProjTextTable[[#This Row],[text]],CHAR(10)," "))," ",""))</f>
        <v>480</v>
      </c>
      <c r="O32" t="s">
        <v>14</v>
      </c>
      <c r="P32" t="s">
        <v>946</v>
      </c>
    </row>
    <row r="33" spans="1:16" x14ac:dyDescent="0.4">
      <c r="A33">
        <f t="shared" si="0"/>
        <v>6</v>
      </c>
      <c r="B33" t="s">
        <v>512</v>
      </c>
      <c r="C33" t="s">
        <v>592</v>
      </c>
      <c r="D33" t="s">
        <v>229</v>
      </c>
      <c r="E33" t="s">
        <v>604</v>
      </c>
      <c r="F33" t="s">
        <v>769</v>
      </c>
      <c r="G33" t="s">
        <v>883</v>
      </c>
      <c r="H33" t="s">
        <v>232</v>
      </c>
      <c r="I33" t="s">
        <v>221</v>
      </c>
      <c r="J33" t="s">
        <v>947</v>
      </c>
      <c r="K33" s="33">
        <v>43031</v>
      </c>
      <c r="L33" s="8"/>
      <c r="M33" s="23">
        <f>LEN(ProjTextTable[[#This Row],[text]])</f>
        <v>3363</v>
      </c>
      <c r="N33" s="23">
        <f>LEN(TRIM(CLEAN(SUBSTITUTE(ProjTextTable[[#This Row],[text]],CHAR(10)," "))))+1 - LEN(SUBSTITUTE(CLEAN(SUBSTITUTE(ProjTextTable[[#This Row],[text]],CHAR(10)," "))," ",""))</f>
        <v>509</v>
      </c>
      <c r="O33" t="s">
        <v>233</v>
      </c>
      <c r="P33" t="s">
        <v>948</v>
      </c>
    </row>
    <row r="34" spans="1:16" x14ac:dyDescent="0.4">
      <c r="A34">
        <f t="shared" ref="A34:A65" si="1">A33+(B34&lt;&gt;B33)</f>
        <v>6</v>
      </c>
      <c r="B34" t="s">
        <v>512</v>
      </c>
      <c r="C34" t="s">
        <v>592</v>
      </c>
      <c r="D34" t="s">
        <v>218</v>
      </c>
      <c r="E34" t="s">
        <v>604</v>
      </c>
      <c r="F34" t="s">
        <v>949</v>
      </c>
      <c r="G34" t="s">
        <v>950</v>
      </c>
      <c r="H34" t="s">
        <v>951</v>
      </c>
      <c r="I34" t="s">
        <v>235</v>
      </c>
      <c r="J34" t="s">
        <v>197</v>
      </c>
      <c r="K34" s="33">
        <v>43032</v>
      </c>
      <c r="L34" s="8">
        <v>43030.868946759256</v>
      </c>
      <c r="M34" s="23">
        <f>LEN(ProjTextTable[[#This Row],[text]])</f>
        <v>3913</v>
      </c>
      <c r="N34" s="23">
        <f>LEN(TRIM(CLEAN(SUBSTITUTE(ProjTextTable[[#This Row],[text]],CHAR(10)," "))))+1 - LEN(SUBSTITUTE(CLEAN(SUBSTITUTE(ProjTextTable[[#This Row],[text]],CHAR(10)," "))," ",""))</f>
        <v>608</v>
      </c>
      <c r="O34" t="s">
        <v>223</v>
      </c>
      <c r="P34" t="s">
        <v>952</v>
      </c>
    </row>
    <row r="35" spans="1:16" x14ac:dyDescent="0.4">
      <c r="A35">
        <f t="shared" si="1"/>
        <v>6</v>
      </c>
      <c r="B35" t="s">
        <v>512</v>
      </c>
      <c r="C35" t="s">
        <v>592</v>
      </c>
      <c r="D35" t="s">
        <v>218</v>
      </c>
      <c r="E35" t="s">
        <v>604</v>
      </c>
      <c r="F35" t="s">
        <v>953</v>
      </c>
      <c r="G35" t="s">
        <v>954</v>
      </c>
      <c r="H35" t="s">
        <v>955</v>
      </c>
      <c r="I35" t="s">
        <v>235</v>
      </c>
      <c r="J35" t="s">
        <v>197</v>
      </c>
      <c r="K35" s="33">
        <v>43032</v>
      </c>
      <c r="L35" s="8">
        <v>43027.621539351851</v>
      </c>
      <c r="M35" s="23">
        <f>LEN(ProjTextTable[[#This Row],[text]])</f>
        <v>2023</v>
      </c>
      <c r="N35" s="23">
        <f>LEN(TRIM(CLEAN(SUBSTITUTE(ProjTextTable[[#This Row],[text]],CHAR(10)," "))))+1 - LEN(SUBSTITUTE(CLEAN(SUBSTITUTE(ProjTextTable[[#This Row],[text]],CHAR(10)," "))," ",""))</f>
        <v>292</v>
      </c>
      <c r="O35" t="s">
        <v>223</v>
      </c>
      <c r="P35" t="s">
        <v>956</v>
      </c>
    </row>
    <row r="36" spans="1:16" x14ac:dyDescent="0.4">
      <c r="A36">
        <f t="shared" si="1"/>
        <v>6</v>
      </c>
      <c r="B36" t="s">
        <v>512</v>
      </c>
      <c r="C36" t="s">
        <v>592</v>
      </c>
      <c r="D36" t="s">
        <v>218</v>
      </c>
      <c r="E36" t="s">
        <v>604</v>
      </c>
      <c r="F36" t="s">
        <v>925</v>
      </c>
      <c r="G36" t="s">
        <v>926</v>
      </c>
      <c r="H36" t="s">
        <v>927</v>
      </c>
      <c r="I36" t="s">
        <v>235</v>
      </c>
      <c r="J36" t="s">
        <v>197</v>
      </c>
      <c r="K36" s="33">
        <v>43032</v>
      </c>
      <c r="L36" s="8">
        <v>43032.51840277778</v>
      </c>
      <c r="M36" s="23">
        <f>LEN(ProjTextTable[[#This Row],[text]])</f>
        <v>6091</v>
      </c>
      <c r="N36" s="23">
        <f>LEN(TRIM(CLEAN(SUBSTITUTE(ProjTextTable[[#This Row],[text]],CHAR(10)," "))))+1 - LEN(SUBSTITUTE(CLEAN(SUBSTITUTE(ProjTextTable[[#This Row],[text]],CHAR(10)," "))," ",""))</f>
        <v>1005</v>
      </c>
      <c r="O36" t="s">
        <v>223</v>
      </c>
      <c r="P36" t="s">
        <v>957</v>
      </c>
    </row>
    <row r="37" spans="1:16" x14ac:dyDescent="0.4">
      <c r="A37">
        <f t="shared" si="1"/>
        <v>6</v>
      </c>
      <c r="B37" t="s">
        <v>512</v>
      </c>
      <c r="C37" t="s">
        <v>592</v>
      </c>
      <c r="D37" t="s">
        <v>218</v>
      </c>
      <c r="E37" t="s">
        <v>604</v>
      </c>
      <c r="F37" t="s">
        <v>958</v>
      </c>
      <c r="G37" t="s">
        <v>959</v>
      </c>
      <c r="H37" t="s">
        <v>960</v>
      </c>
      <c r="I37" t="s">
        <v>235</v>
      </c>
      <c r="J37" t="s">
        <v>197</v>
      </c>
      <c r="K37" s="33">
        <v>43032</v>
      </c>
      <c r="L37" s="8">
        <v>43026.70616898148</v>
      </c>
      <c r="M37" s="23">
        <f>LEN(ProjTextTable[[#This Row],[text]])</f>
        <v>2375</v>
      </c>
      <c r="N37" s="23">
        <f>LEN(TRIM(CLEAN(SUBSTITUTE(ProjTextTable[[#This Row],[text]],CHAR(10)," "))))+1 - LEN(SUBSTITUTE(CLEAN(SUBSTITUTE(ProjTextTable[[#This Row],[text]],CHAR(10)," "))," ",""))</f>
        <v>373</v>
      </c>
      <c r="O37" t="s">
        <v>219</v>
      </c>
      <c r="P37" t="s">
        <v>961</v>
      </c>
    </row>
    <row r="38" spans="1:16" x14ac:dyDescent="0.4">
      <c r="A38">
        <f t="shared" si="1"/>
        <v>6</v>
      </c>
      <c r="B38" t="s">
        <v>512</v>
      </c>
      <c r="C38" t="s">
        <v>592</v>
      </c>
      <c r="D38" t="s">
        <v>220</v>
      </c>
      <c r="E38" t="s">
        <v>575</v>
      </c>
      <c r="F38" t="s">
        <v>14</v>
      </c>
      <c r="G38" t="s">
        <v>14</v>
      </c>
      <c r="H38" t="s">
        <v>14</v>
      </c>
      <c r="K38" s="33"/>
      <c r="L38" s="8">
        <v>42935.042743055557</v>
      </c>
      <c r="M38" s="23">
        <f>LEN(ProjTextTable[[#This Row],[text]])</f>
        <v>4068</v>
      </c>
      <c r="N38" s="23">
        <f>LEN(TRIM(CLEAN(SUBSTITUTE(ProjTextTable[[#This Row],[text]],CHAR(10)," "))))+1 - LEN(SUBSTITUTE(CLEAN(SUBSTITUTE(ProjTextTable[[#This Row],[text]],CHAR(10)," "))," ",""))</f>
        <v>585</v>
      </c>
      <c r="O38" t="s">
        <v>14</v>
      </c>
      <c r="P38" t="s">
        <v>962</v>
      </c>
    </row>
    <row r="39" spans="1:16" x14ac:dyDescent="0.4">
      <c r="A39">
        <f t="shared" si="1"/>
        <v>7</v>
      </c>
      <c r="B39" t="s">
        <v>513</v>
      </c>
      <c r="C39" t="s">
        <v>598</v>
      </c>
      <c r="D39" t="s">
        <v>229</v>
      </c>
      <c r="E39" t="s">
        <v>604</v>
      </c>
      <c r="F39" t="s">
        <v>769</v>
      </c>
      <c r="G39" t="s">
        <v>883</v>
      </c>
      <c r="H39" t="s">
        <v>232</v>
      </c>
      <c r="I39" t="s">
        <v>221</v>
      </c>
      <c r="J39" t="s">
        <v>291</v>
      </c>
      <c r="K39" s="33">
        <v>43031</v>
      </c>
      <c r="L39" s="8"/>
      <c r="M39" s="23">
        <f>LEN(ProjTextTable[[#This Row],[text]])</f>
        <v>4027</v>
      </c>
      <c r="N39" s="23">
        <f>LEN(TRIM(CLEAN(SUBSTITUTE(ProjTextTable[[#This Row],[text]],CHAR(10)," "))))+1 - LEN(SUBSTITUTE(CLEAN(SUBSTITUTE(ProjTextTable[[#This Row],[text]],CHAR(10)," "))," ",""))</f>
        <v>611</v>
      </c>
      <c r="O39" t="s">
        <v>233</v>
      </c>
      <c r="P39" t="s">
        <v>963</v>
      </c>
    </row>
    <row r="40" spans="1:16" x14ac:dyDescent="0.4">
      <c r="A40">
        <f t="shared" si="1"/>
        <v>7</v>
      </c>
      <c r="B40" t="s">
        <v>513</v>
      </c>
      <c r="C40" t="s">
        <v>598</v>
      </c>
      <c r="D40" t="s">
        <v>218</v>
      </c>
      <c r="E40" t="s">
        <v>604</v>
      </c>
      <c r="F40" t="s">
        <v>913</v>
      </c>
      <c r="G40" t="s">
        <v>914</v>
      </c>
      <c r="H40" t="s">
        <v>915</v>
      </c>
      <c r="I40" t="s">
        <v>235</v>
      </c>
      <c r="J40" t="s">
        <v>197</v>
      </c>
      <c r="K40" s="33">
        <v>43032</v>
      </c>
      <c r="L40" s="8">
        <v>43028.861875000002</v>
      </c>
      <c r="M40" s="23">
        <f>LEN(ProjTextTable[[#This Row],[text]])</f>
        <v>2572</v>
      </c>
      <c r="N40" s="23">
        <f>LEN(TRIM(CLEAN(SUBSTITUTE(ProjTextTable[[#This Row],[text]],CHAR(10)," "))))+1 - LEN(SUBSTITUTE(CLEAN(SUBSTITUTE(ProjTextTable[[#This Row],[text]],CHAR(10)," "))," ",""))</f>
        <v>393</v>
      </c>
      <c r="O40" t="s">
        <v>223</v>
      </c>
      <c r="P40" t="s">
        <v>964</v>
      </c>
    </row>
    <row r="41" spans="1:16" x14ac:dyDescent="0.4">
      <c r="A41">
        <f t="shared" si="1"/>
        <v>7</v>
      </c>
      <c r="B41" t="s">
        <v>513</v>
      </c>
      <c r="C41" t="s">
        <v>598</v>
      </c>
      <c r="D41" t="s">
        <v>218</v>
      </c>
      <c r="E41" t="s">
        <v>575</v>
      </c>
      <c r="F41" t="s">
        <v>898</v>
      </c>
      <c r="G41" t="s">
        <v>899</v>
      </c>
      <c r="H41" t="s">
        <v>900</v>
      </c>
      <c r="I41" t="s">
        <v>235</v>
      </c>
      <c r="J41" t="s">
        <v>197</v>
      </c>
      <c r="K41" s="33">
        <v>43032</v>
      </c>
      <c r="L41" s="8">
        <v>43017.899826388886</v>
      </c>
      <c r="M41" s="23">
        <f>LEN(ProjTextTable[[#This Row],[text]])</f>
        <v>3376</v>
      </c>
      <c r="N41" s="23">
        <f>LEN(TRIM(CLEAN(SUBSTITUTE(ProjTextTable[[#This Row],[text]],CHAR(10)," "))))+1 - LEN(SUBSTITUTE(CLEAN(SUBSTITUTE(ProjTextTable[[#This Row],[text]],CHAR(10)," "))," ",""))</f>
        <v>539</v>
      </c>
      <c r="O41" t="s">
        <v>223</v>
      </c>
      <c r="P41" t="s">
        <v>965</v>
      </c>
    </row>
    <row r="42" spans="1:16" x14ac:dyDescent="0.4">
      <c r="A42">
        <f t="shared" si="1"/>
        <v>7</v>
      </c>
      <c r="B42" t="s">
        <v>513</v>
      </c>
      <c r="C42" t="s">
        <v>598</v>
      </c>
      <c r="D42" t="s">
        <v>218</v>
      </c>
      <c r="E42" t="s">
        <v>604</v>
      </c>
      <c r="F42" t="s">
        <v>925</v>
      </c>
      <c r="G42" t="s">
        <v>926</v>
      </c>
      <c r="H42" t="s">
        <v>927</v>
      </c>
      <c r="I42" t="s">
        <v>235</v>
      </c>
      <c r="J42" t="s">
        <v>197</v>
      </c>
      <c r="K42" s="33">
        <v>43032</v>
      </c>
      <c r="L42" s="8">
        <v>43032.515555555554</v>
      </c>
      <c r="M42" s="23">
        <f>LEN(ProjTextTable[[#This Row],[text]])</f>
        <v>5884</v>
      </c>
      <c r="N42" s="23">
        <f>LEN(TRIM(CLEAN(SUBSTITUTE(ProjTextTable[[#This Row],[text]],CHAR(10)," "))))+1 - LEN(SUBSTITUTE(CLEAN(SUBSTITUTE(ProjTextTable[[#This Row],[text]],CHAR(10)," "))," ",""))</f>
        <v>993</v>
      </c>
      <c r="O42" t="s">
        <v>223</v>
      </c>
      <c r="P42" t="s">
        <v>966</v>
      </c>
    </row>
    <row r="43" spans="1:16" x14ac:dyDescent="0.4">
      <c r="A43">
        <f t="shared" si="1"/>
        <v>7</v>
      </c>
      <c r="B43" t="s">
        <v>513</v>
      </c>
      <c r="C43" t="s">
        <v>598</v>
      </c>
      <c r="D43" t="s">
        <v>218</v>
      </c>
      <c r="E43" t="s">
        <v>604</v>
      </c>
      <c r="F43" t="s">
        <v>967</v>
      </c>
      <c r="G43" t="s">
        <v>968</v>
      </c>
      <c r="H43" t="s">
        <v>969</v>
      </c>
      <c r="I43" t="s">
        <v>235</v>
      </c>
      <c r="J43" t="s">
        <v>197</v>
      </c>
      <c r="K43" s="33">
        <v>43032</v>
      </c>
      <c r="L43" s="8">
        <v>43030.115324074075</v>
      </c>
      <c r="M43" s="23">
        <f>LEN(ProjTextTable[[#This Row],[text]])</f>
        <v>2904</v>
      </c>
      <c r="N43" s="23">
        <f>LEN(TRIM(CLEAN(SUBSTITUTE(ProjTextTable[[#This Row],[text]],CHAR(10)," "))))+1 - LEN(SUBSTITUTE(CLEAN(SUBSTITUTE(ProjTextTable[[#This Row],[text]],CHAR(10)," "))," ",""))</f>
        <v>453</v>
      </c>
      <c r="O43" t="s">
        <v>290</v>
      </c>
      <c r="P43" t="s">
        <v>970</v>
      </c>
    </row>
    <row r="44" spans="1:16" x14ac:dyDescent="0.4">
      <c r="A44">
        <f t="shared" si="1"/>
        <v>8</v>
      </c>
      <c r="B44" t="s">
        <v>514</v>
      </c>
      <c r="C44" t="s">
        <v>605</v>
      </c>
      <c r="D44" t="s">
        <v>229</v>
      </c>
      <c r="E44" t="s">
        <v>604</v>
      </c>
      <c r="F44" t="s">
        <v>769</v>
      </c>
      <c r="G44" t="s">
        <v>883</v>
      </c>
      <c r="H44" t="s">
        <v>232</v>
      </c>
      <c r="I44" t="s">
        <v>221</v>
      </c>
      <c r="J44" t="s">
        <v>292</v>
      </c>
      <c r="K44" s="33">
        <v>43031</v>
      </c>
      <c r="L44" s="8"/>
      <c r="M44" s="23">
        <f>LEN(ProjTextTable[[#This Row],[text]])</f>
        <v>3492</v>
      </c>
      <c r="N44" s="23">
        <f>LEN(TRIM(CLEAN(SUBSTITUTE(ProjTextTable[[#This Row],[text]],CHAR(10)," "))))+1 - LEN(SUBSTITUTE(CLEAN(SUBSTITUTE(ProjTextTable[[#This Row],[text]],CHAR(10)," "))," ",""))</f>
        <v>501</v>
      </c>
      <c r="O44" t="s">
        <v>233</v>
      </c>
      <c r="P44" t="s">
        <v>971</v>
      </c>
    </row>
    <row r="45" spans="1:16" x14ac:dyDescent="0.4">
      <c r="A45">
        <f t="shared" si="1"/>
        <v>8</v>
      </c>
      <c r="B45" t="s">
        <v>514</v>
      </c>
      <c r="C45" t="s">
        <v>605</v>
      </c>
      <c r="D45" t="s">
        <v>218</v>
      </c>
      <c r="E45" t="s">
        <v>604</v>
      </c>
      <c r="F45" t="s">
        <v>967</v>
      </c>
      <c r="G45" t="s">
        <v>968</v>
      </c>
      <c r="H45" t="s">
        <v>969</v>
      </c>
      <c r="I45" t="s">
        <v>235</v>
      </c>
      <c r="J45" t="s">
        <v>197</v>
      </c>
      <c r="K45" s="33">
        <v>43032</v>
      </c>
      <c r="L45" s="8">
        <v>43030.723078703704</v>
      </c>
      <c r="M45" s="23">
        <f>LEN(ProjTextTable[[#This Row],[text]])</f>
        <v>2678</v>
      </c>
      <c r="N45" s="23">
        <f>LEN(TRIM(CLEAN(SUBSTITUTE(ProjTextTable[[#This Row],[text]],CHAR(10)," "))))+1 - LEN(SUBSTITUTE(CLEAN(SUBSTITUTE(ProjTextTable[[#This Row],[text]],CHAR(10)," "))," ",""))</f>
        <v>407</v>
      </c>
      <c r="O45" t="s">
        <v>223</v>
      </c>
      <c r="P45" t="s">
        <v>972</v>
      </c>
    </row>
    <row r="46" spans="1:16" x14ac:dyDescent="0.4">
      <c r="A46">
        <f t="shared" si="1"/>
        <v>8</v>
      </c>
      <c r="B46" t="s">
        <v>514</v>
      </c>
      <c r="C46" t="s">
        <v>605</v>
      </c>
      <c r="D46" t="s">
        <v>218</v>
      </c>
      <c r="E46" t="s">
        <v>604</v>
      </c>
      <c r="F46" t="s">
        <v>917</v>
      </c>
      <c r="G46" t="s">
        <v>918</v>
      </c>
      <c r="H46" t="s">
        <v>919</v>
      </c>
      <c r="I46" t="s">
        <v>235</v>
      </c>
      <c r="J46" t="s">
        <v>197</v>
      </c>
      <c r="K46" s="33">
        <v>43032</v>
      </c>
      <c r="L46" s="8">
        <v>43030.031655092593</v>
      </c>
      <c r="M46" s="23">
        <f>LEN(ProjTextTable[[#This Row],[text]])</f>
        <v>2970</v>
      </c>
      <c r="N46" s="23">
        <f>LEN(TRIM(CLEAN(SUBSTITUTE(ProjTextTable[[#This Row],[text]],CHAR(10)," "))))+1 - LEN(SUBSTITUTE(CLEAN(SUBSTITUTE(ProjTextTable[[#This Row],[text]],CHAR(10)," "))," ",""))</f>
        <v>441</v>
      </c>
      <c r="O46" t="s">
        <v>223</v>
      </c>
      <c r="P46" t="s">
        <v>973</v>
      </c>
    </row>
    <row r="47" spans="1:16" x14ac:dyDescent="0.4">
      <c r="A47">
        <f t="shared" si="1"/>
        <v>8</v>
      </c>
      <c r="B47" t="s">
        <v>514</v>
      </c>
      <c r="C47" t="s">
        <v>605</v>
      </c>
      <c r="D47" t="s">
        <v>218</v>
      </c>
      <c r="E47" t="s">
        <v>604</v>
      </c>
      <c r="F47" t="s">
        <v>930</v>
      </c>
      <c r="G47" t="s">
        <v>931</v>
      </c>
      <c r="H47" t="s">
        <v>932</v>
      </c>
      <c r="I47" t="s">
        <v>235</v>
      </c>
      <c r="J47" t="s">
        <v>197</v>
      </c>
      <c r="K47" s="33">
        <v>43032</v>
      </c>
      <c r="L47" s="8">
        <v>43029.774409722224</v>
      </c>
      <c r="M47" s="23">
        <f>LEN(ProjTextTable[[#This Row],[text]])</f>
        <v>1606</v>
      </c>
      <c r="N47" s="23">
        <f>LEN(TRIM(CLEAN(SUBSTITUTE(ProjTextTable[[#This Row],[text]],CHAR(10)," "))))+1 - LEN(SUBSTITUTE(CLEAN(SUBSTITUTE(ProjTextTable[[#This Row],[text]],CHAR(10)," "))," ",""))</f>
        <v>239</v>
      </c>
      <c r="O47" t="s">
        <v>219</v>
      </c>
      <c r="P47" t="s">
        <v>974</v>
      </c>
    </row>
    <row r="48" spans="1:16" x14ac:dyDescent="0.4">
      <c r="A48">
        <f t="shared" si="1"/>
        <v>8</v>
      </c>
      <c r="B48" t="s">
        <v>514</v>
      </c>
      <c r="C48" t="s">
        <v>605</v>
      </c>
      <c r="D48" t="s">
        <v>218</v>
      </c>
      <c r="E48" t="s">
        <v>604</v>
      </c>
      <c r="F48" t="s">
        <v>958</v>
      </c>
      <c r="G48" t="s">
        <v>959</v>
      </c>
      <c r="H48" t="s">
        <v>960</v>
      </c>
      <c r="I48" t="s">
        <v>235</v>
      </c>
      <c r="J48" t="s">
        <v>197</v>
      </c>
      <c r="K48" s="33">
        <v>43032</v>
      </c>
      <c r="L48" s="8">
        <v>43027.338993055557</v>
      </c>
      <c r="M48" s="23">
        <f>LEN(ProjTextTable[[#This Row],[text]])</f>
        <v>3261</v>
      </c>
      <c r="N48" s="23">
        <f>LEN(TRIM(CLEAN(SUBSTITUTE(ProjTextTable[[#This Row],[text]],CHAR(10)," "))))+1 - LEN(SUBSTITUTE(CLEAN(SUBSTITUTE(ProjTextTable[[#This Row],[text]],CHAR(10)," "))," ",""))</f>
        <v>511</v>
      </c>
      <c r="O48" t="s">
        <v>222</v>
      </c>
      <c r="P48" t="s">
        <v>975</v>
      </c>
    </row>
    <row r="49" spans="1:16" x14ac:dyDescent="0.4">
      <c r="A49">
        <f t="shared" si="1"/>
        <v>8</v>
      </c>
      <c r="B49" t="s">
        <v>514</v>
      </c>
      <c r="C49" t="s">
        <v>605</v>
      </c>
      <c r="D49" t="s">
        <v>220</v>
      </c>
      <c r="E49" t="s">
        <v>604</v>
      </c>
      <c r="F49" t="s">
        <v>14</v>
      </c>
      <c r="G49" t="s">
        <v>14</v>
      </c>
      <c r="H49" t="s">
        <v>14</v>
      </c>
      <c r="K49" s="33"/>
      <c r="L49" s="8">
        <v>42935.042881944442</v>
      </c>
      <c r="M49" s="23">
        <f>LEN(ProjTextTable[[#This Row],[text]])</f>
        <v>4012</v>
      </c>
      <c r="N49" s="23">
        <f>LEN(TRIM(CLEAN(SUBSTITUTE(ProjTextTable[[#This Row],[text]],CHAR(10)," "))))+1 - LEN(SUBSTITUTE(CLEAN(SUBSTITUTE(ProjTextTable[[#This Row],[text]],CHAR(10)," "))," ",""))</f>
        <v>584</v>
      </c>
      <c r="O49" t="s">
        <v>14</v>
      </c>
      <c r="P49" t="s">
        <v>976</v>
      </c>
    </row>
    <row r="50" spans="1:16" x14ac:dyDescent="0.4">
      <c r="A50">
        <f t="shared" si="1"/>
        <v>9</v>
      </c>
      <c r="B50" t="s">
        <v>515</v>
      </c>
      <c r="C50" t="s">
        <v>612</v>
      </c>
      <c r="D50" t="s">
        <v>229</v>
      </c>
      <c r="E50" t="s">
        <v>604</v>
      </c>
      <c r="F50" t="s">
        <v>769</v>
      </c>
      <c r="G50" t="s">
        <v>883</v>
      </c>
      <c r="H50" t="s">
        <v>287</v>
      </c>
      <c r="I50" t="s">
        <v>217</v>
      </c>
      <c r="J50" t="s">
        <v>903</v>
      </c>
      <c r="K50" s="33">
        <v>43031</v>
      </c>
      <c r="L50" s="8"/>
      <c r="M50" s="23">
        <f>LEN(ProjTextTable[[#This Row],[text]])</f>
        <v>3155</v>
      </c>
      <c r="N50" s="23">
        <f>LEN(TRIM(CLEAN(SUBSTITUTE(ProjTextTable[[#This Row],[text]],CHAR(10)," "))))+1 - LEN(SUBSTITUTE(CLEAN(SUBSTITUTE(ProjTextTable[[#This Row],[text]],CHAR(10)," "))," ",""))</f>
        <v>468</v>
      </c>
      <c r="O50" t="s">
        <v>286</v>
      </c>
      <c r="P50" t="s">
        <v>977</v>
      </c>
    </row>
    <row r="51" spans="1:16" x14ac:dyDescent="0.4">
      <c r="A51">
        <f t="shared" si="1"/>
        <v>9</v>
      </c>
      <c r="B51" t="s">
        <v>515</v>
      </c>
      <c r="C51" t="s">
        <v>612</v>
      </c>
      <c r="D51" t="s">
        <v>218</v>
      </c>
      <c r="E51" t="s">
        <v>604</v>
      </c>
      <c r="F51" t="s">
        <v>905</v>
      </c>
      <c r="G51" t="s">
        <v>906</v>
      </c>
      <c r="H51" t="s">
        <v>907</v>
      </c>
      <c r="I51" t="s">
        <v>235</v>
      </c>
      <c r="J51" t="s">
        <v>197</v>
      </c>
      <c r="K51" s="33">
        <v>43032</v>
      </c>
      <c r="L51" s="8">
        <v>43022.920254629629</v>
      </c>
      <c r="M51" s="23">
        <f>LEN(ProjTextTable[[#This Row],[text]])</f>
        <v>1892</v>
      </c>
      <c r="N51" s="23">
        <f>LEN(TRIM(CLEAN(SUBSTITUTE(ProjTextTable[[#This Row],[text]],CHAR(10)," "))))+1 - LEN(SUBSTITUTE(CLEAN(SUBSTITUTE(ProjTextTable[[#This Row],[text]],CHAR(10)," "))," ",""))</f>
        <v>282</v>
      </c>
      <c r="O51" t="s">
        <v>290</v>
      </c>
      <c r="P51" t="s">
        <v>978</v>
      </c>
    </row>
    <row r="52" spans="1:16" x14ac:dyDescent="0.4">
      <c r="A52">
        <f t="shared" si="1"/>
        <v>9</v>
      </c>
      <c r="B52" t="s">
        <v>515</v>
      </c>
      <c r="C52" t="s">
        <v>612</v>
      </c>
      <c r="D52" t="s">
        <v>218</v>
      </c>
      <c r="E52" t="s">
        <v>604</v>
      </c>
      <c r="F52" t="s">
        <v>913</v>
      </c>
      <c r="G52" t="s">
        <v>914</v>
      </c>
      <c r="H52" t="s">
        <v>915</v>
      </c>
      <c r="I52" t="s">
        <v>235</v>
      </c>
      <c r="J52" t="s">
        <v>197</v>
      </c>
      <c r="K52" s="33">
        <v>43032</v>
      </c>
      <c r="L52" s="8">
        <v>43028.861875000002</v>
      </c>
      <c r="M52" s="23">
        <f>LEN(ProjTextTable[[#This Row],[text]])</f>
        <v>1845</v>
      </c>
      <c r="N52" s="23">
        <f>LEN(TRIM(CLEAN(SUBSTITUTE(ProjTextTable[[#This Row],[text]],CHAR(10)," "))))+1 - LEN(SUBSTITUTE(CLEAN(SUBSTITUTE(ProjTextTable[[#This Row],[text]],CHAR(10)," "))," ",""))</f>
        <v>272</v>
      </c>
      <c r="O52" t="s">
        <v>225</v>
      </c>
      <c r="P52" t="s">
        <v>979</v>
      </c>
    </row>
    <row r="53" spans="1:16" x14ac:dyDescent="0.4">
      <c r="A53">
        <f t="shared" si="1"/>
        <v>9</v>
      </c>
      <c r="B53" t="s">
        <v>515</v>
      </c>
      <c r="C53" t="s">
        <v>612</v>
      </c>
      <c r="D53" t="s">
        <v>218</v>
      </c>
      <c r="E53" t="s">
        <v>559</v>
      </c>
      <c r="F53" t="s">
        <v>898</v>
      </c>
      <c r="G53" t="s">
        <v>899</v>
      </c>
      <c r="H53" t="s">
        <v>900</v>
      </c>
      <c r="I53" t="s">
        <v>235</v>
      </c>
      <c r="J53" t="s">
        <v>197</v>
      </c>
      <c r="K53" s="33">
        <v>43032</v>
      </c>
      <c r="L53" s="8">
        <v>43028.683356481481</v>
      </c>
      <c r="M53" s="23">
        <f>LEN(ProjTextTable[[#This Row],[text]])</f>
        <v>2593</v>
      </c>
      <c r="N53" s="23">
        <f>LEN(TRIM(CLEAN(SUBSTITUTE(ProjTextTable[[#This Row],[text]],CHAR(10)," "))))+1 - LEN(SUBSTITUTE(CLEAN(SUBSTITUTE(ProjTextTable[[#This Row],[text]],CHAR(10)," "))," ",""))</f>
        <v>407</v>
      </c>
      <c r="O53" t="s">
        <v>223</v>
      </c>
      <c r="P53" t="s">
        <v>980</v>
      </c>
    </row>
    <row r="54" spans="1:16" x14ac:dyDescent="0.4">
      <c r="A54">
        <f t="shared" si="1"/>
        <v>9</v>
      </c>
      <c r="B54" t="s">
        <v>515</v>
      </c>
      <c r="C54" t="s">
        <v>612</v>
      </c>
      <c r="D54" t="s">
        <v>218</v>
      </c>
      <c r="E54" t="s">
        <v>604</v>
      </c>
      <c r="F54" t="s">
        <v>917</v>
      </c>
      <c r="G54" t="s">
        <v>918</v>
      </c>
      <c r="H54" t="s">
        <v>919</v>
      </c>
      <c r="I54" t="s">
        <v>235</v>
      </c>
      <c r="J54" t="s">
        <v>197</v>
      </c>
      <c r="K54" s="33">
        <v>43032</v>
      </c>
      <c r="L54" s="8">
        <v>43030.972268518519</v>
      </c>
      <c r="M54" s="23">
        <f>LEN(ProjTextTable[[#This Row],[text]])</f>
        <v>2229</v>
      </c>
      <c r="N54" s="23">
        <f>LEN(TRIM(CLEAN(SUBSTITUTE(ProjTextTable[[#This Row],[text]],CHAR(10)," "))))+1 - LEN(SUBSTITUTE(CLEAN(SUBSTITUTE(ProjTextTable[[#This Row],[text]],CHAR(10)," "))," ",""))</f>
        <v>335</v>
      </c>
      <c r="O54" t="s">
        <v>226</v>
      </c>
      <c r="P54" t="s">
        <v>981</v>
      </c>
    </row>
    <row r="55" spans="1:16" x14ac:dyDescent="0.4">
      <c r="A55">
        <f t="shared" si="1"/>
        <v>9</v>
      </c>
      <c r="B55" t="s">
        <v>515</v>
      </c>
      <c r="C55" t="s">
        <v>612</v>
      </c>
      <c r="D55" t="s">
        <v>220</v>
      </c>
      <c r="E55" t="s">
        <v>559</v>
      </c>
      <c r="F55" t="s">
        <v>14</v>
      </c>
      <c r="G55" t="s">
        <v>14</v>
      </c>
      <c r="H55" t="s">
        <v>14</v>
      </c>
      <c r="K55" s="33"/>
      <c r="L55" s="8">
        <v>42935.043379629627</v>
      </c>
      <c r="M55" s="23">
        <f>LEN(ProjTextTable[[#This Row],[text]])</f>
        <v>3644</v>
      </c>
      <c r="N55" s="23">
        <f>LEN(TRIM(CLEAN(SUBSTITUTE(ProjTextTable[[#This Row],[text]],CHAR(10)," "))))+1 - LEN(SUBSTITUTE(CLEAN(SUBSTITUTE(ProjTextTable[[#This Row],[text]],CHAR(10)," "))," ",""))</f>
        <v>477</v>
      </c>
      <c r="O55" t="s">
        <v>14</v>
      </c>
      <c r="P55" t="s">
        <v>982</v>
      </c>
    </row>
    <row r="56" spans="1:16" x14ac:dyDescent="0.4">
      <c r="A56">
        <f t="shared" si="1"/>
        <v>10</v>
      </c>
      <c r="B56" t="s">
        <v>516</v>
      </c>
      <c r="C56" t="s">
        <v>617</v>
      </c>
      <c r="D56" t="s">
        <v>229</v>
      </c>
      <c r="E56" t="s">
        <v>604</v>
      </c>
      <c r="F56" t="s">
        <v>769</v>
      </c>
      <c r="G56" t="s">
        <v>883</v>
      </c>
      <c r="H56" t="s">
        <v>287</v>
      </c>
      <c r="I56" t="s">
        <v>217</v>
      </c>
      <c r="J56" t="s">
        <v>903</v>
      </c>
      <c r="K56" s="33">
        <v>43031</v>
      </c>
      <c r="L56" s="8"/>
      <c r="M56" s="23">
        <f>LEN(ProjTextTable[[#This Row],[text]])</f>
        <v>4104</v>
      </c>
      <c r="N56" s="23">
        <f>LEN(TRIM(CLEAN(SUBSTITUTE(ProjTextTable[[#This Row],[text]],CHAR(10)," "))))+1 - LEN(SUBSTITUTE(CLEAN(SUBSTITUTE(ProjTextTable[[#This Row],[text]],CHAR(10)," "))," ",""))</f>
        <v>658</v>
      </c>
      <c r="O56" t="s">
        <v>286</v>
      </c>
      <c r="P56" t="s">
        <v>983</v>
      </c>
    </row>
    <row r="57" spans="1:16" x14ac:dyDescent="0.4">
      <c r="A57">
        <f t="shared" si="1"/>
        <v>10</v>
      </c>
      <c r="B57" t="s">
        <v>516</v>
      </c>
      <c r="C57" t="s">
        <v>617</v>
      </c>
      <c r="D57" t="s">
        <v>218</v>
      </c>
      <c r="E57" t="s">
        <v>604</v>
      </c>
      <c r="F57" t="s">
        <v>949</v>
      </c>
      <c r="G57" t="s">
        <v>950</v>
      </c>
      <c r="H57" t="s">
        <v>951</v>
      </c>
      <c r="I57" t="s">
        <v>235</v>
      </c>
      <c r="J57" t="s">
        <v>197</v>
      </c>
      <c r="K57" s="33">
        <v>43032</v>
      </c>
      <c r="L57" s="8">
        <v>43030.876967592594</v>
      </c>
      <c r="M57" s="23">
        <f>LEN(ProjTextTable[[#This Row],[text]])</f>
        <v>2807</v>
      </c>
      <c r="N57" s="23">
        <f>LEN(TRIM(CLEAN(SUBSTITUTE(ProjTextTable[[#This Row],[text]],CHAR(10)," "))))+1 - LEN(SUBSTITUTE(CLEAN(SUBSTITUTE(ProjTextTable[[#This Row],[text]],CHAR(10)," "))," ",""))</f>
        <v>427</v>
      </c>
      <c r="O57" t="s">
        <v>219</v>
      </c>
      <c r="P57" t="s">
        <v>984</v>
      </c>
    </row>
    <row r="58" spans="1:16" x14ac:dyDescent="0.4">
      <c r="A58">
        <f t="shared" si="1"/>
        <v>10</v>
      </c>
      <c r="B58" t="s">
        <v>516</v>
      </c>
      <c r="C58" t="s">
        <v>617</v>
      </c>
      <c r="D58" t="s">
        <v>218</v>
      </c>
      <c r="E58" t="s">
        <v>604</v>
      </c>
      <c r="F58" t="s">
        <v>886</v>
      </c>
      <c r="G58" t="s">
        <v>887</v>
      </c>
      <c r="H58" t="s">
        <v>888</v>
      </c>
      <c r="I58" t="s">
        <v>235</v>
      </c>
      <c r="J58" t="s">
        <v>197</v>
      </c>
      <c r="K58" s="33">
        <v>43032</v>
      </c>
      <c r="L58" s="8">
        <v>43031.922314814816</v>
      </c>
      <c r="M58" s="23">
        <f>LEN(ProjTextTable[[#This Row],[text]])</f>
        <v>2190</v>
      </c>
      <c r="N58" s="23">
        <f>LEN(TRIM(CLEAN(SUBSTITUTE(ProjTextTable[[#This Row],[text]],CHAR(10)," "))))+1 - LEN(SUBSTITUTE(CLEAN(SUBSTITUTE(ProjTextTable[[#This Row],[text]],CHAR(10)," "))," ",""))</f>
        <v>339</v>
      </c>
      <c r="O58" t="s">
        <v>219</v>
      </c>
      <c r="P58" t="s">
        <v>985</v>
      </c>
    </row>
    <row r="59" spans="1:16" x14ac:dyDescent="0.4">
      <c r="A59">
        <f t="shared" si="1"/>
        <v>10</v>
      </c>
      <c r="B59" t="s">
        <v>516</v>
      </c>
      <c r="C59" t="s">
        <v>617</v>
      </c>
      <c r="D59" t="s">
        <v>218</v>
      </c>
      <c r="E59" t="s">
        <v>604</v>
      </c>
      <c r="F59" t="s">
        <v>967</v>
      </c>
      <c r="G59" t="s">
        <v>968</v>
      </c>
      <c r="H59" t="s">
        <v>969</v>
      </c>
      <c r="I59" t="s">
        <v>235</v>
      </c>
      <c r="J59" t="s">
        <v>197</v>
      </c>
      <c r="K59" s="33">
        <v>43032</v>
      </c>
      <c r="L59" s="8">
        <v>43031.043321759258</v>
      </c>
      <c r="M59" s="23">
        <f>LEN(ProjTextTable[[#This Row],[text]])</f>
        <v>1763</v>
      </c>
      <c r="N59" s="23">
        <f>LEN(TRIM(CLEAN(SUBSTITUTE(ProjTextTable[[#This Row],[text]],CHAR(10)," "))))+1 - LEN(SUBSTITUTE(CLEAN(SUBSTITUTE(ProjTextTable[[#This Row],[text]],CHAR(10)," "))," ",""))</f>
        <v>263</v>
      </c>
      <c r="O59" t="s">
        <v>225</v>
      </c>
      <c r="P59" t="s">
        <v>986</v>
      </c>
    </row>
    <row r="60" spans="1:16" x14ac:dyDescent="0.4">
      <c r="A60">
        <f t="shared" si="1"/>
        <v>10</v>
      </c>
      <c r="B60" t="s">
        <v>516</v>
      </c>
      <c r="C60" t="s">
        <v>617</v>
      </c>
      <c r="D60" t="s">
        <v>218</v>
      </c>
      <c r="E60" t="s">
        <v>604</v>
      </c>
      <c r="F60" t="s">
        <v>958</v>
      </c>
      <c r="G60" t="s">
        <v>959</v>
      </c>
      <c r="H60" t="s">
        <v>960</v>
      </c>
      <c r="I60" t="s">
        <v>235</v>
      </c>
      <c r="J60" t="s">
        <v>197</v>
      </c>
      <c r="K60" s="33">
        <v>43032</v>
      </c>
      <c r="L60" s="8">
        <v>43030.827002314814</v>
      </c>
      <c r="M60" s="23">
        <f>LEN(ProjTextTable[[#This Row],[text]])</f>
        <v>2352</v>
      </c>
      <c r="N60" s="23">
        <f>LEN(TRIM(CLEAN(SUBSTITUTE(ProjTextTable[[#This Row],[text]],CHAR(10)," "))))+1 - LEN(SUBSTITUTE(CLEAN(SUBSTITUTE(ProjTextTable[[#This Row],[text]],CHAR(10)," "))," ",""))</f>
        <v>363</v>
      </c>
      <c r="O60" t="s">
        <v>219</v>
      </c>
      <c r="P60" t="s">
        <v>987</v>
      </c>
    </row>
    <row r="61" spans="1:16" x14ac:dyDescent="0.4">
      <c r="A61">
        <f t="shared" si="1"/>
        <v>10</v>
      </c>
      <c r="B61" t="s">
        <v>516</v>
      </c>
      <c r="C61" t="s">
        <v>617</v>
      </c>
      <c r="D61" t="s">
        <v>220</v>
      </c>
      <c r="E61" t="s">
        <v>604</v>
      </c>
      <c r="F61" t="s">
        <v>14</v>
      </c>
      <c r="G61" t="s">
        <v>14</v>
      </c>
      <c r="H61" t="s">
        <v>14</v>
      </c>
      <c r="K61" s="33"/>
      <c r="L61" s="8">
        <v>42935.043506944443</v>
      </c>
      <c r="M61" s="23">
        <f>LEN(ProjTextTable[[#This Row],[text]])</f>
        <v>2691</v>
      </c>
      <c r="N61" s="23">
        <f>LEN(TRIM(CLEAN(SUBSTITUTE(ProjTextTable[[#This Row],[text]],CHAR(10)," "))))+1 - LEN(SUBSTITUTE(CLEAN(SUBSTITUTE(ProjTextTable[[#This Row],[text]],CHAR(10)," "))," ",""))</f>
        <v>364</v>
      </c>
      <c r="O61" t="s">
        <v>14</v>
      </c>
      <c r="P61" t="s">
        <v>988</v>
      </c>
    </row>
    <row r="62" spans="1:16" x14ac:dyDescent="0.4">
      <c r="A62">
        <f t="shared" si="1"/>
        <v>11</v>
      </c>
      <c r="B62" t="s">
        <v>517</v>
      </c>
      <c r="C62" t="s">
        <v>622</v>
      </c>
      <c r="D62" t="s">
        <v>229</v>
      </c>
      <c r="E62" t="s">
        <v>604</v>
      </c>
      <c r="F62" t="s">
        <v>769</v>
      </c>
      <c r="G62" t="s">
        <v>883</v>
      </c>
      <c r="H62" t="s">
        <v>770</v>
      </c>
      <c r="I62" t="s">
        <v>224</v>
      </c>
      <c r="J62" t="s">
        <v>884</v>
      </c>
      <c r="K62" s="33">
        <v>43031</v>
      </c>
      <c r="L62" s="8"/>
      <c r="M62" s="23">
        <f>LEN(ProjTextTable[[#This Row],[text]])</f>
        <v>2254</v>
      </c>
      <c r="N62" s="23">
        <f>LEN(TRIM(CLEAN(SUBSTITUTE(ProjTextTable[[#This Row],[text]],CHAR(10)," "))))+1 - LEN(SUBSTITUTE(CLEAN(SUBSTITUTE(ProjTextTable[[#This Row],[text]],CHAR(10)," "))," ",""))</f>
        <v>326</v>
      </c>
      <c r="O62" t="s">
        <v>644</v>
      </c>
      <c r="P62" t="s">
        <v>989</v>
      </c>
    </row>
    <row r="63" spans="1:16" x14ac:dyDescent="0.4">
      <c r="A63">
        <f t="shared" si="1"/>
        <v>11</v>
      </c>
      <c r="B63" t="s">
        <v>517</v>
      </c>
      <c r="C63" t="s">
        <v>622</v>
      </c>
      <c r="D63" t="s">
        <v>218</v>
      </c>
      <c r="E63" t="s">
        <v>604</v>
      </c>
      <c r="F63" t="s">
        <v>949</v>
      </c>
      <c r="G63" t="s">
        <v>950</v>
      </c>
      <c r="H63" t="s">
        <v>951</v>
      </c>
      <c r="I63" t="s">
        <v>235</v>
      </c>
      <c r="J63" t="s">
        <v>197</v>
      </c>
      <c r="K63" s="33">
        <v>43032</v>
      </c>
      <c r="L63" s="8">
        <v>43030.872187499997</v>
      </c>
      <c r="M63" s="23">
        <f>LEN(ProjTextTable[[#This Row],[text]])</f>
        <v>2046</v>
      </c>
      <c r="N63" s="23">
        <f>LEN(TRIM(CLEAN(SUBSTITUTE(ProjTextTable[[#This Row],[text]],CHAR(10)," "))))+1 - LEN(SUBSTITUTE(CLEAN(SUBSTITUTE(ProjTextTable[[#This Row],[text]],CHAR(10)," "))," ",""))</f>
        <v>322</v>
      </c>
      <c r="O63" t="s">
        <v>225</v>
      </c>
      <c r="P63" t="s">
        <v>990</v>
      </c>
    </row>
    <row r="64" spans="1:16" x14ac:dyDescent="0.4">
      <c r="A64">
        <f t="shared" si="1"/>
        <v>11</v>
      </c>
      <c r="B64" t="s">
        <v>517</v>
      </c>
      <c r="C64" t="s">
        <v>622</v>
      </c>
      <c r="D64" t="s">
        <v>218</v>
      </c>
      <c r="E64" t="s">
        <v>604</v>
      </c>
      <c r="F64" t="s">
        <v>886</v>
      </c>
      <c r="G64" t="s">
        <v>887</v>
      </c>
      <c r="H64" t="s">
        <v>888</v>
      </c>
      <c r="I64" t="s">
        <v>235</v>
      </c>
      <c r="J64" t="s">
        <v>197</v>
      </c>
      <c r="K64" s="33">
        <v>43032</v>
      </c>
      <c r="L64" s="8">
        <v>43031.584618055553</v>
      </c>
      <c r="M64" s="23">
        <f>LEN(ProjTextTable[[#This Row],[text]])</f>
        <v>4713</v>
      </c>
      <c r="N64" s="23">
        <f>LEN(TRIM(CLEAN(SUBSTITUTE(ProjTextTable[[#This Row],[text]],CHAR(10)," "))))+1 - LEN(SUBSTITUTE(CLEAN(SUBSTITUTE(ProjTextTable[[#This Row],[text]],CHAR(10)," "))," ",""))</f>
        <v>751</v>
      </c>
      <c r="O64" t="s">
        <v>223</v>
      </c>
      <c r="P64" t="s">
        <v>991</v>
      </c>
    </row>
    <row r="65" spans="1:16" x14ac:dyDescent="0.4">
      <c r="A65">
        <f t="shared" si="1"/>
        <v>11</v>
      </c>
      <c r="B65" t="s">
        <v>517</v>
      </c>
      <c r="C65" t="s">
        <v>622</v>
      </c>
      <c r="D65" t="s">
        <v>218</v>
      </c>
      <c r="E65" t="s">
        <v>604</v>
      </c>
      <c r="F65" t="s">
        <v>967</v>
      </c>
      <c r="G65" t="s">
        <v>968</v>
      </c>
      <c r="H65" t="s">
        <v>969</v>
      </c>
      <c r="I65" t="s">
        <v>235</v>
      </c>
      <c r="J65" t="s">
        <v>197</v>
      </c>
      <c r="K65" s="33">
        <v>43032</v>
      </c>
      <c r="L65" s="8">
        <v>43030.765972222223</v>
      </c>
      <c r="M65" s="23">
        <f>LEN(ProjTextTable[[#This Row],[text]])</f>
        <v>1991</v>
      </c>
      <c r="N65" s="23">
        <f>LEN(TRIM(CLEAN(SUBSTITUTE(ProjTextTable[[#This Row],[text]],CHAR(10)," "))))+1 - LEN(SUBSTITUTE(CLEAN(SUBSTITUTE(ProjTextTable[[#This Row],[text]],CHAR(10)," "))," ",""))</f>
        <v>301</v>
      </c>
      <c r="O65" t="s">
        <v>225</v>
      </c>
      <c r="P65" t="s">
        <v>992</v>
      </c>
    </row>
    <row r="66" spans="1:16" x14ac:dyDescent="0.4">
      <c r="A66">
        <f t="shared" ref="A66:A97" si="2">A65+(B66&lt;&gt;B65)</f>
        <v>11</v>
      </c>
      <c r="B66" t="s">
        <v>517</v>
      </c>
      <c r="C66" t="s">
        <v>622</v>
      </c>
      <c r="D66" t="s">
        <v>218</v>
      </c>
      <c r="E66" t="s">
        <v>604</v>
      </c>
      <c r="F66" t="s">
        <v>958</v>
      </c>
      <c r="G66" t="s">
        <v>959</v>
      </c>
      <c r="H66" t="s">
        <v>960</v>
      </c>
      <c r="I66" t="s">
        <v>235</v>
      </c>
      <c r="J66" t="s">
        <v>197</v>
      </c>
      <c r="K66" s="33">
        <v>43032</v>
      </c>
      <c r="L66" s="8">
        <v>43026.705312500002</v>
      </c>
      <c r="M66" s="23">
        <f>LEN(ProjTextTable[[#This Row],[text]])</f>
        <v>1527</v>
      </c>
      <c r="N66" s="23">
        <f>LEN(TRIM(CLEAN(SUBSTITUTE(ProjTextTable[[#This Row],[text]],CHAR(10)," "))))+1 - LEN(SUBSTITUTE(CLEAN(SUBSTITUTE(ProjTextTable[[#This Row],[text]],CHAR(10)," "))," ",""))</f>
        <v>224</v>
      </c>
      <c r="O66" t="s">
        <v>225</v>
      </c>
      <c r="P66" t="s">
        <v>993</v>
      </c>
    </row>
    <row r="67" spans="1:16" x14ac:dyDescent="0.4">
      <c r="A67">
        <f t="shared" si="2"/>
        <v>11</v>
      </c>
      <c r="B67" t="s">
        <v>517</v>
      </c>
      <c r="C67" t="s">
        <v>622</v>
      </c>
      <c r="D67" t="s">
        <v>220</v>
      </c>
      <c r="E67" t="s">
        <v>559</v>
      </c>
      <c r="F67" t="s">
        <v>14</v>
      </c>
      <c r="G67" t="s">
        <v>14</v>
      </c>
      <c r="H67" t="s">
        <v>14</v>
      </c>
      <c r="K67" s="33"/>
      <c r="L67" s="8">
        <v>42935.043599537035</v>
      </c>
      <c r="M67" s="23">
        <f>LEN(ProjTextTable[[#This Row],[text]])</f>
        <v>4036</v>
      </c>
      <c r="N67" s="23">
        <f>LEN(TRIM(CLEAN(SUBSTITUTE(ProjTextTable[[#This Row],[text]],CHAR(10)," "))))+1 - LEN(SUBSTITUTE(CLEAN(SUBSTITUTE(ProjTextTable[[#This Row],[text]],CHAR(10)," "))," ",""))</f>
        <v>595</v>
      </c>
      <c r="O67" t="s">
        <v>14</v>
      </c>
      <c r="P67" t="s">
        <v>994</v>
      </c>
    </row>
    <row r="68" spans="1:16" x14ac:dyDescent="0.4">
      <c r="A68">
        <f t="shared" si="2"/>
        <v>12</v>
      </c>
      <c r="B68" t="s">
        <v>518</v>
      </c>
      <c r="C68" t="s">
        <v>629</v>
      </c>
      <c r="D68" t="s">
        <v>229</v>
      </c>
      <c r="E68" t="s">
        <v>604</v>
      </c>
      <c r="F68" t="s">
        <v>769</v>
      </c>
      <c r="G68" t="s">
        <v>883</v>
      </c>
      <c r="H68" t="s">
        <v>287</v>
      </c>
      <c r="I68" t="s">
        <v>217</v>
      </c>
      <c r="J68" t="s">
        <v>903</v>
      </c>
      <c r="K68" s="33">
        <v>43031</v>
      </c>
      <c r="L68" s="8"/>
      <c r="M68" s="23">
        <f>LEN(ProjTextTable[[#This Row],[text]])</f>
        <v>3188</v>
      </c>
      <c r="N68" s="23">
        <f>LEN(TRIM(CLEAN(SUBSTITUTE(ProjTextTable[[#This Row],[text]],CHAR(10)," "))))+1 - LEN(SUBSTITUTE(CLEAN(SUBSTITUTE(ProjTextTable[[#This Row],[text]],CHAR(10)," "))," ",""))</f>
        <v>475</v>
      </c>
      <c r="O68" t="s">
        <v>286</v>
      </c>
      <c r="P68" t="s">
        <v>995</v>
      </c>
    </row>
    <row r="69" spans="1:16" x14ac:dyDescent="0.4">
      <c r="A69">
        <f t="shared" si="2"/>
        <v>12</v>
      </c>
      <c r="B69" t="s">
        <v>518</v>
      </c>
      <c r="C69" t="s">
        <v>629</v>
      </c>
      <c r="D69" t="s">
        <v>218</v>
      </c>
      <c r="E69" t="s">
        <v>604</v>
      </c>
      <c r="F69" t="s">
        <v>949</v>
      </c>
      <c r="G69" t="s">
        <v>950</v>
      </c>
      <c r="H69" t="s">
        <v>951</v>
      </c>
      <c r="I69" t="s">
        <v>235</v>
      </c>
      <c r="J69" t="s">
        <v>197</v>
      </c>
      <c r="K69" s="33">
        <v>43032</v>
      </c>
      <c r="L69" s="8">
        <v>43030.879699074074</v>
      </c>
      <c r="M69" s="23">
        <f>LEN(ProjTextTable[[#This Row],[text]])</f>
        <v>2801</v>
      </c>
      <c r="N69" s="23">
        <f>LEN(TRIM(CLEAN(SUBSTITUTE(ProjTextTable[[#This Row],[text]],CHAR(10)," "))))+1 - LEN(SUBSTITUTE(CLEAN(SUBSTITUTE(ProjTextTable[[#This Row],[text]],CHAR(10)," "))," ",""))</f>
        <v>432</v>
      </c>
      <c r="O69" t="s">
        <v>223</v>
      </c>
      <c r="P69" t="s">
        <v>996</v>
      </c>
    </row>
    <row r="70" spans="1:16" x14ac:dyDescent="0.4">
      <c r="A70">
        <f t="shared" si="2"/>
        <v>12</v>
      </c>
      <c r="B70" t="s">
        <v>518</v>
      </c>
      <c r="C70" t="s">
        <v>629</v>
      </c>
      <c r="D70" t="s">
        <v>218</v>
      </c>
      <c r="E70" t="s">
        <v>604</v>
      </c>
      <c r="F70" t="s">
        <v>886</v>
      </c>
      <c r="G70" t="s">
        <v>887</v>
      </c>
      <c r="H70" t="s">
        <v>888</v>
      </c>
      <c r="I70" t="s">
        <v>235</v>
      </c>
      <c r="J70" t="s">
        <v>197</v>
      </c>
      <c r="K70" s="33">
        <v>43032</v>
      </c>
      <c r="L70" s="8">
        <v>43031.585347222222</v>
      </c>
      <c r="M70" s="23">
        <f>LEN(ProjTextTable[[#This Row],[text]])</f>
        <v>3518</v>
      </c>
      <c r="N70" s="23">
        <f>LEN(TRIM(CLEAN(SUBSTITUTE(ProjTextTable[[#This Row],[text]],CHAR(10)," "))))+1 - LEN(SUBSTITUTE(CLEAN(SUBSTITUTE(ProjTextTable[[#This Row],[text]],CHAR(10)," "))," ",""))</f>
        <v>586</v>
      </c>
      <c r="O70" t="s">
        <v>227</v>
      </c>
      <c r="P70" t="s">
        <v>997</v>
      </c>
    </row>
    <row r="71" spans="1:16" x14ac:dyDescent="0.4">
      <c r="A71">
        <f t="shared" si="2"/>
        <v>12</v>
      </c>
      <c r="B71" t="s">
        <v>518</v>
      </c>
      <c r="C71" t="s">
        <v>629</v>
      </c>
      <c r="D71" t="s">
        <v>218</v>
      </c>
      <c r="E71" t="s">
        <v>604</v>
      </c>
      <c r="F71" t="s">
        <v>890</v>
      </c>
      <c r="G71" t="s">
        <v>891</v>
      </c>
      <c r="H71" t="s">
        <v>892</v>
      </c>
      <c r="I71" t="s">
        <v>235</v>
      </c>
      <c r="J71" t="s">
        <v>197</v>
      </c>
      <c r="K71" s="33">
        <v>43032</v>
      </c>
      <c r="L71" s="8">
        <v>43031.332002314812</v>
      </c>
      <c r="M71" s="23">
        <f>LEN(ProjTextTable[[#This Row],[text]])</f>
        <v>2047</v>
      </c>
      <c r="N71" s="23">
        <f>LEN(TRIM(CLEAN(SUBSTITUTE(ProjTextTable[[#This Row],[text]],CHAR(10)," "))))+1 - LEN(SUBSTITUTE(CLEAN(SUBSTITUTE(ProjTextTable[[#This Row],[text]],CHAR(10)," "))," ",""))</f>
        <v>299</v>
      </c>
      <c r="O71" t="s">
        <v>219</v>
      </c>
      <c r="P71" t="s">
        <v>998</v>
      </c>
    </row>
    <row r="72" spans="1:16" x14ac:dyDescent="0.4">
      <c r="A72">
        <f t="shared" si="2"/>
        <v>12</v>
      </c>
      <c r="B72" t="s">
        <v>518</v>
      </c>
      <c r="C72" t="s">
        <v>629</v>
      </c>
      <c r="D72" t="s">
        <v>218</v>
      </c>
      <c r="E72" t="s">
        <v>604</v>
      </c>
      <c r="F72" t="s">
        <v>925</v>
      </c>
      <c r="G72" t="s">
        <v>926</v>
      </c>
      <c r="H72" t="s">
        <v>927</v>
      </c>
      <c r="I72" t="s">
        <v>235</v>
      </c>
      <c r="J72" t="s">
        <v>197</v>
      </c>
      <c r="K72" s="33">
        <v>43032</v>
      </c>
      <c r="L72" s="8">
        <v>43013.77783564815</v>
      </c>
      <c r="M72" s="23">
        <f>LEN(ProjTextTable[[#This Row],[text]])</f>
        <v>5306</v>
      </c>
      <c r="N72" s="23">
        <f>LEN(TRIM(CLEAN(SUBSTITUTE(ProjTextTable[[#This Row],[text]],CHAR(10)," "))))+1 - LEN(SUBSTITUTE(CLEAN(SUBSTITUTE(ProjTextTable[[#This Row],[text]],CHAR(10)," "))," ",""))</f>
        <v>882</v>
      </c>
      <c r="O72" t="s">
        <v>219</v>
      </c>
      <c r="P72" t="s">
        <v>999</v>
      </c>
    </row>
    <row r="73" spans="1:16" x14ac:dyDescent="0.4">
      <c r="A73">
        <f t="shared" si="2"/>
        <v>12</v>
      </c>
      <c r="B73" t="s">
        <v>518</v>
      </c>
      <c r="C73" t="s">
        <v>629</v>
      </c>
      <c r="D73" t="s">
        <v>220</v>
      </c>
      <c r="E73" t="s">
        <v>575</v>
      </c>
      <c r="F73" t="s">
        <v>14</v>
      </c>
      <c r="G73" t="s">
        <v>14</v>
      </c>
      <c r="H73" t="s">
        <v>14</v>
      </c>
      <c r="K73" s="33"/>
      <c r="L73" s="8">
        <v>42936.042557870373</v>
      </c>
      <c r="M73" s="23">
        <f>LEN(ProjTextTable[[#This Row],[text]])</f>
        <v>3445</v>
      </c>
      <c r="N73" s="23">
        <f>LEN(TRIM(CLEAN(SUBSTITUTE(ProjTextTable[[#This Row],[text]],CHAR(10)," "))))+1 - LEN(SUBSTITUTE(CLEAN(SUBSTITUTE(ProjTextTable[[#This Row],[text]],CHAR(10)," "))," ",""))</f>
        <v>492</v>
      </c>
      <c r="O73" t="s">
        <v>14</v>
      </c>
      <c r="P73" t="s">
        <v>1000</v>
      </c>
    </row>
    <row r="74" spans="1:16" x14ac:dyDescent="0.4">
      <c r="A74">
        <f t="shared" si="2"/>
        <v>13</v>
      </c>
      <c r="B74" t="s">
        <v>519</v>
      </c>
      <c r="C74" t="s">
        <v>634</v>
      </c>
      <c r="D74" t="s">
        <v>229</v>
      </c>
      <c r="E74" t="s">
        <v>604</v>
      </c>
      <c r="F74" t="s">
        <v>769</v>
      </c>
      <c r="G74" t="s">
        <v>883</v>
      </c>
      <c r="H74" t="s">
        <v>232</v>
      </c>
      <c r="I74" t="s">
        <v>221</v>
      </c>
      <c r="J74" t="s">
        <v>293</v>
      </c>
      <c r="K74" s="33">
        <v>43031</v>
      </c>
      <c r="L74" s="8"/>
      <c r="M74" s="23">
        <f>LEN(ProjTextTable[[#This Row],[text]])</f>
        <v>4296</v>
      </c>
      <c r="N74" s="23">
        <f>LEN(TRIM(CLEAN(SUBSTITUTE(ProjTextTable[[#This Row],[text]],CHAR(10)," "))))+1 - LEN(SUBSTITUTE(CLEAN(SUBSTITUTE(ProjTextTable[[#This Row],[text]],CHAR(10)," "))," ",""))</f>
        <v>633</v>
      </c>
      <c r="O74" t="s">
        <v>233</v>
      </c>
      <c r="P74" t="s">
        <v>1001</v>
      </c>
    </row>
    <row r="75" spans="1:16" x14ac:dyDescent="0.4">
      <c r="A75">
        <f t="shared" si="2"/>
        <v>13</v>
      </c>
      <c r="B75" t="s">
        <v>519</v>
      </c>
      <c r="C75" t="s">
        <v>634</v>
      </c>
      <c r="D75" t="s">
        <v>218</v>
      </c>
      <c r="E75" t="s">
        <v>604</v>
      </c>
      <c r="F75" t="s">
        <v>925</v>
      </c>
      <c r="G75" t="s">
        <v>926</v>
      </c>
      <c r="H75" t="s">
        <v>927</v>
      </c>
      <c r="I75" t="s">
        <v>235</v>
      </c>
      <c r="J75" t="s">
        <v>197</v>
      </c>
      <c r="K75" s="33">
        <v>43032</v>
      </c>
      <c r="L75" s="8">
        <v>43032.519444444442</v>
      </c>
      <c r="M75" s="23">
        <f>LEN(ProjTextTable[[#This Row],[text]])</f>
        <v>7359</v>
      </c>
      <c r="N75" s="23">
        <f>LEN(TRIM(CLEAN(SUBSTITUTE(ProjTextTable[[#This Row],[text]],CHAR(10)," "))))+1 - LEN(SUBSTITUTE(CLEAN(SUBSTITUTE(ProjTextTable[[#This Row],[text]],CHAR(10)," "))," ",""))</f>
        <v>1246</v>
      </c>
      <c r="O75" t="s">
        <v>223</v>
      </c>
      <c r="P75" t="s">
        <v>1002</v>
      </c>
    </row>
    <row r="76" spans="1:16" x14ac:dyDescent="0.4">
      <c r="A76">
        <f t="shared" si="2"/>
        <v>13</v>
      </c>
      <c r="B76" t="s">
        <v>519</v>
      </c>
      <c r="C76" t="s">
        <v>634</v>
      </c>
      <c r="D76" t="s">
        <v>218</v>
      </c>
      <c r="E76" t="s">
        <v>604</v>
      </c>
      <c r="F76" t="s">
        <v>917</v>
      </c>
      <c r="G76" t="s">
        <v>918</v>
      </c>
      <c r="H76" t="s">
        <v>919</v>
      </c>
      <c r="I76" t="s">
        <v>235</v>
      </c>
      <c r="J76" t="s">
        <v>197</v>
      </c>
      <c r="K76" s="33">
        <v>43032</v>
      </c>
      <c r="L76" s="8">
        <v>43030.097916666666</v>
      </c>
      <c r="M76" s="23">
        <f>LEN(ProjTextTable[[#This Row],[text]])</f>
        <v>2211</v>
      </c>
      <c r="N76" s="23">
        <f>LEN(TRIM(CLEAN(SUBSTITUTE(ProjTextTable[[#This Row],[text]],CHAR(10)," "))))+1 - LEN(SUBSTITUTE(CLEAN(SUBSTITUTE(ProjTextTable[[#This Row],[text]],CHAR(10)," "))," ",""))</f>
        <v>328</v>
      </c>
      <c r="O76" t="s">
        <v>219</v>
      </c>
      <c r="P76" t="s">
        <v>1003</v>
      </c>
    </row>
    <row r="77" spans="1:16" x14ac:dyDescent="0.4">
      <c r="A77">
        <f t="shared" si="2"/>
        <v>13</v>
      </c>
      <c r="B77" t="s">
        <v>519</v>
      </c>
      <c r="C77" t="s">
        <v>634</v>
      </c>
      <c r="D77" t="s">
        <v>218</v>
      </c>
      <c r="E77" t="s">
        <v>604</v>
      </c>
      <c r="F77" t="s">
        <v>930</v>
      </c>
      <c r="G77" t="s">
        <v>931</v>
      </c>
      <c r="H77" t="s">
        <v>932</v>
      </c>
      <c r="I77" t="s">
        <v>235</v>
      </c>
      <c r="J77" t="s">
        <v>197</v>
      </c>
      <c r="K77" s="33">
        <v>43032</v>
      </c>
      <c r="L77" s="8">
        <v>43029.743773148148</v>
      </c>
      <c r="M77" s="23">
        <f>LEN(ProjTextTable[[#This Row],[text]])</f>
        <v>1790</v>
      </c>
      <c r="N77" s="23">
        <f>LEN(TRIM(CLEAN(SUBSTITUTE(ProjTextTable[[#This Row],[text]],CHAR(10)," "))))+1 - LEN(SUBSTITUTE(CLEAN(SUBSTITUTE(ProjTextTable[[#This Row],[text]],CHAR(10)," "))," ",""))</f>
        <v>255</v>
      </c>
      <c r="O77" t="s">
        <v>290</v>
      </c>
      <c r="P77" t="s">
        <v>1004</v>
      </c>
    </row>
    <row r="78" spans="1:16" x14ac:dyDescent="0.4">
      <c r="A78">
        <f t="shared" si="2"/>
        <v>13</v>
      </c>
      <c r="B78" t="s">
        <v>519</v>
      </c>
      <c r="C78" t="s">
        <v>634</v>
      </c>
      <c r="D78" t="s">
        <v>218</v>
      </c>
      <c r="E78" t="s">
        <v>604</v>
      </c>
      <c r="F78" t="s">
        <v>958</v>
      </c>
      <c r="G78" t="s">
        <v>959</v>
      </c>
      <c r="H78" t="s">
        <v>960</v>
      </c>
      <c r="I78" t="s">
        <v>235</v>
      </c>
      <c r="J78" t="s">
        <v>197</v>
      </c>
      <c r="K78" s="33">
        <v>43032</v>
      </c>
      <c r="L78" s="8">
        <v>43026.70988425926</v>
      </c>
      <c r="M78" s="23">
        <f>LEN(ProjTextTable[[#This Row],[text]])</f>
        <v>2510</v>
      </c>
      <c r="N78" s="23">
        <f>LEN(TRIM(CLEAN(SUBSTITUTE(ProjTextTable[[#This Row],[text]],CHAR(10)," "))))+1 - LEN(SUBSTITUTE(CLEAN(SUBSTITUTE(ProjTextTable[[#This Row],[text]],CHAR(10)," "))," ",""))</f>
        <v>396</v>
      </c>
      <c r="O78" t="s">
        <v>223</v>
      </c>
      <c r="P78" t="s">
        <v>1005</v>
      </c>
    </row>
    <row r="79" spans="1:16" x14ac:dyDescent="0.4">
      <c r="A79">
        <f t="shared" si="2"/>
        <v>13</v>
      </c>
      <c r="B79" t="s">
        <v>519</v>
      </c>
      <c r="C79" t="s">
        <v>634</v>
      </c>
      <c r="D79" t="s">
        <v>220</v>
      </c>
      <c r="E79" t="s">
        <v>575</v>
      </c>
      <c r="F79" t="s">
        <v>14</v>
      </c>
      <c r="G79" t="s">
        <v>14</v>
      </c>
      <c r="H79" t="s">
        <v>14</v>
      </c>
      <c r="K79" s="33"/>
      <c r="L79" s="8">
        <v>42936.042581018519</v>
      </c>
      <c r="M79" s="23">
        <f>LEN(ProjTextTable[[#This Row],[text]])</f>
        <v>2310</v>
      </c>
      <c r="N79" s="23">
        <f>LEN(TRIM(CLEAN(SUBSTITUTE(ProjTextTable[[#This Row],[text]],CHAR(10)," "))))+1 - LEN(SUBSTITUTE(CLEAN(SUBSTITUTE(ProjTextTable[[#This Row],[text]],CHAR(10)," "))," ",""))</f>
        <v>295</v>
      </c>
      <c r="O79" t="s">
        <v>14</v>
      </c>
      <c r="P79" t="s">
        <v>1006</v>
      </c>
    </row>
    <row r="80" spans="1:16" x14ac:dyDescent="0.4">
      <c r="A80">
        <f t="shared" si="2"/>
        <v>14</v>
      </c>
      <c r="B80" t="s">
        <v>520</v>
      </c>
      <c r="C80" t="s">
        <v>641</v>
      </c>
      <c r="D80" t="s">
        <v>229</v>
      </c>
      <c r="E80" t="s">
        <v>604</v>
      </c>
      <c r="F80" t="s">
        <v>769</v>
      </c>
      <c r="G80" t="s">
        <v>883</v>
      </c>
      <c r="H80" t="s">
        <v>232</v>
      </c>
      <c r="I80" t="s">
        <v>221</v>
      </c>
      <c r="J80" t="s">
        <v>217</v>
      </c>
      <c r="K80" s="33">
        <v>43031</v>
      </c>
      <c r="L80" s="8"/>
      <c r="M80" s="23">
        <f>LEN(ProjTextTable[[#This Row],[text]])</f>
        <v>2693</v>
      </c>
      <c r="N80" s="23">
        <f>LEN(TRIM(CLEAN(SUBSTITUTE(ProjTextTable[[#This Row],[text]],CHAR(10)," "))))+1 - LEN(SUBSTITUTE(CLEAN(SUBSTITUTE(ProjTextTable[[#This Row],[text]],CHAR(10)," "))," ",""))</f>
        <v>386</v>
      </c>
      <c r="O80" t="s">
        <v>233</v>
      </c>
      <c r="P80" t="s">
        <v>1007</v>
      </c>
    </row>
    <row r="81" spans="1:16" x14ac:dyDescent="0.4">
      <c r="A81">
        <f t="shared" si="2"/>
        <v>14</v>
      </c>
      <c r="B81" t="s">
        <v>520</v>
      </c>
      <c r="C81" t="s">
        <v>641</v>
      </c>
      <c r="D81" t="s">
        <v>218</v>
      </c>
      <c r="E81" t="s">
        <v>604</v>
      </c>
      <c r="F81" t="s">
        <v>953</v>
      </c>
      <c r="G81" t="s">
        <v>954</v>
      </c>
      <c r="H81" t="s">
        <v>955</v>
      </c>
      <c r="I81" t="s">
        <v>235</v>
      </c>
      <c r="J81" t="s">
        <v>197</v>
      </c>
      <c r="K81" s="33">
        <v>43032</v>
      </c>
      <c r="L81" s="8">
        <v>43027.652361111112</v>
      </c>
      <c r="M81" s="23">
        <f>LEN(ProjTextTable[[#This Row],[text]])</f>
        <v>2118</v>
      </c>
      <c r="N81" s="23">
        <f>LEN(TRIM(CLEAN(SUBSTITUTE(ProjTextTable[[#This Row],[text]],CHAR(10)," "))))+1 - LEN(SUBSTITUTE(CLEAN(SUBSTITUTE(ProjTextTable[[#This Row],[text]],CHAR(10)," "))," ",""))</f>
        <v>305</v>
      </c>
      <c r="O81" t="s">
        <v>223</v>
      </c>
      <c r="P81" t="s">
        <v>1008</v>
      </c>
    </row>
    <row r="82" spans="1:16" x14ac:dyDescent="0.4">
      <c r="A82">
        <f t="shared" si="2"/>
        <v>14</v>
      </c>
      <c r="B82" t="s">
        <v>520</v>
      </c>
      <c r="C82" t="s">
        <v>641</v>
      </c>
      <c r="D82" t="s">
        <v>218</v>
      </c>
      <c r="E82" t="s">
        <v>575</v>
      </c>
      <c r="F82" t="s">
        <v>898</v>
      </c>
      <c r="G82" t="s">
        <v>899</v>
      </c>
      <c r="H82" t="s">
        <v>900</v>
      </c>
      <c r="I82" t="s">
        <v>235</v>
      </c>
      <c r="J82" t="s">
        <v>197</v>
      </c>
      <c r="K82" s="33">
        <v>43032</v>
      </c>
      <c r="L82" s="8">
        <v>43031.632939814815</v>
      </c>
      <c r="M82" s="23">
        <f>LEN(ProjTextTable[[#This Row],[text]])</f>
        <v>2363</v>
      </c>
      <c r="N82" s="23">
        <f>LEN(TRIM(CLEAN(SUBSTITUTE(ProjTextTable[[#This Row],[text]],CHAR(10)," "))))+1 - LEN(SUBSTITUTE(CLEAN(SUBSTITUTE(ProjTextTable[[#This Row],[text]],CHAR(10)," "))," ",""))</f>
        <v>352</v>
      </c>
      <c r="O82" t="s">
        <v>223</v>
      </c>
      <c r="P82" t="s">
        <v>1009</v>
      </c>
    </row>
    <row r="83" spans="1:16" x14ac:dyDescent="0.4">
      <c r="A83">
        <f t="shared" si="2"/>
        <v>14</v>
      </c>
      <c r="B83" t="s">
        <v>520</v>
      </c>
      <c r="C83" t="s">
        <v>641</v>
      </c>
      <c r="D83" t="s">
        <v>218</v>
      </c>
      <c r="E83" t="s">
        <v>604</v>
      </c>
      <c r="F83" t="s">
        <v>925</v>
      </c>
      <c r="G83" t="s">
        <v>926</v>
      </c>
      <c r="H83" t="s">
        <v>927</v>
      </c>
      <c r="I83" t="s">
        <v>235</v>
      </c>
      <c r="J83" t="s">
        <v>197</v>
      </c>
      <c r="K83" s="33">
        <v>43032</v>
      </c>
      <c r="L83" s="8">
        <v>43032.520671296297</v>
      </c>
      <c r="M83" s="23">
        <f>LEN(ProjTextTable[[#This Row],[text]])</f>
        <v>5534</v>
      </c>
      <c r="N83" s="23">
        <f>LEN(TRIM(CLEAN(SUBSTITUTE(ProjTextTable[[#This Row],[text]],CHAR(10)," "))))+1 - LEN(SUBSTITUTE(CLEAN(SUBSTITUTE(ProjTextTable[[#This Row],[text]],CHAR(10)," "))," ",""))</f>
        <v>912</v>
      </c>
      <c r="O83" t="s">
        <v>290</v>
      </c>
      <c r="P83" t="s">
        <v>1010</v>
      </c>
    </row>
    <row r="84" spans="1:16" x14ac:dyDescent="0.4">
      <c r="A84">
        <f t="shared" si="2"/>
        <v>14</v>
      </c>
      <c r="B84" t="s">
        <v>520</v>
      </c>
      <c r="C84" t="s">
        <v>641</v>
      </c>
      <c r="D84" t="s">
        <v>218</v>
      </c>
      <c r="E84" t="s">
        <v>604</v>
      </c>
      <c r="F84" t="s">
        <v>967</v>
      </c>
      <c r="G84" t="s">
        <v>968</v>
      </c>
      <c r="H84" t="s">
        <v>969</v>
      </c>
      <c r="I84" t="s">
        <v>235</v>
      </c>
      <c r="J84" t="s">
        <v>197</v>
      </c>
      <c r="K84" s="33">
        <v>43032</v>
      </c>
      <c r="L84" s="8">
        <v>43030.650266203702</v>
      </c>
      <c r="M84" s="23">
        <f>LEN(ProjTextTable[[#This Row],[text]])</f>
        <v>2740</v>
      </c>
      <c r="N84" s="23">
        <f>LEN(TRIM(CLEAN(SUBSTITUTE(ProjTextTable[[#This Row],[text]],CHAR(10)," "))))+1 - LEN(SUBSTITUTE(CLEAN(SUBSTITUTE(ProjTextTable[[#This Row],[text]],CHAR(10)," "))," ",""))</f>
        <v>440</v>
      </c>
      <c r="O84" t="s">
        <v>222</v>
      </c>
      <c r="P84" t="s">
        <v>1011</v>
      </c>
    </row>
    <row r="85" spans="1:16" x14ac:dyDescent="0.4">
      <c r="A85">
        <f t="shared" si="2"/>
        <v>14</v>
      </c>
      <c r="B85" t="s">
        <v>520</v>
      </c>
      <c r="C85" t="s">
        <v>641</v>
      </c>
      <c r="D85" t="s">
        <v>220</v>
      </c>
      <c r="E85" t="s">
        <v>575</v>
      </c>
      <c r="F85" t="s">
        <v>14</v>
      </c>
      <c r="G85" t="s">
        <v>14</v>
      </c>
      <c r="H85" t="s">
        <v>14</v>
      </c>
      <c r="K85" s="33"/>
      <c r="L85" s="8">
        <v>42936.042615740742</v>
      </c>
      <c r="M85" s="23">
        <f>LEN(ProjTextTable[[#This Row],[text]])</f>
        <v>4420</v>
      </c>
      <c r="N85" s="23">
        <f>LEN(TRIM(CLEAN(SUBSTITUTE(ProjTextTable[[#This Row],[text]],CHAR(10)," "))))+1 - LEN(SUBSTITUTE(CLEAN(SUBSTITUTE(ProjTextTable[[#This Row],[text]],CHAR(10)," "))," ",""))</f>
        <v>643</v>
      </c>
      <c r="O85" t="s">
        <v>14</v>
      </c>
      <c r="P85" t="s">
        <v>1012</v>
      </c>
    </row>
    <row r="86" spans="1:16" x14ac:dyDescent="0.4">
      <c r="A86">
        <f t="shared" si="2"/>
        <v>15</v>
      </c>
      <c r="B86" t="s">
        <v>521</v>
      </c>
      <c r="C86" t="s">
        <v>647</v>
      </c>
      <c r="D86" t="s">
        <v>229</v>
      </c>
      <c r="E86" t="s">
        <v>604</v>
      </c>
      <c r="F86" t="s">
        <v>769</v>
      </c>
      <c r="G86" t="s">
        <v>883</v>
      </c>
      <c r="H86" t="s">
        <v>287</v>
      </c>
      <c r="I86" t="s">
        <v>217</v>
      </c>
      <c r="J86" t="s">
        <v>903</v>
      </c>
      <c r="K86" s="33">
        <v>43031</v>
      </c>
      <c r="L86" s="8"/>
      <c r="M86" s="23">
        <f>LEN(ProjTextTable[[#This Row],[text]])</f>
        <v>2933</v>
      </c>
      <c r="N86" s="23">
        <f>LEN(TRIM(CLEAN(SUBSTITUTE(ProjTextTable[[#This Row],[text]],CHAR(10)," "))))+1 - LEN(SUBSTITUTE(CLEAN(SUBSTITUTE(ProjTextTable[[#This Row],[text]],CHAR(10)," "))," ",""))</f>
        <v>435</v>
      </c>
      <c r="O86" t="s">
        <v>286</v>
      </c>
      <c r="P86" t="s">
        <v>1013</v>
      </c>
    </row>
    <row r="87" spans="1:16" x14ac:dyDescent="0.4">
      <c r="A87">
        <f t="shared" si="2"/>
        <v>15</v>
      </c>
      <c r="B87" t="s">
        <v>521</v>
      </c>
      <c r="C87" t="s">
        <v>647</v>
      </c>
      <c r="D87" t="s">
        <v>218</v>
      </c>
      <c r="E87" t="s">
        <v>604</v>
      </c>
      <c r="F87" t="s">
        <v>949</v>
      </c>
      <c r="G87" t="s">
        <v>950</v>
      </c>
      <c r="H87" t="s">
        <v>951</v>
      </c>
      <c r="I87" t="s">
        <v>235</v>
      </c>
      <c r="J87" t="s">
        <v>197</v>
      </c>
      <c r="K87" s="33">
        <v>43032</v>
      </c>
      <c r="L87" s="8">
        <v>43030.861539351848</v>
      </c>
      <c r="M87" s="23">
        <f>LEN(ProjTextTable[[#This Row],[text]])</f>
        <v>2279</v>
      </c>
      <c r="N87" s="23">
        <f>LEN(TRIM(CLEAN(SUBSTITUTE(ProjTextTable[[#This Row],[text]],CHAR(10)," "))))+1 - LEN(SUBSTITUTE(CLEAN(SUBSTITUTE(ProjTextTable[[#This Row],[text]],CHAR(10)," "))," ",""))</f>
        <v>335</v>
      </c>
      <c r="O87" t="s">
        <v>222</v>
      </c>
      <c r="P87" t="s">
        <v>1014</v>
      </c>
    </row>
    <row r="88" spans="1:16" x14ac:dyDescent="0.4">
      <c r="A88">
        <f t="shared" si="2"/>
        <v>15</v>
      </c>
      <c r="B88" t="s">
        <v>521</v>
      </c>
      <c r="C88" t="s">
        <v>647</v>
      </c>
      <c r="D88" t="s">
        <v>218</v>
      </c>
      <c r="E88" t="s">
        <v>604</v>
      </c>
      <c r="F88" t="s">
        <v>894</v>
      </c>
      <c r="G88" t="s">
        <v>895</v>
      </c>
      <c r="H88" t="s">
        <v>896</v>
      </c>
      <c r="I88" t="s">
        <v>235</v>
      </c>
      <c r="J88" t="s">
        <v>197</v>
      </c>
      <c r="K88" s="33">
        <v>43032</v>
      </c>
      <c r="L88" s="8">
        <v>43030.96875</v>
      </c>
      <c r="M88" s="23">
        <f>LEN(ProjTextTable[[#This Row],[text]])</f>
        <v>2428</v>
      </c>
      <c r="N88" s="23">
        <f>LEN(TRIM(CLEAN(SUBSTITUTE(ProjTextTable[[#This Row],[text]],CHAR(10)," "))))+1 - LEN(SUBSTITUTE(CLEAN(SUBSTITUTE(ProjTextTable[[#This Row],[text]],CHAR(10)," "))," ",""))</f>
        <v>386</v>
      </c>
      <c r="O88" t="s">
        <v>226</v>
      </c>
      <c r="P88" t="s">
        <v>1015</v>
      </c>
    </row>
    <row r="89" spans="1:16" x14ac:dyDescent="0.4">
      <c r="A89">
        <f t="shared" si="2"/>
        <v>15</v>
      </c>
      <c r="B89" t="s">
        <v>521</v>
      </c>
      <c r="C89" t="s">
        <v>647</v>
      </c>
      <c r="D89" t="s">
        <v>218</v>
      </c>
      <c r="E89" t="s">
        <v>604</v>
      </c>
      <c r="F89" t="s">
        <v>917</v>
      </c>
      <c r="G89" t="s">
        <v>918</v>
      </c>
      <c r="H89" t="s">
        <v>919</v>
      </c>
      <c r="I89" t="s">
        <v>235</v>
      </c>
      <c r="J89" t="s">
        <v>197</v>
      </c>
      <c r="K89" s="33">
        <v>43032</v>
      </c>
      <c r="L89" s="8">
        <v>43030.694988425923</v>
      </c>
      <c r="M89" s="23">
        <f>LEN(ProjTextTable[[#This Row],[text]])</f>
        <v>4076</v>
      </c>
      <c r="N89" s="23">
        <f>LEN(TRIM(CLEAN(SUBSTITUTE(ProjTextTable[[#This Row],[text]],CHAR(10)," "))))+1 - LEN(SUBSTITUTE(CLEAN(SUBSTITUTE(ProjTextTable[[#This Row],[text]],CHAR(10)," "))," ",""))</f>
        <v>620</v>
      </c>
      <c r="O89" t="s">
        <v>223</v>
      </c>
      <c r="P89" t="s">
        <v>1016</v>
      </c>
    </row>
    <row r="90" spans="1:16" x14ac:dyDescent="0.4">
      <c r="A90">
        <f t="shared" si="2"/>
        <v>15</v>
      </c>
      <c r="B90" t="s">
        <v>521</v>
      </c>
      <c r="C90" t="s">
        <v>647</v>
      </c>
      <c r="D90" t="s">
        <v>218</v>
      </c>
      <c r="E90" t="s">
        <v>604</v>
      </c>
      <c r="F90" t="s">
        <v>958</v>
      </c>
      <c r="G90" t="s">
        <v>959</v>
      </c>
      <c r="H90" t="s">
        <v>960</v>
      </c>
      <c r="I90" t="s">
        <v>235</v>
      </c>
      <c r="J90" t="s">
        <v>197</v>
      </c>
      <c r="K90" s="33">
        <v>43032</v>
      </c>
      <c r="L90" s="8">
        <v>43030.806562500002</v>
      </c>
      <c r="M90" s="23">
        <f>LEN(ProjTextTable[[#This Row],[text]])</f>
        <v>3124</v>
      </c>
      <c r="N90" s="23">
        <f>LEN(TRIM(CLEAN(SUBSTITUTE(ProjTextTable[[#This Row],[text]],CHAR(10)," "))))+1 - LEN(SUBSTITUTE(CLEAN(SUBSTITUTE(ProjTextTable[[#This Row],[text]],CHAR(10)," "))," ",""))</f>
        <v>492</v>
      </c>
      <c r="O90" t="s">
        <v>226</v>
      </c>
      <c r="P90" t="s">
        <v>1017</v>
      </c>
    </row>
    <row r="91" spans="1:16" x14ac:dyDescent="0.4">
      <c r="A91">
        <f t="shared" si="2"/>
        <v>15</v>
      </c>
      <c r="B91" t="s">
        <v>521</v>
      </c>
      <c r="C91" t="s">
        <v>647</v>
      </c>
      <c r="D91" t="s">
        <v>220</v>
      </c>
      <c r="E91" t="s">
        <v>575</v>
      </c>
      <c r="F91" t="s">
        <v>14</v>
      </c>
      <c r="G91" t="s">
        <v>14</v>
      </c>
      <c r="H91" t="s">
        <v>14</v>
      </c>
      <c r="K91" s="33"/>
      <c r="L91" s="8">
        <v>42936.043032407404</v>
      </c>
      <c r="M91" s="23">
        <f>LEN(ProjTextTable[[#This Row],[text]])</f>
        <v>4474</v>
      </c>
      <c r="N91" s="23">
        <f>LEN(TRIM(CLEAN(SUBSTITUTE(ProjTextTable[[#This Row],[text]],CHAR(10)," "))))+1 - LEN(SUBSTITUTE(CLEAN(SUBSTITUTE(ProjTextTable[[#This Row],[text]],CHAR(10)," "))," ",""))</f>
        <v>661</v>
      </c>
      <c r="O91" t="s">
        <v>14</v>
      </c>
      <c r="P91" t="s">
        <v>1018</v>
      </c>
    </row>
    <row r="92" spans="1:16" x14ac:dyDescent="0.4">
      <c r="A92">
        <f t="shared" si="2"/>
        <v>16</v>
      </c>
      <c r="B92" t="s">
        <v>522</v>
      </c>
      <c r="C92" t="s">
        <v>652</v>
      </c>
      <c r="D92" t="s">
        <v>229</v>
      </c>
      <c r="E92" t="s">
        <v>604</v>
      </c>
      <c r="F92" t="s">
        <v>769</v>
      </c>
      <c r="G92" t="s">
        <v>883</v>
      </c>
      <c r="H92" t="s">
        <v>282</v>
      </c>
      <c r="I92" t="s">
        <v>101</v>
      </c>
      <c r="J92" t="s">
        <v>101</v>
      </c>
      <c r="K92" s="33">
        <v>43031</v>
      </c>
      <c r="L92" s="8"/>
      <c r="M92" s="23">
        <f>LEN(ProjTextTable[[#This Row],[text]])</f>
        <v>3395</v>
      </c>
      <c r="N92" s="23">
        <f>LEN(TRIM(CLEAN(SUBSTITUTE(ProjTextTable[[#This Row],[text]],CHAR(10)," "))))+1 - LEN(SUBSTITUTE(CLEAN(SUBSTITUTE(ProjTextTable[[#This Row],[text]],CHAR(10)," "))," ",""))</f>
        <v>510</v>
      </c>
      <c r="O92" t="s">
        <v>280</v>
      </c>
      <c r="P92" t="s">
        <v>1019</v>
      </c>
    </row>
    <row r="93" spans="1:16" x14ac:dyDescent="0.4">
      <c r="A93">
        <f t="shared" si="2"/>
        <v>16</v>
      </c>
      <c r="B93" t="s">
        <v>522</v>
      </c>
      <c r="C93" t="s">
        <v>652</v>
      </c>
      <c r="D93" t="s">
        <v>218</v>
      </c>
      <c r="E93" t="s">
        <v>604</v>
      </c>
      <c r="F93" t="s">
        <v>894</v>
      </c>
      <c r="G93" t="s">
        <v>895</v>
      </c>
      <c r="H93" t="s">
        <v>896</v>
      </c>
      <c r="I93" t="s">
        <v>235</v>
      </c>
      <c r="J93" t="s">
        <v>197</v>
      </c>
      <c r="K93" s="33">
        <v>43032</v>
      </c>
      <c r="L93" s="8">
        <v>43031.606099537035</v>
      </c>
      <c r="M93" s="23">
        <f>LEN(ProjTextTable[[#This Row],[text]])</f>
        <v>3088</v>
      </c>
      <c r="N93" s="23">
        <f>LEN(TRIM(CLEAN(SUBSTITUTE(ProjTextTable[[#This Row],[text]],CHAR(10)," "))))+1 - LEN(SUBSTITUTE(CLEAN(SUBSTITUTE(ProjTextTable[[#This Row],[text]],CHAR(10)," "))," ",""))</f>
        <v>450</v>
      </c>
      <c r="O93" t="s">
        <v>222</v>
      </c>
      <c r="P93" t="s">
        <v>1020</v>
      </c>
    </row>
    <row r="94" spans="1:16" x14ac:dyDescent="0.4">
      <c r="A94">
        <f t="shared" si="2"/>
        <v>16</v>
      </c>
      <c r="B94" t="s">
        <v>522</v>
      </c>
      <c r="C94" t="s">
        <v>652</v>
      </c>
      <c r="D94" t="s">
        <v>218</v>
      </c>
      <c r="E94" t="s">
        <v>604</v>
      </c>
      <c r="F94" t="s">
        <v>925</v>
      </c>
      <c r="G94" t="s">
        <v>926</v>
      </c>
      <c r="H94" t="s">
        <v>927</v>
      </c>
      <c r="I94" t="s">
        <v>235</v>
      </c>
      <c r="J94" t="s">
        <v>197</v>
      </c>
      <c r="K94" s="33">
        <v>43032</v>
      </c>
      <c r="L94" s="8">
        <v>43032.52853009259</v>
      </c>
      <c r="M94" s="23">
        <f>LEN(ProjTextTable[[#This Row],[text]])</f>
        <v>4240</v>
      </c>
      <c r="N94" s="23">
        <f>LEN(TRIM(CLEAN(SUBSTITUTE(ProjTextTable[[#This Row],[text]],CHAR(10)," "))))+1 - LEN(SUBSTITUTE(CLEAN(SUBSTITUTE(ProjTextTable[[#This Row],[text]],CHAR(10)," "))," ",""))</f>
        <v>665</v>
      </c>
      <c r="O94" t="s">
        <v>219</v>
      </c>
      <c r="P94" t="s">
        <v>1021</v>
      </c>
    </row>
    <row r="95" spans="1:16" x14ac:dyDescent="0.4">
      <c r="A95">
        <f t="shared" si="2"/>
        <v>16</v>
      </c>
      <c r="B95" t="s">
        <v>522</v>
      </c>
      <c r="C95" t="s">
        <v>652</v>
      </c>
      <c r="D95" t="s">
        <v>218</v>
      </c>
      <c r="E95" t="s">
        <v>604</v>
      </c>
      <c r="F95" t="s">
        <v>967</v>
      </c>
      <c r="G95" t="s">
        <v>968</v>
      </c>
      <c r="H95" t="s">
        <v>969</v>
      </c>
      <c r="I95" t="s">
        <v>235</v>
      </c>
      <c r="J95" t="s">
        <v>197</v>
      </c>
      <c r="K95" s="33">
        <v>43032</v>
      </c>
      <c r="L95" s="8">
        <v>43030.964513888888</v>
      </c>
      <c r="M95" s="23">
        <f>LEN(ProjTextTable[[#This Row],[text]])</f>
        <v>1835</v>
      </c>
      <c r="N95" s="23">
        <f>LEN(TRIM(CLEAN(SUBSTITUTE(ProjTextTable[[#This Row],[text]],CHAR(10)," "))))+1 - LEN(SUBSTITUTE(CLEAN(SUBSTITUTE(ProjTextTable[[#This Row],[text]],CHAR(10)," "))," ",""))</f>
        <v>279</v>
      </c>
      <c r="O95" t="s">
        <v>222</v>
      </c>
      <c r="P95" t="s">
        <v>1022</v>
      </c>
    </row>
    <row r="96" spans="1:16" x14ac:dyDescent="0.4">
      <c r="A96">
        <f t="shared" si="2"/>
        <v>16</v>
      </c>
      <c r="B96" t="s">
        <v>522</v>
      </c>
      <c r="C96" t="s">
        <v>652</v>
      </c>
      <c r="D96" t="s">
        <v>218</v>
      </c>
      <c r="E96" t="s">
        <v>604</v>
      </c>
      <c r="F96" t="s">
        <v>930</v>
      </c>
      <c r="G96" t="s">
        <v>931</v>
      </c>
      <c r="H96" t="s">
        <v>932</v>
      </c>
      <c r="I96" t="s">
        <v>235</v>
      </c>
      <c r="J96" t="s">
        <v>197</v>
      </c>
      <c r="K96" s="33">
        <v>43032</v>
      </c>
      <c r="L96" s="8">
        <v>43028.722314814811</v>
      </c>
      <c r="M96" s="23">
        <f>LEN(ProjTextTable[[#This Row],[text]])</f>
        <v>1743</v>
      </c>
      <c r="N96" s="23">
        <f>LEN(TRIM(CLEAN(SUBSTITUTE(ProjTextTable[[#This Row],[text]],CHAR(10)," "))))+1 - LEN(SUBSTITUTE(CLEAN(SUBSTITUTE(ProjTextTable[[#This Row],[text]],CHAR(10)," "))," ",""))</f>
        <v>246</v>
      </c>
      <c r="O96" t="s">
        <v>290</v>
      </c>
      <c r="P96" t="s">
        <v>1023</v>
      </c>
    </row>
    <row r="97" spans="1:16" x14ac:dyDescent="0.4">
      <c r="A97">
        <f t="shared" si="2"/>
        <v>17</v>
      </c>
      <c r="B97" t="s">
        <v>523</v>
      </c>
      <c r="C97" t="s">
        <v>658</v>
      </c>
      <c r="D97" t="s">
        <v>229</v>
      </c>
      <c r="E97" t="s">
        <v>604</v>
      </c>
      <c r="F97" t="s">
        <v>769</v>
      </c>
      <c r="G97" t="s">
        <v>883</v>
      </c>
      <c r="H97" t="s">
        <v>287</v>
      </c>
      <c r="I97" t="s">
        <v>217</v>
      </c>
      <c r="J97" t="s">
        <v>903</v>
      </c>
      <c r="K97" s="33">
        <v>43031</v>
      </c>
      <c r="L97" s="8"/>
      <c r="M97" s="23">
        <f>LEN(ProjTextTable[[#This Row],[text]])</f>
        <v>3384</v>
      </c>
      <c r="N97" s="23">
        <f>LEN(TRIM(CLEAN(SUBSTITUTE(ProjTextTable[[#This Row],[text]],CHAR(10)," "))))+1 - LEN(SUBSTITUTE(CLEAN(SUBSTITUTE(ProjTextTable[[#This Row],[text]],CHAR(10)," "))," ",""))</f>
        <v>497</v>
      </c>
      <c r="O97" t="s">
        <v>286</v>
      </c>
      <c r="P97" t="s">
        <v>1024</v>
      </c>
    </row>
    <row r="98" spans="1:16" x14ac:dyDescent="0.4">
      <c r="A98">
        <f t="shared" ref="A98:A129" si="3">A97+(B98&lt;&gt;B97)</f>
        <v>17</v>
      </c>
      <c r="B98" t="s">
        <v>523</v>
      </c>
      <c r="C98" t="s">
        <v>658</v>
      </c>
      <c r="D98" t="s">
        <v>218</v>
      </c>
      <c r="E98" t="s">
        <v>604</v>
      </c>
      <c r="F98" t="s">
        <v>949</v>
      </c>
      <c r="G98" t="s">
        <v>950</v>
      </c>
      <c r="H98" t="s">
        <v>951</v>
      </c>
      <c r="I98" t="s">
        <v>235</v>
      </c>
      <c r="J98" t="s">
        <v>197</v>
      </c>
      <c r="K98" s="33">
        <v>43032</v>
      </c>
      <c r="L98" s="8">
        <v>43030.881342592591</v>
      </c>
      <c r="M98" s="23">
        <f>LEN(ProjTextTable[[#This Row],[text]])</f>
        <v>2806</v>
      </c>
      <c r="N98" s="23">
        <f>LEN(TRIM(CLEAN(SUBSTITUTE(ProjTextTable[[#This Row],[text]],CHAR(10)," "))))+1 - LEN(SUBSTITUTE(CLEAN(SUBSTITUTE(ProjTextTable[[#This Row],[text]],CHAR(10)," "))," ",""))</f>
        <v>425</v>
      </c>
      <c r="O98" t="s">
        <v>223</v>
      </c>
      <c r="P98" t="s">
        <v>1025</v>
      </c>
    </row>
    <row r="99" spans="1:16" x14ac:dyDescent="0.4">
      <c r="A99">
        <f t="shared" si="3"/>
        <v>17</v>
      </c>
      <c r="B99" t="s">
        <v>523</v>
      </c>
      <c r="C99" t="s">
        <v>658</v>
      </c>
      <c r="D99" t="s">
        <v>218</v>
      </c>
      <c r="E99" t="s">
        <v>604</v>
      </c>
      <c r="F99" t="s">
        <v>886</v>
      </c>
      <c r="G99" t="s">
        <v>887</v>
      </c>
      <c r="H99" t="s">
        <v>888</v>
      </c>
      <c r="I99" t="s">
        <v>235</v>
      </c>
      <c r="J99" t="s">
        <v>197</v>
      </c>
      <c r="K99" s="33">
        <v>43032</v>
      </c>
      <c r="L99" s="8">
        <v>43031.585636574076</v>
      </c>
      <c r="M99" s="23">
        <f>LEN(ProjTextTable[[#This Row],[text]])</f>
        <v>3764</v>
      </c>
      <c r="N99" s="23">
        <f>LEN(TRIM(CLEAN(SUBSTITUTE(ProjTextTable[[#This Row],[text]],CHAR(10)," "))))+1 - LEN(SUBSTITUTE(CLEAN(SUBSTITUTE(ProjTextTable[[#This Row],[text]],CHAR(10)," "))," ",""))</f>
        <v>592</v>
      </c>
      <c r="O99" t="s">
        <v>226</v>
      </c>
      <c r="P99" t="s">
        <v>1026</v>
      </c>
    </row>
    <row r="100" spans="1:16" x14ac:dyDescent="0.4">
      <c r="A100">
        <f t="shared" si="3"/>
        <v>17</v>
      </c>
      <c r="B100" t="s">
        <v>523</v>
      </c>
      <c r="C100" t="s">
        <v>658</v>
      </c>
      <c r="D100" t="s">
        <v>218</v>
      </c>
      <c r="E100" t="s">
        <v>604</v>
      </c>
      <c r="F100" t="s">
        <v>894</v>
      </c>
      <c r="G100" t="s">
        <v>895</v>
      </c>
      <c r="H100" t="s">
        <v>896</v>
      </c>
      <c r="I100" t="s">
        <v>235</v>
      </c>
      <c r="J100" t="s">
        <v>197</v>
      </c>
      <c r="K100" s="33">
        <v>43032</v>
      </c>
      <c r="L100" s="8">
        <v>43030.737314814818</v>
      </c>
      <c r="M100" s="23">
        <f>LEN(ProjTextTable[[#This Row],[text]])</f>
        <v>2838</v>
      </c>
      <c r="N100" s="23">
        <f>LEN(TRIM(CLEAN(SUBSTITUTE(ProjTextTable[[#This Row],[text]],CHAR(10)," "))))+1 - LEN(SUBSTITUTE(CLEAN(SUBSTITUTE(ProjTextTable[[#This Row],[text]],CHAR(10)," "))," ",""))</f>
        <v>429</v>
      </c>
      <c r="O100" t="s">
        <v>222</v>
      </c>
      <c r="P100" t="s">
        <v>1027</v>
      </c>
    </row>
    <row r="101" spans="1:16" x14ac:dyDescent="0.4">
      <c r="A101">
        <f t="shared" si="3"/>
        <v>17</v>
      </c>
      <c r="B101" t="s">
        <v>523</v>
      </c>
      <c r="C101" t="s">
        <v>658</v>
      </c>
      <c r="D101" t="s">
        <v>218</v>
      </c>
      <c r="E101" t="s">
        <v>604</v>
      </c>
      <c r="F101" t="s">
        <v>930</v>
      </c>
      <c r="G101" t="s">
        <v>931</v>
      </c>
      <c r="H101" t="s">
        <v>932</v>
      </c>
      <c r="I101" t="s">
        <v>235</v>
      </c>
      <c r="J101" t="s">
        <v>197</v>
      </c>
      <c r="K101" s="33">
        <v>43032</v>
      </c>
      <c r="L101" s="8">
        <v>43032.487256944441</v>
      </c>
      <c r="M101" s="23">
        <f>LEN(ProjTextTable[[#This Row],[text]])</f>
        <v>1564</v>
      </c>
      <c r="N101" s="23">
        <f>LEN(TRIM(CLEAN(SUBSTITUTE(ProjTextTable[[#This Row],[text]],CHAR(10)," "))))+1 - LEN(SUBSTITUTE(CLEAN(SUBSTITUTE(ProjTextTable[[#This Row],[text]],CHAR(10)," "))," ",""))</f>
        <v>236</v>
      </c>
      <c r="O101" t="s">
        <v>219</v>
      </c>
      <c r="P101" t="s">
        <v>1028</v>
      </c>
    </row>
    <row r="102" spans="1:16" x14ac:dyDescent="0.4">
      <c r="A102">
        <f t="shared" si="3"/>
        <v>17</v>
      </c>
      <c r="B102" t="s">
        <v>523</v>
      </c>
      <c r="C102" t="s">
        <v>658</v>
      </c>
      <c r="D102" t="s">
        <v>220</v>
      </c>
      <c r="E102" t="s">
        <v>575</v>
      </c>
      <c r="F102" t="s">
        <v>14</v>
      </c>
      <c r="G102" t="s">
        <v>14</v>
      </c>
      <c r="H102" t="s">
        <v>14</v>
      </c>
      <c r="K102" s="33"/>
      <c r="L102" s="8">
        <v>42936.043437499997</v>
      </c>
      <c r="M102" s="23">
        <f>LEN(ProjTextTable[[#This Row],[text]])</f>
        <v>3137</v>
      </c>
      <c r="N102" s="23">
        <f>LEN(TRIM(CLEAN(SUBSTITUTE(ProjTextTable[[#This Row],[text]],CHAR(10)," "))))+1 - LEN(SUBSTITUTE(CLEAN(SUBSTITUTE(ProjTextTable[[#This Row],[text]],CHAR(10)," "))," ",""))</f>
        <v>455</v>
      </c>
      <c r="O102" t="s">
        <v>14</v>
      </c>
      <c r="P102" t="s">
        <v>1029</v>
      </c>
    </row>
    <row r="103" spans="1:16" x14ac:dyDescent="0.4">
      <c r="A103">
        <f t="shared" si="3"/>
        <v>18</v>
      </c>
      <c r="B103" t="s">
        <v>524</v>
      </c>
      <c r="C103" t="s">
        <v>665</v>
      </c>
      <c r="D103" t="s">
        <v>229</v>
      </c>
      <c r="E103" t="s">
        <v>604</v>
      </c>
      <c r="F103" t="s">
        <v>769</v>
      </c>
      <c r="G103" t="s">
        <v>883</v>
      </c>
      <c r="H103" t="s">
        <v>232</v>
      </c>
      <c r="I103" t="s">
        <v>221</v>
      </c>
      <c r="J103" t="s">
        <v>291</v>
      </c>
      <c r="K103" s="33">
        <v>43031</v>
      </c>
      <c r="L103" s="8"/>
      <c r="M103" s="23">
        <f>LEN(ProjTextTable[[#This Row],[text]])</f>
        <v>2012</v>
      </c>
      <c r="N103" s="23">
        <f>LEN(TRIM(CLEAN(SUBSTITUTE(ProjTextTable[[#This Row],[text]],CHAR(10)," "))))+1 - LEN(SUBSTITUTE(CLEAN(SUBSTITUTE(ProjTextTable[[#This Row],[text]],CHAR(10)," "))," ",""))</f>
        <v>277</v>
      </c>
      <c r="O103" t="s">
        <v>233</v>
      </c>
      <c r="P103" t="s">
        <v>1030</v>
      </c>
    </row>
    <row r="104" spans="1:16" x14ac:dyDescent="0.4">
      <c r="A104">
        <f t="shared" si="3"/>
        <v>18</v>
      </c>
      <c r="B104" t="s">
        <v>524</v>
      </c>
      <c r="C104" t="s">
        <v>665</v>
      </c>
      <c r="D104" t="s">
        <v>218</v>
      </c>
      <c r="E104" t="s">
        <v>604</v>
      </c>
      <c r="F104" t="s">
        <v>905</v>
      </c>
      <c r="G104" t="s">
        <v>906</v>
      </c>
      <c r="H104" t="s">
        <v>907</v>
      </c>
      <c r="I104" t="s">
        <v>235</v>
      </c>
      <c r="J104" t="s">
        <v>197</v>
      </c>
      <c r="K104" s="33">
        <v>43032</v>
      </c>
      <c r="L104" s="8">
        <v>43022.977719907409</v>
      </c>
      <c r="M104" s="23">
        <f>LEN(ProjTextTable[[#This Row],[text]])</f>
        <v>2991</v>
      </c>
      <c r="N104" s="23">
        <f>LEN(TRIM(CLEAN(SUBSTITUTE(ProjTextTable[[#This Row],[text]],CHAR(10)," "))))+1 - LEN(SUBSTITUTE(CLEAN(SUBSTITUTE(ProjTextTable[[#This Row],[text]],CHAR(10)," "))," ",""))</f>
        <v>467</v>
      </c>
      <c r="O104" t="s">
        <v>223</v>
      </c>
      <c r="P104" t="s">
        <v>1031</v>
      </c>
    </row>
    <row r="105" spans="1:16" x14ac:dyDescent="0.4">
      <c r="A105">
        <f t="shared" si="3"/>
        <v>18</v>
      </c>
      <c r="B105" t="s">
        <v>524</v>
      </c>
      <c r="C105" t="s">
        <v>665</v>
      </c>
      <c r="D105" t="s">
        <v>218</v>
      </c>
      <c r="E105" t="s">
        <v>559</v>
      </c>
      <c r="F105" t="s">
        <v>909</v>
      </c>
      <c r="G105" t="s">
        <v>910</v>
      </c>
      <c r="H105" t="s">
        <v>911</v>
      </c>
      <c r="I105" t="s">
        <v>235</v>
      </c>
      <c r="J105" t="s">
        <v>197</v>
      </c>
      <c r="K105" s="33">
        <v>43032</v>
      </c>
      <c r="L105" s="8">
        <v>43030.18167824074</v>
      </c>
      <c r="M105" s="23">
        <f>LEN(ProjTextTable[[#This Row],[text]])</f>
        <v>2066</v>
      </c>
      <c r="N105" s="23">
        <f>LEN(TRIM(CLEAN(SUBSTITUTE(ProjTextTable[[#This Row],[text]],CHAR(10)," "))))+1 - LEN(SUBSTITUTE(CLEAN(SUBSTITUTE(ProjTextTable[[#This Row],[text]],CHAR(10)," "))," ",""))</f>
        <v>295</v>
      </c>
      <c r="O105" t="s">
        <v>223</v>
      </c>
      <c r="P105" t="s">
        <v>1032</v>
      </c>
    </row>
    <row r="106" spans="1:16" x14ac:dyDescent="0.4">
      <c r="A106">
        <f t="shared" si="3"/>
        <v>18</v>
      </c>
      <c r="B106" t="s">
        <v>524</v>
      </c>
      <c r="C106" t="s">
        <v>665</v>
      </c>
      <c r="D106" t="s">
        <v>218</v>
      </c>
      <c r="E106" t="s">
        <v>604</v>
      </c>
      <c r="F106" t="s">
        <v>913</v>
      </c>
      <c r="G106" t="s">
        <v>914</v>
      </c>
      <c r="H106" t="s">
        <v>915</v>
      </c>
      <c r="I106" t="s">
        <v>235</v>
      </c>
      <c r="J106" t="s">
        <v>197</v>
      </c>
      <c r="K106" s="33">
        <v>43032</v>
      </c>
      <c r="L106" s="8">
        <v>43028.861875000002</v>
      </c>
      <c r="M106" s="23">
        <f>LEN(ProjTextTable[[#This Row],[text]])</f>
        <v>2452</v>
      </c>
      <c r="N106" s="23">
        <f>LEN(TRIM(CLEAN(SUBSTITUTE(ProjTextTable[[#This Row],[text]],CHAR(10)," "))))+1 - LEN(SUBSTITUTE(CLEAN(SUBSTITUTE(ProjTextTable[[#This Row],[text]],CHAR(10)," "))," ",""))</f>
        <v>365</v>
      </c>
      <c r="O106" t="s">
        <v>223</v>
      </c>
      <c r="P106" t="s">
        <v>1033</v>
      </c>
    </row>
    <row r="107" spans="1:16" x14ac:dyDescent="0.4">
      <c r="A107">
        <f t="shared" si="3"/>
        <v>18</v>
      </c>
      <c r="B107" t="s">
        <v>524</v>
      </c>
      <c r="C107" t="s">
        <v>665</v>
      </c>
      <c r="D107" t="s">
        <v>218</v>
      </c>
      <c r="E107" t="s">
        <v>604</v>
      </c>
      <c r="F107" t="s">
        <v>953</v>
      </c>
      <c r="G107" t="s">
        <v>954</v>
      </c>
      <c r="H107" t="s">
        <v>955</v>
      </c>
      <c r="I107" t="s">
        <v>235</v>
      </c>
      <c r="J107" t="s">
        <v>197</v>
      </c>
      <c r="K107" s="33">
        <v>43032</v>
      </c>
      <c r="L107" s="8">
        <v>43027.663506944446</v>
      </c>
      <c r="M107" s="23">
        <f>LEN(ProjTextTable[[#This Row],[text]])</f>
        <v>2625</v>
      </c>
      <c r="N107" s="23">
        <f>LEN(TRIM(CLEAN(SUBSTITUTE(ProjTextTable[[#This Row],[text]],CHAR(10)," "))))+1 - LEN(SUBSTITUTE(CLEAN(SUBSTITUTE(ProjTextTable[[#This Row],[text]],CHAR(10)," "))," ",""))</f>
        <v>399</v>
      </c>
      <c r="O107" t="s">
        <v>290</v>
      </c>
      <c r="P107" t="s">
        <v>1034</v>
      </c>
    </row>
    <row r="108" spans="1:16" x14ac:dyDescent="0.4">
      <c r="A108">
        <f t="shared" si="3"/>
        <v>18</v>
      </c>
      <c r="B108" t="s">
        <v>524</v>
      </c>
      <c r="C108" t="s">
        <v>665</v>
      </c>
      <c r="D108" t="s">
        <v>220</v>
      </c>
      <c r="E108" t="s">
        <v>559</v>
      </c>
      <c r="F108" t="s">
        <v>14</v>
      </c>
      <c r="G108" t="s">
        <v>14</v>
      </c>
      <c r="H108" t="s">
        <v>14</v>
      </c>
      <c r="K108" s="33"/>
      <c r="L108" s="8">
        <v>42936.044259259259</v>
      </c>
      <c r="M108" s="23">
        <f>LEN(ProjTextTable[[#This Row],[text]])</f>
        <v>4189</v>
      </c>
      <c r="N108" s="23">
        <f>LEN(TRIM(CLEAN(SUBSTITUTE(ProjTextTable[[#This Row],[text]],CHAR(10)," "))))+1 - LEN(SUBSTITUTE(CLEAN(SUBSTITUTE(ProjTextTable[[#This Row],[text]],CHAR(10)," "))," ",""))</f>
        <v>639</v>
      </c>
      <c r="O108" t="s">
        <v>14</v>
      </c>
      <c r="P108" t="s">
        <v>1035</v>
      </c>
    </row>
    <row r="109" spans="1:16" x14ac:dyDescent="0.4">
      <c r="A109">
        <f t="shared" si="3"/>
        <v>19</v>
      </c>
      <c r="B109" t="s">
        <v>525</v>
      </c>
      <c r="C109" t="s">
        <v>670</v>
      </c>
      <c r="D109" t="s">
        <v>229</v>
      </c>
      <c r="E109" t="s">
        <v>604</v>
      </c>
      <c r="F109" t="s">
        <v>769</v>
      </c>
      <c r="G109" t="s">
        <v>883</v>
      </c>
      <c r="H109" t="s">
        <v>287</v>
      </c>
      <c r="I109" t="s">
        <v>217</v>
      </c>
      <c r="J109" t="s">
        <v>903</v>
      </c>
      <c r="K109" s="33">
        <v>43031</v>
      </c>
      <c r="L109" s="8"/>
      <c r="M109" s="23">
        <f>LEN(ProjTextTable[[#This Row],[text]])</f>
        <v>2447</v>
      </c>
      <c r="N109" s="23">
        <f>LEN(TRIM(CLEAN(SUBSTITUTE(ProjTextTable[[#This Row],[text]],CHAR(10)," "))))+1 - LEN(SUBSTITUTE(CLEAN(SUBSTITUTE(ProjTextTable[[#This Row],[text]],CHAR(10)," "))," ",""))</f>
        <v>338</v>
      </c>
      <c r="O109" t="s">
        <v>286</v>
      </c>
      <c r="P109" t="s">
        <v>1036</v>
      </c>
    </row>
    <row r="110" spans="1:16" x14ac:dyDescent="0.4">
      <c r="A110">
        <f t="shared" si="3"/>
        <v>19</v>
      </c>
      <c r="B110" t="s">
        <v>525</v>
      </c>
      <c r="C110" t="s">
        <v>670</v>
      </c>
      <c r="D110" t="s">
        <v>218</v>
      </c>
      <c r="E110" t="s">
        <v>604</v>
      </c>
      <c r="F110" t="s">
        <v>905</v>
      </c>
      <c r="G110" t="s">
        <v>906</v>
      </c>
      <c r="H110" t="s">
        <v>907</v>
      </c>
      <c r="I110" t="s">
        <v>235</v>
      </c>
      <c r="J110" t="s">
        <v>197</v>
      </c>
      <c r="K110" s="33">
        <v>43032</v>
      </c>
      <c r="L110" s="8">
        <v>43025.748668981483</v>
      </c>
      <c r="M110" s="23">
        <f>LEN(ProjTextTable[[#This Row],[text]])</f>
        <v>2351</v>
      </c>
      <c r="N110" s="23">
        <f>LEN(TRIM(CLEAN(SUBSTITUTE(ProjTextTable[[#This Row],[text]],CHAR(10)," "))))+1 - LEN(SUBSTITUTE(CLEAN(SUBSTITUTE(ProjTextTable[[#This Row],[text]],CHAR(10)," "))," ",""))</f>
        <v>366</v>
      </c>
      <c r="O110" t="s">
        <v>227</v>
      </c>
      <c r="P110" t="s">
        <v>1037</v>
      </c>
    </row>
    <row r="111" spans="1:16" x14ac:dyDescent="0.4">
      <c r="A111">
        <f t="shared" si="3"/>
        <v>19</v>
      </c>
      <c r="B111" t="s">
        <v>525</v>
      </c>
      <c r="C111" t="s">
        <v>670</v>
      </c>
      <c r="D111" t="s">
        <v>218</v>
      </c>
      <c r="E111" t="s">
        <v>559</v>
      </c>
      <c r="F111" t="s">
        <v>909</v>
      </c>
      <c r="G111" t="s">
        <v>910</v>
      </c>
      <c r="H111" t="s">
        <v>911</v>
      </c>
      <c r="I111" t="s">
        <v>235</v>
      </c>
      <c r="J111" t="s">
        <v>197</v>
      </c>
      <c r="K111" s="33">
        <v>43032</v>
      </c>
      <c r="L111" s="8">
        <v>43030.178067129629</v>
      </c>
      <c r="M111" s="23">
        <f>LEN(ProjTextTable[[#This Row],[text]])</f>
        <v>2003</v>
      </c>
      <c r="N111" s="23">
        <f>LEN(TRIM(CLEAN(SUBSTITUTE(ProjTextTable[[#This Row],[text]],CHAR(10)," "))))+1 - LEN(SUBSTITUTE(CLEAN(SUBSTITUTE(ProjTextTable[[#This Row],[text]],CHAR(10)," "))," ",""))</f>
        <v>303</v>
      </c>
      <c r="O111" t="s">
        <v>225</v>
      </c>
      <c r="P111" t="s">
        <v>1038</v>
      </c>
    </row>
    <row r="112" spans="1:16" x14ac:dyDescent="0.4">
      <c r="A112">
        <f t="shared" si="3"/>
        <v>19</v>
      </c>
      <c r="B112" t="s">
        <v>525</v>
      </c>
      <c r="C112" t="s">
        <v>670</v>
      </c>
      <c r="D112" t="s">
        <v>218</v>
      </c>
      <c r="E112" t="s">
        <v>604</v>
      </c>
      <c r="F112" t="s">
        <v>913</v>
      </c>
      <c r="G112" t="s">
        <v>914</v>
      </c>
      <c r="H112" t="s">
        <v>915</v>
      </c>
      <c r="I112" t="s">
        <v>235</v>
      </c>
      <c r="J112" t="s">
        <v>197</v>
      </c>
      <c r="K112" s="33">
        <v>43032</v>
      </c>
      <c r="L112" s="8">
        <v>43028.861886574072</v>
      </c>
      <c r="M112" s="23">
        <f>LEN(ProjTextTable[[#This Row],[text]])</f>
        <v>2634</v>
      </c>
      <c r="N112" s="23">
        <f>LEN(TRIM(CLEAN(SUBSTITUTE(ProjTextTable[[#This Row],[text]],CHAR(10)," "))))+1 - LEN(SUBSTITUTE(CLEAN(SUBSTITUTE(ProjTextTable[[#This Row],[text]],CHAR(10)," "))," ",""))</f>
        <v>405</v>
      </c>
      <c r="O112" t="s">
        <v>219</v>
      </c>
      <c r="P112" t="s">
        <v>1039</v>
      </c>
    </row>
    <row r="113" spans="1:16" x14ac:dyDescent="0.4">
      <c r="A113">
        <f t="shared" si="3"/>
        <v>19</v>
      </c>
      <c r="B113" t="s">
        <v>525</v>
      </c>
      <c r="C113" t="s">
        <v>670</v>
      </c>
      <c r="D113" t="s">
        <v>218</v>
      </c>
      <c r="E113" t="s">
        <v>604</v>
      </c>
      <c r="F113" t="s">
        <v>953</v>
      </c>
      <c r="G113" t="s">
        <v>954</v>
      </c>
      <c r="H113" t="s">
        <v>955</v>
      </c>
      <c r="I113" t="s">
        <v>235</v>
      </c>
      <c r="J113" t="s">
        <v>197</v>
      </c>
      <c r="K113" s="33">
        <v>43032</v>
      </c>
      <c r="L113" s="8">
        <v>43027.634618055556</v>
      </c>
      <c r="M113" s="23">
        <f>LEN(ProjTextTable[[#This Row],[text]])</f>
        <v>2484</v>
      </c>
      <c r="N113" s="23">
        <f>LEN(TRIM(CLEAN(SUBSTITUTE(ProjTextTable[[#This Row],[text]],CHAR(10)," "))))+1 - LEN(SUBSTITUTE(CLEAN(SUBSTITUTE(ProjTextTable[[#This Row],[text]],CHAR(10)," "))," ",""))</f>
        <v>378</v>
      </c>
      <c r="O113" t="s">
        <v>223</v>
      </c>
      <c r="P113" t="s">
        <v>1040</v>
      </c>
    </row>
    <row r="114" spans="1:16" x14ac:dyDescent="0.4">
      <c r="A114">
        <f t="shared" si="3"/>
        <v>19</v>
      </c>
      <c r="B114" t="s">
        <v>525</v>
      </c>
      <c r="C114" t="s">
        <v>670</v>
      </c>
      <c r="D114" t="s">
        <v>220</v>
      </c>
      <c r="E114" t="s">
        <v>559</v>
      </c>
      <c r="F114" t="s">
        <v>14</v>
      </c>
      <c r="G114" t="s">
        <v>14</v>
      </c>
      <c r="H114" t="s">
        <v>14</v>
      </c>
      <c r="K114" s="33"/>
      <c r="L114" s="8">
        <v>42936.044953703706</v>
      </c>
      <c r="M114" s="23">
        <f>LEN(ProjTextTable[[#This Row],[text]])</f>
        <v>3898</v>
      </c>
      <c r="N114" s="23">
        <f>LEN(TRIM(CLEAN(SUBSTITUTE(ProjTextTable[[#This Row],[text]],CHAR(10)," "))))+1 - LEN(SUBSTITUTE(CLEAN(SUBSTITUTE(ProjTextTable[[#This Row],[text]],CHAR(10)," "))," ",""))</f>
        <v>569</v>
      </c>
      <c r="O114" t="s">
        <v>14</v>
      </c>
      <c r="P114" t="s">
        <v>1041</v>
      </c>
    </row>
    <row r="115" spans="1:16" x14ac:dyDescent="0.4">
      <c r="A115">
        <f t="shared" si="3"/>
        <v>20</v>
      </c>
      <c r="B115" t="s">
        <v>526</v>
      </c>
      <c r="C115" t="s">
        <v>676</v>
      </c>
      <c r="D115" t="s">
        <v>229</v>
      </c>
      <c r="E115" t="s">
        <v>604</v>
      </c>
      <c r="F115" t="s">
        <v>769</v>
      </c>
      <c r="G115" t="s">
        <v>883</v>
      </c>
      <c r="H115" t="s">
        <v>232</v>
      </c>
      <c r="I115" t="s">
        <v>221</v>
      </c>
      <c r="J115" t="s">
        <v>1042</v>
      </c>
      <c r="K115" s="33">
        <v>43031</v>
      </c>
      <c r="L115" s="8"/>
      <c r="M115" s="23">
        <f>LEN(ProjTextTable[[#This Row],[text]])</f>
        <v>2478</v>
      </c>
      <c r="N115" s="23">
        <f>LEN(TRIM(CLEAN(SUBSTITUTE(ProjTextTable[[#This Row],[text]],CHAR(10)," "))))+1 - LEN(SUBSTITUTE(CLEAN(SUBSTITUTE(ProjTextTable[[#This Row],[text]],CHAR(10)," "))," ",""))</f>
        <v>352</v>
      </c>
      <c r="O115" t="s">
        <v>233</v>
      </c>
      <c r="P115" t="s">
        <v>1043</v>
      </c>
    </row>
    <row r="116" spans="1:16" x14ac:dyDescent="0.4">
      <c r="A116">
        <f t="shared" si="3"/>
        <v>20</v>
      </c>
      <c r="B116" t="s">
        <v>526</v>
      </c>
      <c r="C116" t="s">
        <v>676</v>
      </c>
      <c r="D116" t="s">
        <v>218</v>
      </c>
      <c r="E116" t="s">
        <v>604</v>
      </c>
      <c r="F116" t="s">
        <v>905</v>
      </c>
      <c r="G116" t="s">
        <v>906</v>
      </c>
      <c r="H116" t="s">
        <v>907</v>
      </c>
      <c r="I116" t="s">
        <v>235</v>
      </c>
      <c r="J116" t="s">
        <v>197</v>
      </c>
      <c r="K116" s="33">
        <v>43032</v>
      </c>
      <c r="L116" s="8">
        <v>43031.392627314817</v>
      </c>
      <c r="M116" s="23">
        <f>LEN(ProjTextTable[[#This Row],[text]])</f>
        <v>2470</v>
      </c>
      <c r="N116" s="23">
        <f>LEN(TRIM(CLEAN(SUBSTITUTE(ProjTextTable[[#This Row],[text]],CHAR(10)," "))))+1 - LEN(SUBSTITUTE(CLEAN(SUBSTITUTE(ProjTextTable[[#This Row],[text]],CHAR(10)," "))," ",""))</f>
        <v>379</v>
      </c>
      <c r="O116" t="s">
        <v>223</v>
      </c>
      <c r="P116" t="s">
        <v>1044</v>
      </c>
    </row>
    <row r="117" spans="1:16" x14ac:dyDescent="0.4">
      <c r="A117">
        <f t="shared" si="3"/>
        <v>20</v>
      </c>
      <c r="B117" t="s">
        <v>526</v>
      </c>
      <c r="C117" t="s">
        <v>676</v>
      </c>
      <c r="D117" t="s">
        <v>218</v>
      </c>
      <c r="E117" t="s">
        <v>604</v>
      </c>
      <c r="F117" t="s">
        <v>913</v>
      </c>
      <c r="G117" t="s">
        <v>914</v>
      </c>
      <c r="H117" t="s">
        <v>915</v>
      </c>
      <c r="I117" t="s">
        <v>235</v>
      </c>
      <c r="J117" t="s">
        <v>197</v>
      </c>
      <c r="K117" s="33">
        <v>43032</v>
      </c>
      <c r="L117" s="8">
        <v>43028.861886574072</v>
      </c>
      <c r="M117" s="23">
        <f>LEN(ProjTextTable[[#This Row],[text]])</f>
        <v>1850</v>
      </c>
      <c r="N117" s="23">
        <f>LEN(TRIM(CLEAN(SUBSTITUTE(ProjTextTable[[#This Row],[text]],CHAR(10)," "))))+1 - LEN(SUBSTITUTE(CLEAN(SUBSTITUTE(ProjTextTable[[#This Row],[text]],CHAR(10)," "))," ",""))</f>
        <v>275</v>
      </c>
      <c r="O117" t="s">
        <v>219</v>
      </c>
      <c r="P117" t="s">
        <v>1045</v>
      </c>
    </row>
    <row r="118" spans="1:16" x14ac:dyDescent="0.4">
      <c r="A118">
        <f t="shared" si="3"/>
        <v>20</v>
      </c>
      <c r="B118" t="s">
        <v>526</v>
      </c>
      <c r="C118" t="s">
        <v>676</v>
      </c>
      <c r="D118" t="s">
        <v>218</v>
      </c>
      <c r="E118" t="s">
        <v>604</v>
      </c>
      <c r="F118" t="s">
        <v>894</v>
      </c>
      <c r="G118" t="s">
        <v>895</v>
      </c>
      <c r="H118" t="s">
        <v>896</v>
      </c>
      <c r="I118" t="s">
        <v>235</v>
      </c>
      <c r="J118" t="s">
        <v>197</v>
      </c>
      <c r="K118" s="33">
        <v>43032</v>
      </c>
      <c r="L118" s="8">
        <v>43030.850983796299</v>
      </c>
      <c r="M118" s="23">
        <f>LEN(ProjTextTable[[#This Row],[text]])</f>
        <v>2602</v>
      </c>
      <c r="N118" s="23">
        <f>LEN(TRIM(CLEAN(SUBSTITUTE(ProjTextTable[[#This Row],[text]],CHAR(10)," "))))+1 - LEN(SUBSTITUTE(CLEAN(SUBSTITUTE(ProjTextTable[[#This Row],[text]],CHAR(10)," "))," ",""))</f>
        <v>415</v>
      </c>
      <c r="O118" t="s">
        <v>223</v>
      </c>
      <c r="P118" t="s">
        <v>1046</v>
      </c>
    </row>
    <row r="119" spans="1:16" x14ac:dyDescent="0.4">
      <c r="A119">
        <f t="shared" si="3"/>
        <v>20</v>
      </c>
      <c r="B119" t="s">
        <v>526</v>
      </c>
      <c r="C119" t="s">
        <v>676</v>
      </c>
      <c r="D119" t="s">
        <v>218</v>
      </c>
      <c r="E119" t="s">
        <v>559</v>
      </c>
      <c r="F119" t="s">
        <v>898</v>
      </c>
      <c r="G119" t="s">
        <v>899</v>
      </c>
      <c r="H119" t="s">
        <v>900</v>
      </c>
      <c r="I119" t="s">
        <v>235</v>
      </c>
      <c r="J119" t="s">
        <v>197</v>
      </c>
      <c r="K119" s="33">
        <v>43032</v>
      </c>
      <c r="L119" s="8">
        <v>43025.587372685186</v>
      </c>
      <c r="M119" s="23">
        <f>LEN(ProjTextTable[[#This Row],[text]])</f>
        <v>2719</v>
      </c>
      <c r="N119" s="23">
        <f>LEN(TRIM(CLEAN(SUBSTITUTE(ProjTextTable[[#This Row],[text]],CHAR(10)," "))))+1 - LEN(SUBSTITUTE(CLEAN(SUBSTITUTE(ProjTextTable[[#This Row],[text]],CHAR(10)," "))," ",""))</f>
        <v>400</v>
      </c>
      <c r="O119" t="s">
        <v>223</v>
      </c>
      <c r="P119" t="s">
        <v>1047</v>
      </c>
    </row>
    <row r="120" spans="1:16" x14ac:dyDescent="0.4">
      <c r="A120">
        <f t="shared" si="3"/>
        <v>20</v>
      </c>
      <c r="B120" t="s">
        <v>526</v>
      </c>
      <c r="C120" t="s">
        <v>676</v>
      </c>
      <c r="D120" t="s">
        <v>220</v>
      </c>
      <c r="E120" t="s">
        <v>559</v>
      </c>
      <c r="F120" t="s">
        <v>14</v>
      </c>
      <c r="G120" t="s">
        <v>14</v>
      </c>
      <c r="H120" t="s">
        <v>14</v>
      </c>
      <c r="K120" s="33"/>
      <c r="L120" s="8">
        <v>42936.045092592591</v>
      </c>
      <c r="M120" s="23">
        <f>LEN(ProjTextTable[[#This Row],[text]])</f>
        <v>3926</v>
      </c>
      <c r="N120" s="23">
        <f>LEN(TRIM(CLEAN(SUBSTITUTE(ProjTextTable[[#This Row],[text]],CHAR(10)," "))))+1 - LEN(SUBSTITUTE(CLEAN(SUBSTITUTE(ProjTextTable[[#This Row],[text]],CHAR(10)," "))," ",""))</f>
        <v>557</v>
      </c>
      <c r="O120" t="s">
        <v>14</v>
      </c>
      <c r="P120" t="s">
        <v>1048</v>
      </c>
    </row>
    <row r="121" spans="1:16" x14ac:dyDescent="0.4">
      <c r="A121">
        <f t="shared" si="3"/>
        <v>21</v>
      </c>
      <c r="B121" t="s">
        <v>527</v>
      </c>
      <c r="C121" t="s">
        <v>681</v>
      </c>
      <c r="D121" t="s">
        <v>229</v>
      </c>
      <c r="E121" t="s">
        <v>604</v>
      </c>
      <c r="F121" t="s">
        <v>769</v>
      </c>
      <c r="G121" t="s">
        <v>883</v>
      </c>
      <c r="H121" t="s">
        <v>232</v>
      </c>
      <c r="I121" t="s">
        <v>221</v>
      </c>
      <c r="J121" t="s">
        <v>947</v>
      </c>
      <c r="K121" s="33">
        <v>43031</v>
      </c>
      <c r="L121" s="8"/>
      <c r="M121" s="23">
        <f>LEN(ProjTextTable[[#This Row],[text]])</f>
        <v>2977</v>
      </c>
      <c r="N121" s="23">
        <f>LEN(TRIM(CLEAN(SUBSTITUTE(ProjTextTable[[#This Row],[text]],CHAR(10)," "))))+1 - LEN(SUBSTITUTE(CLEAN(SUBSTITUTE(ProjTextTable[[#This Row],[text]],CHAR(10)," "))," ",""))</f>
        <v>443</v>
      </c>
      <c r="O121" t="s">
        <v>233</v>
      </c>
      <c r="P121" t="s">
        <v>1049</v>
      </c>
    </row>
    <row r="122" spans="1:16" x14ac:dyDescent="0.4">
      <c r="A122">
        <f t="shared" si="3"/>
        <v>21</v>
      </c>
      <c r="B122" t="s">
        <v>527</v>
      </c>
      <c r="C122" t="s">
        <v>681</v>
      </c>
      <c r="D122" t="s">
        <v>218</v>
      </c>
      <c r="E122" t="s">
        <v>604</v>
      </c>
      <c r="F122" t="s">
        <v>905</v>
      </c>
      <c r="G122" t="s">
        <v>906</v>
      </c>
      <c r="H122" t="s">
        <v>907</v>
      </c>
      <c r="I122" t="s">
        <v>235</v>
      </c>
      <c r="J122" t="s">
        <v>197</v>
      </c>
      <c r="K122" s="33">
        <v>43032</v>
      </c>
      <c r="L122" s="8">
        <v>43025.598553240743</v>
      </c>
      <c r="M122" s="23">
        <f>LEN(ProjTextTable[[#This Row],[text]])</f>
        <v>2780</v>
      </c>
      <c r="N122" s="23">
        <f>LEN(TRIM(CLEAN(SUBSTITUTE(ProjTextTable[[#This Row],[text]],CHAR(10)," "))))+1 - LEN(SUBSTITUTE(CLEAN(SUBSTITUTE(ProjTextTable[[#This Row],[text]],CHAR(10)," "))," ",""))</f>
        <v>439</v>
      </c>
      <c r="O122" t="s">
        <v>223</v>
      </c>
      <c r="P122" t="s">
        <v>1050</v>
      </c>
    </row>
    <row r="123" spans="1:16" x14ac:dyDescent="0.4">
      <c r="A123">
        <f t="shared" si="3"/>
        <v>21</v>
      </c>
      <c r="B123" t="s">
        <v>527</v>
      </c>
      <c r="C123" t="s">
        <v>681</v>
      </c>
      <c r="D123" t="s">
        <v>218</v>
      </c>
      <c r="E123" t="s">
        <v>559</v>
      </c>
      <c r="F123" t="s">
        <v>909</v>
      </c>
      <c r="G123" t="s">
        <v>910</v>
      </c>
      <c r="H123" t="s">
        <v>911</v>
      </c>
      <c r="I123" t="s">
        <v>235</v>
      </c>
      <c r="J123" t="s">
        <v>197</v>
      </c>
      <c r="K123" s="33">
        <v>43032</v>
      </c>
      <c r="L123" s="8">
        <v>43030.184629629628</v>
      </c>
      <c r="M123" s="23">
        <f>LEN(ProjTextTable[[#This Row],[text]])</f>
        <v>2052</v>
      </c>
      <c r="N123" s="23">
        <f>LEN(TRIM(CLEAN(SUBSTITUTE(ProjTextTable[[#This Row],[text]],CHAR(10)," "))))+1 - LEN(SUBSTITUTE(CLEAN(SUBSTITUTE(ProjTextTable[[#This Row],[text]],CHAR(10)," "))," ",""))</f>
        <v>300</v>
      </c>
      <c r="O123" t="s">
        <v>223</v>
      </c>
      <c r="P123" t="s">
        <v>1051</v>
      </c>
    </row>
    <row r="124" spans="1:16" x14ac:dyDescent="0.4">
      <c r="A124">
        <f t="shared" si="3"/>
        <v>21</v>
      </c>
      <c r="B124" t="s">
        <v>527</v>
      </c>
      <c r="C124" t="s">
        <v>681</v>
      </c>
      <c r="D124" t="s">
        <v>218</v>
      </c>
      <c r="E124" t="s">
        <v>604</v>
      </c>
      <c r="F124" t="s">
        <v>953</v>
      </c>
      <c r="G124" t="s">
        <v>954</v>
      </c>
      <c r="H124" t="s">
        <v>955</v>
      </c>
      <c r="I124" t="s">
        <v>235</v>
      </c>
      <c r="J124" t="s">
        <v>197</v>
      </c>
      <c r="K124" s="33">
        <v>43032</v>
      </c>
      <c r="L124" s="8">
        <v>43028.388240740744</v>
      </c>
      <c r="M124" s="23">
        <f>LEN(ProjTextTable[[#This Row],[text]])</f>
        <v>2314</v>
      </c>
      <c r="N124" s="23">
        <f>LEN(TRIM(CLEAN(SUBSTITUTE(ProjTextTable[[#This Row],[text]],CHAR(10)," "))))+1 - LEN(SUBSTITUTE(CLEAN(SUBSTITUTE(ProjTextTable[[#This Row],[text]],CHAR(10)," "))," ",""))</f>
        <v>355</v>
      </c>
      <c r="O124" t="s">
        <v>226</v>
      </c>
      <c r="P124" t="s">
        <v>1052</v>
      </c>
    </row>
    <row r="125" spans="1:16" x14ac:dyDescent="0.4">
      <c r="A125">
        <f t="shared" si="3"/>
        <v>21</v>
      </c>
      <c r="B125" t="s">
        <v>527</v>
      </c>
      <c r="C125" t="s">
        <v>681</v>
      </c>
      <c r="D125" t="s">
        <v>218</v>
      </c>
      <c r="E125" t="s">
        <v>604</v>
      </c>
      <c r="F125" t="s">
        <v>958</v>
      </c>
      <c r="G125" t="s">
        <v>959</v>
      </c>
      <c r="H125" t="s">
        <v>960</v>
      </c>
      <c r="I125" t="s">
        <v>235</v>
      </c>
      <c r="J125" t="s">
        <v>197</v>
      </c>
      <c r="K125" s="33">
        <v>43032</v>
      </c>
      <c r="L125" s="8">
        <v>43031.690868055557</v>
      </c>
      <c r="M125" s="23">
        <f>LEN(ProjTextTable[[#This Row],[text]])</f>
        <v>3778</v>
      </c>
      <c r="N125" s="23">
        <f>LEN(TRIM(CLEAN(SUBSTITUTE(ProjTextTable[[#This Row],[text]],CHAR(10)," "))))+1 - LEN(SUBSTITUTE(CLEAN(SUBSTITUTE(ProjTextTable[[#This Row],[text]],CHAR(10)," "))," ",""))</f>
        <v>593</v>
      </c>
      <c r="O125" t="s">
        <v>223</v>
      </c>
      <c r="P125" t="s">
        <v>1053</v>
      </c>
    </row>
    <row r="126" spans="1:16" x14ac:dyDescent="0.4">
      <c r="A126">
        <f t="shared" si="3"/>
        <v>21</v>
      </c>
      <c r="B126" t="s">
        <v>527</v>
      </c>
      <c r="C126" t="s">
        <v>681</v>
      </c>
      <c r="D126" t="s">
        <v>220</v>
      </c>
      <c r="E126" t="s">
        <v>559</v>
      </c>
      <c r="F126" t="s">
        <v>14</v>
      </c>
      <c r="G126" t="s">
        <v>14</v>
      </c>
      <c r="H126" t="s">
        <v>14</v>
      </c>
      <c r="K126" s="33"/>
      <c r="L126" s="8">
        <v>42936.045185185183</v>
      </c>
      <c r="M126" s="23">
        <f>LEN(ProjTextTable[[#This Row],[text]])</f>
        <v>2855</v>
      </c>
      <c r="N126" s="23">
        <f>LEN(TRIM(CLEAN(SUBSTITUTE(ProjTextTable[[#This Row],[text]],CHAR(10)," "))))+1 - LEN(SUBSTITUTE(CLEAN(SUBSTITUTE(ProjTextTable[[#This Row],[text]],CHAR(10)," "))," ",""))</f>
        <v>407</v>
      </c>
      <c r="O126" t="s">
        <v>14</v>
      </c>
      <c r="P126" t="s">
        <v>1054</v>
      </c>
    </row>
    <row r="127" spans="1:16" x14ac:dyDescent="0.4">
      <c r="A127">
        <f t="shared" si="3"/>
        <v>22</v>
      </c>
      <c r="B127" t="s">
        <v>528</v>
      </c>
      <c r="C127" t="s">
        <v>688</v>
      </c>
      <c r="D127" t="s">
        <v>229</v>
      </c>
      <c r="E127" t="s">
        <v>604</v>
      </c>
      <c r="F127" t="s">
        <v>769</v>
      </c>
      <c r="G127" t="s">
        <v>883</v>
      </c>
      <c r="H127" t="s">
        <v>232</v>
      </c>
      <c r="I127" t="s">
        <v>221</v>
      </c>
      <c r="J127" t="s">
        <v>374</v>
      </c>
      <c r="K127" s="33">
        <v>43031</v>
      </c>
      <c r="L127" s="8"/>
      <c r="M127" s="23">
        <f>LEN(ProjTextTable[[#This Row],[text]])</f>
        <v>2460</v>
      </c>
      <c r="N127" s="23">
        <f>LEN(TRIM(CLEAN(SUBSTITUTE(ProjTextTable[[#This Row],[text]],CHAR(10)," "))))+1 - LEN(SUBSTITUTE(CLEAN(SUBSTITUTE(ProjTextTable[[#This Row],[text]],CHAR(10)," "))," ",""))</f>
        <v>343</v>
      </c>
      <c r="O127" t="s">
        <v>233</v>
      </c>
      <c r="P127" t="s">
        <v>1055</v>
      </c>
    </row>
    <row r="128" spans="1:16" x14ac:dyDescent="0.4">
      <c r="A128">
        <f t="shared" si="3"/>
        <v>22</v>
      </c>
      <c r="B128" t="s">
        <v>528</v>
      </c>
      <c r="C128" t="s">
        <v>688</v>
      </c>
      <c r="D128" t="s">
        <v>218</v>
      </c>
      <c r="E128" t="s">
        <v>604</v>
      </c>
      <c r="F128" t="s">
        <v>905</v>
      </c>
      <c r="G128" t="s">
        <v>906</v>
      </c>
      <c r="H128" t="s">
        <v>907</v>
      </c>
      <c r="I128" t="s">
        <v>235</v>
      </c>
      <c r="J128" t="s">
        <v>197</v>
      </c>
      <c r="K128" s="33">
        <v>43032</v>
      </c>
      <c r="L128" s="8">
        <v>43031.434907407405</v>
      </c>
      <c r="M128" s="23">
        <f>LEN(ProjTextTable[[#This Row],[text]])</f>
        <v>3265</v>
      </c>
      <c r="N128" s="23">
        <f>LEN(TRIM(CLEAN(SUBSTITUTE(ProjTextTable[[#This Row],[text]],CHAR(10)," "))))+1 - LEN(SUBSTITUTE(CLEAN(SUBSTITUTE(ProjTextTable[[#This Row],[text]],CHAR(10)," "))," ",""))</f>
        <v>506</v>
      </c>
      <c r="O128" t="s">
        <v>223</v>
      </c>
      <c r="P128" t="s">
        <v>1056</v>
      </c>
    </row>
    <row r="129" spans="1:16" x14ac:dyDescent="0.4">
      <c r="A129">
        <f t="shared" si="3"/>
        <v>22</v>
      </c>
      <c r="B129" t="s">
        <v>528</v>
      </c>
      <c r="C129" t="s">
        <v>688</v>
      </c>
      <c r="D129" t="s">
        <v>218</v>
      </c>
      <c r="E129" t="s">
        <v>604</v>
      </c>
      <c r="F129" t="s">
        <v>949</v>
      </c>
      <c r="G129" t="s">
        <v>950</v>
      </c>
      <c r="H129" t="s">
        <v>951</v>
      </c>
      <c r="I129" t="s">
        <v>235</v>
      </c>
      <c r="J129" t="s">
        <v>197</v>
      </c>
      <c r="K129" s="33">
        <v>43032</v>
      </c>
      <c r="L129" s="8">
        <v>43030.882361111115</v>
      </c>
      <c r="M129" s="23">
        <f>LEN(ProjTextTable[[#This Row],[text]])</f>
        <v>2182</v>
      </c>
      <c r="N129" s="23">
        <f>LEN(TRIM(CLEAN(SUBSTITUTE(ProjTextTable[[#This Row],[text]],CHAR(10)," "))))+1 - LEN(SUBSTITUTE(CLEAN(SUBSTITUTE(ProjTextTable[[#This Row],[text]],CHAR(10)," "))," ",""))</f>
        <v>333</v>
      </c>
      <c r="O129" t="s">
        <v>223</v>
      </c>
      <c r="P129" t="s">
        <v>1057</v>
      </c>
    </row>
    <row r="130" spans="1:16" x14ac:dyDescent="0.4">
      <c r="A130">
        <f t="shared" ref="A130:A161" si="4">A129+(B130&lt;&gt;B129)</f>
        <v>22</v>
      </c>
      <c r="B130" t="s">
        <v>528</v>
      </c>
      <c r="C130" t="s">
        <v>688</v>
      </c>
      <c r="D130" t="s">
        <v>218</v>
      </c>
      <c r="E130" t="s">
        <v>604</v>
      </c>
      <c r="F130" t="s">
        <v>909</v>
      </c>
      <c r="G130" t="s">
        <v>910</v>
      </c>
      <c r="H130" t="s">
        <v>911</v>
      </c>
      <c r="I130" t="s">
        <v>235</v>
      </c>
      <c r="J130" t="s">
        <v>197</v>
      </c>
      <c r="K130" s="33">
        <v>43032</v>
      </c>
      <c r="L130" s="8">
        <v>43030.173541666663</v>
      </c>
      <c r="M130" s="23">
        <f>LEN(ProjTextTable[[#This Row],[text]])</f>
        <v>1948</v>
      </c>
      <c r="N130" s="23">
        <f>LEN(TRIM(CLEAN(SUBSTITUTE(ProjTextTable[[#This Row],[text]],CHAR(10)," "))))+1 - LEN(SUBSTITUTE(CLEAN(SUBSTITUTE(ProjTextTable[[#This Row],[text]],CHAR(10)," "))," ",""))</f>
        <v>276</v>
      </c>
      <c r="O130" t="s">
        <v>219</v>
      </c>
      <c r="P130" t="s">
        <v>1058</v>
      </c>
    </row>
    <row r="131" spans="1:16" x14ac:dyDescent="0.4">
      <c r="A131">
        <f t="shared" si="4"/>
        <v>22</v>
      </c>
      <c r="B131" t="s">
        <v>528</v>
      </c>
      <c r="C131" t="s">
        <v>688</v>
      </c>
      <c r="D131" t="s">
        <v>218</v>
      </c>
      <c r="E131" t="s">
        <v>604</v>
      </c>
      <c r="F131" t="s">
        <v>917</v>
      </c>
      <c r="G131" t="s">
        <v>918</v>
      </c>
      <c r="H131" t="s">
        <v>919</v>
      </c>
      <c r="I131" t="s">
        <v>235</v>
      </c>
      <c r="J131" t="s">
        <v>197</v>
      </c>
      <c r="K131" s="33">
        <v>43032</v>
      </c>
      <c r="L131" s="8">
        <v>43030.798495370371</v>
      </c>
      <c r="M131" s="23">
        <f>LEN(ProjTextTable[[#This Row],[text]])</f>
        <v>2495</v>
      </c>
      <c r="N131" s="23">
        <f>LEN(TRIM(CLEAN(SUBSTITUTE(ProjTextTable[[#This Row],[text]],CHAR(10)," "))))+1 - LEN(SUBSTITUTE(CLEAN(SUBSTITUTE(ProjTextTable[[#This Row],[text]],CHAR(10)," "))," ",""))</f>
        <v>381</v>
      </c>
      <c r="O131" t="s">
        <v>223</v>
      </c>
      <c r="P131" t="s">
        <v>1059</v>
      </c>
    </row>
    <row r="132" spans="1:16" x14ac:dyDescent="0.4">
      <c r="A132">
        <f t="shared" si="4"/>
        <v>22</v>
      </c>
      <c r="B132" t="s">
        <v>528</v>
      </c>
      <c r="C132" t="s">
        <v>688</v>
      </c>
      <c r="D132" t="s">
        <v>220</v>
      </c>
      <c r="E132" t="s">
        <v>604</v>
      </c>
      <c r="F132" t="s">
        <v>14</v>
      </c>
      <c r="G132" t="s">
        <v>14</v>
      </c>
      <c r="H132" t="s">
        <v>14</v>
      </c>
      <c r="K132" s="33"/>
      <c r="L132" s="8">
        <v>42936.045486111114</v>
      </c>
      <c r="M132" s="23">
        <f>LEN(ProjTextTable[[#This Row],[text]])</f>
        <v>3779</v>
      </c>
      <c r="N132" s="23">
        <f>LEN(TRIM(CLEAN(SUBSTITUTE(ProjTextTable[[#This Row],[text]],CHAR(10)," "))))+1 - LEN(SUBSTITUTE(CLEAN(SUBSTITUTE(ProjTextTable[[#This Row],[text]],CHAR(10)," "))," ",""))</f>
        <v>548</v>
      </c>
      <c r="O132" t="s">
        <v>14</v>
      </c>
      <c r="P132" t="s">
        <v>1060</v>
      </c>
    </row>
    <row r="133" spans="1:16" x14ac:dyDescent="0.4">
      <c r="A133">
        <f t="shared" si="4"/>
        <v>23</v>
      </c>
      <c r="B133" t="s">
        <v>529</v>
      </c>
      <c r="C133" t="s">
        <v>694</v>
      </c>
      <c r="D133" t="s">
        <v>229</v>
      </c>
      <c r="E133" t="s">
        <v>604</v>
      </c>
      <c r="F133" t="s">
        <v>769</v>
      </c>
      <c r="G133" t="s">
        <v>883</v>
      </c>
      <c r="H133" t="s">
        <v>287</v>
      </c>
      <c r="I133" t="s">
        <v>217</v>
      </c>
      <c r="J133" t="s">
        <v>903</v>
      </c>
      <c r="K133" s="33">
        <v>43031</v>
      </c>
      <c r="L133" s="8"/>
      <c r="M133" s="23">
        <f>LEN(ProjTextTable[[#This Row],[text]])</f>
        <v>2769</v>
      </c>
      <c r="N133" s="23">
        <f>LEN(TRIM(CLEAN(SUBSTITUTE(ProjTextTable[[#This Row],[text]],CHAR(10)," "))))+1 - LEN(SUBSTITUTE(CLEAN(SUBSTITUTE(ProjTextTable[[#This Row],[text]],CHAR(10)," "))," ",""))</f>
        <v>402</v>
      </c>
      <c r="O133" t="s">
        <v>286</v>
      </c>
      <c r="P133" t="s">
        <v>1061</v>
      </c>
    </row>
    <row r="134" spans="1:16" x14ac:dyDescent="0.4">
      <c r="A134">
        <f t="shared" si="4"/>
        <v>23</v>
      </c>
      <c r="B134" t="s">
        <v>529</v>
      </c>
      <c r="C134" t="s">
        <v>694</v>
      </c>
      <c r="D134" t="s">
        <v>218</v>
      </c>
      <c r="E134" t="s">
        <v>604</v>
      </c>
      <c r="F134" t="s">
        <v>949</v>
      </c>
      <c r="G134" t="s">
        <v>950</v>
      </c>
      <c r="H134" t="s">
        <v>951</v>
      </c>
      <c r="I134" t="s">
        <v>235</v>
      </c>
      <c r="J134" t="s">
        <v>197</v>
      </c>
      <c r="K134" s="33">
        <v>43032</v>
      </c>
      <c r="L134" s="8">
        <v>43030.883020833331</v>
      </c>
      <c r="M134" s="23">
        <f>LEN(ProjTextTable[[#This Row],[text]])</f>
        <v>4197</v>
      </c>
      <c r="N134" s="23">
        <f>LEN(TRIM(CLEAN(SUBSTITUTE(ProjTextTable[[#This Row],[text]],CHAR(10)," "))))+1 - LEN(SUBSTITUTE(CLEAN(SUBSTITUTE(ProjTextTable[[#This Row],[text]],CHAR(10)," "))," ",""))</f>
        <v>668</v>
      </c>
      <c r="O134" t="s">
        <v>223</v>
      </c>
      <c r="P134" t="s">
        <v>1062</v>
      </c>
    </row>
    <row r="135" spans="1:16" x14ac:dyDescent="0.4">
      <c r="A135">
        <f t="shared" si="4"/>
        <v>23</v>
      </c>
      <c r="B135" t="s">
        <v>529</v>
      </c>
      <c r="C135" t="s">
        <v>694</v>
      </c>
      <c r="D135" t="s">
        <v>218</v>
      </c>
      <c r="E135" t="s">
        <v>604</v>
      </c>
      <c r="F135" t="s">
        <v>909</v>
      </c>
      <c r="G135" t="s">
        <v>910</v>
      </c>
      <c r="H135" t="s">
        <v>911</v>
      </c>
      <c r="I135" t="s">
        <v>235</v>
      </c>
      <c r="J135" t="s">
        <v>197</v>
      </c>
      <c r="K135" s="33">
        <v>43032</v>
      </c>
      <c r="L135" s="8">
        <v>43030.171967592592</v>
      </c>
      <c r="M135" s="23">
        <f>LEN(ProjTextTable[[#This Row],[text]])</f>
        <v>1906</v>
      </c>
      <c r="N135" s="23">
        <f>LEN(TRIM(CLEAN(SUBSTITUTE(ProjTextTable[[#This Row],[text]],CHAR(10)," "))))+1 - LEN(SUBSTITUTE(CLEAN(SUBSTITUTE(ProjTextTable[[#This Row],[text]],CHAR(10)," "))," ",""))</f>
        <v>276</v>
      </c>
      <c r="O135" t="s">
        <v>219</v>
      </c>
      <c r="P135" t="s">
        <v>1063</v>
      </c>
    </row>
    <row r="136" spans="1:16" x14ac:dyDescent="0.4">
      <c r="A136">
        <f t="shared" si="4"/>
        <v>23</v>
      </c>
      <c r="B136" t="s">
        <v>529</v>
      </c>
      <c r="C136" t="s">
        <v>694</v>
      </c>
      <c r="D136" t="s">
        <v>218</v>
      </c>
      <c r="E136" t="s">
        <v>604</v>
      </c>
      <c r="F136" t="s">
        <v>890</v>
      </c>
      <c r="G136" t="s">
        <v>891</v>
      </c>
      <c r="H136" t="s">
        <v>892</v>
      </c>
      <c r="I136" t="s">
        <v>235</v>
      </c>
      <c r="J136" t="s">
        <v>197</v>
      </c>
      <c r="K136" s="33">
        <v>43032</v>
      </c>
      <c r="L136" s="8">
        <v>43031.362187500003</v>
      </c>
      <c r="M136" s="23">
        <f>LEN(ProjTextTable[[#This Row],[text]])</f>
        <v>2284</v>
      </c>
      <c r="N136" s="23">
        <f>LEN(TRIM(CLEAN(SUBSTITUTE(ProjTextTable[[#This Row],[text]],CHAR(10)," "))))+1 - LEN(SUBSTITUTE(CLEAN(SUBSTITUTE(ProjTextTable[[#This Row],[text]],CHAR(10)," "))," ",""))</f>
        <v>353</v>
      </c>
      <c r="O136" t="s">
        <v>226</v>
      </c>
      <c r="P136" t="s">
        <v>1064</v>
      </c>
    </row>
    <row r="137" spans="1:16" x14ac:dyDescent="0.4">
      <c r="A137">
        <f t="shared" si="4"/>
        <v>23</v>
      </c>
      <c r="B137" t="s">
        <v>529</v>
      </c>
      <c r="C137" t="s">
        <v>694</v>
      </c>
      <c r="D137" t="s">
        <v>218</v>
      </c>
      <c r="E137" t="s">
        <v>604</v>
      </c>
      <c r="F137" t="s">
        <v>953</v>
      </c>
      <c r="G137" t="s">
        <v>954</v>
      </c>
      <c r="H137" t="s">
        <v>955</v>
      </c>
      <c r="I137" t="s">
        <v>235</v>
      </c>
      <c r="J137" t="s">
        <v>197</v>
      </c>
      <c r="K137" s="33">
        <v>43032</v>
      </c>
      <c r="L137" s="8">
        <v>43031.703900462962</v>
      </c>
      <c r="M137" s="23">
        <f>LEN(ProjTextTable[[#This Row],[text]])</f>
        <v>2598</v>
      </c>
      <c r="N137" s="23">
        <f>LEN(TRIM(CLEAN(SUBSTITUTE(ProjTextTable[[#This Row],[text]],CHAR(10)," "))))+1 - LEN(SUBSTITUTE(CLEAN(SUBSTITUTE(ProjTextTable[[#This Row],[text]],CHAR(10)," "))," ",""))</f>
        <v>394</v>
      </c>
      <c r="O137" t="s">
        <v>227</v>
      </c>
      <c r="P137" t="s">
        <v>1065</v>
      </c>
    </row>
    <row r="138" spans="1:16" x14ac:dyDescent="0.4">
      <c r="A138">
        <f t="shared" si="4"/>
        <v>23</v>
      </c>
      <c r="B138" t="s">
        <v>529</v>
      </c>
      <c r="C138" t="s">
        <v>694</v>
      </c>
      <c r="D138" t="s">
        <v>220</v>
      </c>
      <c r="E138" t="s">
        <v>575</v>
      </c>
      <c r="F138" t="s">
        <v>14</v>
      </c>
      <c r="G138" t="s">
        <v>14</v>
      </c>
      <c r="H138" t="s">
        <v>14</v>
      </c>
      <c r="K138" s="33"/>
      <c r="L138" s="8">
        <v>42936.045902777776</v>
      </c>
      <c r="M138" s="23">
        <f>LEN(ProjTextTable[[#This Row],[text]])</f>
        <v>3366</v>
      </c>
      <c r="N138" s="23">
        <f>LEN(TRIM(CLEAN(SUBSTITUTE(ProjTextTable[[#This Row],[text]],CHAR(10)," "))))+1 - LEN(SUBSTITUTE(CLEAN(SUBSTITUTE(ProjTextTable[[#This Row],[text]],CHAR(10)," "))," ",""))</f>
        <v>485</v>
      </c>
      <c r="O138" t="s">
        <v>14</v>
      </c>
      <c r="P138" t="s">
        <v>1066</v>
      </c>
    </row>
    <row r="139" spans="1:16" x14ac:dyDescent="0.4">
      <c r="A139">
        <f t="shared" si="4"/>
        <v>24</v>
      </c>
      <c r="B139" t="s">
        <v>530</v>
      </c>
      <c r="C139" t="s">
        <v>567</v>
      </c>
      <c r="D139" t="s">
        <v>229</v>
      </c>
      <c r="E139" t="s">
        <v>604</v>
      </c>
      <c r="F139" t="s">
        <v>769</v>
      </c>
      <c r="G139" t="s">
        <v>883</v>
      </c>
      <c r="H139" t="s">
        <v>770</v>
      </c>
      <c r="I139" t="s">
        <v>224</v>
      </c>
      <c r="J139" t="s">
        <v>293</v>
      </c>
      <c r="K139" s="33">
        <v>43031</v>
      </c>
      <c r="L139" s="8"/>
      <c r="M139" s="23">
        <f>LEN(ProjTextTable[[#This Row],[text]])</f>
        <v>2162</v>
      </c>
      <c r="N139" s="23">
        <f>LEN(TRIM(CLEAN(SUBSTITUTE(ProjTextTable[[#This Row],[text]],CHAR(10)," "))))+1 - LEN(SUBSTITUTE(CLEAN(SUBSTITUTE(ProjTextTable[[#This Row],[text]],CHAR(10)," "))," ",""))</f>
        <v>303</v>
      </c>
      <c r="O139" t="s">
        <v>644</v>
      </c>
      <c r="P139" t="s">
        <v>1067</v>
      </c>
    </row>
    <row r="140" spans="1:16" x14ac:dyDescent="0.4">
      <c r="A140">
        <f t="shared" si="4"/>
        <v>24</v>
      </c>
      <c r="B140" t="s">
        <v>530</v>
      </c>
      <c r="C140" t="s">
        <v>567</v>
      </c>
      <c r="D140" t="s">
        <v>218</v>
      </c>
      <c r="E140" t="s">
        <v>604</v>
      </c>
      <c r="F140" t="s">
        <v>905</v>
      </c>
      <c r="G140" t="s">
        <v>906</v>
      </c>
      <c r="H140" t="s">
        <v>907</v>
      </c>
      <c r="I140" t="s">
        <v>235</v>
      </c>
      <c r="J140" t="s">
        <v>197</v>
      </c>
      <c r="K140" s="33">
        <v>43032</v>
      </c>
      <c r="L140" s="8">
        <v>43026.986875000002</v>
      </c>
      <c r="M140" s="23">
        <f>LEN(ProjTextTable[[#This Row],[text]])</f>
        <v>1796</v>
      </c>
      <c r="N140" s="23">
        <f>LEN(TRIM(CLEAN(SUBSTITUTE(ProjTextTable[[#This Row],[text]],CHAR(10)," "))))+1 - LEN(SUBSTITUTE(CLEAN(SUBSTITUTE(ProjTextTable[[#This Row],[text]],CHAR(10)," "))," ",""))</f>
        <v>279</v>
      </c>
      <c r="O140" t="s">
        <v>225</v>
      </c>
      <c r="P140" t="s">
        <v>1068</v>
      </c>
    </row>
    <row r="141" spans="1:16" x14ac:dyDescent="0.4">
      <c r="A141">
        <f t="shared" si="4"/>
        <v>24</v>
      </c>
      <c r="B141" t="s">
        <v>530</v>
      </c>
      <c r="C141" t="s">
        <v>567</v>
      </c>
      <c r="D141" t="s">
        <v>218</v>
      </c>
      <c r="E141" t="s">
        <v>604</v>
      </c>
      <c r="F141" t="s">
        <v>953</v>
      </c>
      <c r="G141" t="s">
        <v>954</v>
      </c>
      <c r="H141" t="s">
        <v>955</v>
      </c>
      <c r="I141" t="s">
        <v>235</v>
      </c>
      <c r="J141" t="s">
        <v>197</v>
      </c>
      <c r="K141" s="33">
        <v>43032</v>
      </c>
      <c r="L141" s="8">
        <v>43027.924050925925</v>
      </c>
      <c r="M141" s="23">
        <f>LEN(ProjTextTable[[#This Row],[text]])</f>
        <v>2309</v>
      </c>
      <c r="N141" s="23">
        <f>LEN(TRIM(CLEAN(SUBSTITUTE(ProjTextTable[[#This Row],[text]],CHAR(10)," "))))+1 - LEN(SUBSTITUTE(CLEAN(SUBSTITUTE(ProjTextTable[[#This Row],[text]],CHAR(10)," "))," ",""))</f>
        <v>353</v>
      </c>
      <c r="O141" t="s">
        <v>227</v>
      </c>
      <c r="P141" t="s">
        <v>1069</v>
      </c>
    </row>
    <row r="142" spans="1:16" x14ac:dyDescent="0.4">
      <c r="A142">
        <f t="shared" si="4"/>
        <v>24</v>
      </c>
      <c r="B142" t="s">
        <v>530</v>
      </c>
      <c r="C142" t="s">
        <v>567</v>
      </c>
      <c r="D142" t="s">
        <v>218</v>
      </c>
      <c r="E142" t="s">
        <v>604</v>
      </c>
      <c r="F142" t="s">
        <v>894</v>
      </c>
      <c r="G142" t="s">
        <v>895</v>
      </c>
      <c r="H142" t="s">
        <v>896</v>
      </c>
      <c r="I142" t="s">
        <v>235</v>
      </c>
      <c r="J142" t="s">
        <v>197</v>
      </c>
      <c r="K142" s="33">
        <v>43032</v>
      </c>
      <c r="L142" s="8">
        <v>43030.984317129631</v>
      </c>
      <c r="M142" s="23">
        <f>LEN(ProjTextTable[[#This Row],[text]])</f>
        <v>1903</v>
      </c>
      <c r="N142" s="23">
        <f>LEN(TRIM(CLEAN(SUBSTITUTE(ProjTextTable[[#This Row],[text]],CHAR(10)," "))))+1 - LEN(SUBSTITUTE(CLEAN(SUBSTITUTE(ProjTextTable[[#This Row],[text]],CHAR(10)," "))," ",""))</f>
        <v>283</v>
      </c>
      <c r="O142" t="s">
        <v>225</v>
      </c>
      <c r="P142" t="s">
        <v>1070</v>
      </c>
    </row>
    <row r="143" spans="1:16" x14ac:dyDescent="0.4">
      <c r="A143">
        <f t="shared" si="4"/>
        <v>24</v>
      </c>
      <c r="B143" t="s">
        <v>530</v>
      </c>
      <c r="C143" t="s">
        <v>567</v>
      </c>
      <c r="D143" t="s">
        <v>218</v>
      </c>
      <c r="E143" t="s">
        <v>604</v>
      </c>
      <c r="F143" t="s">
        <v>930</v>
      </c>
      <c r="G143" t="s">
        <v>931</v>
      </c>
      <c r="H143" t="s">
        <v>932</v>
      </c>
      <c r="I143" t="s">
        <v>235</v>
      </c>
      <c r="J143" t="s">
        <v>197</v>
      </c>
      <c r="K143" s="33">
        <v>43032</v>
      </c>
      <c r="L143" s="8">
        <v>43031.775856481479</v>
      </c>
      <c r="M143" s="23">
        <f>LEN(ProjTextTable[[#This Row],[text]])</f>
        <v>1055</v>
      </c>
      <c r="N143" s="23">
        <f>LEN(TRIM(CLEAN(SUBSTITUTE(ProjTextTable[[#This Row],[text]],CHAR(10)," "))))+1 - LEN(SUBSTITUTE(CLEAN(SUBSTITUTE(ProjTextTable[[#This Row],[text]],CHAR(10)," "))," ",""))</f>
        <v>153</v>
      </c>
      <c r="O143" t="s">
        <v>225</v>
      </c>
      <c r="P143" t="s">
        <v>1071</v>
      </c>
    </row>
    <row r="144" spans="1:16" x14ac:dyDescent="0.4">
      <c r="A144">
        <f t="shared" si="4"/>
        <v>25</v>
      </c>
      <c r="B144" t="s">
        <v>531</v>
      </c>
      <c r="C144" t="s">
        <v>710</v>
      </c>
      <c r="D144" t="s">
        <v>229</v>
      </c>
      <c r="E144" t="s">
        <v>604</v>
      </c>
      <c r="F144" t="s">
        <v>769</v>
      </c>
      <c r="G144" t="s">
        <v>883</v>
      </c>
      <c r="H144" t="s">
        <v>287</v>
      </c>
      <c r="I144" t="s">
        <v>217</v>
      </c>
      <c r="J144" t="s">
        <v>224</v>
      </c>
      <c r="K144" s="33">
        <v>43031</v>
      </c>
      <c r="L144" s="8"/>
      <c r="M144" s="23">
        <f>LEN(ProjTextTable[[#This Row],[text]])</f>
        <v>2426</v>
      </c>
      <c r="N144" s="23">
        <f>LEN(TRIM(CLEAN(SUBSTITUTE(ProjTextTable[[#This Row],[text]],CHAR(10)," "))))+1 - LEN(SUBSTITUTE(CLEAN(SUBSTITUTE(ProjTextTable[[#This Row],[text]],CHAR(10)," "))," ",""))</f>
        <v>361</v>
      </c>
      <c r="O144" t="s">
        <v>286</v>
      </c>
      <c r="P144" t="s">
        <v>1072</v>
      </c>
    </row>
    <row r="145" spans="1:16" x14ac:dyDescent="0.4">
      <c r="A145">
        <f t="shared" si="4"/>
        <v>25</v>
      </c>
      <c r="B145" t="s">
        <v>531</v>
      </c>
      <c r="C145" t="s">
        <v>710</v>
      </c>
      <c r="D145" t="s">
        <v>218</v>
      </c>
      <c r="E145" t="s">
        <v>604</v>
      </c>
      <c r="F145" t="s">
        <v>894</v>
      </c>
      <c r="G145" t="s">
        <v>895</v>
      </c>
      <c r="H145" t="s">
        <v>896</v>
      </c>
      <c r="I145" t="s">
        <v>235</v>
      </c>
      <c r="J145" t="s">
        <v>197</v>
      </c>
      <c r="K145" s="33">
        <v>43032</v>
      </c>
      <c r="L145" s="8">
        <v>43029.952604166669</v>
      </c>
      <c r="M145" s="23">
        <f>LEN(ProjTextTable[[#This Row],[text]])</f>
        <v>2564</v>
      </c>
      <c r="N145" s="23">
        <f>LEN(TRIM(CLEAN(SUBSTITUTE(ProjTextTable[[#This Row],[text]],CHAR(10)," "))))+1 - LEN(SUBSTITUTE(CLEAN(SUBSTITUTE(ProjTextTable[[#This Row],[text]],CHAR(10)," "))," ",""))</f>
        <v>374</v>
      </c>
      <c r="O145" t="s">
        <v>219</v>
      </c>
      <c r="P145" t="s">
        <v>1073</v>
      </c>
    </row>
    <row r="146" spans="1:16" x14ac:dyDescent="0.4">
      <c r="A146">
        <f t="shared" si="4"/>
        <v>25</v>
      </c>
      <c r="B146" t="s">
        <v>531</v>
      </c>
      <c r="C146" t="s">
        <v>710</v>
      </c>
      <c r="D146" t="s">
        <v>218</v>
      </c>
      <c r="E146" t="s">
        <v>604</v>
      </c>
      <c r="F146" t="s">
        <v>967</v>
      </c>
      <c r="G146" t="s">
        <v>968</v>
      </c>
      <c r="H146" t="s">
        <v>969</v>
      </c>
      <c r="I146" t="s">
        <v>235</v>
      </c>
      <c r="J146" t="s">
        <v>197</v>
      </c>
      <c r="K146" s="33">
        <v>43032</v>
      </c>
      <c r="L146" s="8">
        <v>43031.107453703706</v>
      </c>
      <c r="M146" s="23">
        <f>LEN(ProjTextTable[[#This Row],[text]])</f>
        <v>2410</v>
      </c>
      <c r="N146" s="23">
        <f>LEN(TRIM(CLEAN(SUBSTITUTE(ProjTextTable[[#This Row],[text]],CHAR(10)," "))))+1 - LEN(SUBSTITUTE(CLEAN(SUBSTITUTE(ProjTextTable[[#This Row],[text]],CHAR(10)," "))," ",""))</f>
        <v>358</v>
      </c>
      <c r="O146" t="s">
        <v>219</v>
      </c>
      <c r="P146" t="s">
        <v>1074</v>
      </c>
    </row>
    <row r="147" spans="1:16" x14ac:dyDescent="0.4">
      <c r="A147">
        <f t="shared" si="4"/>
        <v>25</v>
      </c>
      <c r="B147" t="s">
        <v>531</v>
      </c>
      <c r="C147" t="s">
        <v>710</v>
      </c>
      <c r="D147" t="s">
        <v>218</v>
      </c>
      <c r="E147" t="s">
        <v>604</v>
      </c>
      <c r="F147" t="s">
        <v>930</v>
      </c>
      <c r="G147" t="s">
        <v>931</v>
      </c>
      <c r="H147" t="s">
        <v>932</v>
      </c>
      <c r="I147" t="s">
        <v>235</v>
      </c>
      <c r="J147" t="s">
        <v>197</v>
      </c>
      <c r="K147" s="33">
        <v>43032</v>
      </c>
      <c r="L147" s="8">
        <v>43031.771365740744</v>
      </c>
      <c r="M147" s="23">
        <f>LEN(ProjTextTable[[#This Row],[text]])</f>
        <v>2018</v>
      </c>
      <c r="N147" s="23">
        <f>LEN(TRIM(CLEAN(SUBSTITUTE(ProjTextTable[[#This Row],[text]],CHAR(10)," "))))+1 - LEN(SUBSTITUTE(CLEAN(SUBSTITUTE(ProjTextTable[[#This Row],[text]],CHAR(10)," "))," ",""))</f>
        <v>300</v>
      </c>
      <c r="O147" t="s">
        <v>219</v>
      </c>
      <c r="P147" t="s">
        <v>1075</v>
      </c>
    </row>
    <row r="148" spans="1:16" x14ac:dyDescent="0.4">
      <c r="A148">
        <f t="shared" si="4"/>
        <v>25</v>
      </c>
      <c r="B148" t="s">
        <v>531</v>
      </c>
      <c r="C148" t="s">
        <v>710</v>
      </c>
      <c r="D148" t="s">
        <v>220</v>
      </c>
      <c r="E148" t="s">
        <v>559</v>
      </c>
      <c r="F148" t="s">
        <v>14</v>
      </c>
      <c r="G148" t="s">
        <v>14</v>
      </c>
      <c r="H148" t="s">
        <v>14</v>
      </c>
      <c r="K148" s="33"/>
      <c r="L148" s="8">
        <v>42957.042546296296</v>
      </c>
      <c r="M148" s="23">
        <f>LEN(ProjTextTable[[#This Row],[text]])</f>
        <v>4631</v>
      </c>
      <c r="N148" s="23">
        <f>LEN(TRIM(CLEAN(SUBSTITUTE(ProjTextTable[[#This Row],[text]],CHAR(10)," "))))+1 - LEN(SUBSTITUTE(CLEAN(SUBSTITUTE(ProjTextTable[[#This Row],[text]],CHAR(10)," "))," ",""))</f>
        <v>656</v>
      </c>
      <c r="O148" t="s">
        <v>14</v>
      </c>
      <c r="P148" t="s">
        <v>1076</v>
      </c>
    </row>
    <row r="149" spans="1:16" x14ac:dyDescent="0.4">
      <c r="A149">
        <f t="shared" si="4"/>
        <v>26</v>
      </c>
      <c r="B149" t="s">
        <v>532</v>
      </c>
      <c r="C149" t="s">
        <v>717</v>
      </c>
      <c r="D149" t="s">
        <v>229</v>
      </c>
      <c r="E149" t="s">
        <v>604</v>
      </c>
      <c r="F149" t="s">
        <v>769</v>
      </c>
      <c r="G149" t="s">
        <v>883</v>
      </c>
      <c r="H149" t="s">
        <v>282</v>
      </c>
      <c r="I149" t="s">
        <v>101</v>
      </c>
      <c r="J149" t="s">
        <v>101</v>
      </c>
      <c r="K149" s="33">
        <v>43031</v>
      </c>
      <c r="L149" s="8"/>
      <c r="M149" s="23">
        <f>LEN(ProjTextTable[[#This Row],[text]])</f>
        <v>3383</v>
      </c>
      <c r="N149" s="23">
        <f>LEN(TRIM(CLEAN(SUBSTITUTE(ProjTextTable[[#This Row],[text]],CHAR(10)," "))))+1 - LEN(SUBSTITUTE(CLEAN(SUBSTITUTE(ProjTextTable[[#This Row],[text]],CHAR(10)," "))," ",""))</f>
        <v>505</v>
      </c>
      <c r="O149" t="s">
        <v>280</v>
      </c>
      <c r="P149" t="s">
        <v>1077</v>
      </c>
    </row>
    <row r="150" spans="1:16" x14ac:dyDescent="0.4">
      <c r="A150">
        <f t="shared" si="4"/>
        <v>26</v>
      </c>
      <c r="B150" t="s">
        <v>532</v>
      </c>
      <c r="C150" t="s">
        <v>717</v>
      </c>
      <c r="D150" t="s">
        <v>1078</v>
      </c>
      <c r="E150" t="s">
        <v>575</v>
      </c>
      <c r="F150" t="s">
        <v>14</v>
      </c>
      <c r="G150" t="s">
        <v>1079</v>
      </c>
      <c r="H150" t="s">
        <v>14</v>
      </c>
      <c r="I150" t="s">
        <v>14</v>
      </c>
      <c r="K150" s="33"/>
      <c r="L150" s="8">
        <v>43069.566967592589</v>
      </c>
      <c r="M150" s="23">
        <f>LEN(ProjTextTable[[#This Row],[text]])</f>
        <v>3750</v>
      </c>
      <c r="N150" s="23">
        <f>LEN(TRIM(CLEAN(SUBSTITUTE(ProjTextTable[[#This Row],[text]],CHAR(10)," "))))+1 - LEN(SUBSTITUTE(CLEAN(SUBSTITUTE(ProjTextTable[[#This Row],[text]],CHAR(10)," "))," ",""))</f>
        <v>588</v>
      </c>
      <c r="O150" t="s">
        <v>14</v>
      </c>
      <c r="P150" t="s">
        <v>1080</v>
      </c>
    </row>
    <row r="151" spans="1:16" x14ac:dyDescent="0.4">
      <c r="A151">
        <f t="shared" si="4"/>
        <v>26</v>
      </c>
      <c r="B151" t="s">
        <v>532</v>
      </c>
      <c r="C151" t="s">
        <v>717</v>
      </c>
      <c r="D151" t="s">
        <v>218</v>
      </c>
      <c r="E151" t="s">
        <v>604</v>
      </c>
      <c r="F151" t="s">
        <v>909</v>
      </c>
      <c r="G151" t="s">
        <v>910</v>
      </c>
      <c r="H151" t="s">
        <v>911</v>
      </c>
      <c r="I151" t="s">
        <v>235</v>
      </c>
      <c r="J151" t="s">
        <v>197</v>
      </c>
      <c r="K151" s="33">
        <v>43032</v>
      </c>
      <c r="L151" s="8">
        <v>43030.168969907405</v>
      </c>
      <c r="M151" s="23">
        <f>LEN(ProjTextTable[[#This Row],[text]])</f>
        <v>1663</v>
      </c>
      <c r="N151" s="23">
        <f>LEN(TRIM(CLEAN(SUBSTITUTE(ProjTextTable[[#This Row],[text]],CHAR(10)," "))))+1 - LEN(SUBSTITUTE(CLEAN(SUBSTITUTE(ProjTextTable[[#This Row],[text]],CHAR(10)," "))," ",""))</f>
        <v>245</v>
      </c>
      <c r="O151" t="s">
        <v>223</v>
      </c>
      <c r="P151" t="s">
        <v>1081</v>
      </c>
    </row>
    <row r="152" spans="1:16" x14ac:dyDescent="0.4">
      <c r="A152">
        <f t="shared" si="4"/>
        <v>26</v>
      </c>
      <c r="B152" t="s">
        <v>532</v>
      </c>
      <c r="C152" t="s">
        <v>717</v>
      </c>
      <c r="D152" t="s">
        <v>218</v>
      </c>
      <c r="E152" t="s">
        <v>604</v>
      </c>
      <c r="F152" t="s">
        <v>890</v>
      </c>
      <c r="G152" t="s">
        <v>891</v>
      </c>
      <c r="H152" t="s">
        <v>892</v>
      </c>
      <c r="I152" t="s">
        <v>235</v>
      </c>
      <c r="J152" t="s">
        <v>197</v>
      </c>
      <c r="K152" s="33">
        <v>43032</v>
      </c>
      <c r="L152" s="8">
        <v>43031.369733796295</v>
      </c>
      <c r="M152" s="23">
        <f>LEN(ProjTextTable[[#This Row],[text]])</f>
        <v>1591</v>
      </c>
      <c r="N152" s="23">
        <f>LEN(TRIM(CLEAN(SUBSTITUTE(ProjTextTable[[#This Row],[text]],CHAR(10)," "))))+1 - LEN(SUBSTITUTE(CLEAN(SUBSTITUTE(ProjTextTable[[#This Row],[text]],CHAR(10)," "))," ",""))</f>
        <v>257</v>
      </c>
      <c r="O152" t="s">
        <v>223</v>
      </c>
      <c r="P152" t="s">
        <v>1082</v>
      </c>
    </row>
    <row r="153" spans="1:16" x14ac:dyDescent="0.4">
      <c r="A153">
        <f t="shared" si="4"/>
        <v>26</v>
      </c>
      <c r="B153" t="s">
        <v>532</v>
      </c>
      <c r="C153" t="s">
        <v>717</v>
      </c>
      <c r="D153" t="s">
        <v>218</v>
      </c>
      <c r="E153" t="s">
        <v>604</v>
      </c>
      <c r="F153" t="s">
        <v>958</v>
      </c>
      <c r="G153" t="s">
        <v>959</v>
      </c>
      <c r="H153" t="s">
        <v>960</v>
      </c>
      <c r="I153" t="s">
        <v>235</v>
      </c>
      <c r="J153" t="s">
        <v>197</v>
      </c>
      <c r="K153" s="33">
        <v>43032</v>
      </c>
      <c r="L153" s="8">
        <v>43030.807129629633</v>
      </c>
      <c r="M153" s="23">
        <f>LEN(ProjTextTable[[#This Row],[text]])</f>
        <v>1135</v>
      </c>
      <c r="N153" s="23">
        <f>LEN(TRIM(CLEAN(SUBSTITUTE(ProjTextTable[[#This Row],[text]],CHAR(10)," "))))+1 - LEN(SUBSTITUTE(CLEAN(SUBSTITUTE(ProjTextTable[[#This Row],[text]],CHAR(10)," "))," ",""))</f>
        <v>169</v>
      </c>
      <c r="O153" t="s">
        <v>223</v>
      </c>
      <c r="P153" t="s">
        <v>1083</v>
      </c>
    </row>
    <row r="154" spans="1:16" x14ac:dyDescent="0.4">
      <c r="A154">
        <f t="shared" si="4"/>
        <v>27</v>
      </c>
      <c r="B154" t="s">
        <v>533</v>
      </c>
      <c r="C154" t="s">
        <v>723</v>
      </c>
      <c r="D154" t="s">
        <v>229</v>
      </c>
      <c r="E154" t="s">
        <v>604</v>
      </c>
      <c r="F154" t="s">
        <v>769</v>
      </c>
      <c r="G154" t="s">
        <v>883</v>
      </c>
      <c r="H154" t="s">
        <v>232</v>
      </c>
      <c r="I154" t="s">
        <v>221</v>
      </c>
      <c r="J154" t="s">
        <v>221</v>
      </c>
      <c r="K154" s="33">
        <v>43031</v>
      </c>
      <c r="L154" s="8"/>
      <c r="M154" s="23">
        <f>LEN(ProjTextTable[[#This Row],[text]])</f>
        <v>2371</v>
      </c>
      <c r="N154" s="23">
        <f>LEN(TRIM(CLEAN(SUBSTITUTE(ProjTextTable[[#This Row],[text]],CHAR(10)," "))))+1 - LEN(SUBSTITUTE(CLEAN(SUBSTITUTE(ProjTextTable[[#This Row],[text]],CHAR(10)," "))," ",""))</f>
        <v>361</v>
      </c>
      <c r="O154" t="s">
        <v>233</v>
      </c>
      <c r="P154" t="s">
        <v>1084</v>
      </c>
    </row>
    <row r="155" spans="1:16" x14ac:dyDescent="0.4">
      <c r="A155">
        <f t="shared" si="4"/>
        <v>27</v>
      </c>
      <c r="B155" t="s">
        <v>533</v>
      </c>
      <c r="C155" t="s">
        <v>723</v>
      </c>
      <c r="D155" t="s">
        <v>218</v>
      </c>
      <c r="E155" t="s">
        <v>604</v>
      </c>
      <c r="F155" t="s">
        <v>886</v>
      </c>
      <c r="G155" t="s">
        <v>887</v>
      </c>
      <c r="H155" t="s">
        <v>888</v>
      </c>
      <c r="I155" t="s">
        <v>235</v>
      </c>
      <c r="J155" t="s">
        <v>197</v>
      </c>
      <c r="K155" s="33">
        <v>43032</v>
      </c>
      <c r="L155" s="8">
        <v>43031.767731481479</v>
      </c>
      <c r="M155" s="23">
        <f>LEN(ProjTextTable[[#This Row],[text]])</f>
        <v>3988</v>
      </c>
      <c r="N155" s="23">
        <f>LEN(TRIM(CLEAN(SUBSTITUTE(ProjTextTable[[#This Row],[text]],CHAR(10)," "))))+1 - LEN(SUBSTITUTE(CLEAN(SUBSTITUTE(ProjTextTable[[#This Row],[text]],CHAR(10)," "))," ",""))</f>
        <v>620</v>
      </c>
      <c r="O155" t="s">
        <v>226</v>
      </c>
      <c r="P155" t="s">
        <v>1085</v>
      </c>
    </row>
    <row r="156" spans="1:16" x14ac:dyDescent="0.4">
      <c r="A156">
        <f t="shared" si="4"/>
        <v>27</v>
      </c>
      <c r="B156" t="s">
        <v>533</v>
      </c>
      <c r="C156" t="s">
        <v>723</v>
      </c>
      <c r="D156" t="s">
        <v>218</v>
      </c>
      <c r="E156" t="s">
        <v>604</v>
      </c>
      <c r="F156" t="s">
        <v>967</v>
      </c>
      <c r="G156" t="s">
        <v>968</v>
      </c>
      <c r="H156" t="s">
        <v>969</v>
      </c>
      <c r="I156" t="s">
        <v>235</v>
      </c>
      <c r="J156" t="s">
        <v>197</v>
      </c>
      <c r="K156" s="33">
        <v>43032</v>
      </c>
      <c r="L156" s="8">
        <v>43031.147233796299</v>
      </c>
      <c r="M156" s="23">
        <f>LEN(ProjTextTable[[#This Row],[text]])</f>
        <v>1088</v>
      </c>
      <c r="N156" s="23">
        <f>LEN(TRIM(CLEAN(SUBSTITUTE(ProjTextTable[[#This Row],[text]],CHAR(10)," "))))+1 - LEN(SUBSTITUTE(CLEAN(SUBSTITUTE(ProjTextTable[[#This Row],[text]],CHAR(10)," "))," ",""))</f>
        <v>154</v>
      </c>
      <c r="O156" t="s">
        <v>223</v>
      </c>
      <c r="P156" t="s">
        <v>1086</v>
      </c>
    </row>
    <row r="157" spans="1:16" x14ac:dyDescent="0.4">
      <c r="A157">
        <f t="shared" si="4"/>
        <v>27</v>
      </c>
      <c r="B157" t="s">
        <v>533</v>
      </c>
      <c r="C157" t="s">
        <v>723</v>
      </c>
      <c r="D157" t="s">
        <v>218</v>
      </c>
      <c r="E157" t="s">
        <v>604</v>
      </c>
      <c r="F157" t="s">
        <v>917</v>
      </c>
      <c r="G157" t="s">
        <v>918</v>
      </c>
      <c r="H157" t="s">
        <v>919</v>
      </c>
      <c r="I157" t="s">
        <v>235</v>
      </c>
      <c r="J157" t="s">
        <v>197</v>
      </c>
      <c r="K157" s="33">
        <v>43032</v>
      </c>
      <c r="L157" s="8">
        <v>43031.020694444444</v>
      </c>
      <c r="M157" s="23">
        <f>LEN(ProjTextTable[[#This Row],[text]])</f>
        <v>2238</v>
      </c>
      <c r="N157" s="23">
        <f>LEN(TRIM(CLEAN(SUBSTITUTE(ProjTextTable[[#This Row],[text]],CHAR(10)," "))))+1 - LEN(SUBSTITUTE(CLEAN(SUBSTITUTE(ProjTextTable[[#This Row],[text]],CHAR(10)," "))," ",""))</f>
        <v>333</v>
      </c>
      <c r="O157" t="s">
        <v>226</v>
      </c>
      <c r="P157" t="s">
        <v>1087</v>
      </c>
    </row>
    <row r="158" spans="1:16" x14ac:dyDescent="0.4">
      <c r="A158">
        <f t="shared" si="4"/>
        <v>27</v>
      </c>
      <c r="B158" t="s">
        <v>533</v>
      </c>
      <c r="C158" t="s">
        <v>723</v>
      </c>
      <c r="D158" t="s">
        <v>220</v>
      </c>
      <c r="E158" t="s">
        <v>604</v>
      </c>
      <c r="F158" t="s">
        <v>14</v>
      </c>
      <c r="G158" t="s">
        <v>14</v>
      </c>
      <c r="H158" t="s">
        <v>14</v>
      </c>
      <c r="K158" s="33"/>
      <c r="L158" s="8">
        <v>42957.042812500003</v>
      </c>
      <c r="M158" s="23">
        <f>LEN(ProjTextTable[[#This Row],[text]])</f>
        <v>2797</v>
      </c>
      <c r="N158" s="23">
        <f>LEN(TRIM(CLEAN(SUBSTITUTE(ProjTextTable[[#This Row],[text]],CHAR(10)," "))))+1 - LEN(SUBSTITUTE(CLEAN(SUBSTITUTE(ProjTextTable[[#This Row],[text]],CHAR(10)," "))," ",""))</f>
        <v>393</v>
      </c>
      <c r="O158" t="s">
        <v>14</v>
      </c>
      <c r="P158" t="s">
        <v>1088</v>
      </c>
    </row>
    <row r="159" spans="1:16" x14ac:dyDescent="0.4">
      <c r="A159">
        <f t="shared" si="4"/>
        <v>28</v>
      </c>
      <c r="B159" t="s">
        <v>534</v>
      </c>
      <c r="C159" t="s">
        <v>729</v>
      </c>
      <c r="D159" t="s">
        <v>229</v>
      </c>
      <c r="E159" t="s">
        <v>604</v>
      </c>
      <c r="F159" t="s">
        <v>769</v>
      </c>
      <c r="G159" t="s">
        <v>883</v>
      </c>
      <c r="H159" t="s">
        <v>770</v>
      </c>
      <c r="I159" t="s">
        <v>224</v>
      </c>
      <c r="J159" t="s">
        <v>293</v>
      </c>
      <c r="K159" s="33">
        <v>43031</v>
      </c>
      <c r="L159" s="8"/>
      <c r="M159" s="23">
        <f>LEN(ProjTextTable[[#This Row],[text]])</f>
        <v>3554</v>
      </c>
      <c r="N159" s="23">
        <f>LEN(TRIM(CLEAN(SUBSTITUTE(ProjTextTable[[#This Row],[text]],CHAR(10)," "))))+1 - LEN(SUBSTITUTE(CLEAN(SUBSTITUTE(ProjTextTable[[#This Row],[text]],CHAR(10)," "))," ",""))</f>
        <v>563</v>
      </c>
      <c r="O159" t="s">
        <v>644</v>
      </c>
      <c r="P159" t="s">
        <v>1089</v>
      </c>
    </row>
    <row r="160" spans="1:16" x14ac:dyDescent="0.4">
      <c r="A160">
        <f t="shared" si="4"/>
        <v>28</v>
      </c>
      <c r="B160" t="s">
        <v>534</v>
      </c>
      <c r="C160" t="s">
        <v>729</v>
      </c>
      <c r="D160" t="s">
        <v>218</v>
      </c>
      <c r="E160" t="s">
        <v>604</v>
      </c>
      <c r="F160" t="s">
        <v>949</v>
      </c>
      <c r="G160" t="s">
        <v>950</v>
      </c>
      <c r="H160" t="s">
        <v>951</v>
      </c>
      <c r="I160" t="s">
        <v>235</v>
      </c>
      <c r="J160" t="s">
        <v>197</v>
      </c>
      <c r="K160" s="33">
        <v>43032</v>
      </c>
      <c r="L160" s="8">
        <v>43030.886724537035</v>
      </c>
      <c r="M160" s="23">
        <f>LEN(ProjTextTable[[#This Row],[text]])</f>
        <v>2250</v>
      </c>
      <c r="N160" s="23">
        <f>LEN(TRIM(CLEAN(SUBSTITUTE(ProjTextTable[[#This Row],[text]],CHAR(10)," "))))+1 - LEN(SUBSTITUTE(CLEAN(SUBSTITUTE(ProjTextTable[[#This Row],[text]],CHAR(10)," "))," ",""))</f>
        <v>331</v>
      </c>
      <c r="O160" t="s">
        <v>219</v>
      </c>
      <c r="P160" t="s">
        <v>1090</v>
      </c>
    </row>
    <row r="161" spans="1:16" x14ac:dyDescent="0.4">
      <c r="A161">
        <f t="shared" si="4"/>
        <v>28</v>
      </c>
      <c r="B161" t="s">
        <v>534</v>
      </c>
      <c r="C161" t="s">
        <v>729</v>
      </c>
      <c r="D161" t="s">
        <v>218</v>
      </c>
      <c r="E161" t="s">
        <v>604</v>
      </c>
      <c r="F161" t="s">
        <v>886</v>
      </c>
      <c r="G161" t="s">
        <v>887</v>
      </c>
      <c r="H161" t="s">
        <v>888</v>
      </c>
      <c r="I161" t="s">
        <v>235</v>
      </c>
      <c r="J161" t="s">
        <v>197</v>
      </c>
      <c r="K161" s="33">
        <v>43032</v>
      </c>
      <c r="L161" s="8">
        <v>43025.633287037039</v>
      </c>
      <c r="M161" s="23">
        <f>LEN(ProjTextTable[[#This Row],[text]])</f>
        <v>2071</v>
      </c>
      <c r="N161" s="23">
        <f>LEN(TRIM(CLEAN(SUBSTITUTE(ProjTextTable[[#This Row],[text]],CHAR(10)," "))))+1 - LEN(SUBSTITUTE(CLEAN(SUBSTITUTE(ProjTextTable[[#This Row],[text]],CHAR(10)," "))," ",""))</f>
        <v>314</v>
      </c>
      <c r="O161" t="s">
        <v>222</v>
      </c>
      <c r="P161" t="s">
        <v>1091</v>
      </c>
    </row>
    <row r="162" spans="1:16" x14ac:dyDescent="0.4">
      <c r="A162">
        <f t="shared" ref="A162:A193" si="5">A161+(B162&lt;&gt;B161)</f>
        <v>28</v>
      </c>
      <c r="B162" t="s">
        <v>534</v>
      </c>
      <c r="C162" t="s">
        <v>729</v>
      </c>
      <c r="D162" t="s">
        <v>218</v>
      </c>
      <c r="E162" t="s">
        <v>604</v>
      </c>
      <c r="F162" t="s">
        <v>913</v>
      </c>
      <c r="G162" t="s">
        <v>914</v>
      </c>
      <c r="H162" t="s">
        <v>915</v>
      </c>
      <c r="I162" t="s">
        <v>235</v>
      </c>
      <c r="J162" t="s">
        <v>197</v>
      </c>
      <c r="K162" s="33">
        <v>43032</v>
      </c>
      <c r="L162" s="8">
        <v>43031.742314814815</v>
      </c>
      <c r="M162" s="23">
        <f>LEN(ProjTextTable[[#This Row],[text]])</f>
        <v>1610</v>
      </c>
      <c r="N162" s="23">
        <f>LEN(TRIM(CLEAN(SUBSTITUTE(ProjTextTable[[#This Row],[text]],CHAR(10)," "))))+1 - LEN(SUBSTITUTE(CLEAN(SUBSTITUTE(ProjTextTable[[#This Row],[text]],CHAR(10)," "))," ",""))</f>
        <v>237</v>
      </c>
      <c r="O162" t="s">
        <v>225</v>
      </c>
      <c r="P162" t="s">
        <v>1092</v>
      </c>
    </row>
    <row r="163" spans="1:16" x14ac:dyDescent="0.4">
      <c r="A163">
        <f t="shared" si="5"/>
        <v>28</v>
      </c>
      <c r="B163" t="s">
        <v>534</v>
      </c>
      <c r="C163" t="s">
        <v>729</v>
      </c>
      <c r="D163" t="s">
        <v>220</v>
      </c>
      <c r="E163" t="s">
        <v>559</v>
      </c>
      <c r="F163" t="s">
        <v>14</v>
      </c>
      <c r="G163" t="s">
        <v>14</v>
      </c>
      <c r="H163" t="s">
        <v>14</v>
      </c>
      <c r="K163" s="33"/>
      <c r="L163" s="8">
        <v>42957.042870370373</v>
      </c>
      <c r="M163" s="23">
        <f>LEN(ProjTextTable[[#This Row],[text]])</f>
        <v>4426</v>
      </c>
      <c r="N163" s="23">
        <f>LEN(TRIM(CLEAN(SUBSTITUTE(ProjTextTable[[#This Row],[text]],CHAR(10)," "))))+1 - LEN(SUBSTITUTE(CLEAN(SUBSTITUTE(ProjTextTable[[#This Row],[text]],CHAR(10)," "))," ",""))</f>
        <v>577</v>
      </c>
      <c r="O163" t="s">
        <v>14</v>
      </c>
      <c r="P163" t="s">
        <v>1093</v>
      </c>
    </row>
    <row r="164" spans="1:16" x14ac:dyDescent="0.4">
      <c r="A164">
        <f t="shared" si="5"/>
        <v>29</v>
      </c>
      <c r="B164" t="s">
        <v>535</v>
      </c>
      <c r="C164" t="s">
        <v>736</v>
      </c>
      <c r="D164" t="s">
        <v>229</v>
      </c>
      <c r="E164" t="s">
        <v>604</v>
      </c>
      <c r="F164" t="s">
        <v>1094</v>
      </c>
      <c r="G164" t="s">
        <v>883</v>
      </c>
      <c r="H164" t="s">
        <v>770</v>
      </c>
      <c r="I164" t="s">
        <v>224</v>
      </c>
      <c r="J164" t="s">
        <v>293</v>
      </c>
      <c r="K164" s="33">
        <v>43031</v>
      </c>
      <c r="L164" s="8"/>
      <c r="M164" s="23">
        <f>LEN(ProjTextTable[[#This Row],[text]])</f>
        <v>1785</v>
      </c>
      <c r="N164" s="23">
        <f>LEN(TRIM(CLEAN(SUBSTITUTE(ProjTextTable[[#This Row],[text]],CHAR(10)," "))))+1 - LEN(SUBSTITUTE(CLEAN(SUBSTITUTE(ProjTextTable[[#This Row],[text]],CHAR(10)," "))," ",""))</f>
        <v>268</v>
      </c>
      <c r="O164" t="s">
        <v>644</v>
      </c>
      <c r="P164" t="s">
        <v>1095</v>
      </c>
    </row>
    <row r="165" spans="1:16" x14ac:dyDescent="0.4">
      <c r="A165">
        <f t="shared" si="5"/>
        <v>29</v>
      </c>
      <c r="B165" t="s">
        <v>535</v>
      </c>
      <c r="C165" t="s">
        <v>736</v>
      </c>
      <c r="D165" t="s">
        <v>218</v>
      </c>
      <c r="E165" t="s">
        <v>604</v>
      </c>
      <c r="F165" t="s">
        <v>890</v>
      </c>
      <c r="G165" t="s">
        <v>891</v>
      </c>
      <c r="H165" t="s">
        <v>892</v>
      </c>
      <c r="I165" t="s">
        <v>235</v>
      </c>
      <c r="J165" t="s">
        <v>197</v>
      </c>
      <c r="K165" s="33">
        <v>43032</v>
      </c>
      <c r="L165" s="8">
        <v>43030.825844907406</v>
      </c>
      <c r="M165" s="23">
        <f>LEN(ProjTextTable[[#This Row],[text]])</f>
        <v>1433</v>
      </c>
      <c r="N165" s="23">
        <f>LEN(TRIM(CLEAN(SUBSTITUTE(ProjTextTable[[#This Row],[text]],CHAR(10)," "))))+1 - LEN(SUBSTITUTE(CLEAN(SUBSTITUTE(ProjTextTable[[#This Row],[text]],CHAR(10)," "))," ",""))</f>
        <v>209</v>
      </c>
      <c r="O165" t="s">
        <v>219</v>
      </c>
      <c r="P165" t="s">
        <v>1096</v>
      </c>
    </row>
    <row r="166" spans="1:16" x14ac:dyDescent="0.4">
      <c r="A166">
        <f t="shared" si="5"/>
        <v>29</v>
      </c>
      <c r="B166" t="s">
        <v>535</v>
      </c>
      <c r="C166" t="s">
        <v>736</v>
      </c>
      <c r="D166" t="s">
        <v>218</v>
      </c>
      <c r="E166" t="s">
        <v>559</v>
      </c>
      <c r="F166" t="s">
        <v>898</v>
      </c>
      <c r="G166" t="s">
        <v>899</v>
      </c>
      <c r="H166" t="s">
        <v>900</v>
      </c>
      <c r="I166" t="s">
        <v>235</v>
      </c>
      <c r="J166" t="s">
        <v>197</v>
      </c>
      <c r="K166" s="33">
        <v>43032</v>
      </c>
      <c r="L166" s="8">
        <v>43032.675833333335</v>
      </c>
      <c r="M166" s="23">
        <f>LEN(ProjTextTable[[#This Row],[text]])</f>
        <v>2823</v>
      </c>
      <c r="N166" s="23">
        <f>LEN(TRIM(CLEAN(SUBSTITUTE(ProjTextTable[[#This Row],[text]],CHAR(10)," "))))+1 - LEN(SUBSTITUTE(CLEAN(SUBSTITUTE(ProjTextTable[[#This Row],[text]],CHAR(10)," "))," ",""))</f>
        <v>475</v>
      </c>
      <c r="O166" t="s">
        <v>227</v>
      </c>
      <c r="P166" t="s">
        <v>1097</v>
      </c>
    </row>
    <row r="167" spans="1:16" x14ac:dyDescent="0.4">
      <c r="A167">
        <f t="shared" si="5"/>
        <v>29</v>
      </c>
      <c r="B167" t="s">
        <v>535</v>
      </c>
      <c r="C167" t="s">
        <v>736</v>
      </c>
      <c r="D167" t="s">
        <v>218</v>
      </c>
      <c r="E167" t="s">
        <v>604</v>
      </c>
      <c r="F167" t="s">
        <v>925</v>
      </c>
      <c r="G167" t="s">
        <v>926</v>
      </c>
      <c r="H167" t="s">
        <v>927</v>
      </c>
      <c r="I167" t="s">
        <v>235</v>
      </c>
      <c r="J167" t="s">
        <v>197</v>
      </c>
      <c r="K167" s="33">
        <v>43032</v>
      </c>
      <c r="L167" s="8">
        <v>43032.53087962963</v>
      </c>
      <c r="M167" s="23">
        <f>LEN(ProjTextTable[[#This Row],[text]])</f>
        <v>5656</v>
      </c>
      <c r="N167" s="23">
        <f>LEN(TRIM(CLEAN(SUBSTITUTE(ProjTextTable[[#This Row],[text]],CHAR(10)," "))))+1 - LEN(SUBSTITUTE(CLEAN(SUBSTITUTE(ProjTextTable[[#This Row],[text]],CHAR(10)," "))," ",""))</f>
        <v>946</v>
      </c>
      <c r="O167" t="s">
        <v>223</v>
      </c>
      <c r="P167" t="s">
        <v>1098</v>
      </c>
    </row>
    <row r="168" spans="1:16" x14ac:dyDescent="0.4">
      <c r="A168">
        <f t="shared" si="5"/>
        <v>29</v>
      </c>
      <c r="B168" t="s">
        <v>535</v>
      </c>
      <c r="C168" t="s">
        <v>736</v>
      </c>
      <c r="D168" t="s">
        <v>220</v>
      </c>
      <c r="E168" t="s">
        <v>559</v>
      </c>
      <c r="F168" t="s">
        <v>14</v>
      </c>
      <c r="G168" t="s">
        <v>14</v>
      </c>
      <c r="H168" t="s">
        <v>14</v>
      </c>
      <c r="K168" s="33"/>
      <c r="L168" s="8">
        <v>42957.043009259258</v>
      </c>
      <c r="M168" s="23">
        <f>LEN(ProjTextTable[[#This Row],[text]])</f>
        <v>4368</v>
      </c>
      <c r="N168" s="23">
        <f>LEN(TRIM(CLEAN(SUBSTITUTE(ProjTextTable[[#This Row],[text]],CHAR(10)," "))))+1 - LEN(SUBSTITUTE(CLEAN(SUBSTITUTE(ProjTextTable[[#This Row],[text]],CHAR(10)," "))," ",""))</f>
        <v>604</v>
      </c>
      <c r="O168" t="s">
        <v>14</v>
      </c>
      <c r="P168" t="s">
        <v>1099</v>
      </c>
    </row>
    <row r="169" spans="1:16" x14ac:dyDescent="0.4">
      <c r="A169">
        <f t="shared" si="5"/>
        <v>30</v>
      </c>
      <c r="B169" t="s">
        <v>536</v>
      </c>
      <c r="C169" t="s">
        <v>742</v>
      </c>
      <c r="D169" t="s">
        <v>229</v>
      </c>
      <c r="E169" t="s">
        <v>604</v>
      </c>
      <c r="F169" t="s">
        <v>769</v>
      </c>
      <c r="G169" t="s">
        <v>883</v>
      </c>
      <c r="H169" t="s">
        <v>770</v>
      </c>
      <c r="I169" t="s">
        <v>224</v>
      </c>
      <c r="J169" t="s">
        <v>293</v>
      </c>
      <c r="K169" s="33">
        <v>43031</v>
      </c>
      <c r="L169" s="8"/>
      <c r="M169" s="23">
        <f>LEN(ProjTextTable[[#This Row],[text]])</f>
        <v>2340</v>
      </c>
      <c r="N169" s="23">
        <f>LEN(TRIM(CLEAN(SUBSTITUTE(ProjTextTable[[#This Row],[text]],CHAR(10)," "))))+1 - LEN(SUBSTITUTE(CLEAN(SUBSTITUTE(ProjTextTable[[#This Row],[text]],CHAR(10)," "))," ",""))</f>
        <v>356</v>
      </c>
      <c r="O169" t="s">
        <v>644</v>
      </c>
      <c r="P169" t="s">
        <v>1100</v>
      </c>
    </row>
    <row r="170" spans="1:16" x14ac:dyDescent="0.4">
      <c r="A170">
        <f t="shared" si="5"/>
        <v>30</v>
      </c>
      <c r="B170" t="s">
        <v>536</v>
      </c>
      <c r="C170" t="s">
        <v>742</v>
      </c>
      <c r="D170" t="s">
        <v>218</v>
      </c>
      <c r="E170" t="s">
        <v>604</v>
      </c>
      <c r="F170" t="s">
        <v>886</v>
      </c>
      <c r="G170" t="s">
        <v>887</v>
      </c>
      <c r="H170" t="s">
        <v>888</v>
      </c>
      <c r="I170" t="s">
        <v>235</v>
      </c>
      <c r="J170" t="s">
        <v>197</v>
      </c>
      <c r="K170" s="33">
        <v>43032</v>
      </c>
      <c r="L170" s="8">
        <v>43031.750081018516</v>
      </c>
      <c r="M170" s="23">
        <f>LEN(ProjTextTable[[#This Row],[text]])</f>
        <v>3285</v>
      </c>
      <c r="N170" s="23">
        <f>LEN(TRIM(CLEAN(SUBSTITUTE(ProjTextTable[[#This Row],[text]],CHAR(10)," "))))+1 - LEN(SUBSTITUTE(CLEAN(SUBSTITUTE(ProjTextTable[[#This Row],[text]],CHAR(10)," "))," ",""))</f>
        <v>514</v>
      </c>
      <c r="O170" t="s">
        <v>226</v>
      </c>
      <c r="P170" t="s">
        <v>1101</v>
      </c>
    </row>
    <row r="171" spans="1:16" x14ac:dyDescent="0.4">
      <c r="A171">
        <f t="shared" si="5"/>
        <v>30</v>
      </c>
      <c r="B171" t="s">
        <v>536</v>
      </c>
      <c r="C171" t="s">
        <v>742</v>
      </c>
      <c r="D171" t="s">
        <v>218</v>
      </c>
      <c r="E171" t="s">
        <v>604</v>
      </c>
      <c r="F171" t="s">
        <v>953</v>
      </c>
      <c r="G171" t="s">
        <v>954</v>
      </c>
      <c r="H171" t="s">
        <v>955</v>
      </c>
      <c r="I171" t="s">
        <v>235</v>
      </c>
      <c r="J171" t="s">
        <v>197</v>
      </c>
      <c r="K171" s="33">
        <v>43032</v>
      </c>
      <c r="L171" s="8">
        <v>43027.933842592596</v>
      </c>
      <c r="M171" s="23">
        <f>LEN(ProjTextTable[[#This Row],[text]])</f>
        <v>2177</v>
      </c>
      <c r="N171" s="23">
        <f>LEN(TRIM(CLEAN(SUBSTITUTE(ProjTextTable[[#This Row],[text]],CHAR(10)," "))))+1 - LEN(SUBSTITUTE(CLEAN(SUBSTITUTE(ProjTextTable[[#This Row],[text]],CHAR(10)," "))," ",""))</f>
        <v>316</v>
      </c>
      <c r="O171" t="s">
        <v>219</v>
      </c>
      <c r="P171" t="s">
        <v>1102</v>
      </c>
    </row>
    <row r="172" spans="1:16" x14ac:dyDescent="0.4">
      <c r="A172">
        <f t="shared" si="5"/>
        <v>30</v>
      </c>
      <c r="B172" t="s">
        <v>536</v>
      </c>
      <c r="C172" t="s">
        <v>742</v>
      </c>
      <c r="D172" t="s">
        <v>218</v>
      </c>
      <c r="E172" t="s">
        <v>559</v>
      </c>
      <c r="F172" t="s">
        <v>898</v>
      </c>
      <c r="G172" t="s">
        <v>899</v>
      </c>
      <c r="H172" t="s">
        <v>900</v>
      </c>
      <c r="I172" t="s">
        <v>235</v>
      </c>
      <c r="J172" t="s">
        <v>197</v>
      </c>
      <c r="K172" s="33">
        <v>43032</v>
      </c>
      <c r="L172" s="8">
        <v>43030.934814814813</v>
      </c>
      <c r="M172" s="23">
        <f>LEN(ProjTextTable[[#This Row],[text]])</f>
        <v>1966</v>
      </c>
      <c r="N172" s="23">
        <f>LEN(TRIM(CLEAN(SUBSTITUTE(ProjTextTable[[#This Row],[text]],CHAR(10)," "))))+1 - LEN(SUBSTITUTE(CLEAN(SUBSTITUTE(ProjTextTable[[#This Row],[text]],CHAR(10)," "))," ",""))</f>
        <v>299</v>
      </c>
      <c r="O172" t="s">
        <v>225</v>
      </c>
      <c r="P172" t="s">
        <v>1103</v>
      </c>
    </row>
    <row r="173" spans="1:16" x14ac:dyDescent="0.4">
      <c r="A173">
        <f t="shared" si="5"/>
        <v>30</v>
      </c>
      <c r="B173" t="s">
        <v>536</v>
      </c>
      <c r="C173" t="s">
        <v>742</v>
      </c>
      <c r="D173" t="s">
        <v>220</v>
      </c>
      <c r="E173" t="s">
        <v>559</v>
      </c>
      <c r="F173" t="s">
        <v>14</v>
      </c>
      <c r="G173" t="s">
        <v>14</v>
      </c>
      <c r="H173" t="s">
        <v>14</v>
      </c>
      <c r="K173" s="33"/>
      <c r="L173" s="8">
        <v>42957.043055555558</v>
      </c>
      <c r="M173" s="23">
        <f>LEN(ProjTextTable[[#This Row],[text]])</f>
        <v>3067</v>
      </c>
      <c r="N173" s="23">
        <f>LEN(TRIM(CLEAN(SUBSTITUTE(ProjTextTable[[#This Row],[text]],CHAR(10)," "))))+1 - LEN(SUBSTITUTE(CLEAN(SUBSTITUTE(ProjTextTable[[#This Row],[text]],CHAR(10)," "))," ",""))</f>
        <v>414</v>
      </c>
      <c r="O173" t="s">
        <v>14</v>
      </c>
      <c r="P173" t="s">
        <v>1104</v>
      </c>
    </row>
    <row r="174" spans="1:16" x14ac:dyDescent="0.4">
      <c r="A174">
        <f t="shared" si="5"/>
        <v>31</v>
      </c>
      <c r="B174" t="s">
        <v>537</v>
      </c>
      <c r="C174" t="s">
        <v>289</v>
      </c>
      <c r="D174" t="s">
        <v>229</v>
      </c>
      <c r="E174" t="s">
        <v>604</v>
      </c>
      <c r="F174" t="s">
        <v>769</v>
      </c>
      <c r="G174" t="s">
        <v>883</v>
      </c>
      <c r="H174" t="s">
        <v>232</v>
      </c>
      <c r="I174" t="s">
        <v>221</v>
      </c>
      <c r="J174" t="s">
        <v>217</v>
      </c>
      <c r="K174" s="33">
        <v>43031</v>
      </c>
      <c r="L174" s="8"/>
      <c r="M174" s="23">
        <f>LEN(ProjTextTable[[#This Row],[text]])</f>
        <v>3360</v>
      </c>
      <c r="N174" s="23">
        <f>LEN(TRIM(CLEAN(SUBSTITUTE(ProjTextTable[[#This Row],[text]],CHAR(10)," "))))+1 - LEN(SUBSTITUTE(CLEAN(SUBSTITUTE(ProjTextTable[[#This Row],[text]],CHAR(10)," "))," ",""))</f>
        <v>522</v>
      </c>
      <c r="O174" t="s">
        <v>233</v>
      </c>
      <c r="P174" t="s">
        <v>1105</v>
      </c>
    </row>
    <row r="175" spans="1:16" x14ac:dyDescent="0.4">
      <c r="A175">
        <f t="shared" si="5"/>
        <v>31</v>
      </c>
      <c r="B175" t="s">
        <v>537</v>
      </c>
      <c r="C175" t="s">
        <v>289</v>
      </c>
      <c r="D175" t="s">
        <v>218</v>
      </c>
      <c r="E175" t="s">
        <v>604</v>
      </c>
      <c r="F175" t="s">
        <v>909</v>
      </c>
      <c r="G175" t="s">
        <v>910</v>
      </c>
      <c r="H175" t="s">
        <v>911</v>
      </c>
      <c r="I175" t="s">
        <v>235</v>
      </c>
      <c r="J175" t="s">
        <v>197</v>
      </c>
      <c r="K175" s="33">
        <v>43032</v>
      </c>
      <c r="L175" s="8">
        <v>43030.166759259257</v>
      </c>
      <c r="M175" s="23">
        <f>LEN(ProjTextTable[[#This Row],[text]])</f>
        <v>1615</v>
      </c>
      <c r="N175" s="23">
        <f>LEN(TRIM(CLEAN(SUBSTITUTE(ProjTextTable[[#This Row],[text]],CHAR(10)," "))))+1 - LEN(SUBSTITUTE(CLEAN(SUBSTITUTE(ProjTextTable[[#This Row],[text]],CHAR(10)," "))," ",""))</f>
        <v>241</v>
      </c>
      <c r="O175" t="s">
        <v>219</v>
      </c>
      <c r="P175" t="s">
        <v>1106</v>
      </c>
    </row>
    <row r="176" spans="1:16" x14ac:dyDescent="0.4">
      <c r="A176">
        <f t="shared" si="5"/>
        <v>31</v>
      </c>
      <c r="B176" t="s">
        <v>537</v>
      </c>
      <c r="C176" t="s">
        <v>289</v>
      </c>
      <c r="D176" t="s">
        <v>218</v>
      </c>
      <c r="E176" t="s">
        <v>604</v>
      </c>
      <c r="F176" t="s">
        <v>913</v>
      </c>
      <c r="G176" t="s">
        <v>914</v>
      </c>
      <c r="H176" t="s">
        <v>915</v>
      </c>
      <c r="I176" t="s">
        <v>235</v>
      </c>
      <c r="J176" t="s">
        <v>197</v>
      </c>
      <c r="K176" s="33">
        <v>43032</v>
      </c>
      <c r="L176" s="8">
        <v>43031.734490740739</v>
      </c>
      <c r="M176" s="23">
        <f>LEN(ProjTextTable[[#This Row],[text]])</f>
        <v>2978</v>
      </c>
      <c r="N176" s="23">
        <f>LEN(TRIM(CLEAN(SUBSTITUTE(ProjTextTable[[#This Row],[text]],CHAR(10)," "))))+1 - LEN(SUBSTITUTE(CLEAN(SUBSTITUTE(ProjTextTable[[#This Row],[text]],CHAR(10)," "))," ",""))</f>
        <v>447</v>
      </c>
      <c r="O176" t="s">
        <v>226</v>
      </c>
      <c r="P176" t="s">
        <v>1107</v>
      </c>
    </row>
    <row r="177" spans="1:16" x14ac:dyDescent="0.4">
      <c r="A177">
        <f t="shared" si="5"/>
        <v>31</v>
      </c>
      <c r="B177" t="s">
        <v>537</v>
      </c>
      <c r="C177" t="s">
        <v>289</v>
      </c>
      <c r="D177" t="s">
        <v>218</v>
      </c>
      <c r="E177" t="s">
        <v>604</v>
      </c>
      <c r="F177" t="s">
        <v>930</v>
      </c>
      <c r="G177" t="s">
        <v>931</v>
      </c>
      <c r="H177" t="s">
        <v>932</v>
      </c>
      <c r="I177" t="s">
        <v>235</v>
      </c>
      <c r="J177" t="s">
        <v>197</v>
      </c>
      <c r="K177" s="33">
        <v>43032</v>
      </c>
      <c r="L177" s="8">
        <v>43028.558368055557</v>
      </c>
      <c r="M177" s="23">
        <f>LEN(ProjTextTable[[#This Row],[text]])</f>
        <v>1434</v>
      </c>
      <c r="N177" s="23">
        <f>LEN(TRIM(CLEAN(SUBSTITUTE(ProjTextTable[[#This Row],[text]],CHAR(10)," "))))+1 - LEN(SUBSTITUTE(CLEAN(SUBSTITUTE(ProjTextTable[[#This Row],[text]],CHAR(10)," "))," ",""))</f>
        <v>212</v>
      </c>
      <c r="O177" t="s">
        <v>223</v>
      </c>
      <c r="P177" t="s">
        <v>1108</v>
      </c>
    </row>
    <row r="178" spans="1:16" x14ac:dyDescent="0.4">
      <c r="B178" t="s">
        <v>228</v>
      </c>
      <c r="K178" s="33"/>
      <c r="M178"/>
      <c r="N178"/>
      <c r="P178">
        <f>SUBTOTAL(103,ProjTextTable[text])</f>
        <v>176</v>
      </c>
    </row>
  </sheetData>
  <conditionalFormatting sqref="A2:P177">
    <cfRule type="expression" dxfId="111"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V18"/>
  <sheetViews>
    <sheetView workbookViewId="0"/>
  </sheetViews>
  <sheetFormatPr defaultRowHeight="14.6" x14ac:dyDescent="0.4"/>
  <cols>
    <col min="1" max="1" width="9.3046875" customWidth="1"/>
    <col min="2" max="2" width="38.3828125" customWidth="1"/>
    <col min="3" max="3" width="11.3828125" customWidth="1"/>
    <col min="4" max="4" width="5.3828125" customWidth="1"/>
    <col min="6" max="8" width="5.84375" style="33" customWidth="1"/>
    <col min="9" max="9" width="3.3046875" style="33" customWidth="1"/>
    <col min="10" max="10" width="3.53515625" style="33" customWidth="1"/>
    <col min="11" max="11" width="13.53515625" customWidth="1"/>
    <col min="12" max="12" width="3.84375" customWidth="1"/>
    <col min="13" max="14" width="7.3828125" hidden="1" customWidth="1"/>
    <col min="15" max="15" width="5.3828125" customWidth="1"/>
    <col min="16" max="16" width="11" customWidth="1"/>
    <col min="17" max="17" width="14.3046875" style="24" customWidth="1"/>
    <col min="18" max="18" width="5.3046875" style="42" customWidth="1"/>
    <col min="19" max="19" width="4.53515625" style="42" customWidth="1"/>
    <col min="20" max="20" width="11.84375" customWidth="1"/>
    <col min="21" max="21" width="4.3828125" customWidth="1"/>
    <col min="22" max="22" width="3.69140625" customWidth="1"/>
    <col min="23" max="23" width="8.69140625" style="33" customWidth="1"/>
    <col min="24" max="24" width="3.69140625" customWidth="1"/>
    <col min="25" max="25" width="9.23046875" style="33"/>
    <col min="26" max="26" width="9.53515625" style="33" customWidth="1"/>
    <col min="27" max="27" width="11.53515625" customWidth="1"/>
    <col min="28" max="28" width="12.15234375" customWidth="1"/>
    <col min="29" max="29" width="9.84375" customWidth="1"/>
    <col min="30" max="30" width="10.15234375" customWidth="1"/>
    <col min="31" max="31" width="4.3828125" customWidth="1"/>
    <col min="32" max="37" width="3" customWidth="1"/>
    <col min="38" max="38" width="9.23046875" style="1"/>
    <col min="40" max="40" width="85.53515625" customWidth="1"/>
    <col min="41" max="41" width="10.3828125" customWidth="1"/>
    <col min="42" max="42" width="9.53515625" style="13" customWidth="1"/>
    <col min="43" max="43" width="10.3828125" customWidth="1"/>
    <col min="44" max="44" width="15.3828125" customWidth="1"/>
    <col min="45" max="45" width="11.69140625" customWidth="1"/>
    <col min="46" max="46" width="9.3046875" hidden="1" customWidth="1"/>
    <col min="47" max="47" width="11" hidden="1" customWidth="1"/>
    <col min="48" max="51" width="4.3046875" customWidth="1"/>
  </cols>
  <sheetData>
    <row r="1" spans="1:48" x14ac:dyDescent="0.4">
      <c r="A1" s="67" t="s">
        <v>489</v>
      </c>
      <c r="T1" s="43" t="s">
        <v>275</v>
      </c>
      <c r="AF1" s="43" t="s">
        <v>268</v>
      </c>
      <c r="AG1" s="43"/>
      <c r="AH1" s="43"/>
      <c r="AI1" s="43"/>
      <c r="AJ1" s="43"/>
      <c r="AK1" s="43"/>
      <c r="AL1" s="44" t="s">
        <v>269</v>
      </c>
      <c r="AM1" s="43"/>
      <c r="AN1" s="43"/>
      <c r="AO1" s="43"/>
      <c r="AP1" s="45" t="s">
        <v>267</v>
      </c>
      <c r="AQ1" s="43"/>
      <c r="AR1" s="43"/>
      <c r="AS1" s="43"/>
      <c r="AT1" s="43"/>
      <c r="AU1" s="43"/>
      <c r="AV1" s="43" t="s">
        <v>270</v>
      </c>
    </row>
    <row r="2" spans="1:48" x14ac:dyDescent="0.4">
      <c r="A2" t="s">
        <v>492</v>
      </c>
      <c r="B2" t="s">
        <v>493</v>
      </c>
      <c r="F2"/>
      <c r="G2"/>
      <c r="H2"/>
      <c r="I2"/>
      <c r="J2"/>
      <c r="Q2"/>
      <c r="R2"/>
      <c r="S2"/>
      <c r="W2"/>
      <c r="Y2"/>
      <c r="Z2"/>
      <c r="AL2"/>
      <c r="AP2"/>
    </row>
    <row r="3" spans="1:48" x14ac:dyDescent="0.4">
      <c r="A3" t="s">
        <v>288</v>
      </c>
      <c r="B3" t="s">
        <v>494</v>
      </c>
      <c r="F3"/>
      <c r="G3"/>
      <c r="H3"/>
      <c r="I3"/>
      <c r="J3"/>
      <c r="Q3"/>
      <c r="R3"/>
      <c r="S3"/>
      <c r="W3"/>
      <c r="Y3"/>
      <c r="Z3"/>
      <c r="AL3"/>
      <c r="AP3"/>
    </row>
    <row r="4" spans="1:48" x14ac:dyDescent="0.4">
      <c r="A4" t="s">
        <v>495</v>
      </c>
      <c r="B4" t="s">
        <v>496</v>
      </c>
      <c r="F4"/>
      <c r="G4"/>
      <c r="H4"/>
      <c r="I4"/>
      <c r="J4"/>
      <c r="Q4"/>
      <c r="R4"/>
      <c r="S4"/>
      <c r="W4"/>
      <c r="Y4"/>
      <c r="Z4"/>
      <c r="AL4"/>
      <c r="AP4"/>
    </row>
    <row r="5" spans="1:48" x14ac:dyDescent="0.4">
      <c r="A5" t="s">
        <v>497</v>
      </c>
      <c r="B5" t="s">
        <v>498</v>
      </c>
      <c r="F5"/>
      <c r="G5"/>
      <c r="H5"/>
      <c r="I5"/>
      <c r="J5"/>
      <c r="Q5"/>
      <c r="R5"/>
      <c r="S5"/>
      <c r="W5"/>
      <c r="Y5"/>
      <c r="Z5"/>
      <c r="AL5"/>
      <c r="AP5"/>
    </row>
    <row r="6" spans="1:48" x14ac:dyDescent="0.4">
      <c r="A6" t="s">
        <v>499</v>
      </c>
      <c r="B6" t="s">
        <v>500</v>
      </c>
      <c r="F6"/>
      <c r="G6"/>
      <c r="H6"/>
      <c r="I6"/>
      <c r="J6"/>
      <c r="Q6"/>
      <c r="R6"/>
      <c r="S6"/>
      <c r="W6"/>
      <c r="Y6"/>
      <c r="Z6"/>
      <c r="AL6"/>
      <c r="AP6"/>
    </row>
    <row r="7" spans="1:48" x14ac:dyDescent="0.4">
      <c r="A7" t="s">
        <v>501</v>
      </c>
      <c r="B7" t="s">
        <v>502</v>
      </c>
      <c r="F7"/>
      <c r="G7"/>
      <c r="H7"/>
      <c r="I7"/>
      <c r="J7"/>
      <c r="Q7"/>
      <c r="R7"/>
      <c r="S7"/>
      <c r="W7"/>
      <c r="Y7"/>
      <c r="Z7"/>
      <c r="AL7"/>
      <c r="AP7"/>
    </row>
    <row r="8" spans="1:48" x14ac:dyDescent="0.4">
      <c r="A8" t="s">
        <v>503</v>
      </c>
      <c r="B8" t="s">
        <v>504</v>
      </c>
      <c r="F8"/>
      <c r="G8"/>
      <c r="H8"/>
      <c r="I8"/>
      <c r="J8"/>
      <c r="Q8"/>
      <c r="R8"/>
      <c r="S8"/>
      <c r="W8"/>
      <c r="Y8"/>
      <c r="Z8"/>
      <c r="AL8"/>
      <c r="AP8"/>
    </row>
    <row r="9" spans="1:48" x14ac:dyDescent="0.4">
      <c r="A9" t="s">
        <v>505</v>
      </c>
      <c r="B9" t="s">
        <v>506</v>
      </c>
      <c r="F9"/>
      <c r="G9"/>
      <c r="H9"/>
      <c r="I9"/>
      <c r="J9"/>
      <c r="Q9"/>
      <c r="R9"/>
      <c r="S9"/>
      <c r="W9"/>
      <c r="Y9"/>
      <c r="Z9"/>
      <c r="AL9"/>
      <c r="AP9"/>
    </row>
    <row r="10" spans="1:48" x14ac:dyDescent="0.4">
      <c r="I10"/>
      <c r="J10"/>
      <c r="Q10"/>
      <c r="R10"/>
      <c r="S10"/>
      <c r="W10"/>
      <c r="Y10"/>
      <c r="Z10"/>
      <c r="AL10"/>
      <c r="AP10"/>
    </row>
    <row r="11" spans="1:48" x14ac:dyDescent="0.4">
      <c r="I11"/>
      <c r="J11"/>
      <c r="Q11"/>
      <c r="R11"/>
      <c r="S11"/>
      <c r="W11"/>
      <c r="Y11"/>
      <c r="Z11"/>
      <c r="AL11"/>
      <c r="AP11"/>
    </row>
    <row r="12" spans="1:48" x14ac:dyDescent="0.4">
      <c r="I12"/>
      <c r="J12"/>
      <c r="Q12"/>
      <c r="R12"/>
      <c r="S12"/>
      <c r="W12"/>
      <c r="Y12"/>
      <c r="Z12"/>
      <c r="AL12"/>
      <c r="AP12"/>
    </row>
    <row r="13" spans="1:48" x14ac:dyDescent="0.4">
      <c r="I13"/>
      <c r="J13"/>
      <c r="Q13"/>
      <c r="R13"/>
      <c r="S13"/>
      <c r="W13"/>
      <c r="Y13"/>
      <c r="Z13"/>
      <c r="AL13"/>
      <c r="AP13"/>
    </row>
    <row r="14" spans="1:48" x14ac:dyDescent="0.4">
      <c r="I14"/>
      <c r="J14"/>
      <c r="Q14"/>
      <c r="R14"/>
      <c r="S14"/>
      <c r="W14"/>
      <c r="Y14"/>
      <c r="Z14"/>
      <c r="AL14"/>
      <c r="AP14"/>
    </row>
    <row r="15" spans="1:48" x14ac:dyDescent="0.4">
      <c r="I15"/>
      <c r="J15"/>
      <c r="Q15"/>
      <c r="R15"/>
      <c r="S15"/>
      <c r="W15"/>
      <c r="Y15"/>
      <c r="Z15"/>
      <c r="AL15"/>
      <c r="AP15"/>
    </row>
    <row r="16" spans="1:48" x14ac:dyDescent="0.4">
      <c r="I16"/>
      <c r="J16"/>
      <c r="Q16"/>
      <c r="R16"/>
      <c r="S16"/>
      <c r="W16"/>
      <c r="Y16"/>
      <c r="Z16"/>
      <c r="AL16"/>
      <c r="AP16"/>
    </row>
    <row r="17" spans="9:42" x14ac:dyDescent="0.4">
      <c r="I17"/>
      <c r="J17"/>
      <c r="Q17"/>
      <c r="R17"/>
      <c r="S17"/>
      <c r="W17"/>
      <c r="Y17"/>
      <c r="Z17"/>
      <c r="AL17"/>
      <c r="AP17"/>
    </row>
    <row r="18" spans="9:42" x14ac:dyDescent="0.4">
      <c r="I18"/>
      <c r="J18"/>
      <c r="Q18"/>
      <c r="R18"/>
      <c r="S18"/>
      <c r="W18"/>
      <c r="Y18"/>
      <c r="Z18"/>
      <c r="AL18"/>
      <c r="AP18"/>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M47"/>
  <sheetViews>
    <sheetView showGridLines="0" workbookViewId="0">
      <selection activeCell="G16" sqref="G16"/>
    </sheetView>
  </sheetViews>
  <sheetFormatPr defaultRowHeight="14.6" x14ac:dyDescent="0.4"/>
  <cols>
    <col min="1" max="1" width="10.3828125" style="6" customWidth="1"/>
    <col min="2" max="2" width="16.3046875" customWidth="1"/>
    <col min="3" max="3" width="3.3046875" style="5" customWidth="1"/>
    <col min="4" max="4" width="15.69140625" style="25" customWidth="1"/>
    <col min="5" max="5" width="14.3828125" customWidth="1"/>
    <col min="6" max="6" width="10.69140625" customWidth="1"/>
    <col min="7" max="7" width="8.15234375" customWidth="1"/>
    <col min="8" max="8" width="2.84375" customWidth="1"/>
    <col min="9" max="9" width="24.69140625" customWidth="1"/>
    <col min="10" max="10" width="6.84375" customWidth="1"/>
    <col min="11" max="11" width="9.84375" customWidth="1"/>
    <col min="12" max="12" width="10.3046875" customWidth="1"/>
    <col min="13" max="13" width="12.53515625" style="6" customWidth="1"/>
    <col min="14" max="14" width="45.84375" customWidth="1"/>
    <col min="15" max="15" width="10.53515625" customWidth="1"/>
    <col min="16" max="16" width="9.84375" customWidth="1"/>
    <col min="17" max="17" width="9.3828125" customWidth="1"/>
    <col min="18" max="18" width="10" customWidth="1"/>
    <col min="19" max="19" width="14" customWidth="1"/>
    <col min="20" max="21" width="11.15234375" customWidth="1"/>
    <col min="22" max="22" width="81.15234375" bestFit="1" customWidth="1"/>
    <col min="23" max="23" width="20.53515625" bestFit="1" customWidth="1"/>
    <col min="24" max="24" width="18.3046875" bestFit="1" customWidth="1"/>
    <col min="25" max="25" width="45.84375" bestFit="1" customWidth="1"/>
    <col min="26" max="26" width="36.69140625" bestFit="1" customWidth="1"/>
    <col min="27" max="27" width="10.53515625" bestFit="1" customWidth="1"/>
    <col min="28" max="28" width="9.84375" bestFit="1" customWidth="1"/>
    <col min="29" max="29" width="20.53515625" customWidth="1"/>
    <col min="30" max="30" width="37.15234375" customWidth="1"/>
    <col min="31" max="31" width="19" customWidth="1"/>
    <col min="32" max="32" width="19.15234375" bestFit="1" customWidth="1"/>
    <col min="33" max="33" width="14.53515625" bestFit="1" customWidth="1"/>
    <col min="34" max="34" width="10" bestFit="1" customWidth="1"/>
  </cols>
  <sheetData>
    <row r="1" spans="1:13" ht="16" customHeight="1" x14ac:dyDescent="0.4">
      <c r="A1" s="64" t="s">
        <v>463</v>
      </c>
      <c r="H1" s="3" t="s">
        <v>272</v>
      </c>
      <c r="M1" s="20" t="s">
        <v>109</v>
      </c>
    </row>
    <row r="2" spans="1:13" ht="16" customHeight="1" x14ac:dyDescent="0.4">
      <c r="A2" s="9"/>
      <c r="H2" t="s">
        <v>273</v>
      </c>
      <c r="J2" s="32"/>
      <c r="M2" s="19" t="s">
        <v>110</v>
      </c>
    </row>
    <row r="3" spans="1:13" ht="16" customHeight="1" x14ac:dyDescent="0.4">
      <c r="J3" s="32"/>
      <c r="M3" s="19" t="s">
        <v>105</v>
      </c>
    </row>
    <row r="4" spans="1:13" ht="16" customHeight="1" x14ac:dyDescent="0.4">
      <c r="B4" s="4"/>
      <c r="C4" s="16"/>
      <c r="E4" s="4"/>
      <c r="F4" s="32"/>
      <c r="J4" s="32"/>
      <c r="M4" s="19" t="s">
        <v>111</v>
      </c>
    </row>
    <row r="5" spans="1:13" ht="16" customHeight="1" x14ac:dyDescent="0.4">
      <c r="E5" s="4"/>
      <c r="F5" s="32"/>
      <c r="J5" s="32"/>
      <c r="M5" s="19" t="s">
        <v>106</v>
      </c>
    </row>
    <row r="6" spans="1:13" ht="16" customHeight="1" x14ac:dyDescent="0.4">
      <c r="E6" s="4"/>
      <c r="F6" s="32"/>
      <c r="H6" t="s">
        <v>276</v>
      </c>
      <c r="J6" s="33"/>
      <c r="M6" s="19" t="s">
        <v>112</v>
      </c>
    </row>
    <row r="7" spans="1:13" ht="16" customHeight="1" x14ac:dyDescent="0.4">
      <c r="E7" s="4"/>
      <c r="F7" s="32"/>
      <c r="I7" s="26" t="s">
        <v>277</v>
      </c>
      <c r="J7" s="26"/>
      <c r="K7" s="7" t="s">
        <v>230</v>
      </c>
      <c r="M7" s="19" t="s">
        <v>113</v>
      </c>
    </row>
    <row r="8" spans="1:13" ht="16" customHeight="1" x14ac:dyDescent="0.4">
      <c r="E8" s="4"/>
      <c r="F8" s="46"/>
      <c r="I8" s="26" t="s">
        <v>278</v>
      </c>
      <c r="J8" s="26"/>
      <c r="K8" s="7" t="s">
        <v>231</v>
      </c>
      <c r="M8" s="19" t="s">
        <v>107</v>
      </c>
    </row>
    <row r="9" spans="1:13" ht="16" customHeight="1" x14ac:dyDescent="0.4">
      <c r="E9" s="4"/>
      <c r="F9" s="33"/>
      <c r="H9" s="3" t="s">
        <v>159</v>
      </c>
      <c r="M9" s="19" t="s">
        <v>114</v>
      </c>
    </row>
    <row r="10" spans="1:13" ht="18.45" x14ac:dyDescent="0.4">
      <c r="A10" s="50"/>
      <c r="B10" s="84" t="s">
        <v>462</v>
      </c>
      <c r="C10" s="84"/>
      <c r="D10" s="84"/>
      <c r="E10" s="51"/>
      <c r="H10" s="3" t="s">
        <v>160</v>
      </c>
      <c r="K10" s="6"/>
      <c r="M10" s="19" t="s">
        <v>115</v>
      </c>
    </row>
    <row r="11" spans="1:13" ht="15.9" x14ac:dyDescent="0.4">
      <c r="A11" s="52"/>
      <c r="B11" s="53" t="s">
        <v>436</v>
      </c>
      <c r="C11" s="53"/>
      <c r="D11" s="53" t="s">
        <v>437</v>
      </c>
      <c r="E11" s="53"/>
      <c r="H11" s="3" t="s">
        <v>271</v>
      </c>
      <c r="K11" s="6"/>
      <c r="M11" s="19" t="s">
        <v>103</v>
      </c>
    </row>
    <row r="12" spans="1:13" ht="20.149999999999999" customHeight="1" x14ac:dyDescent="0.4">
      <c r="B12" s="54" t="s">
        <v>438</v>
      </c>
      <c r="C12" s="54"/>
      <c r="D12" s="63" t="s">
        <v>454</v>
      </c>
      <c r="E12" s="55" t="s">
        <v>455</v>
      </c>
      <c r="K12" s="6"/>
      <c r="M12" s="19" t="s">
        <v>116</v>
      </c>
    </row>
    <row r="13" spans="1:13" ht="20.149999999999999" customHeight="1" x14ac:dyDescent="0.4">
      <c r="B13" s="54" t="s">
        <v>449</v>
      </c>
      <c r="C13" s="54"/>
      <c r="D13" s="56" t="s">
        <v>491</v>
      </c>
      <c r="E13" s="57"/>
      <c r="K13" s="6"/>
      <c r="M13" s="19" t="s">
        <v>117</v>
      </c>
    </row>
    <row r="14" spans="1:13" ht="20.149999999999999" customHeight="1" x14ac:dyDescent="0.4">
      <c r="B14" s="54" t="s">
        <v>443</v>
      </c>
      <c r="C14" s="54"/>
      <c r="D14" s="56" t="s">
        <v>444</v>
      </c>
      <c r="E14" s="57"/>
      <c r="I14" s="27" t="s">
        <v>158</v>
      </c>
      <c r="K14" s="6"/>
      <c r="M14" s="19" t="s">
        <v>118</v>
      </c>
    </row>
    <row r="15" spans="1:13" ht="20.149999999999999" customHeight="1" x14ac:dyDescent="0.4">
      <c r="B15" s="54" t="s">
        <v>439</v>
      </c>
      <c r="C15" s="54"/>
      <c r="D15" s="56" t="s">
        <v>458</v>
      </c>
      <c r="E15" s="57"/>
      <c r="G15" s="23"/>
      <c r="I15" s="27" t="s">
        <v>195</v>
      </c>
      <c r="K15" s="6"/>
      <c r="M15" s="19" t="s">
        <v>119</v>
      </c>
    </row>
    <row r="16" spans="1:13" ht="20.149999999999999" customHeight="1" x14ac:dyDescent="0.4">
      <c r="B16" s="54" t="s">
        <v>440</v>
      </c>
      <c r="C16" s="54"/>
      <c r="D16" s="58" t="s">
        <v>457</v>
      </c>
      <c r="E16" s="59"/>
      <c r="G16" s="23"/>
      <c r="I16" s="27" t="s">
        <v>236</v>
      </c>
      <c r="K16" s="6"/>
      <c r="M16" s="19" t="s">
        <v>120</v>
      </c>
    </row>
    <row r="17" spans="2:13" ht="20.149999999999999" customHeight="1" x14ac:dyDescent="0.4">
      <c r="B17" s="54" t="s">
        <v>441</v>
      </c>
      <c r="C17" s="54"/>
      <c r="D17" s="56" t="s">
        <v>456</v>
      </c>
      <c r="E17" s="57"/>
      <c r="G17" s="23"/>
      <c r="I17" s="27" t="s">
        <v>237</v>
      </c>
      <c r="K17" s="6"/>
      <c r="M17" s="19" t="s">
        <v>121</v>
      </c>
    </row>
    <row r="18" spans="2:13" ht="20.149999999999999" customHeight="1" x14ac:dyDescent="0.4">
      <c r="B18" s="54" t="s">
        <v>442</v>
      </c>
      <c r="C18" s="54"/>
      <c r="D18" s="56" t="s">
        <v>460</v>
      </c>
      <c r="E18" s="57"/>
      <c r="I18" s="27" t="s">
        <v>196</v>
      </c>
      <c r="K18" s="6"/>
      <c r="M18" s="19" t="s">
        <v>122</v>
      </c>
    </row>
    <row r="19" spans="2:13" ht="20.149999999999999" customHeight="1" x14ac:dyDescent="0.4">
      <c r="B19" s="54" t="s">
        <v>445</v>
      </c>
      <c r="C19" s="54"/>
      <c r="D19" s="56" t="s">
        <v>193</v>
      </c>
      <c r="E19" s="57"/>
      <c r="I19" s="27" t="s">
        <v>199</v>
      </c>
      <c r="K19" s="6"/>
      <c r="M19" s="19" t="s">
        <v>123</v>
      </c>
    </row>
    <row r="20" spans="2:13" ht="20.149999999999999" customHeight="1" x14ac:dyDescent="0.4">
      <c r="B20" s="54" t="s">
        <v>446</v>
      </c>
      <c r="C20" s="54"/>
      <c r="D20" s="56" t="s">
        <v>461</v>
      </c>
      <c r="E20" s="57"/>
      <c r="I20" s="27" t="s">
        <v>198</v>
      </c>
      <c r="K20" s="6"/>
      <c r="M20" s="19" t="s">
        <v>124</v>
      </c>
    </row>
    <row r="21" spans="2:13" ht="20.149999999999999" customHeight="1" x14ac:dyDescent="0.4">
      <c r="B21" s="54" t="s">
        <v>447</v>
      </c>
      <c r="C21" s="54"/>
      <c r="D21" s="56" t="s">
        <v>448</v>
      </c>
      <c r="E21" s="57"/>
      <c r="I21" s="27" t="s">
        <v>202</v>
      </c>
      <c r="K21" s="6"/>
      <c r="M21" s="19" t="s">
        <v>125</v>
      </c>
    </row>
    <row r="22" spans="2:13" ht="20.149999999999999" customHeight="1" x14ac:dyDescent="0.4">
      <c r="B22" s="54" t="s">
        <v>450</v>
      </c>
      <c r="C22" s="54"/>
      <c r="D22" s="56" t="s">
        <v>451</v>
      </c>
      <c r="E22" s="57"/>
      <c r="K22" s="6"/>
      <c r="M22" s="19" t="s">
        <v>126</v>
      </c>
    </row>
    <row r="23" spans="2:13" ht="20.149999999999999" customHeight="1" x14ac:dyDescent="0.4">
      <c r="B23" s="54" t="s">
        <v>452</v>
      </c>
      <c r="C23" s="54"/>
      <c r="D23" s="56" t="s">
        <v>453</v>
      </c>
      <c r="E23" s="57"/>
      <c r="M23" s="19" t="s">
        <v>127</v>
      </c>
    </row>
    <row r="24" spans="2:13" ht="20.149999999999999" customHeight="1" x14ac:dyDescent="0.4">
      <c r="B24" s="60"/>
      <c r="C24" s="60"/>
      <c r="D24" s="61"/>
      <c r="E24" s="62"/>
      <c r="M24" s="19" t="s">
        <v>104</v>
      </c>
    </row>
    <row r="25" spans="2:13" ht="20.149999999999999" customHeight="1" x14ac:dyDescent="0.4">
      <c r="B25" s="3"/>
      <c r="C25" s="3"/>
      <c r="D25" s="3"/>
      <c r="E25" s="3"/>
      <c r="M25" s="19" t="s">
        <v>128</v>
      </c>
    </row>
    <row r="26" spans="2:13" ht="20.149999999999999" customHeight="1" x14ac:dyDescent="0.4">
      <c r="C26"/>
      <c r="D26"/>
      <c r="M26" s="19" t="s">
        <v>129</v>
      </c>
    </row>
    <row r="27" spans="2:13" x14ac:dyDescent="0.4">
      <c r="C27"/>
      <c r="D27"/>
      <c r="H27" s="5"/>
      <c r="I27" s="25"/>
      <c r="M27" s="19" t="s">
        <v>130</v>
      </c>
    </row>
    <row r="28" spans="2:13" x14ac:dyDescent="0.4">
      <c r="B28" s="27"/>
      <c r="C28"/>
      <c r="D28" s="27"/>
      <c r="E28" s="27"/>
      <c r="H28" s="5"/>
      <c r="I28" s="25"/>
      <c r="M28" s="19" t="s">
        <v>131</v>
      </c>
    </row>
    <row r="29" spans="2:13" x14ac:dyDescent="0.4">
      <c r="B29" s="27"/>
      <c r="C29"/>
      <c r="D29" s="27"/>
      <c r="E29" s="27"/>
      <c r="G29" s="12"/>
      <c r="H29" s="5"/>
      <c r="I29" s="25"/>
      <c r="M29" s="19" t="s">
        <v>132</v>
      </c>
    </row>
    <row r="30" spans="2:13" x14ac:dyDescent="0.4">
      <c r="B30" s="27"/>
      <c r="C30"/>
      <c r="D30" s="27"/>
      <c r="G30" s="12"/>
      <c r="H30" s="5"/>
      <c r="I30" s="25"/>
      <c r="M30" s="19" t="s">
        <v>133</v>
      </c>
    </row>
    <row r="31" spans="2:13" x14ac:dyDescent="0.4">
      <c r="B31" s="27"/>
      <c r="C31"/>
      <c r="D31" s="27"/>
    </row>
    <row r="32" spans="2:13" ht="16" customHeight="1" x14ac:dyDescent="0.4">
      <c r="B32" s="27"/>
      <c r="C32"/>
      <c r="D32" s="27"/>
    </row>
    <row r="33" spans="2:4" x14ac:dyDescent="0.4">
      <c r="B33" s="27"/>
      <c r="C33"/>
      <c r="D33" s="27"/>
    </row>
    <row r="34" spans="2:4" x14ac:dyDescent="0.4">
      <c r="B34" s="27"/>
      <c r="C34"/>
      <c r="D34" s="27"/>
    </row>
    <row r="35" spans="2:4" x14ac:dyDescent="0.4">
      <c r="B35" s="27"/>
      <c r="C35"/>
      <c r="D35" s="27"/>
    </row>
    <row r="36" spans="2:4" x14ac:dyDescent="0.4">
      <c r="B36" s="27"/>
      <c r="C36" s="46"/>
      <c r="D36" s="27"/>
    </row>
    <row r="37" spans="2:4" x14ac:dyDescent="0.4">
      <c r="B37" s="27"/>
      <c r="C37"/>
      <c r="D37" s="27"/>
    </row>
    <row r="38" spans="2:4" x14ac:dyDescent="0.4">
      <c r="B38" s="27"/>
      <c r="C38"/>
      <c r="D38" s="27"/>
    </row>
    <row r="39" spans="2:4" x14ac:dyDescent="0.4">
      <c r="B39" s="27"/>
      <c r="C39"/>
      <c r="D39" s="27"/>
    </row>
    <row r="40" spans="2:4" x14ac:dyDescent="0.4">
      <c r="B40" s="27"/>
      <c r="C40"/>
      <c r="D40" s="27"/>
    </row>
    <row r="41" spans="2:4" x14ac:dyDescent="0.4">
      <c r="B41" s="27"/>
      <c r="C41"/>
      <c r="D41" s="27"/>
    </row>
    <row r="42" spans="2:4" x14ac:dyDescent="0.4">
      <c r="B42" s="27"/>
      <c r="C42"/>
      <c r="D42" s="27"/>
    </row>
    <row r="43" spans="2:4" x14ac:dyDescent="0.4">
      <c r="B43" s="27"/>
      <c r="C43"/>
      <c r="D43" s="27"/>
    </row>
    <row r="44" spans="2:4" x14ac:dyDescent="0.4">
      <c r="B44" s="27"/>
      <c r="C44"/>
      <c r="D44" s="27"/>
    </row>
    <row r="45" spans="2:4" x14ac:dyDescent="0.4">
      <c r="B45" s="27"/>
      <c r="C45"/>
      <c r="D45" s="27"/>
    </row>
    <row r="46" spans="2:4" x14ac:dyDescent="0.4">
      <c r="B46" s="27"/>
      <c r="C46"/>
      <c r="D46" s="27"/>
    </row>
    <row r="47" spans="2:4" x14ac:dyDescent="0.4">
      <c r="D47" s="27"/>
    </row>
  </sheetData>
  <mergeCells count="1">
    <mergeCell ref="B10:D10"/>
  </mergeCells>
  <conditionalFormatting sqref="D12:E23">
    <cfRule type="expression" dxfId="110" priority="1">
      <formula>SEARCH("eg:",D12)=1</formula>
    </cfRule>
  </conditionalFormatting>
  <dataValidations count="1">
    <dataValidation type="list" allowBlank="1" showInputMessage="1" showErrorMessage="1" sqref="B26 D26 E26">
      <formula1>INDIRECT("AvailableTemplates[Available templates:]")</formula1>
    </dataValidation>
  </dataValidations>
  <hyperlinks>
    <hyperlink ref="K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9</xdr:col>
                    <xdr:colOff>21771</xdr:colOff>
                    <xdr:row>6</xdr:row>
                    <xdr:rowOff>21771</xdr:rowOff>
                  </from>
                  <to>
                    <xdr:col>9</xdr:col>
                    <xdr:colOff>468086</xdr:colOff>
                    <xdr:row>6</xdr:row>
                    <xdr:rowOff>179614</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9</xdr:col>
                    <xdr:colOff>21771</xdr:colOff>
                    <xdr:row>7</xdr:row>
                    <xdr:rowOff>10886</xdr:rowOff>
                  </from>
                  <to>
                    <xdr:col>9</xdr:col>
                    <xdr:colOff>457200</xdr:colOff>
                    <xdr:row>7</xdr:row>
                    <xdr:rowOff>174171</xdr:rowOff>
                  </to>
                </anchor>
              </controlPr>
            </control>
          </mc:Choice>
        </mc:AlternateContent>
      </controls>
    </mc:Choice>
  </mc:AlternateContent>
  <tableParts count="2">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A33"/>
  <sheetViews>
    <sheetView workbookViewId="0">
      <selection activeCell="R3" sqref="R3"/>
    </sheetView>
  </sheetViews>
  <sheetFormatPr defaultRowHeight="14.6" x14ac:dyDescent="0.4"/>
  <cols>
    <col min="1" max="1" width="9.3046875" customWidth="1"/>
    <col min="2" max="2" width="15.3828125" style="24" customWidth="1"/>
    <col min="3" max="3" width="15" style="24" customWidth="1"/>
    <col min="4" max="4" width="9.3046875" customWidth="1"/>
    <col min="5" max="5" width="6.69140625" style="5" customWidth="1"/>
    <col min="6" max="7" width="6.69140625" customWidth="1"/>
    <col min="8" max="8" width="11.3046875" customWidth="1"/>
    <col min="9" max="9" width="8.84375" customWidth="1"/>
    <col min="10" max="10" width="6.3828125" customWidth="1"/>
    <col min="11" max="11" width="8.15234375" customWidth="1"/>
    <col min="12" max="12" width="11" customWidth="1"/>
    <col min="13" max="13" width="5" style="29" customWidth="1"/>
    <col min="14" max="16" width="4" customWidth="1"/>
    <col min="17" max="17" width="12.84375" customWidth="1"/>
    <col min="18" max="18" width="5.84375" customWidth="1"/>
    <col min="19" max="19" width="12.69140625" customWidth="1"/>
    <col min="20" max="20" width="18.53515625" customWidth="1"/>
    <col min="21" max="21" width="11.15234375" customWidth="1"/>
    <col min="22" max="22" width="9.3828125" customWidth="1"/>
    <col min="23" max="23" width="9.69140625" customWidth="1"/>
    <col min="24" max="24" width="5.3046875" customWidth="1"/>
    <col min="25" max="25" width="5.15234375" customWidth="1"/>
    <col min="26" max="26" width="4.69140625" customWidth="1"/>
    <col min="27" max="27" width="9.3046875" customWidth="1"/>
    <col min="28" max="28" width="3" customWidth="1"/>
    <col min="29" max="29" width="3.53515625" customWidth="1"/>
    <col min="30" max="30" width="4.15234375" style="5" customWidth="1"/>
    <col min="31" max="31" width="4.15234375" style="33" customWidth="1"/>
    <col min="32" max="32" width="4.69140625" style="33" customWidth="1"/>
    <col min="33" max="33" width="4.15234375" style="33" customWidth="1"/>
    <col min="34" max="34" width="5.3828125" customWidth="1"/>
    <col min="35" max="35" width="9.3046875" customWidth="1"/>
    <col min="36" max="36" width="11.84375" style="29" customWidth="1"/>
    <col min="37" max="37" width="13.69140625" customWidth="1"/>
    <col min="38" max="38" width="19.84375" customWidth="1"/>
    <col min="39" max="40" width="13.15234375" style="35" customWidth="1"/>
    <col min="41" max="41" width="3.3046875" style="23" customWidth="1"/>
    <col min="42" max="42" width="8.69140625" style="23" customWidth="1"/>
    <col min="43" max="43" width="9.3046875" customWidth="1"/>
    <col min="44" max="44" width="9.15234375" style="23" customWidth="1"/>
    <col min="45" max="45" width="15.53515625" style="23" customWidth="1"/>
    <col min="46" max="46" width="20.15234375" style="23" customWidth="1"/>
    <col min="47" max="47" width="9.3828125" style="23" customWidth="1"/>
    <col min="48" max="48" width="3.69140625" style="23" customWidth="1"/>
    <col min="49" max="49" width="10.15234375" customWidth="1"/>
    <col min="50" max="50" width="41.84375" customWidth="1"/>
    <col min="51" max="51" width="3" style="23" customWidth="1"/>
    <col min="52" max="52" width="3" customWidth="1"/>
    <col min="53" max="54" width="3" style="23" customWidth="1"/>
    <col min="55" max="58" width="3" customWidth="1"/>
    <col min="59" max="60" width="3" style="30" customWidth="1"/>
    <col min="61" max="61" width="3" customWidth="1"/>
    <col min="62" max="62" width="3" style="23" customWidth="1"/>
    <col min="63" max="64" width="3" customWidth="1"/>
    <col min="65" max="65" width="25.53515625" customWidth="1"/>
    <col min="66" max="67" width="13.15234375" style="35" customWidth="1"/>
    <col min="68" max="68" width="3.53515625" customWidth="1"/>
    <col min="69" max="69" width="9.3828125" style="23" customWidth="1"/>
    <col min="70" max="70" width="3.53515625" customWidth="1"/>
    <col min="71" max="75" width="10" customWidth="1"/>
    <col min="76" max="76" width="10" style="29" customWidth="1"/>
    <col min="77" max="77" width="5" customWidth="1"/>
    <col min="78" max="78" width="10" customWidth="1"/>
    <col min="79" max="79" width="12.53515625" style="13" customWidth="1"/>
    <col min="80" max="80" width="9" customWidth="1"/>
    <col min="81" max="81" width="2.15234375" style="13" customWidth="1"/>
    <col min="82" max="88" width="2.15234375" customWidth="1"/>
    <col min="89" max="89" width="2.15234375" style="5" customWidth="1"/>
    <col min="90" max="94" width="2.15234375" customWidth="1"/>
    <col min="95" max="95" width="2.15234375" style="5" customWidth="1"/>
    <col min="96" max="96" width="2.15234375" customWidth="1"/>
    <col min="97" max="97" width="2.15234375" style="29" customWidth="1"/>
    <col min="98" max="101" width="2.15234375" customWidth="1"/>
    <col min="102" max="102" width="2.15234375" style="5" customWidth="1"/>
    <col min="103" max="147" width="2.15234375" customWidth="1"/>
    <col min="148" max="149" width="5.53515625" customWidth="1"/>
  </cols>
  <sheetData>
    <row r="1" spans="1:131" ht="61.4" customHeight="1" x14ac:dyDescent="0.4">
      <c r="A1" s="5" t="s">
        <v>166</v>
      </c>
      <c r="B1" s="24" t="s">
        <v>7</v>
      </c>
      <c r="C1" s="24" t="s">
        <v>17</v>
      </c>
      <c r="D1" s="33" t="s">
        <v>88</v>
      </c>
      <c r="E1" t="s">
        <v>187</v>
      </c>
      <c r="F1" t="s">
        <v>185</v>
      </c>
      <c r="G1" s="2" t="s">
        <v>94</v>
      </c>
      <c r="H1" t="s">
        <v>8</v>
      </c>
      <c r="I1" t="s">
        <v>5</v>
      </c>
      <c r="J1" t="s">
        <v>4</v>
      </c>
      <c r="K1" t="s">
        <v>93</v>
      </c>
      <c r="L1" t="s">
        <v>18</v>
      </c>
      <c r="M1" s="49" t="s">
        <v>201</v>
      </c>
      <c r="N1" t="s">
        <v>24</v>
      </c>
      <c r="O1" s="28" t="s">
        <v>161</v>
      </c>
      <c r="P1" s="28" t="s">
        <v>203</v>
      </c>
      <c r="Q1" s="28" t="s">
        <v>162</v>
      </c>
      <c r="R1" s="28" t="s">
        <v>164</v>
      </c>
      <c r="S1" s="28" t="s">
        <v>163</v>
      </c>
      <c r="T1" t="s">
        <v>152</v>
      </c>
      <c r="U1" s="14" t="s">
        <v>168</v>
      </c>
      <c r="V1" s="33" t="s">
        <v>169</v>
      </c>
      <c r="W1" s="14" t="s">
        <v>173</v>
      </c>
      <c r="X1" s="14" t="s">
        <v>1</v>
      </c>
      <c r="Y1" s="14" t="s">
        <v>239</v>
      </c>
      <c r="Z1" s="14" t="s">
        <v>240</v>
      </c>
      <c r="AA1" s="14" t="s">
        <v>165</v>
      </c>
      <c r="AB1" s="14" t="s">
        <v>38</v>
      </c>
      <c r="AC1" s="29" t="s">
        <v>39</v>
      </c>
      <c r="AD1" t="s">
        <v>40</v>
      </c>
      <c r="AE1" t="s">
        <v>41</v>
      </c>
      <c r="AF1" s="35" t="s">
        <v>42</v>
      </c>
      <c r="AG1" s="35" t="s">
        <v>43</v>
      </c>
      <c r="AH1" s="23" t="s">
        <v>170</v>
      </c>
      <c r="AI1" s="23" t="s">
        <v>171</v>
      </c>
      <c r="AJ1" s="33" t="s">
        <v>172</v>
      </c>
      <c r="AK1" s="23" t="s">
        <v>25</v>
      </c>
      <c r="AL1" s="23" t="s">
        <v>28</v>
      </c>
      <c r="AM1" s="33" t="s">
        <v>27</v>
      </c>
      <c r="AN1" s="5" t="s">
        <v>175</v>
      </c>
      <c r="AO1" s="23" t="s">
        <v>26</v>
      </c>
      <c r="AP1" t="s">
        <v>176</v>
      </c>
      <c r="AQ1" s="23" t="s">
        <v>29</v>
      </c>
      <c r="AR1" s="13" t="s">
        <v>32</v>
      </c>
      <c r="AS1" s="23" t="s">
        <v>31</v>
      </c>
      <c r="AT1" s="33" t="s">
        <v>177</v>
      </c>
      <c r="AU1" s="23" t="s">
        <v>30</v>
      </c>
      <c r="AV1" s="33" t="s">
        <v>178</v>
      </c>
      <c r="AW1" t="s">
        <v>33</v>
      </c>
      <c r="AX1" s="30" t="s">
        <v>36</v>
      </c>
      <c r="AY1" t="s">
        <v>34</v>
      </c>
      <c r="AZ1" t="s">
        <v>35</v>
      </c>
      <c r="BA1" s="33" t="s">
        <v>179</v>
      </c>
      <c r="BB1" t="s">
        <v>180</v>
      </c>
      <c r="BC1" t="s">
        <v>37</v>
      </c>
      <c r="BD1" s="35" t="s">
        <v>22</v>
      </c>
      <c r="BE1" s="35" t="s">
        <v>23</v>
      </c>
      <c r="BF1" t="s">
        <v>181</v>
      </c>
      <c r="BG1" s="33" t="s">
        <v>20</v>
      </c>
      <c r="BH1" t="s">
        <v>21</v>
      </c>
      <c r="BI1" t="s">
        <v>3</v>
      </c>
      <c r="BJ1" t="s">
        <v>184</v>
      </c>
      <c r="BK1" t="s">
        <v>200</v>
      </c>
      <c r="BL1" t="s">
        <v>188</v>
      </c>
      <c r="BM1" t="s">
        <v>186</v>
      </c>
      <c r="BN1" t="s">
        <v>182</v>
      </c>
      <c r="BO1" t="s">
        <v>183</v>
      </c>
      <c r="BP1" s="13" t="s">
        <v>44</v>
      </c>
      <c r="BQ1" t="s">
        <v>45</v>
      </c>
      <c r="BR1" t="s">
        <v>46</v>
      </c>
      <c r="BS1" t="s">
        <v>47</v>
      </c>
      <c r="BT1" t="s">
        <v>48</v>
      </c>
      <c r="BU1" s="13" t="s">
        <v>49</v>
      </c>
      <c r="BV1" s="13" t="s">
        <v>50</v>
      </c>
      <c r="BW1" t="s">
        <v>51</v>
      </c>
      <c r="BX1" t="s">
        <v>52</v>
      </c>
      <c r="BY1" t="s">
        <v>53</v>
      </c>
      <c r="BZ1" t="s">
        <v>54</v>
      </c>
      <c r="CA1" s="13" t="s">
        <v>55</v>
      </c>
      <c r="CB1" s="13" t="s">
        <v>56</v>
      </c>
      <c r="CC1" t="s">
        <v>57</v>
      </c>
      <c r="CD1" t="s">
        <v>58</v>
      </c>
      <c r="CE1" t="s">
        <v>59</v>
      </c>
      <c r="CF1" t="s">
        <v>60</v>
      </c>
      <c r="CG1" s="13" t="s">
        <v>61</v>
      </c>
      <c r="CH1" s="13" t="s">
        <v>62</v>
      </c>
      <c r="CI1" t="s">
        <v>63</v>
      </c>
      <c r="CJ1" t="s">
        <v>64</v>
      </c>
      <c r="CK1" t="s">
        <v>65</v>
      </c>
      <c r="CL1" t="s">
        <v>66</v>
      </c>
      <c r="CM1" s="13" t="s">
        <v>67</v>
      </c>
      <c r="CN1" s="13" t="s">
        <v>68</v>
      </c>
      <c r="CO1" t="s">
        <v>69</v>
      </c>
      <c r="CP1" t="s">
        <v>70</v>
      </c>
      <c r="CQ1" t="s">
        <v>71</v>
      </c>
      <c r="CR1" t="s">
        <v>72</v>
      </c>
      <c r="CS1" s="13" t="s">
        <v>73</v>
      </c>
      <c r="CT1" s="13" t="s">
        <v>74</v>
      </c>
      <c r="CU1" t="s">
        <v>75</v>
      </c>
      <c r="CV1" t="s">
        <v>76</v>
      </c>
      <c r="CW1" t="s">
        <v>77</v>
      </c>
      <c r="CX1" t="s">
        <v>78</v>
      </c>
      <c r="CY1" t="s">
        <v>79</v>
      </c>
      <c r="CZ1" s="13" t="s">
        <v>80</v>
      </c>
      <c r="DA1" t="s">
        <v>81</v>
      </c>
      <c r="DB1" t="s">
        <v>82</v>
      </c>
      <c r="DC1" t="s">
        <v>83</v>
      </c>
      <c r="DD1" s="30" t="s">
        <v>84</v>
      </c>
      <c r="DE1" t="s">
        <v>85</v>
      </c>
      <c r="DF1" t="s">
        <v>86</v>
      </c>
      <c r="DG1" t="s">
        <v>167</v>
      </c>
      <c r="DH1" t="s">
        <v>87</v>
      </c>
      <c r="DI1" t="s">
        <v>753</v>
      </c>
      <c r="DJ1" t="s">
        <v>754</v>
      </c>
      <c r="DK1" t="s">
        <v>755</v>
      </c>
      <c r="DL1" t="s">
        <v>9</v>
      </c>
      <c r="DM1" t="s">
        <v>756</v>
      </c>
      <c r="DN1" t="s">
        <v>757</v>
      </c>
      <c r="DO1" t="s">
        <v>542</v>
      </c>
      <c r="DP1" t="s">
        <v>543</v>
      </c>
      <c r="DQ1" t="s">
        <v>758</v>
      </c>
      <c r="DR1" t="s">
        <v>759</v>
      </c>
      <c r="DS1" t="s">
        <v>760</v>
      </c>
      <c r="DT1" t="s">
        <v>761</v>
      </c>
      <c r="DU1" t="s">
        <v>762</v>
      </c>
      <c r="DV1" t="s">
        <v>763</v>
      </c>
      <c r="DW1" t="s">
        <v>764</v>
      </c>
      <c r="DX1" t="s">
        <v>765</v>
      </c>
      <c r="DY1" t="s">
        <v>766</v>
      </c>
      <c r="DZ1" t="s">
        <v>767</v>
      </c>
      <c r="EA1" t="s">
        <v>768</v>
      </c>
    </row>
    <row r="2" spans="1:131" hidden="1" x14ac:dyDescent="0.4">
      <c r="A2" s="33">
        <v>36526</v>
      </c>
      <c r="B2" s="24">
        <v>36526</v>
      </c>
      <c r="C2" s="24">
        <v>36526</v>
      </c>
      <c r="D2" s="33">
        <v>36526</v>
      </c>
      <c r="E2" t="s">
        <v>840</v>
      </c>
      <c r="F2" t="s">
        <v>841</v>
      </c>
      <c r="G2" t="s">
        <v>840</v>
      </c>
      <c r="H2" t="s">
        <v>838</v>
      </c>
      <c r="I2" t="s">
        <v>839</v>
      </c>
      <c r="J2" t="s">
        <v>840</v>
      </c>
      <c r="K2" t="s">
        <v>839</v>
      </c>
      <c r="L2" t="s">
        <v>837</v>
      </c>
      <c r="M2" s="29">
        <v>-0.99999998999999995</v>
      </c>
      <c r="N2">
        <v>4.5</v>
      </c>
      <c r="P2" t="str">
        <f>IFERROR(MID(RADataTable[[#This Row],[RATemplate]],1,LEN(RADataTable[[#This Row],[RATemplate]])-8),"RA") &amp; " " &amp; RADataTable[[#This Row],[prop_id0]] &amp; " " &amp; RADataTable[[#This Row],[last0]]</f>
        <v>RA 1234567 PI last name for format.</v>
      </c>
      <c r="T2">
        <v>0</v>
      </c>
      <c r="U2">
        <v>0</v>
      </c>
      <c r="V2" s="33">
        <v>36526</v>
      </c>
      <c r="W2">
        <v>0</v>
      </c>
      <c r="X2" s="7" t="str">
        <f>HYPERLINK("https://www.ejacket.nsf.gov/ej/showProposal.do?Continue=Y&amp;ID="&amp;RADataTable[[#This Row],[prop_id0]],"eJ")</f>
        <v>eJ</v>
      </c>
      <c r="Y2" s="7" t="str">
        <f>HYPERLINK("mailto:"&amp;RADataTable[[#This Row],[email]]&amp;"&amp;subject=Your NSF Proposal:  "&amp;RADataTable[[#This Row],[Div]]&amp;" "&amp;RADataTable[[#This Row],[prop_id0]], RADataTable[[#This Row],[email]])</f>
        <v>Email of lead PI on the project</v>
      </c>
      <c r="Z2" s="7" t="str">
        <f>HYPERLINK("mailto:"&amp;RADataTable[[#This Row],[allPIemail]]&amp;"&amp;subject=NSF Proposal:  "&amp;RADataTable[[#This Row],[Div]]&amp;" "&amp;RADataTable[[#This Row],[prop_id0]], "PIs@")</f>
        <v>PIs@</v>
      </c>
      <c r="AA2" t="s">
        <v>840</v>
      </c>
      <c r="AB2" t="s">
        <v>843</v>
      </c>
      <c r="AC2" s="29" t="s">
        <v>850</v>
      </c>
      <c r="AD2" t="s">
        <v>851</v>
      </c>
      <c r="AE2" t="s">
        <v>852</v>
      </c>
      <c r="AF2" s="35">
        <v>99999999</v>
      </c>
      <c r="AG2" s="35">
        <v>99999999</v>
      </c>
      <c r="AH2" s="23">
        <v>0</v>
      </c>
      <c r="AI2" t="s">
        <v>238</v>
      </c>
      <c r="AJ2" s="33">
        <v>36526</v>
      </c>
      <c r="AK2" t="s">
        <v>846</v>
      </c>
      <c r="AL2" t="s">
        <v>847</v>
      </c>
      <c r="AM2" t="s">
        <v>848</v>
      </c>
      <c r="AN2" s="33">
        <v>36526</v>
      </c>
      <c r="AO2" s="23">
        <v>99</v>
      </c>
      <c r="AP2" t="s">
        <v>844</v>
      </c>
      <c r="AQ2" t="s">
        <v>846</v>
      </c>
      <c r="AR2" s="34" t="s">
        <v>847</v>
      </c>
      <c r="AS2" t="s">
        <v>848</v>
      </c>
      <c r="AT2" s="33">
        <v>36526</v>
      </c>
      <c r="AU2" s="23">
        <v>99</v>
      </c>
      <c r="AV2" s="33" t="s">
        <v>844</v>
      </c>
      <c r="AW2" t="s">
        <v>846</v>
      </c>
      <c r="AX2" s="33" t="s">
        <v>847</v>
      </c>
      <c r="AY2">
        <v>99</v>
      </c>
      <c r="AZ2" t="s">
        <v>848</v>
      </c>
      <c r="BA2" s="33">
        <v>36526</v>
      </c>
      <c r="BB2" t="s">
        <v>844</v>
      </c>
      <c r="BC2" t="s">
        <v>845</v>
      </c>
      <c r="BD2" s="35">
        <v>99999999</v>
      </c>
      <c r="BE2" s="35">
        <v>99999999</v>
      </c>
      <c r="BF2">
        <v>0</v>
      </c>
      <c r="BG2" s="33">
        <v>36526</v>
      </c>
      <c r="BH2">
        <v>36</v>
      </c>
      <c r="BI2" t="s">
        <v>854</v>
      </c>
      <c r="BJ2" t="s">
        <v>856</v>
      </c>
      <c r="BK2" t="s">
        <v>857</v>
      </c>
      <c r="BL2" t="s">
        <v>858</v>
      </c>
      <c r="BM2" s="8" t="s">
        <v>860</v>
      </c>
      <c r="BN2" t="s">
        <v>861</v>
      </c>
      <c r="BO2" t="s">
        <v>862</v>
      </c>
      <c r="BP2" s="34" t="s">
        <v>853</v>
      </c>
      <c r="BQ2" t="s">
        <v>843</v>
      </c>
      <c r="BR2" t="s">
        <v>850</v>
      </c>
      <c r="BS2" t="s">
        <v>851</v>
      </c>
      <c r="BT2" t="s">
        <v>852</v>
      </c>
      <c r="BU2" s="34">
        <v>99999999</v>
      </c>
      <c r="BV2" s="34">
        <v>99999999</v>
      </c>
      <c r="BW2" t="s">
        <v>853</v>
      </c>
      <c r="BX2" t="s">
        <v>843</v>
      </c>
      <c r="BY2" t="s">
        <v>850</v>
      </c>
      <c r="BZ2" t="s">
        <v>851</v>
      </c>
      <c r="CA2" s="34" t="s">
        <v>852</v>
      </c>
      <c r="CB2" s="34">
        <v>99999999</v>
      </c>
      <c r="CC2">
        <v>99999999</v>
      </c>
      <c r="CD2" t="s">
        <v>853</v>
      </c>
      <c r="CE2" t="s">
        <v>843</v>
      </c>
      <c r="CF2" t="s">
        <v>850</v>
      </c>
      <c r="CG2" s="34" t="s">
        <v>851</v>
      </c>
      <c r="CH2" s="34" t="s">
        <v>852</v>
      </c>
      <c r="CI2">
        <v>99999999</v>
      </c>
      <c r="CJ2">
        <v>99999999</v>
      </c>
      <c r="CK2" t="s">
        <v>853</v>
      </c>
      <c r="CL2" t="s">
        <v>843</v>
      </c>
      <c r="CM2" s="34" t="s">
        <v>850</v>
      </c>
      <c r="CN2" s="34" t="s">
        <v>851</v>
      </c>
      <c r="CO2" t="s">
        <v>852</v>
      </c>
      <c r="CP2">
        <v>99999999</v>
      </c>
      <c r="CQ2">
        <v>99999999</v>
      </c>
      <c r="CR2" t="s">
        <v>853</v>
      </c>
      <c r="CS2" s="34" t="s">
        <v>843</v>
      </c>
      <c r="CT2" s="34" t="s">
        <v>850</v>
      </c>
      <c r="CU2" t="s">
        <v>851</v>
      </c>
      <c r="CV2" t="s">
        <v>852</v>
      </c>
      <c r="CW2">
        <v>99999999</v>
      </c>
      <c r="CX2">
        <v>99999999</v>
      </c>
      <c r="CY2" t="s">
        <v>853</v>
      </c>
      <c r="CZ2" s="34" t="s">
        <v>843</v>
      </c>
      <c r="DA2" t="s">
        <v>850</v>
      </c>
      <c r="DB2" t="s">
        <v>851</v>
      </c>
      <c r="DC2" t="s">
        <v>852</v>
      </c>
      <c r="DD2" s="33">
        <v>99999999</v>
      </c>
      <c r="DE2">
        <v>99999999</v>
      </c>
      <c r="DF2" t="s">
        <v>853</v>
      </c>
      <c r="DG2" t="s">
        <v>863</v>
      </c>
      <c r="DH2" t="s">
        <v>864</v>
      </c>
      <c r="DI2" t="s">
        <v>842</v>
      </c>
      <c r="DJ2" t="s">
        <v>842</v>
      </c>
      <c r="DK2" t="s">
        <v>842</v>
      </c>
      <c r="DL2" t="s">
        <v>843</v>
      </c>
      <c r="DM2">
        <v>1</v>
      </c>
      <c r="DN2">
        <v>9</v>
      </c>
      <c r="DO2" t="s">
        <v>844</v>
      </c>
      <c r="DP2">
        <v>0</v>
      </c>
      <c r="DQ2" t="s">
        <v>849</v>
      </c>
      <c r="DR2">
        <v>0</v>
      </c>
      <c r="DS2">
        <v>0</v>
      </c>
      <c r="DT2" t="s">
        <v>849</v>
      </c>
      <c r="DU2">
        <v>0</v>
      </c>
      <c r="DV2">
        <v>0</v>
      </c>
      <c r="DW2" t="s">
        <v>849</v>
      </c>
      <c r="DX2">
        <v>0</v>
      </c>
      <c r="DY2">
        <v>0</v>
      </c>
      <c r="DZ2" t="s">
        <v>855</v>
      </c>
      <c r="EA2" t="s">
        <v>859</v>
      </c>
    </row>
    <row r="3" spans="1:131" x14ac:dyDescent="0.4">
      <c r="A3" s="33">
        <v>43072.860763888886</v>
      </c>
      <c r="B3" s="24">
        <v>42933.820138888892</v>
      </c>
      <c r="D3" s="33"/>
      <c r="E3" s="33" t="s">
        <v>193</v>
      </c>
      <c r="F3" s="33" t="s">
        <v>191</v>
      </c>
      <c r="G3" s="33" t="s">
        <v>100</v>
      </c>
      <c r="H3" t="s">
        <v>279</v>
      </c>
      <c r="I3" t="s">
        <v>243</v>
      </c>
      <c r="J3" t="s">
        <v>558</v>
      </c>
      <c r="K3" t="s">
        <v>559</v>
      </c>
      <c r="L3" t="s">
        <v>557</v>
      </c>
      <c r="M3" s="29">
        <v>1.01</v>
      </c>
      <c r="N3">
        <v>8</v>
      </c>
      <c r="P3" s="23" t="str">
        <f>IFERROR(MID(RADataTable[[#This Row],[RATemplate]],1,LEN(RADataTable[[#This Row],[RATemplate]])-8),"RA") &amp; " " &amp; RADataTable[[#This Row],[prop_id0]] &amp; " " &amp; RADataTable[[#This Row],[last0]]</f>
        <v>RA 1749609 Lee</v>
      </c>
      <c r="T3">
        <v>4</v>
      </c>
      <c r="U3">
        <v>4</v>
      </c>
      <c r="V3" s="33">
        <v>43031.375694444447</v>
      </c>
      <c r="W3">
        <v>1</v>
      </c>
      <c r="X3" s="15" t="str">
        <f>HYPERLINK("https://www.ejacket.nsf.gov/ej/showProposal.do?Continue=Y&amp;ID="&amp;RADataTable[[#This Row],[prop_id0]],"eJ")</f>
        <v>eJ</v>
      </c>
      <c r="Y3" s="15" t="str">
        <f>HYPERLINK("mailto:"&amp;RADataTable[[#This Row],[email]]&amp;"&amp;subject=Your NSF Proposal:  "&amp;RADataTable[[#This Row],[Div]]&amp;" "&amp;RADataTable[[#This Row],[prop_id0]], RADataTable[[#This Row],[email]])</f>
        <v>yintat@uw.edu</v>
      </c>
      <c r="Z3" s="15" t="str">
        <f>HYPERLINK("mailto:"&amp;RADataTable[[#This Row],[allPIemail]]&amp;"&amp;subject=NSF Proposal:  "&amp;RADataTable[[#This Row],[Div]]&amp;" "&amp;RADataTable[[#This Row],[prop_id0]], "PIs@")</f>
        <v>PIs@</v>
      </c>
      <c r="AA3" t="s">
        <v>245</v>
      </c>
      <c r="AB3" t="s">
        <v>511</v>
      </c>
      <c r="AC3" s="29" t="s">
        <v>587</v>
      </c>
      <c r="AD3" t="s">
        <v>588</v>
      </c>
      <c r="AE3" t="s">
        <v>281</v>
      </c>
      <c r="AF3" s="35">
        <v>549841</v>
      </c>
      <c r="AG3" s="35">
        <v>549841</v>
      </c>
      <c r="AH3" s="23"/>
      <c r="AJ3" s="33"/>
      <c r="AK3" t="s">
        <v>769</v>
      </c>
      <c r="AL3" t="s">
        <v>282</v>
      </c>
      <c r="AM3" s="33" t="s">
        <v>771</v>
      </c>
      <c r="AN3" s="33">
        <v>43032</v>
      </c>
      <c r="AO3" s="23">
        <v>1</v>
      </c>
      <c r="AP3" t="s">
        <v>784</v>
      </c>
      <c r="AR3" s="34"/>
      <c r="AS3"/>
      <c r="AT3" s="33"/>
      <c r="AV3" s="33"/>
      <c r="AX3" s="33"/>
      <c r="AY3"/>
      <c r="BA3" s="33"/>
      <c r="BB3"/>
      <c r="BC3" t="s">
        <v>591</v>
      </c>
      <c r="BD3" s="35">
        <v>549841</v>
      </c>
      <c r="BE3" s="35">
        <v>549841</v>
      </c>
      <c r="BF3">
        <v>0</v>
      </c>
      <c r="BG3" s="33">
        <v>43175</v>
      </c>
      <c r="BH3">
        <v>60</v>
      </c>
      <c r="BI3" t="s">
        <v>283</v>
      </c>
      <c r="BJ3" t="s">
        <v>774</v>
      </c>
      <c r="BK3" t="s">
        <v>234</v>
      </c>
      <c r="BL3" t="s">
        <v>194</v>
      </c>
      <c r="BM3" s="8" t="s">
        <v>192</v>
      </c>
      <c r="BN3" t="s">
        <v>189</v>
      </c>
      <c r="BO3" t="s">
        <v>190</v>
      </c>
      <c r="BP3" s="34" t="s">
        <v>564</v>
      </c>
      <c r="BQ3"/>
      <c r="BU3" s="34"/>
      <c r="BV3" s="34"/>
      <c r="BX3"/>
      <c r="CA3" s="34"/>
      <c r="CB3" s="34"/>
      <c r="CC3"/>
      <c r="CG3" s="34"/>
      <c r="CH3" s="34"/>
      <c r="CK3"/>
      <c r="CM3" s="34"/>
      <c r="CN3" s="34"/>
      <c r="CQ3"/>
      <c r="CS3" s="34"/>
      <c r="CT3" s="34"/>
      <c r="CX3"/>
      <c r="CZ3" s="34"/>
      <c r="DD3" s="33"/>
      <c r="DG3" t="s">
        <v>589</v>
      </c>
      <c r="DH3" t="s">
        <v>785</v>
      </c>
      <c r="DI3" t="s">
        <v>280</v>
      </c>
      <c r="DL3" t="s">
        <v>511</v>
      </c>
      <c r="DM3">
        <v>6</v>
      </c>
      <c r="DN3">
        <v>9</v>
      </c>
      <c r="DO3" t="s">
        <v>590</v>
      </c>
      <c r="DQ3" t="s">
        <v>773</v>
      </c>
      <c r="DR3">
        <v>14</v>
      </c>
      <c r="DS3">
        <v>3</v>
      </c>
      <c r="DU3">
        <v>14</v>
      </c>
      <c r="DV3">
        <v>3</v>
      </c>
      <c r="DX3">
        <v>14</v>
      </c>
      <c r="DY3">
        <v>3</v>
      </c>
      <c r="DZ3" t="s">
        <v>246</v>
      </c>
      <c r="EA3" t="s">
        <v>775</v>
      </c>
    </row>
    <row r="4" spans="1:131" x14ac:dyDescent="0.4">
      <c r="A4" s="33">
        <v>43072.860763888886</v>
      </c>
      <c r="B4" s="24">
        <v>42935.488888888889</v>
      </c>
      <c r="D4" s="33"/>
      <c r="E4" s="33" t="s">
        <v>193</v>
      </c>
      <c r="F4" s="33" t="s">
        <v>191</v>
      </c>
      <c r="G4" s="33" t="s">
        <v>100</v>
      </c>
      <c r="H4" t="s">
        <v>279</v>
      </c>
      <c r="I4" t="s">
        <v>243</v>
      </c>
      <c r="J4" t="s">
        <v>558</v>
      </c>
      <c r="K4" t="s">
        <v>575</v>
      </c>
      <c r="L4" t="s">
        <v>557</v>
      </c>
      <c r="M4" s="29">
        <v>1.01</v>
      </c>
      <c r="N4">
        <v>7.5</v>
      </c>
      <c r="P4" s="23" t="str">
        <f>IFERROR(MID(RADataTable[[#This Row],[RATemplate]],1,LEN(RADataTable[[#This Row],[RATemplate]])-8),"RA") &amp; " " &amp; RADataTable[[#This Row],[prop_id0]] &amp; " " &amp; RADataTable[[#This Row],[last0]]</f>
        <v>RA 1750333 Ene</v>
      </c>
      <c r="T4">
        <v>4</v>
      </c>
      <c r="U4">
        <v>4</v>
      </c>
      <c r="V4" s="33">
        <v>43032.52847222222</v>
      </c>
      <c r="W4">
        <v>1</v>
      </c>
      <c r="X4" s="15" t="str">
        <f>HYPERLINK("https://www.ejacket.nsf.gov/ej/showProposal.do?Continue=Y&amp;ID="&amp;RADataTable[[#This Row],[prop_id0]],"eJ")</f>
        <v>eJ</v>
      </c>
      <c r="Y4" s="15" t="str">
        <f>HYPERLINK("mailto:"&amp;RADataTable[[#This Row],[email]]&amp;"&amp;subject=Your NSF Proposal:  "&amp;RADataTable[[#This Row],[Div]]&amp;" "&amp;RADataTable[[#This Row],[prop_id0]], RADataTable[[#This Row],[email]])</f>
        <v>aene@bu.edu</v>
      </c>
      <c r="Z4" s="15" t="str">
        <f>HYPERLINK("mailto:"&amp;RADataTable[[#This Row],[allPIemail]]&amp;"&amp;subject=NSF Proposal:  "&amp;RADataTable[[#This Row],[Div]]&amp;" "&amp;RADataTable[[#This Row],[prop_id0]], "PIs@")</f>
        <v>PIs@</v>
      </c>
      <c r="AA4" t="s">
        <v>245</v>
      </c>
      <c r="AB4" t="s">
        <v>522</v>
      </c>
      <c r="AC4" s="29" t="s">
        <v>652</v>
      </c>
      <c r="AD4" t="s">
        <v>653</v>
      </c>
      <c r="AE4" t="s">
        <v>654</v>
      </c>
      <c r="AF4" s="35">
        <v>507423</v>
      </c>
      <c r="AG4" s="35">
        <v>507423</v>
      </c>
      <c r="AH4" s="23"/>
      <c r="AJ4" s="33"/>
      <c r="AK4" t="s">
        <v>769</v>
      </c>
      <c r="AL4" t="s">
        <v>282</v>
      </c>
      <c r="AM4" s="33" t="s">
        <v>771</v>
      </c>
      <c r="AN4" s="33">
        <v>43032</v>
      </c>
      <c r="AO4" s="23">
        <v>1</v>
      </c>
      <c r="AP4" t="s">
        <v>806</v>
      </c>
      <c r="AR4" s="34"/>
      <c r="AS4"/>
      <c r="AT4" s="33"/>
      <c r="AV4" s="33"/>
      <c r="AX4" s="33"/>
      <c r="AY4"/>
      <c r="BA4" s="33"/>
      <c r="BB4"/>
      <c r="BC4" t="s">
        <v>657</v>
      </c>
      <c r="BD4" s="35">
        <v>507423</v>
      </c>
      <c r="BE4" s="35">
        <v>507423</v>
      </c>
      <c r="BF4">
        <v>0</v>
      </c>
      <c r="BG4" s="33">
        <v>43101</v>
      </c>
      <c r="BH4">
        <v>60</v>
      </c>
      <c r="BI4" t="s">
        <v>283</v>
      </c>
      <c r="BJ4" t="s">
        <v>774</v>
      </c>
      <c r="BK4" t="s">
        <v>780</v>
      </c>
      <c r="BL4" t="s">
        <v>194</v>
      </c>
      <c r="BM4" s="8" t="s">
        <v>192</v>
      </c>
      <c r="BN4" t="s">
        <v>189</v>
      </c>
      <c r="BO4" t="s">
        <v>190</v>
      </c>
      <c r="BP4" s="34" t="s">
        <v>564</v>
      </c>
      <c r="BQ4"/>
      <c r="BU4" s="34"/>
      <c r="BV4" s="34"/>
      <c r="BX4"/>
      <c r="CA4" s="34"/>
      <c r="CB4" s="34"/>
      <c r="CC4"/>
      <c r="CG4" s="34"/>
      <c r="CH4" s="34"/>
      <c r="CK4"/>
      <c r="CM4" s="34"/>
      <c r="CN4" s="34"/>
      <c r="CQ4"/>
      <c r="CS4" s="34"/>
      <c r="CT4" s="34"/>
      <c r="CX4"/>
      <c r="CZ4" s="34"/>
      <c r="DD4" s="33"/>
      <c r="DG4" t="s">
        <v>655</v>
      </c>
      <c r="DH4" t="s">
        <v>807</v>
      </c>
      <c r="DI4" t="s">
        <v>280</v>
      </c>
      <c r="DL4" t="s">
        <v>522</v>
      </c>
      <c r="DM4">
        <v>5</v>
      </c>
      <c r="DN4">
        <v>9</v>
      </c>
      <c r="DO4" t="s">
        <v>656</v>
      </c>
      <c r="DQ4" t="s">
        <v>773</v>
      </c>
      <c r="DR4">
        <v>14</v>
      </c>
      <c r="DS4">
        <v>1</v>
      </c>
      <c r="DU4">
        <v>14</v>
      </c>
      <c r="DV4">
        <v>1</v>
      </c>
      <c r="DX4">
        <v>14</v>
      </c>
      <c r="DY4">
        <v>1</v>
      </c>
      <c r="DZ4" t="s">
        <v>246</v>
      </c>
      <c r="EA4" t="s">
        <v>775</v>
      </c>
    </row>
    <row r="5" spans="1:131" x14ac:dyDescent="0.4">
      <c r="A5" s="33">
        <v>43072.860763888886</v>
      </c>
      <c r="B5" s="24">
        <v>42956.581944444442</v>
      </c>
      <c r="D5" s="33"/>
      <c r="E5" s="33" t="s">
        <v>193</v>
      </c>
      <c r="F5" s="33" t="s">
        <v>191</v>
      </c>
      <c r="G5" s="33" t="s">
        <v>100</v>
      </c>
      <c r="H5" t="s">
        <v>702</v>
      </c>
      <c r="I5" t="s">
        <v>243</v>
      </c>
      <c r="J5" t="s">
        <v>703</v>
      </c>
      <c r="K5" t="s">
        <v>575</v>
      </c>
      <c r="L5" t="s">
        <v>701</v>
      </c>
      <c r="M5" s="29">
        <v>1.01</v>
      </c>
      <c r="N5">
        <v>7</v>
      </c>
      <c r="P5" s="23" t="str">
        <f>IFERROR(MID(RADataTable[[#This Row],[RATemplate]],1,LEN(RADataTable[[#This Row],[RATemplate]])-8),"RA") &amp; " " &amp; RADataTable[[#This Row],[prop_id0]] &amp; " " &amp; RADataTable[[#This Row],[last0]]</f>
        <v>RA 1755791 Goswami</v>
      </c>
      <c r="T5">
        <v>3</v>
      </c>
      <c r="U5">
        <v>3</v>
      </c>
      <c r="V5" s="33">
        <v>43031.369444444441</v>
      </c>
      <c r="W5">
        <v>1</v>
      </c>
      <c r="X5" s="15" t="str">
        <f>HYPERLINK("https://www.ejacket.nsf.gov/ej/showProposal.do?Continue=Y&amp;ID="&amp;RADataTable[[#This Row],[prop_id0]],"eJ")</f>
        <v>eJ</v>
      </c>
      <c r="Y5" s="15" t="str">
        <f>HYPERLINK("mailto:"&amp;RADataTable[[#This Row],[email]]&amp;"&amp;subject=Your NSF Proposal:  "&amp;RADataTable[[#This Row],[Div]]&amp;" "&amp;RADataTable[[#This Row],[prop_id0]], RADataTable[[#This Row],[email]])</f>
        <v>Mayank.Goswami@qc.cuny.edu</v>
      </c>
      <c r="Z5" s="15" t="str">
        <f>HYPERLINK("mailto:"&amp;RADataTable[[#This Row],[allPIemail]]&amp;"&amp;subject=NSF Proposal:  "&amp;RADataTable[[#This Row],[Div]]&amp;" "&amp;RADataTable[[#This Row],[prop_id0]], "PIs@")</f>
        <v>PIs@</v>
      </c>
      <c r="AA5" t="s">
        <v>245</v>
      </c>
      <c r="AB5" t="s">
        <v>532</v>
      </c>
      <c r="AC5" s="29" t="s">
        <v>717</v>
      </c>
      <c r="AD5" t="s">
        <v>718</v>
      </c>
      <c r="AE5" t="s">
        <v>719</v>
      </c>
      <c r="AF5" s="35">
        <v>175000</v>
      </c>
      <c r="AG5" s="35">
        <v>175000</v>
      </c>
      <c r="AH5" s="23"/>
      <c r="AJ5" s="33"/>
      <c r="AK5" t="s">
        <v>769</v>
      </c>
      <c r="AL5" t="s">
        <v>282</v>
      </c>
      <c r="AM5" s="33" t="s">
        <v>771</v>
      </c>
      <c r="AN5" s="33">
        <v>43032</v>
      </c>
      <c r="AO5" s="23">
        <v>1</v>
      </c>
      <c r="AP5" t="s">
        <v>825</v>
      </c>
      <c r="AR5" s="34"/>
      <c r="AS5"/>
      <c r="AT5" s="33"/>
      <c r="AV5" s="33"/>
      <c r="AX5" s="33"/>
      <c r="AY5"/>
      <c r="BA5" s="33"/>
      <c r="BB5"/>
      <c r="BC5" t="s">
        <v>722</v>
      </c>
      <c r="BD5" s="35">
        <v>175000</v>
      </c>
      <c r="BE5" s="35">
        <v>175000</v>
      </c>
      <c r="BF5">
        <v>0</v>
      </c>
      <c r="BG5" s="33">
        <v>43344</v>
      </c>
      <c r="BH5">
        <v>24</v>
      </c>
      <c r="BI5" t="s">
        <v>820</v>
      </c>
      <c r="BJ5" t="s">
        <v>821</v>
      </c>
      <c r="BK5" t="s">
        <v>780</v>
      </c>
      <c r="BL5" t="s">
        <v>194</v>
      </c>
      <c r="BM5" s="8" t="s">
        <v>192</v>
      </c>
      <c r="BN5" t="s">
        <v>189</v>
      </c>
      <c r="BO5" t="s">
        <v>190</v>
      </c>
      <c r="BP5" s="34" t="s">
        <v>707</v>
      </c>
      <c r="BQ5"/>
      <c r="BU5" s="34"/>
      <c r="BV5" s="34"/>
      <c r="BX5"/>
      <c r="CA5" s="34"/>
      <c r="CB5" s="34"/>
      <c r="CC5"/>
      <c r="CG5" s="34"/>
      <c r="CH5" s="34"/>
      <c r="CK5"/>
      <c r="CM5" s="34"/>
      <c r="CN5" s="34"/>
      <c r="CQ5"/>
      <c r="CS5" s="34"/>
      <c r="CT5" s="34"/>
      <c r="CX5"/>
      <c r="CZ5" s="34"/>
      <c r="DD5" s="33"/>
      <c r="DG5" t="s">
        <v>720</v>
      </c>
      <c r="DH5" t="s">
        <v>826</v>
      </c>
      <c r="DI5" t="s">
        <v>280</v>
      </c>
      <c r="DL5" t="s">
        <v>532</v>
      </c>
      <c r="DM5">
        <v>7</v>
      </c>
      <c r="DN5">
        <v>7</v>
      </c>
      <c r="DO5" t="s">
        <v>721</v>
      </c>
      <c r="DQ5" t="s">
        <v>773</v>
      </c>
      <c r="DR5">
        <v>14</v>
      </c>
      <c r="DS5">
        <v>1</v>
      </c>
      <c r="DU5">
        <v>14</v>
      </c>
      <c r="DV5">
        <v>1</v>
      </c>
      <c r="DX5">
        <v>14</v>
      </c>
      <c r="DY5">
        <v>1</v>
      </c>
      <c r="DZ5" t="s">
        <v>246</v>
      </c>
      <c r="EA5" t="s">
        <v>775</v>
      </c>
    </row>
    <row r="6" spans="1:131" x14ac:dyDescent="0.4">
      <c r="A6" s="33">
        <v>43072.860763888886</v>
      </c>
      <c r="B6" s="24">
        <v>42956.621527777781</v>
      </c>
      <c r="D6" s="33"/>
      <c r="E6" s="33" t="s">
        <v>193</v>
      </c>
      <c r="F6" s="33" t="s">
        <v>191</v>
      </c>
      <c r="G6" s="33" t="s">
        <v>100</v>
      </c>
      <c r="H6" t="s">
        <v>702</v>
      </c>
      <c r="I6" t="s">
        <v>243</v>
      </c>
      <c r="J6" t="s">
        <v>703</v>
      </c>
      <c r="K6" t="s">
        <v>604</v>
      </c>
      <c r="L6" t="s">
        <v>701</v>
      </c>
      <c r="M6" s="29">
        <v>2.02</v>
      </c>
      <c r="N6">
        <v>6.333333333333333</v>
      </c>
      <c r="P6" s="23" t="str">
        <f>IFERROR(MID(RADataTable[[#This Row],[RATemplate]],1,LEN(RADataTable[[#This Row],[RATemplate]])-8),"RA") &amp; " " &amp; RADataTable[[#This Row],[prop_id0]] &amp; " " &amp; RADataTable[[#This Row],[last0]]</f>
        <v>RA 1755847 Sun</v>
      </c>
      <c r="T6">
        <v>3</v>
      </c>
      <c r="U6">
        <v>3</v>
      </c>
      <c r="V6" s="33">
        <v>43031.767361111109</v>
      </c>
      <c r="W6">
        <v>1</v>
      </c>
      <c r="X6" s="15" t="str">
        <f>HYPERLINK("https://www.ejacket.nsf.gov/ej/showProposal.do?Continue=Y&amp;ID="&amp;RADataTable[[#This Row],[prop_id0]],"eJ")</f>
        <v>eJ</v>
      </c>
      <c r="Y6" s="15" t="str">
        <f>HYPERLINK("mailto:"&amp;RADataTable[[#This Row],[email]]&amp;"&amp;subject=Your NSF Proposal:  "&amp;RADataTable[[#This Row],[Div]]&amp;" "&amp;RADataTable[[#This Row],[prop_id0]], RADataTable[[#This Row],[email]])</f>
        <v>ruoyus@illinois.edu</v>
      </c>
      <c r="Z6" s="15" t="str">
        <f>HYPERLINK("mailto:"&amp;RADataTable[[#This Row],[allPIemail]]&amp;"&amp;subject=NSF Proposal:  "&amp;RADataTable[[#This Row],[Div]]&amp;" "&amp;RADataTable[[#This Row],[prop_id0]], "PIs@")</f>
        <v>PIs@</v>
      </c>
      <c r="AA6" t="s">
        <v>245</v>
      </c>
      <c r="AB6" t="s">
        <v>533</v>
      </c>
      <c r="AC6" s="29" t="s">
        <v>723</v>
      </c>
      <c r="AD6" t="s">
        <v>724</v>
      </c>
      <c r="AE6" t="s">
        <v>607</v>
      </c>
      <c r="AF6" s="35">
        <v>175000</v>
      </c>
      <c r="AG6" s="35">
        <v>175000</v>
      </c>
      <c r="AH6" s="23"/>
      <c r="AJ6" s="33"/>
      <c r="AK6" t="s">
        <v>769</v>
      </c>
      <c r="AL6" t="s">
        <v>232</v>
      </c>
      <c r="AM6" s="33" t="s">
        <v>771</v>
      </c>
      <c r="AN6" s="33">
        <v>43032</v>
      </c>
      <c r="AO6" s="23">
        <v>2</v>
      </c>
      <c r="AP6" t="s">
        <v>827</v>
      </c>
      <c r="AR6" s="34"/>
      <c r="AS6"/>
      <c r="AT6" s="33"/>
      <c r="AV6" s="33"/>
      <c r="AX6" s="33"/>
      <c r="AY6"/>
      <c r="BA6" s="33"/>
      <c r="BB6"/>
      <c r="BC6" t="s">
        <v>728</v>
      </c>
      <c r="BD6" s="35">
        <v>175000</v>
      </c>
      <c r="BE6" s="35">
        <v>175000</v>
      </c>
      <c r="BF6">
        <v>0</v>
      </c>
      <c r="BG6" s="33">
        <v>43282</v>
      </c>
      <c r="BH6">
        <v>24</v>
      </c>
      <c r="BI6" t="s">
        <v>820</v>
      </c>
      <c r="BJ6" t="s">
        <v>821</v>
      </c>
      <c r="BK6" t="s">
        <v>791</v>
      </c>
      <c r="BL6" t="s">
        <v>194</v>
      </c>
      <c r="BM6" s="8" t="s">
        <v>192</v>
      </c>
      <c r="BN6" t="s">
        <v>189</v>
      </c>
      <c r="BO6" t="s">
        <v>190</v>
      </c>
      <c r="BP6" s="34" t="s">
        <v>726</v>
      </c>
      <c r="BQ6"/>
      <c r="BU6" s="34"/>
      <c r="BV6" s="34"/>
      <c r="BX6"/>
      <c r="CA6" s="34"/>
      <c r="CB6" s="34"/>
      <c r="CC6"/>
      <c r="CG6" s="34"/>
      <c r="CH6" s="34"/>
      <c r="CK6"/>
      <c r="CM6" s="34"/>
      <c r="CN6" s="34"/>
      <c r="CQ6"/>
      <c r="CS6" s="34"/>
      <c r="CT6" s="34"/>
      <c r="CX6"/>
      <c r="CZ6" s="34"/>
      <c r="DD6" s="33"/>
      <c r="DG6" t="s">
        <v>725</v>
      </c>
      <c r="DH6" t="s">
        <v>828</v>
      </c>
      <c r="DI6" t="s">
        <v>233</v>
      </c>
      <c r="DL6" t="s">
        <v>533</v>
      </c>
      <c r="DM6">
        <v>6</v>
      </c>
      <c r="DN6">
        <v>7</v>
      </c>
      <c r="DO6" t="s">
        <v>727</v>
      </c>
      <c r="DQ6" t="s">
        <v>773</v>
      </c>
      <c r="DR6">
        <v>14</v>
      </c>
      <c r="DS6">
        <v>2</v>
      </c>
      <c r="DU6">
        <v>14</v>
      </c>
      <c r="DV6">
        <v>2</v>
      </c>
      <c r="DX6">
        <v>14</v>
      </c>
      <c r="DY6">
        <v>2</v>
      </c>
      <c r="DZ6" t="s">
        <v>246</v>
      </c>
      <c r="EA6" t="s">
        <v>775</v>
      </c>
    </row>
    <row r="7" spans="1:131" x14ac:dyDescent="0.4">
      <c r="A7" s="33">
        <v>43072.860763888886</v>
      </c>
      <c r="B7" s="24">
        <v>42933.713888888888</v>
      </c>
      <c r="D7" s="33"/>
      <c r="E7" s="33" t="s">
        <v>193</v>
      </c>
      <c r="F7" s="33" t="s">
        <v>191</v>
      </c>
      <c r="G7" s="33" t="s">
        <v>100</v>
      </c>
      <c r="H7" t="s">
        <v>279</v>
      </c>
      <c r="I7" t="s">
        <v>243</v>
      </c>
      <c r="J7" t="s">
        <v>558</v>
      </c>
      <c r="K7" t="s">
        <v>559</v>
      </c>
      <c r="L7" t="s">
        <v>557</v>
      </c>
      <c r="M7" s="29">
        <v>2.0299999999999998</v>
      </c>
      <c r="N7">
        <v>7</v>
      </c>
      <c r="P7" s="23" t="str">
        <f>IFERROR(MID(RADataTable[[#This Row],[RATemplate]],1,LEN(RADataTable[[#This Row],[RATemplate]])-8),"RA") &amp; " " &amp; RADataTable[[#This Row],[prop_id0]] &amp; " " &amp; RADataTable[[#This Row],[last0]]</f>
        <v>RA 1749563 Del Pia</v>
      </c>
      <c r="T7">
        <v>4</v>
      </c>
      <c r="U7">
        <v>4</v>
      </c>
      <c r="V7" s="33">
        <v>43031.584027777775</v>
      </c>
      <c r="W7">
        <v>1</v>
      </c>
      <c r="X7" s="15" t="str">
        <f>HYPERLINK("https://www.ejacket.nsf.gov/ej/showProposal.do?Continue=Y&amp;ID="&amp;RADataTable[[#This Row],[prop_id0]],"eJ")</f>
        <v>eJ</v>
      </c>
      <c r="Y7" s="15" t="str">
        <f>HYPERLINK("mailto:"&amp;RADataTable[[#This Row],[email]]&amp;"&amp;subject=Your NSF Proposal:  "&amp;RADataTable[[#This Row],[Div]]&amp;" "&amp;RADataTable[[#This Row],[prop_id0]], RADataTable[[#This Row],[email]])</f>
        <v>delpia@wisc.edu</v>
      </c>
      <c r="Z7" s="15" t="str">
        <f>HYPERLINK("mailto:"&amp;RADataTable[[#This Row],[allPIemail]]&amp;"&amp;subject=NSF Proposal:  "&amp;RADataTable[[#This Row],[Div]]&amp;" "&amp;RADataTable[[#This Row],[prop_id0]], "PIs@")</f>
        <v>PIs@</v>
      </c>
      <c r="AA7" t="s">
        <v>245</v>
      </c>
      <c r="AB7" t="s">
        <v>510</v>
      </c>
      <c r="AC7" s="29" t="s">
        <v>582</v>
      </c>
      <c r="AD7" t="s">
        <v>583</v>
      </c>
      <c r="AE7" t="s">
        <v>284</v>
      </c>
      <c r="AF7" s="35">
        <v>500000</v>
      </c>
      <c r="AG7" s="35">
        <v>500000</v>
      </c>
      <c r="AH7" s="23"/>
      <c r="AJ7" s="33"/>
      <c r="AK7" t="s">
        <v>769</v>
      </c>
      <c r="AL7" t="s">
        <v>232</v>
      </c>
      <c r="AM7" s="33" t="s">
        <v>771</v>
      </c>
      <c r="AN7" s="33">
        <v>43032</v>
      </c>
      <c r="AO7" s="23">
        <v>3</v>
      </c>
      <c r="AP7" t="s">
        <v>782</v>
      </c>
      <c r="AR7" s="34"/>
      <c r="AS7"/>
      <c r="AT7" s="33"/>
      <c r="AV7" s="33"/>
      <c r="AX7" s="33"/>
      <c r="AY7"/>
      <c r="BA7" s="33"/>
      <c r="BB7"/>
      <c r="BC7" t="s">
        <v>586</v>
      </c>
      <c r="BD7" s="35">
        <v>500000</v>
      </c>
      <c r="BE7" s="35">
        <v>500000</v>
      </c>
      <c r="BF7">
        <v>0</v>
      </c>
      <c r="BG7" s="33">
        <v>43344</v>
      </c>
      <c r="BH7">
        <v>60</v>
      </c>
      <c r="BI7" t="s">
        <v>283</v>
      </c>
      <c r="BJ7" t="s">
        <v>774</v>
      </c>
      <c r="BK7" t="s">
        <v>234</v>
      </c>
      <c r="BL7" t="s">
        <v>194</v>
      </c>
      <c r="BM7" s="8" t="s">
        <v>192</v>
      </c>
      <c r="BN7" t="s">
        <v>189</v>
      </c>
      <c r="BO7" t="s">
        <v>190</v>
      </c>
      <c r="BP7" s="34" t="s">
        <v>564</v>
      </c>
      <c r="BQ7"/>
      <c r="BU7" s="34"/>
      <c r="BV7" s="34"/>
      <c r="BX7"/>
      <c r="CA7" s="34"/>
      <c r="CB7" s="34"/>
      <c r="CC7"/>
      <c r="CG7" s="34"/>
      <c r="CH7" s="34"/>
      <c r="CK7"/>
      <c r="CM7" s="34"/>
      <c r="CN7" s="34"/>
      <c r="CQ7"/>
      <c r="CS7" s="34"/>
      <c r="CT7" s="34"/>
      <c r="CX7"/>
      <c r="CZ7" s="34"/>
      <c r="DD7" s="33"/>
      <c r="DG7" t="s">
        <v>584</v>
      </c>
      <c r="DH7" t="s">
        <v>783</v>
      </c>
      <c r="DI7" t="s">
        <v>233</v>
      </c>
      <c r="DL7" t="s">
        <v>510</v>
      </c>
      <c r="DM7">
        <v>6</v>
      </c>
      <c r="DN7">
        <v>8</v>
      </c>
      <c r="DO7" t="s">
        <v>585</v>
      </c>
      <c r="DQ7" t="s">
        <v>773</v>
      </c>
      <c r="DR7">
        <v>14</v>
      </c>
      <c r="DS7">
        <v>0</v>
      </c>
      <c r="DU7">
        <v>14</v>
      </c>
      <c r="DV7">
        <v>0</v>
      </c>
      <c r="DX7">
        <v>14</v>
      </c>
      <c r="DY7">
        <v>0</v>
      </c>
      <c r="DZ7" t="s">
        <v>246</v>
      </c>
      <c r="EA7" t="s">
        <v>775</v>
      </c>
    </row>
    <row r="8" spans="1:131" x14ac:dyDescent="0.4">
      <c r="A8" s="33">
        <v>43072.860763888886</v>
      </c>
      <c r="B8" s="24">
        <v>42935.387499999997</v>
      </c>
      <c r="D8" s="33"/>
      <c r="E8" s="33" t="s">
        <v>193</v>
      </c>
      <c r="F8" s="33" t="s">
        <v>191</v>
      </c>
      <c r="G8" s="33" t="s">
        <v>100</v>
      </c>
      <c r="H8" t="s">
        <v>279</v>
      </c>
      <c r="I8" t="s">
        <v>243</v>
      </c>
      <c r="J8" t="s">
        <v>558</v>
      </c>
      <c r="K8" t="s">
        <v>575</v>
      </c>
      <c r="L8" t="s">
        <v>557</v>
      </c>
      <c r="M8" s="29">
        <v>2.0299999999999998</v>
      </c>
      <c r="N8">
        <v>7.75</v>
      </c>
      <c r="P8" s="23" t="str">
        <f>IFERROR(MID(RADataTable[[#This Row],[RATemplate]],1,LEN(RADataTable[[#This Row],[RATemplate]])-8),"RA") &amp; " " &amp; RADataTable[[#This Row],[prop_id0]] &amp; " " &amp; RADataTable[[#This Row],[last0]]</f>
        <v>RA 1750140 Panigrahi</v>
      </c>
      <c r="T8">
        <v>4</v>
      </c>
      <c r="U8">
        <v>4</v>
      </c>
      <c r="V8" s="33">
        <v>43032.520138888889</v>
      </c>
      <c r="W8">
        <v>1</v>
      </c>
      <c r="X8" s="15" t="str">
        <f>HYPERLINK("https://www.ejacket.nsf.gov/ej/showProposal.do?Continue=Y&amp;ID="&amp;RADataTable[[#This Row],[prop_id0]],"eJ")</f>
        <v>eJ</v>
      </c>
      <c r="Y8" s="15" t="str">
        <f>HYPERLINK("mailto:"&amp;RADataTable[[#This Row],[email]]&amp;"&amp;subject=Your NSF Proposal:  "&amp;RADataTable[[#This Row],[Div]]&amp;" "&amp;RADataTable[[#This Row],[prop_id0]], RADataTable[[#This Row],[email]])</f>
        <v>debmalya.panigrahi@gmail.com</v>
      </c>
      <c r="Z8" s="15" t="str">
        <f>HYPERLINK("mailto:"&amp;RADataTable[[#This Row],[allPIemail]]&amp;"&amp;subject=NSF Proposal:  "&amp;RADataTable[[#This Row],[Div]]&amp;" "&amp;RADataTable[[#This Row],[prop_id0]], "PIs@")</f>
        <v>PIs@</v>
      </c>
      <c r="AA8" t="s">
        <v>245</v>
      </c>
      <c r="AB8" t="s">
        <v>520</v>
      </c>
      <c r="AC8" s="29" t="s">
        <v>641</v>
      </c>
      <c r="AD8" t="s">
        <v>642</v>
      </c>
      <c r="AE8" t="s">
        <v>643</v>
      </c>
      <c r="AF8" s="35">
        <v>602288</v>
      </c>
      <c r="AG8" s="35">
        <v>602288</v>
      </c>
      <c r="AH8" s="23"/>
      <c r="AJ8" s="33"/>
      <c r="AK8" t="s">
        <v>769</v>
      </c>
      <c r="AL8" t="s">
        <v>232</v>
      </c>
      <c r="AM8" s="33" t="s">
        <v>771</v>
      </c>
      <c r="AN8" s="33">
        <v>43032</v>
      </c>
      <c r="AO8" s="23">
        <v>3</v>
      </c>
      <c r="AP8" t="s">
        <v>295</v>
      </c>
      <c r="AR8" s="34"/>
      <c r="AS8"/>
      <c r="AT8" s="33"/>
      <c r="AV8" s="33"/>
      <c r="AX8" s="33"/>
      <c r="AY8"/>
      <c r="BA8" s="33"/>
      <c r="BB8"/>
      <c r="BC8" t="s">
        <v>646</v>
      </c>
      <c r="BD8" s="35">
        <v>602288</v>
      </c>
      <c r="BE8" s="35">
        <v>602288</v>
      </c>
      <c r="BF8">
        <v>0</v>
      </c>
      <c r="BG8" s="33">
        <v>43160</v>
      </c>
      <c r="BH8">
        <v>60</v>
      </c>
      <c r="BI8" t="s">
        <v>283</v>
      </c>
      <c r="BJ8" t="s">
        <v>774</v>
      </c>
      <c r="BK8" t="s">
        <v>780</v>
      </c>
      <c r="BL8" t="s">
        <v>194</v>
      </c>
      <c r="BM8" s="8" t="s">
        <v>192</v>
      </c>
      <c r="BN8" t="s">
        <v>189</v>
      </c>
      <c r="BO8" t="s">
        <v>190</v>
      </c>
      <c r="BP8" s="34" t="s">
        <v>564</v>
      </c>
      <c r="BQ8"/>
      <c r="BU8" s="34"/>
      <c r="BV8" s="34"/>
      <c r="BX8"/>
      <c r="CA8" s="34"/>
      <c r="CB8" s="34"/>
      <c r="CC8"/>
      <c r="CG8" s="34"/>
      <c r="CH8" s="34"/>
      <c r="CK8"/>
      <c r="CM8" s="34"/>
      <c r="CN8" s="34"/>
      <c r="CQ8"/>
      <c r="CS8" s="34"/>
      <c r="CT8" s="34"/>
      <c r="CX8"/>
      <c r="CZ8" s="34"/>
      <c r="DD8" s="33"/>
      <c r="DG8" t="s">
        <v>645</v>
      </c>
      <c r="DH8" t="s">
        <v>803</v>
      </c>
      <c r="DI8" t="s">
        <v>233</v>
      </c>
      <c r="DL8" t="s">
        <v>520</v>
      </c>
      <c r="DM8">
        <v>7</v>
      </c>
      <c r="DN8">
        <v>9</v>
      </c>
      <c r="DO8" t="s">
        <v>294</v>
      </c>
      <c r="DQ8" t="s">
        <v>773</v>
      </c>
      <c r="DR8">
        <v>14</v>
      </c>
      <c r="DS8">
        <v>2</v>
      </c>
      <c r="DU8">
        <v>14</v>
      </c>
      <c r="DV8">
        <v>2</v>
      </c>
      <c r="DX8">
        <v>14</v>
      </c>
      <c r="DY8">
        <v>2</v>
      </c>
      <c r="DZ8" t="s">
        <v>246</v>
      </c>
      <c r="EA8" t="s">
        <v>775</v>
      </c>
    </row>
    <row r="9" spans="1:131" x14ac:dyDescent="0.4">
      <c r="A9" s="33">
        <v>43072.860763888886</v>
      </c>
      <c r="B9" s="24">
        <v>42956.746527777781</v>
      </c>
      <c r="D9" s="33"/>
      <c r="E9" s="33" t="s">
        <v>193</v>
      </c>
      <c r="F9" s="33" t="s">
        <v>191</v>
      </c>
      <c r="G9" s="33" t="s">
        <v>100</v>
      </c>
      <c r="H9" t="s">
        <v>702</v>
      </c>
      <c r="I9" t="s">
        <v>243</v>
      </c>
      <c r="J9" t="s">
        <v>703</v>
      </c>
      <c r="K9" t="s">
        <v>575</v>
      </c>
      <c r="L9" t="s">
        <v>701</v>
      </c>
      <c r="M9" s="29">
        <v>2.0299999999999998</v>
      </c>
      <c r="N9">
        <v>6</v>
      </c>
      <c r="P9" s="23" t="str">
        <f>IFERROR(MID(RADataTable[[#This Row],[RATemplate]],1,LEN(RADataTable[[#This Row],[RATemplate]])-8),"RA") &amp; " " &amp; RADataTable[[#This Row],[prop_id0]] &amp; " " &amp; RADataTable[[#This Row],[last0]]</f>
        <v>RA 1756014 Chen</v>
      </c>
      <c r="T9">
        <v>3</v>
      </c>
      <c r="U9">
        <v>3</v>
      </c>
      <c r="V9" s="33">
        <v>43031.734027777777</v>
      </c>
      <c r="W9">
        <v>1</v>
      </c>
      <c r="X9" s="15" t="str">
        <f>HYPERLINK("https://www.ejacket.nsf.gov/ej/showProposal.do?Continue=Y&amp;ID="&amp;RADataTable[[#This Row],[prop_id0]],"eJ")</f>
        <v>eJ</v>
      </c>
      <c r="Y9" s="15" t="str">
        <f>HYPERLINK("mailto:"&amp;RADataTable[[#This Row],[email]]&amp;"&amp;subject=Your NSF Proposal:  "&amp;RADataTable[[#This Row],[Div]]&amp;" "&amp;RADataTable[[#This Row],[prop_id0]], RADataTable[[#This Row],[email]])</f>
        <v>lchen49@central.uh.edu</v>
      </c>
      <c r="Z9" s="15" t="str">
        <f>HYPERLINK("mailto:"&amp;RADataTable[[#This Row],[allPIemail]]&amp;"&amp;subject=NSF Proposal:  "&amp;RADataTable[[#This Row],[Div]]&amp;" "&amp;RADataTable[[#This Row],[prop_id0]], "PIs@")</f>
        <v>PIs@</v>
      </c>
      <c r="AA9" t="s">
        <v>245</v>
      </c>
      <c r="AB9" t="s">
        <v>537</v>
      </c>
      <c r="AC9" s="29" t="s">
        <v>289</v>
      </c>
      <c r="AD9" t="s">
        <v>748</v>
      </c>
      <c r="AE9" t="s">
        <v>749</v>
      </c>
      <c r="AF9" s="35">
        <v>148477</v>
      </c>
      <c r="AG9" s="35">
        <v>148477</v>
      </c>
      <c r="AH9" s="23"/>
      <c r="AJ9" s="33"/>
      <c r="AK9" t="s">
        <v>769</v>
      </c>
      <c r="AL9" t="s">
        <v>232</v>
      </c>
      <c r="AM9" s="33" t="s">
        <v>771</v>
      </c>
      <c r="AN9" s="33">
        <v>43032</v>
      </c>
      <c r="AO9" s="23">
        <v>3</v>
      </c>
      <c r="AP9" t="s">
        <v>835</v>
      </c>
      <c r="AR9" s="34"/>
      <c r="AS9"/>
      <c r="AT9" s="33"/>
      <c r="AV9" s="33"/>
      <c r="AX9" s="33"/>
      <c r="AY9"/>
      <c r="BA9" s="33"/>
      <c r="BB9"/>
      <c r="BC9" t="s">
        <v>752</v>
      </c>
      <c r="BD9" s="35">
        <v>148477</v>
      </c>
      <c r="BE9" s="35">
        <v>148477</v>
      </c>
      <c r="BF9">
        <v>0</v>
      </c>
      <c r="BG9" s="33">
        <v>43252</v>
      </c>
      <c r="BH9">
        <v>24</v>
      </c>
      <c r="BI9" t="s">
        <v>820</v>
      </c>
      <c r="BJ9" t="s">
        <v>821</v>
      </c>
      <c r="BK9" t="s">
        <v>780</v>
      </c>
      <c r="BL9" t="s">
        <v>194</v>
      </c>
      <c r="BM9" s="8" t="s">
        <v>192</v>
      </c>
      <c r="BN9" t="s">
        <v>189</v>
      </c>
      <c r="BO9" t="s">
        <v>190</v>
      </c>
      <c r="BP9" s="34" t="s">
        <v>707</v>
      </c>
      <c r="BQ9"/>
      <c r="BU9" s="34"/>
      <c r="BV9" s="34"/>
      <c r="BX9"/>
      <c r="CA9" s="34"/>
      <c r="CB9" s="34"/>
      <c r="CC9"/>
      <c r="CG9" s="34"/>
      <c r="CH9" s="34"/>
      <c r="CK9"/>
      <c r="CM9" s="34"/>
      <c r="CN9" s="34"/>
      <c r="CQ9"/>
      <c r="CS9" s="34"/>
      <c r="CT9" s="34"/>
      <c r="CX9"/>
      <c r="CZ9" s="34"/>
      <c r="DD9" s="33"/>
      <c r="DG9" t="s">
        <v>750</v>
      </c>
      <c r="DH9" t="s">
        <v>836</v>
      </c>
      <c r="DI9" t="s">
        <v>233</v>
      </c>
      <c r="DL9" t="s">
        <v>537</v>
      </c>
      <c r="DM9">
        <v>5</v>
      </c>
      <c r="DN9">
        <v>7</v>
      </c>
      <c r="DO9" t="s">
        <v>751</v>
      </c>
      <c r="DQ9" t="s">
        <v>773</v>
      </c>
      <c r="DR9">
        <v>14</v>
      </c>
      <c r="DS9">
        <v>0</v>
      </c>
      <c r="DU9">
        <v>14</v>
      </c>
      <c r="DV9">
        <v>0</v>
      </c>
      <c r="DX9">
        <v>14</v>
      </c>
      <c r="DY9">
        <v>0</v>
      </c>
      <c r="DZ9" t="s">
        <v>246</v>
      </c>
      <c r="EA9" t="s">
        <v>775</v>
      </c>
    </row>
    <row r="10" spans="1:131" x14ac:dyDescent="0.4">
      <c r="A10" s="33">
        <v>43072.860763888886</v>
      </c>
      <c r="B10" s="24">
        <v>42935.374305555553</v>
      </c>
      <c r="D10" s="33"/>
      <c r="E10" s="33" t="s">
        <v>193</v>
      </c>
      <c r="F10" s="33" t="s">
        <v>191</v>
      </c>
      <c r="G10" s="33" t="s">
        <v>100</v>
      </c>
      <c r="H10" t="s">
        <v>279</v>
      </c>
      <c r="I10" t="s">
        <v>243</v>
      </c>
      <c r="J10" t="s">
        <v>558</v>
      </c>
      <c r="K10" t="s">
        <v>575</v>
      </c>
      <c r="L10" t="s">
        <v>557</v>
      </c>
      <c r="M10" s="29">
        <v>2.0499999999999998</v>
      </c>
      <c r="N10">
        <v>7</v>
      </c>
      <c r="P10" s="23" t="str">
        <f>IFERROR(MID(RADataTable[[#This Row],[RATemplate]],1,LEN(RADataTable[[#This Row],[RATemplate]])-8),"RA") &amp; " " &amp; RADataTable[[#This Row],[prop_id0]] &amp; " " &amp; RADataTable[[#This Row],[last0]]</f>
        <v>RA 1750127 Nagarajan</v>
      </c>
      <c r="T10">
        <v>4</v>
      </c>
      <c r="U10">
        <v>4</v>
      </c>
      <c r="V10" s="33">
        <v>43032.519444444442</v>
      </c>
      <c r="W10">
        <v>1</v>
      </c>
      <c r="X10" s="15" t="str">
        <f>HYPERLINK("https://www.ejacket.nsf.gov/ej/showProposal.do?Continue=Y&amp;ID="&amp;RADataTable[[#This Row],[prop_id0]],"eJ")</f>
        <v>eJ</v>
      </c>
      <c r="Y10" s="15" t="str">
        <f>HYPERLINK("mailto:"&amp;RADataTable[[#This Row],[email]]&amp;"&amp;subject=Your NSF Proposal:  "&amp;RADataTable[[#This Row],[Div]]&amp;" "&amp;RADataTable[[#This Row],[prop_id0]], RADataTable[[#This Row],[email]])</f>
        <v>viswa@umich.edu</v>
      </c>
      <c r="Z10" s="15" t="str">
        <f>HYPERLINK("mailto:"&amp;RADataTable[[#This Row],[allPIemail]]&amp;"&amp;subject=NSF Proposal:  "&amp;RADataTable[[#This Row],[Div]]&amp;" "&amp;RADataTable[[#This Row],[prop_id0]], "PIs@")</f>
        <v>PIs@</v>
      </c>
      <c r="AA10" t="s">
        <v>245</v>
      </c>
      <c r="AB10" t="s">
        <v>519</v>
      </c>
      <c r="AC10" s="29" t="s">
        <v>634</v>
      </c>
      <c r="AD10" t="s">
        <v>635</v>
      </c>
      <c r="AE10" t="s">
        <v>636</v>
      </c>
      <c r="AF10" s="35">
        <v>524840</v>
      </c>
      <c r="AG10" s="35">
        <v>524840</v>
      </c>
      <c r="AH10" s="23"/>
      <c r="AJ10" s="33"/>
      <c r="AK10" t="s">
        <v>769</v>
      </c>
      <c r="AL10" t="s">
        <v>232</v>
      </c>
      <c r="AM10" s="33" t="s">
        <v>771</v>
      </c>
      <c r="AN10" s="33">
        <v>43032</v>
      </c>
      <c r="AO10" s="23">
        <v>5</v>
      </c>
      <c r="AP10" t="s">
        <v>801</v>
      </c>
      <c r="AR10" s="34"/>
      <c r="AS10"/>
      <c r="AT10" s="33"/>
      <c r="AV10" s="33"/>
      <c r="AX10" s="33"/>
      <c r="AY10"/>
      <c r="BA10" s="33"/>
      <c r="BB10"/>
      <c r="BC10" t="s">
        <v>640</v>
      </c>
      <c r="BD10" s="35">
        <v>524840</v>
      </c>
      <c r="BE10" s="35">
        <v>524840</v>
      </c>
      <c r="BF10">
        <v>0</v>
      </c>
      <c r="BG10" s="33">
        <v>43221</v>
      </c>
      <c r="BH10">
        <v>60</v>
      </c>
      <c r="BI10" t="s">
        <v>283</v>
      </c>
      <c r="BJ10" t="s">
        <v>774</v>
      </c>
      <c r="BK10" t="s">
        <v>780</v>
      </c>
      <c r="BL10" t="s">
        <v>194</v>
      </c>
      <c r="BM10" s="8" t="s">
        <v>192</v>
      </c>
      <c r="BN10" t="s">
        <v>189</v>
      </c>
      <c r="BO10" t="s">
        <v>190</v>
      </c>
      <c r="BP10" s="34" t="s">
        <v>288</v>
      </c>
      <c r="BQ10"/>
      <c r="BU10" s="34"/>
      <c r="BV10" s="34"/>
      <c r="BX10"/>
      <c r="CA10" s="34"/>
      <c r="CB10" s="34"/>
      <c r="CC10"/>
      <c r="CG10" s="34"/>
      <c r="CH10" s="34"/>
      <c r="CK10"/>
      <c r="CM10" s="34"/>
      <c r="CN10" s="34"/>
      <c r="CQ10"/>
      <c r="CS10" s="34"/>
      <c r="CT10" s="34"/>
      <c r="CX10"/>
      <c r="CZ10" s="34"/>
      <c r="DD10" s="33"/>
      <c r="DG10" t="s">
        <v>638</v>
      </c>
      <c r="DH10" t="s">
        <v>802</v>
      </c>
      <c r="DI10" t="s">
        <v>233</v>
      </c>
      <c r="DL10" t="s">
        <v>519</v>
      </c>
      <c r="DM10">
        <v>5</v>
      </c>
      <c r="DN10">
        <v>9</v>
      </c>
      <c r="DO10" t="s">
        <v>639</v>
      </c>
      <c r="DQ10" t="s">
        <v>773</v>
      </c>
      <c r="DR10">
        <v>14</v>
      </c>
      <c r="DS10">
        <v>0</v>
      </c>
      <c r="DU10">
        <v>14</v>
      </c>
      <c r="DV10">
        <v>0</v>
      </c>
      <c r="DX10">
        <v>14</v>
      </c>
      <c r="DY10">
        <v>0</v>
      </c>
      <c r="DZ10" t="s">
        <v>246</v>
      </c>
      <c r="EA10" t="s">
        <v>775</v>
      </c>
    </row>
    <row r="11" spans="1:131" x14ac:dyDescent="0.4">
      <c r="A11" s="33">
        <v>43072.860763888886</v>
      </c>
      <c r="B11" s="24">
        <v>42934.524305555555</v>
      </c>
      <c r="D11" s="33"/>
      <c r="E11" s="33" t="s">
        <v>193</v>
      </c>
      <c r="F11" s="33" t="s">
        <v>191</v>
      </c>
      <c r="G11" s="33" t="s">
        <v>100</v>
      </c>
      <c r="H11" t="s">
        <v>279</v>
      </c>
      <c r="I11" t="s">
        <v>243</v>
      </c>
      <c r="J11" t="s">
        <v>558</v>
      </c>
      <c r="K11" t="s">
        <v>604</v>
      </c>
      <c r="L11" t="s">
        <v>557</v>
      </c>
      <c r="M11" s="29">
        <v>2.06</v>
      </c>
      <c r="N11">
        <v>6.75</v>
      </c>
      <c r="P11" s="23" t="str">
        <f>IFERROR(MID(RADataTable[[#This Row],[RATemplate]],1,LEN(RADataTable[[#This Row],[RATemplate]])-8),"RA") &amp; " " &amp; RADataTable[[#This Row],[prop_id0]] &amp; " " &amp; RADataTable[[#This Row],[last0]]</f>
        <v>RA 1749748 Chandrasekaran</v>
      </c>
      <c r="T11">
        <v>4</v>
      </c>
      <c r="U11">
        <v>4</v>
      </c>
      <c r="V11" s="33">
        <v>43030.722916666666</v>
      </c>
      <c r="W11">
        <v>1</v>
      </c>
      <c r="X11" s="15" t="str">
        <f>HYPERLINK("https://www.ejacket.nsf.gov/ej/showProposal.do?Continue=Y&amp;ID="&amp;RADataTable[[#This Row],[prop_id0]],"eJ")</f>
        <v>eJ</v>
      </c>
      <c r="Y11" s="15" t="str">
        <f>HYPERLINK("mailto:"&amp;RADataTable[[#This Row],[email]]&amp;"&amp;subject=Your NSF Proposal:  "&amp;RADataTable[[#This Row],[Div]]&amp;" "&amp;RADataTable[[#This Row],[prop_id0]], RADataTable[[#This Row],[email]])</f>
        <v>karthe@illinois.edu</v>
      </c>
      <c r="Z11" s="15" t="str">
        <f>HYPERLINK("mailto:"&amp;RADataTable[[#This Row],[allPIemail]]&amp;"&amp;subject=NSF Proposal:  "&amp;RADataTable[[#This Row],[Div]]&amp;" "&amp;RADataTable[[#This Row],[prop_id0]], "PIs@")</f>
        <v>PIs@</v>
      </c>
      <c r="AA11" t="s">
        <v>245</v>
      </c>
      <c r="AB11" t="s">
        <v>514</v>
      </c>
      <c r="AC11" s="29" t="s">
        <v>605</v>
      </c>
      <c r="AD11" t="s">
        <v>606</v>
      </c>
      <c r="AE11" t="s">
        <v>607</v>
      </c>
      <c r="AF11" s="35">
        <v>446040</v>
      </c>
      <c r="AG11" s="35">
        <v>446040</v>
      </c>
      <c r="AH11" s="23"/>
      <c r="AJ11" s="33"/>
      <c r="AK11" t="s">
        <v>769</v>
      </c>
      <c r="AL11" t="s">
        <v>232</v>
      </c>
      <c r="AM11" s="33" t="s">
        <v>771</v>
      </c>
      <c r="AN11" s="33">
        <v>43032</v>
      </c>
      <c r="AO11" s="23">
        <v>6</v>
      </c>
      <c r="AP11" t="s">
        <v>790</v>
      </c>
      <c r="AR11" s="34"/>
      <c r="AS11"/>
      <c r="AT11" s="33"/>
      <c r="AV11" s="33"/>
      <c r="AX11" s="33"/>
      <c r="AY11"/>
      <c r="BA11" s="33"/>
      <c r="BB11"/>
      <c r="BC11" t="s">
        <v>611</v>
      </c>
      <c r="BD11" s="35">
        <v>446040</v>
      </c>
      <c r="BE11" s="35">
        <v>446040</v>
      </c>
      <c r="BF11">
        <v>0</v>
      </c>
      <c r="BG11" s="33">
        <v>43115</v>
      </c>
      <c r="BH11">
        <v>60</v>
      </c>
      <c r="BI11" t="s">
        <v>283</v>
      </c>
      <c r="BJ11" t="s">
        <v>774</v>
      </c>
      <c r="BK11" t="s">
        <v>791</v>
      </c>
      <c r="BL11" t="s">
        <v>194</v>
      </c>
      <c r="BM11" s="8" t="s">
        <v>192</v>
      </c>
      <c r="BN11" t="s">
        <v>189</v>
      </c>
      <c r="BO11" t="s">
        <v>190</v>
      </c>
      <c r="BP11" s="34" t="s">
        <v>564</v>
      </c>
      <c r="BQ11"/>
      <c r="BU11" s="34"/>
      <c r="BV11" s="34"/>
      <c r="BX11"/>
      <c r="CA11" s="34"/>
      <c r="CB11" s="34"/>
      <c r="CC11"/>
      <c r="CG11" s="34"/>
      <c r="CH11" s="34"/>
      <c r="CK11"/>
      <c r="CM11" s="34"/>
      <c r="CN11" s="34"/>
      <c r="CQ11"/>
      <c r="CS11" s="34"/>
      <c r="CT11" s="34"/>
      <c r="CX11"/>
      <c r="CZ11" s="34"/>
      <c r="DD11" s="33"/>
      <c r="DG11" t="s">
        <v>609</v>
      </c>
      <c r="DH11" t="s">
        <v>792</v>
      </c>
      <c r="DI11" t="s">
        <v>233</v>
      </c>
      <c r="DL11" t="s">
        <v>514</v>
      </c>
      <c r="DM11">
        <v>5</v>
      </c>
      <c r="DN11">
        <v>8</v>
      </c>
      <c r="DO11" t="s">
        <v>610</v>
      </c>
      <c r="DQ11" t="s">
        <v>773</v>
      </c>
      <c r="DR11">
        <v>14</v>
      </c>
      <c r="DS11">
        <v>2</v>
      </c>
      <c r="DU11">
        <v>14</v>
      </c>
      <c r="DV11">
        <v>2</v>
      </c>
      <c r="DX11">
        <v>14</v>
      </c>
      <c r="DY11">
        <v>2</v>
      </c>
      <c r="DZ11" t="s">
        <v>246</v>
      </c>
      <c r="EA11" t="s">
        <v>775</v>
      </c>
    </row>
    <row r="12" spans="1:131" x14ac:dyDescent="0.4">
      <c r="A12" s="33">
        <v>43072.860763888886</v>
      </c>
      <c r="B12" s="24">
        <v>42934.507638888892</v>
      </c>
      <c r="D12" s="33"/>
      <c r="E12" s="33" t="s">
        <v>193</v>
      </c>
      <c r="F12" s="33" t="s">
        <v>191</v>
      </c>
      <c r="G12" s="33" t="s">
        <v>100</v>
      </c>
      <c r="H12" t="s">
        <v>279</v>
      </c>
      <c r="I12" t="s">
        <v>243</v>
      </c>
      <c r="J12" t="s">
        <v>558</v>
      </c>
      <c r="K12" t="s">
        <v>575</v>
      </c>
      <c r="L12" t="s">
        <v>557</v>
      </c>
      <c r="M12" s="29">
        <v>2.0699999999999998</v>
      </c>
      <c r="N12">
        <v>7.5</v>
      </c>
      <c r="P12" s="23" t="str">
        <f>IFERROR(MID(RADataTable[[#This Row],[RATemplate]],1,LEN(RADataTable[[#This Row],[RATemplate]])-8),"RA") &amp; " " &amp; RADataTable[[#This Row],[prop_id0]] &amp; " " &amp; RADataTable[[#This Row],[last0]]</f>
        <v>RA 1749734 Sidford</v>
      </c>
      <c r="T12">
        <v>4</v>
      </c>
      <c r="U12">
        <v>4</v>
      </c>
      <c r="V12" s="33">
        <v>43032.515277777777</v>
      </c>
      <c r="W12">
        <v>1</v>
      </c>
      <c r="X12" s="15" t="str">
        <f>HYPERLINK("https://www.ejacket.nsf.gov/ej/showProposal.do?Continue=Y&amp;ID="&amp;RADataTable[[#This Row],[prop_id0]],"eJ")</f>
        <v>eJ</v>
      </c>
      <c r="Y12" s="15" t="str">
        <f>HYPERLINK("mailto:"&amp;RADataTable[[#This Row],[email]]&amp;"&amp;subject=Your NSF Proposal:  "&amp;RADataTable[[#This Row],[Div]]&amp;" "&amp;RADataTable[[#This Row],[prop_id0]], RADataTable[[#This Row],[email]])</f>
        <v>sidford@stanford.edu</v>
      </c>
      <c r="Z12" s="15" t="str">
        <f>HYPERLINK("mailto:"&amp;RADataTable[[#This Row],[allPIemail]]&amp;"&amp;subject=NSF Proposal:  "&amp;RADataTable[[#This Row],[Div]]&amp;" "&amp;RADataTable[[#This Row],[prop_id0]], "PIs@")</f>
        <v>PIs@</v>
      </c>
      <c r="AA12" t="s">
        <v>245</v>
      </c>
      <c r="AB12" t="s">
        <v>513</v>
      </c>
      <c r="AC12" s="29" t="s">
        <v>598</v>
      </c>
      <c r="AD12" t="s">
        <v>599</v>
      </c>
      <c r="AE12" t="s">
        <v>600</v>
      </c>
      <c r="AF12" s="35">
        <v>500000</v>
      </c>
      <c r="AG12" s="35">
        <v>500000</v>
      </c>
      <c r="AH12" s="23"/>
      <c r="AJ12" s="33"/>
      <c r="AK12" t="s">
        <v>769</v>
      </c>
      <c r="AL12" t="s">
        <v>232</v>
      </c>
      <c r="AM12" s="33" t="s">
        <v>771</v>
      </c>
      <c r="AN12" s="33">
        <v>43032</v>
      </c>
      <c r="AO12" s="23">
        <v>7</v>
      </c>
      <c r="AP12" t="s">
        <v>788</v>
      </c>
      <c r="AR12" s="34"/>
      <c r="AS12"/>
      <c r="AT12" s="33"/>
      <c r="AV12" s="33"/>
      <c r="AX12" s="33"/>
      <c r="AY12"/>
      <c r="BA12" s="33"/>
      <c r="BB12"/>
      <c r="BC12" t="s">
        <v>603</v>
      </c>
      <c r="BD12" s="35">
        <v>500000</v>
      </c>
      <c r="BE12" s="35">
        <v>500000</v>
      </c>
      <c r="BF12">
        <v>0</v>
      </c>
      <c r="BG12" s="33">
        <v>43009</v>
      </c>
      <c r="BH12">
        <v>60</v>
      </c>
      <c r="BI12" t="s">
        <v>283</v>
      </c>
      <c r="BJ12" t="s">
        <v>774</v>
      </c>
      <c r="BK12" t="s">
        <v>780</v>
      </c>
      <c r="BL12" t="s">
        <v>194</v>
      </c>
      <c r="BM12" s="8" t="s">
        <v>192</v>
      </c>
      <c r="BN12" t="s">
        <v>189</v>
      </c>
      <c r="BO12" t="s">
        <v>190</v>
      </c>
      <c r="BP12" s="34" t="s">
        <v>288</v>
      </c>
      <c r="BQ12"/>
      <c r="BU12" s="34"/>
      <c r="BV12" s="34"/>
      <c r="BX12"/>
      <c r="CA12" s="34"/>
      <c r="CB12" s="34"/>
      <c r="CC12"/>
      <c r="CG12" s="34"/>
      <c r="CH12" s="34"/>
      <c r="CK12"/>
      <c r="CM12" s="34"/>
      <c r="CN12" s="34"/>
      <c r="CQ12"/>
      <c r="CS12" s="34"/>
      <c r="CT12" s="34"/>
      <c r="CX12"/>
      <c r="CZ12" s="34"/>
      <c r="DD12" s="33"/>
      <c r="DG12" t="s">
        <v>601</v>
      </c>
      <c r="DH12" t="s">
        <v>789</v>
      </c>
      <c r="DI12" t="s">
        <v>233</v>
      </c>
      <c r="DL12" t="s">
        <v>513</v>
      </c>
      <c r="DM12">
        <v>7</v>
      </c>
      <c r="DN12">
        <v>9</v>
      </c>
      <c r="DO12" t="s">
        <v>602</v>
      </c>
      <c r="DQ12" t="s">
        <v>773</v>
      </c>
      <c r="DR12">
        <v>14</v>
      </c>
      <c r="DS12">
        <v>1</v>
      </c>
      <c r="DU12">
        <v>14</v>
      </c>
      <c r="DV12">
        <v>1</v>
      </c>
      <c r="DX12">
        <v>14</v>
      </c>
      <c r="DY12">
        <v>1</v>
      </c>
      <c r="DZ12" t="s">
        <v>246</v>
      </c>
      <c r="EA12" t="s">
        <v>775</v>
      </c>
    </row>
    <row r="13" spans="1:131" x14ac:dyDescent="0.4">
      <c r="A13" s="33">
        <v>43072.860763888886</v>
      </c>
      <c r="B13" s="24">
        <v>42935.633333333331</v>
      </c>
      <c r="D13" s="33"/>
      <c r="E13" s="33" t="s">
        <v>193</v>
      </c>
      <c r="F13" s="33" t="s">
        <v>191</v>
      </c>
      <c r="G13" s="33" t="s">
        <v>100</v>
      </c>
      <c r="H13" t="s">
        <v>279</v>
      </c>
      <c r="I13" t="s">
        <v>243</v>
      </c>
      <c r="J13" t="s">
        <v>558</v>
      </c>
      <c r="K13" t="s">
        <v>559</v>
      </c>
      <c r="L13" t="s">
        <v>557</v>
      </c>
      <c r="M13" s="29">
        <v>2.0699999999999998</v>
      </c>
      <c r="N13">
        <v>7.5</v>
      </c>
      <c r="P13" s="23" t="str">
        <f>IFERROR(MID(RADataTable[[#This Row],[RATemplate]],1,LEN(RADataTable[[#This Row],[RATemplate]])-8),"RA") &amp; " " &amp; RADataTable[[#This Row],[prop_id0]] &amp; " " &amp; RADataTable[[#This Row],[last0]]</f>
        <v>RA 1750780 Raichel</v>
      </c>
      <c r="T13">
        <v>4</v>
      </c>
      <c r="U13">
        <v>4</v>
      </c>
      <c r="V13" s="33">
        <v>43030.181250000001</v>
      </c>
      <c r="W13">
        <v>1</v>
      </c>
      <c r="X13" s="15" t="str">
        <f>HYPERLINK("https://www.ejacket.nsf.gov/ej/showProposal.do?Continue=Y&amp;ID="&amp;RADataTable[[#This Row],[prop_id0]],"eJ")</f>
        <v>eJ</v>
      </c>
      <c r="Y13" s="15" t="str">
        <f>HYPERLINK("mailto:"&amp;RADataTable[[#This Row],[email]]&amp;"&amp;subject=Your NSF Proposal:  "&amp;RADataTable[[#This Row],[Div]]&amp;" "&amp;RADataTable[[#This Row],[prop_id0]], RADataTable[[#This Row],[email]])</f>
        <v>Benjamin.Raichel@utdallas.edu</v>
      </c>
      <c r="Z13" s="15" t="str">
        <f>HYPERLINK("mailto:"&amp;RADataTable[[#This Row],[allPIemail]]&amp;"&amp;subject=NSF Proposal:  "&amp;RADataTable[[#This Row],[Div]]&amp;" "&amp;RADataTable[[#This Row],[prop_id0]], "PIs@")</f>
        <v>PIs@</v>
      </c>
      <c r="AA13" t="s">
        <v>245</v>
      </c>
      <c r="AB13" t="s">
        <v>524</v>
      </c>
      <c r="AC13" s="29" t="s">
        <v>665</v>
      </c>
      <c r="AD13" t="s">
        <v>285</v>
      </c>
      <c r="AE13" t="s">
        <v>666</v>
      </c>
      <c r="AF13" s="35">
        <v>582785</v>
      </c>
      <c r="AG13" s="35">
        <v>582785</v>
      </c>
      <c r="AH13" s="23"/>
      <c r="AJ13" s="33"/>
      <c r="AK13" t="s">
        <v>769</v>
      </c>
      <c r="AL13" t="s">
        <v>232</v>
      </c>
      <c r="AM13" t="s">
        <v>771</v>
      </c>
      <c r="AN13" s="33">
        <v>43032</v>
      </c>
      <c r="AO13" s="23">
        <v>7</v>
      </c>
      <c r="AP13" t="s">
        <v>788</v>
      </c>
      <c r="AR13" s="34"/>
      <c r="AS13"/>
      <c r="AT13" s="33"/>
      <c r="AV13" s="33"/>
      <c r="AX13" s="33"/>
      <c r="AY13"/>
      <c r="BA13" s="33"/>
      <c r="BB13"/>
      <c r="BC13" t="s">
        <v>669</v>
      </c>
      <c r="BD13" s="35">
        <v>582785</v>
      </c>
      <c r="BE13" s="35">
        <v>582785</v>
      </c>
      <c r="BF13">
        <v>0</v>
      </c>
      <c r="BG13" s="33">
        <v>43344</v>
      </c>
      <c r="BH13">
        <v>60</v>
      </c>
      <c r="BI13" t="s">
        <v>283</v>
      </c>
      <c r="BJ13" t="s">
        <v>774</v>
      </c>
      <c r="BK13" t="s">
        <v>234</v>
      </c>
      <c r="BL13" t="s">
        <v>194</v>
      </c>
      <c r="BM13" s="8" t="s">
        <v>192</v>
      </c>
      <c r="BN13" t="s">
        <v>189</v>
      </c>
      <c r="BO13" t="s">
        <v>190</v>
      </c>
      <c r="BP13" s="34" t="s">
        <v>572</v>
      </c>
      <c r="BQ13"/>
      <c r="BU13" s="34"/>
      <c r="BV13" s="34"/>
      <c r="BX13"/>
      <c r="CA13" s="34"/>
      <c r="CB13" s="34"/>
      <c r="CC13"/>
      <c r="CG13" s="34"/>
      <c r="CH13" s="34"/>
      <c r="CK13"/>
      <c r="CM13" s="34"/>
      <c r="CN13" s="34"/>
      <c r="CQ13"/>
      <c r="CS13" s="34"/>
      <c r="CT13" s="34"/>
      <c r="CX13"/>
      <c r="CZ13" s="34"/>
      <c r="DD13" s="33"/>
      <c r="DG13" t="s">
        <v>668</v>
      </c>
      <c r="DH13" t="s">
        <v>810</v>
      </c>
      <c r="DI13" t="s">
        <v>233</v>
      </c>
      <c r="DL13" t="s">
        <v>524</v>
      </c>
      <c r="DM13">
        <v>7</v>
      </c>
      <c r="DN13">
        <v>9</v>
      </c>
      <c r="DO13" t="s">
        <v>602</v>
      </c>
      <c r="DQ13" t="s">
        <v>773</v>
      </c>
      <c r="DR13">
        <v>14</v>
      </c>
      <c r="DS13">
        <v>1</v>
      </c>
      <c r="DU13">
        <v>14</v>
      </c>
      <c r="DV13">
        <v>1</v>
      </c>
      <c r="DX13">
        <v>14</v>
      </c>
      <c r="DY13">
        <v>1</v>
      </c>
      <c r="DZ13" t="s">
        <v>246</v>
      </c>
      <c r="EA13" t="s">
        <v>775</v>
      </c>
    </row>
    <row r="14" spans="1:131" x14ac:dyDescent="0.4">
      <c r="A14" s="33">
        <v>43072.860763888886</v>
      </c>
      <c r="B14" s="24">
        <v>42935.723611111112</v>
      </c>
      <c r="D14" s="33"/>
      <c r="E14" s="33" t="s">
        <v>193</v>
      </c>
      <c r="F14" s="33" t="s">
        <v>191</v>
      </c>
      <c r="G14" s="33" t="s">
        <v>100</v>
      </c>
      <c r="H14" t="s">
        <v>279</v>
      </c>
      <c r="I14" t="s">
        <v>243</v>
      </c>
      <c r="J14" t="s">
        <v>558</v>
      </c>
      <c r="K14" t="s">
        <v>604</v>
      </c>
      <c r="L14" t="s">
        <v>557</v>
      </c>
      <c r="M14" s="29">
        <v>2.09</v>
      </c>
      <c r="N14">
        <v>6.5</v>
      </c>
      <c r="P14" s="23" t="str">
        <f>IFERROR(MID(RADataTable[[#This Row],[RATemplate]],1,LEN(RADataTable[[#This Row],[RATemplate]])-8),"RA") &amp; " " &amp; RADataTable[[#This Row],[prop_id0]] &amp; " " &amp; RADataTable[[#This Row],[last0]]</f>
        <v>RA 1751254 Fasy</v>
      </c>
      <c r="T14">
        <v>4</v>
      </c>
      <c r="U14">
        <v>4</v>
      </c>
      <c r="V14" s="33">
        <v>43031.43472222222</v>
      </c>
      <c r="W14">
        <v>1</v>
      </c>
      <c r="X14" s="15" t="str">
        <f>HYPERLINK("https://www.ejacket.nsf.gov/ej/showProposal.do?Continue=Y&amp;ID="&amp;RADataTable[[#This Row],[prop_id0]],"eJ")</f>
        <v>eJ</v>
      </c>
      <c r="Y14" s="15" t="str">
        <f>HYPERLINK("mailto:"&amp;RADataTable[[#This Row],[email]]&amp;"&amp;subject=Your NSF Proposal:  "&amp;RADataTable[[#This Row],[Div]]&amp;" "&amp;RADataTable[[#This Row],[prop_id0]], RADataTable[[#This Row],[email]])</f>
        <v>brittany@cs.montana.edu</v>
      </c>
      <c r="Z14" s="15" t="str">
        <f>HYPERLINK("mailto:"&amp;RADataTable[[#This Row],[allPIemail]]&amp;"&amp;subject=NSF Proposal:  "&amp;RADataTable[[#This Row],[Div]]&amp;" "&amp;RADataTable[[#This Row],[prop_id0]], "PIs@")</f>
        <v>PIs@</v>
      </c>
      <c r="AA14" t="s">
        <v>245</v>
      </c>
      <c r="AB14" t="s">
        <v>528</v>
      </c>
      <c r="AC14" s="29" t="s">
        <v>688</v>
      </c>
      <c r="AD14" t="s">
        <v>689</v>
      </c>
      <c r="AE14" t="s">
        <v>690</v>
      </c>
      <c r="AF14" s="35">
        <v>552355</v>
      </c>
      <c r="AG14" s="35">
        <v>552355</v>
      </c>
      <c r="AH14" s="23"/>
      <c r="AJ14" s="33"/>
      <c r="AK14" t="s">
        <v>769</v>
      </c>
      <c r="AL14" t="s">
        <v>232</v>
      </c>
      <c r="AM14" s="33" t="s">
        <v>771</v>
      </c>
      <c r="AN14" s="33">
        <v>43032</v>
      </c>
      <c r="AO14" s="23">
        <v>9</v>
      </c>
      <c r="AP14" t="s">
        <v>786</v>
      </c>
      <c r="AR14" s="34"/>
      <c r="AS14"/>
      <c r="AT14" s="33"/>
      <c r="AV14" s="33"/>
      <c r="AX14" s="33"/>
      <c r="AY14"/>
      <c r="BA14" s="33"/>
      <c r="BB14"/>
      <c r="BC14" t="s">
        <v>693</v>
      </c>
      <c r="BD14" s="35">
        <v>552355</v>
      </c>
      <c r="BE14" s="35">
        <v>552355</v>
      </c>
      <c r="BF14">
        <v>0</v>
      </c>
      <c r="BG14" s="33">
        <v>43344</v>
      </c>
      <c r="BH14">
        <v>60</v>
      </c>
      <c r="BI14" t="s">
        <v>283</v>
      </c>
      <c r="BJ14" t="s">
        <v>774</v>
      </c>
      <c r="BK14" t="s">
        <v>791</v>
      </c>
      <c r="BL14" t="s">
        <v>194</v>
      </c>
      <c r="BM14" s="8" t="s">
        <v>192</v>
      </c>
      <c r="BN14" t="s">
        <v>189</v>
      </c>
      <c r="BO14" t="s">
        <v>190</v>
      </c>
      <c r="BP14" s="34" t="s">
        <v>692</v>
      </c>
      <c r="BQ14"/>
      <c r="BU14" s="34"/>
      <c r="BV14" s="34"/>
      <c r="BX14"/>
      <c r="CA14" s="34"/>
      <c r="CB14" s="34"/>
      <c r="CC14"/>
      <c r="CG14" s="34"/>
      <c r="CH14" s="34"/>
      <c r="CK14"/>
      <c r="CM14" s="34"/>
      <c r="CN14" s="34"/>
      <c r="CQ14"/>
      <c r="CS14" s="34"/>
      <c r="CT14" s="34"/>
      <c r="CX14"/>
      <c r="CZ14" s="34"/>
      <c r="DD14" s="33"/>
      <c r="DG14" t="s">
        <v>691</v>
      </c>
      <c r="DH14" t="s">
        <v>816</v>
      </c>
      <c r="DI14" t="s">
        <v>233</v>
      </c>
      <c r="DL14" t="s">
        <v>528</v>
      </c>
      <c r="DM14">
        <v>5</v>
      </c>
      <c r="DN14">
        <v>7</v>
      </c>
      <c r="DO14" t="s">
        <v>596</v>
      </c>
      <c r="DQ14" t="s">
        <v>773</v>
      </c>
      <c r="DR14">
        <v>14</v>
      </c>
      <c r="DS14">
        <v>0</v>
      </c>
      <c r="DU14">
        <v>14</v>
      </c>
      <c r="DV14">
        <v>0</v>
      </c>
      <c r="DX14">
        <v>14</v>
      </c>
      <c r="DY14">
        <v>0</v>
      </c>
      <c r="DZ14" t="s">
        <v>246</v>
      </c>
      <c r="EA14" t="s">
        <v>775</v>
      </c>
    </row>
    <row r="15" spans="1:131" x14ac:dyDescent="0.4">
      <c r="A15" s="33">
        <v>43072.860763888886</v>
      </c>
      <c r="B15" s="24">
        <v>42934.453472222223</v>
      </c>
      <c r="D15" s="33"/>
      <c r="E15" s="33" t="s">
        <v>193</v>
      </c>
      <c r="F15" s="33" t="s">
        <v>191</v>
      </c>
      <c r="G15" s="33" t="s">
        <v>100</v>
      </c>
      <c r="H15" t="s">
        <v>279</v>
      </c>
      <c r="I15" t="s">
        <v>243</v>
      </c>
      <c r="J15" t="s">
        <v>558</v>
      </c>
      <c r="K15" t="s">
        <v>575</v>
      </c>
      <c r="L15" t="s">
        <v>557</v>
      </c>
      <c r="M15" s="29">
        <v>2.1</v>
      </c>
      <c r="N15">
        <v>6.5</v>
      </c>
      <c r="P15" s="23" t="str">
        <f>IFERROR(MID(RADataTable[[#This Row],[RATemplate]],1,LEN(RADataTable[[#This Row],[RATemplate]])-8),"RA") &amp; " " &amp; RADataTable[[#This Row],[prop_id0]] &amp; " " &amp; RADataTable[[#This Row],[last0]]</f>
        <v>RA 1749678 Im</v>
      </c>
      <c r="T15">
        <v>4</v>
      </c>
      <c r="U15">
        <v>4</v>
      </c>
      <c r="V15" s="33">
        <v>43032.518055555556</v>
      </c>
      <c r="W15">
        <v>1</v>
      </c>
      <c r="X15" s="15" t="str">
        <f>HYPERLINK("https://www.ejacket.nsf.gov/ej/showProposal.do?Continue=Y&amp;ID="&amp;RADataTable[[#This Row],[prop_id0]],"eJ")</f>
        <v>eJ</v>
      </c>
      <c r="Y15" s="15" t="str">
        <f>HYPERLINK("mailto:"&amp;RADataTable[[#This Row],[email]]&amp;"&amp;subject=Your NSF Proposal:  "&amp;RADataTable[[#This Row],[Div]]&amp;" "&amp;RADataTable[[#This Row],[prop_id0]], RADataTable[[#This Row],[email]])</f>
        <v>sim3@ucmerced.edu</v>
      </c>
      <c r="Z15" s="15" t="str">
        <f>HYPERLINK("mailto:"&amp;RADataTable[[#This Row],[allPIemail]]&amp;"&amp;subject=NSF Proposal:  "&amp;RADataTable[[#This Row],[Div]]&amp;" "&amp;RADataTable[[#This Row],[prop_id0]], "PIs@")</f>
        <v>PIs@</v>
      </c>
      <c r="AA15" t="s">
        <v>245</v>
      </c>
      <c r="AB15" t="s">
        <v>512</v>
      </c>
      <c r="AC15" s="29" t="s">
        <v>592</v>
      </c>
      <c r="AD15" t="s">
        <v>593</v>
      </c>
      <c r="AE15" t="s">
        <v>594</v>
      </c>
      <c r="AF15" s="35">
        <v>514477</v>
      </c>
      <c r="AG15" s="35">
        <v>514477</v>
      </c>
      <c r="AH15" s="23"/>
      <c r="AJ15" s="33"/>
      <c r="AK15" t="s">
        <v>769</v>
      </c>
      <c r="AL15" t="s">
        <v>232</v>
      </c>
      <c r="AM15" s="33" t="s">
        <v>771</v>
      </c>
      <c r="AN15" s="33">
        <v>43032</v>
      </c>
      <c r="AO15" s="23">
        <v>10</v>
      </c>
      <c r="AP15" t="s">
        <v>786</v>
      </c>
      <c r="AR15" s="34"/>
      <c r="AS15"/>
      <c r="AT15" s="33"/>
      <c r="AV15" s="33"/>
      <c r="AX15" s="33"/>
      <c r="AY15"/>
      <c r="BA15" s="33"/>
      <c r="BB15"/>
      <c r="BC15" t="s">
        <v>597</v>
      </c>
      <c r="BD15" s="35">
        <v>514477</v>
      </c>
      <c r="BE15" s="35">
        <v>514477</v>
      </c>
      <c r="BF15">
        <v>0</v>
      </c>
      <c r="BG15" s="33">
        <v>43282</v>
      </c>
      <c r="BH15">
        <v>60</v>
      </c>
      <c r="BI15" t="s">
        <v>283</v>
      </c>
      <c r="BJ15" t="s">
        <v>774</v>
      </c>
      <c r="BK15" t="s">
        <v>780</v>
      </c>
      <c r="BL15" t="s">
        <v>194</v>
      </c>
      <c r="BM15" s="8" t="s">
        <v>192</v>
      </c>
      <c r="BN15" t="s">
        <v>189</v>
      </c>
      <c r="BO15" t="s">
        <v>190</v>
      </c>
      <c r="BP15" s="34" t="s">
        <v>564</v>
      </c>
      <c r="BQ15"/>
      <c r="BU15" s="34"/>
      <c r="BV15" s="34"/>
      <c r="BX15"/>
      <c r="CA15" s="34"/>
      <c r="CB15" s="34"/>
      <c r="CC15"/>
      <c r="CG15" s="34"/>
      <c r="CH15" s="34"/>
      <c r="CK15"/>
      <c r="CM15" s="34"/>
      <c r="CN15" s="34"/>
      <c r="CQ15"/>
      <c r="CS15" s="34"/>
      <c r="CT15" s="34"/>
      <c r="CX15"/>
      <c r="CZ15" s="34"/>
      <c r="DD15" s="33"/>
      <c r="DG15" t="s">
        <v>595</v>
      </c>
      <c r="DH15" t="s">
        <v>787</v>
      </c>
      <c r="DI15" t="s">
        <v>233</v>
      </c>
      <c r="DL15" t="s">
        <v>512</v>
      </c>
      <c r="DM15">
        <v>5</v>
      </c>
      <c r="DN15">
        <v>7</v>
      </c>
      <c r="DO15" t="s">
        <v>596</v>
      </c>
      <c r="DQ15" t="s">
        <v>773</v>
      </c>
      <c r="DR15">
        <v>14</v>
      </c>
      <c r="DS15">
        <v>0</v>
      </c>
      <c r="DU15">
        <v>14</v>
      </c>
      <c r="DV15">
        <v>0</v>
      </c>
      <c r="DX15">
        <v>14</v>
      </c>
      <c r="DY15">
        <v>0</v>
      </c>
      <c r="DZ15" t="s">
        <v>246</v>
      </c>
      <c r="EA15" t="s">
        <v>775</v>
      </c>
    </row>
    <row r="16" spans="1:131" x14ac:dyDescent="0.4">
      <c r="A16" s="33">
        <v>43072.860763888886</v>
      </c>
      <c r="B16" s="24">
        <v>42935.696527777778</v>
      </c>
      <c r="D16" s="33"/>
      <c r="E16" s="33" t="s">
        <v>193</v>
      </c>
      <c r="F16" s="33" t="s">
        <v>191</v>
      </c>
      <c r="G16" s="33" t="s">
        <v>100</v>
      </c>
      <c r="H16" t="s">
        <v>279</v>
      </c>
      <c r="I16" t="s">
        <v>243</v>
      </c>
      <c r="J16" t="s">
        <v>558</v>
      </c>
      <c r="K16" t="s">
        <v>559</v>
      </c>
      <c r="L16" t="s">
        <v>557</v>
      </c>
      <c r="M16" s="29">
        <v>2.1</v>
      </c>
      <c r="N16">
        <v>6.75</v>
      </c>
      <c r="P16" s="23" t="str">
        <f>IFERROR(MID(RADataTable[[#This Row],[RATemplate]],1,LEN(RADataTable[[#This Row],[RATemplate]])-8),"RA") &amp; " " &amp; RADataTable[[#This Row],[prop_id0]] &amp; " " &amp; RADataTable[[#This Row],[last0]]</f>
        <v>RA 1751135 Nayyeri</v>
      </c>
      <c r="T16">
        <v>4</v>
      </c>
      <c r="U16">
        <v>4</v>
      </c>
      <c r="V16" s="33">
        <v>43031.69027777778</v>
      </c>
      <c r="W16">
        <v>1</v>
      </c>
      <c r="X16" s="15" t="str">
        <f>HYPERLINK("https://www.ejacket.nsf.gov/ej/showProposal.do?Continue=Y&amp;ID="&amp;RADataTable[[#This Row],[prop_id0]],"eJ")</f>
        <v>eJ</v>
      </c>
      <c r="Y16" s="15" t="str">
        <f>HYPERLINK("mailto:"&amp;RADataTable[[#This Row],[email]]&amp;"&amp;subject=Your NSF Proposal:  "&amp;RADataTable[[#This Row],[Div]]&amp;" "&amp;RADataTable[[#This Row],[prop_id0]], RADataTable[[#This Row],[email]])</f>
        <v>nayyeria@eecs.oregonstate.edu</v>
      </c>
      <c r="Z16" s="15" t="str">
        <f>HYPERLINK("mailto:"&amp;RADataTable[[#This Row],[allPIemail]]&amp;"&amp;subject=NSF Proposal:  "&amp;RADataTable[[#This Row],[Div]]&amp;" "&amp;RADataTable[[#This Row],[prop_id0]], "PIs@")</f>
        <v>PIs@</v>
      </c>
      <c r="AA16" t="s">
        <v>245</v>
      </c>
      <c r="AB16" t="s">
        <v>527</v>
      </c>
      <c r="AC16" s="29" t="s">
        <v>681</v>
      </c>
      <c r="AD16" t="s">
        <v>682</v>
      </c>
      <c r="AE16" t="s">
        <v>683</v>
      </c>
      <c r="AF16" s="35">
        <v>607459</v>
      </c>
      <c r="AG16" s="35">
        <v>607459</v>
      </c>
      <c r="AH16" s="23"/>
      <c r="AJ16" s="33"/>
      <c r="AK16" t="s">
        <v>769</v>
      </c>
      <c r="AL16" t="s">
        <v>232</v>
      </c>
      <c r="AM16" s="33" t="s">
        <v>771</v>
      </c>
      <c r="AN16" s="33">
        <v>43032</v>
      </c>
      <c r="AO16" s="23">
        <v>10</v>
      </c>
      <c r="AP16" t="s">
        <v>814</v>
      </c>
      <c r="AR16" s="34"/>
      <c r="AS16"/>
      <c r="AT16" s="33"/>
      <c r="AV16" s="33"/>
      <c r="AX16" s="33"/>
      <c r="AY16"/>
      <c r="BA16" s="33"/>
      <c r="BB16"/>
      <c r="BC16" t="s">
        <v>687</v>
      </c>
      <c r="BD16" s="35">
        <v>607459</v>
      </c>
      <c r="BE16" s="35">
        <v>607459</v>
      </c>
      <c r="BF16">
        <v>0</v>
      </c>
      <c r="BG16" s="33">
        <v>43344</v>
      </c>
      <c r="BH16">
        <v>60</v>
      </c>
      <c r="BI16" t="s">
        <v>283</v>
      </c>
      <c r="BJ16" t="s">
        <v>774</v>
      </c>
      <c r="BK16" t="s">
        <v>234</v>
      </c>
      <c r="BL16" t="s">
        <v>194</v>
      </c>
      <c r="BM16" s="8" t="s">
        <v>192</v>
      </c>
      <c r="BN16" t="s">
        <v>189</v>
      </c>
      <c r="BO16" t="s">
        <v>190</v>
      </c>
      <c r="BP16" s="34" t="s">
        <v>572</v>
      </c>
      <c r="BQ16"/>
      <c r="BU16" s="34"/>
      <c r="BV16" s="34"/>
      <c r="BX16"/>
      <c r="CA16" s="34"/>
      <c r="CB16" s="34"/>
      <c r="CC16"/>
      <c r="CG16" s="34"/>
      <c r="CH16" s="34"/>
      <c r="CK16"/>
      <c r="CM16" s="34"/>
      <c r="CN16" s="34"/>
      <c r="CQ16"/>
      <c r="CS16" s="34"/>
      <c r="CT16" s="34"/>
      <c r="CX16"/>
      <c r="CZ16" s="34"/>
      <c r="DD16" s="33"/>
      <c r="DG16" t="s">
        <v>685</v>
      </c>
      <c r="DH16" t="s">
        <v>815</v>
      </c>
      <c r="DI16" t="s">
        <v>233</v>
      </c>
      <c r="DL16" t="s">
        <v>527</v>
      </c>
      <c r="DM16">
        <v>6</v>
      </c>
      <c r="DN16">
        <v>7</v>
      </c>
      <c r="DO16" t="s">
        <v>686</v>
      </c>
      <c r="DQ16" t="s">
        <v>773</v>
      </c>
      <c r="DR16">
        <v>14</v>
      </c>
      <c r="DS16">
        <v>2</v>
      </c>
      <c r="DU16">
        <v>14</v>
      </c>
      <c r="DV16">
        <v>2</v>
      </c>
      <c r="DX16">
        <v>14</v>
      </c>
      <c r="DY16">
        <v>2</v>
      </c>
      <c r="DZ16" t="s">
        <v>246</v>
      </c>
      <c r="EA16" t="s">
        <v>775</v>
      </c>
    </row>
    <row r="17" spans="1:131" x14ac:dyDescent="0.4">
      <c r="A17" s="33">
        <v>43072.860763888886</v>
      </c>
      <c r="B17" s="24">
        <v>42935.69027777778</v>
      </c>
      <c r="D17" s="33"/>
      <c r="E17" s="33" t="s">
        <v>193</v>
      </c>
      <c r="F17" s="33" t="s">
        <v>191</v>
      </c>
      <c r="G17" s="33" t="s">
        <v>100</v>
      </c>
      <c r="H17" t="s">
        <v>279</v>
      </c>
      <c r="I17" t="s">
        <v>243</v>
      </c>
      <c r="J17" t="s">
        <v>558</v>
      </c>
      <c r="K17" t="s">
        <v>559</v>
      </c>
      <c r="L17" t="s">
        <v>557</v>
      </c>
      <c r="M17" s="29">
        <v>2.12</v>
      </c>
      <c r="N17">
        <v>6.5</v>
      </c>
      <c r="P17" s="23" t="str">
        <f>IFERROR(MID(RADataTable[[#This Row],[RATemplate]],1,LEN(RADataTable[[#This Row],[RATemplate]])-8),"RA") &amp; " " &amp; RADataTable[[#This Row],[prop_id0]] &amp; " " &amp; RADataTable[[#This Row],[last0]]</f>
        <v>RA 1751102 Vouga</v>
      </c>
      <c r="T17">
        <v>4</v>
      </c>
      <c r="U17">
        <v>4</v>
      </c>
      <c r="V17" s="33">
        <v>43031.392361111109</v>
      </c>
      <c r="W17">
        <v>1</v>
      </c>
      <c r="X17" s="15" t="str">
        <f>HYPERLINK("https://www.ejacket.nsf.gov/ej/showProposal.do?Continue=Y&amp;ID="&amp;RADataTable[[#This Row],[prop_id0]],"eJ")</f>
        <v>eJ</v>
      </c>
      <c r="Y17" s="15" t="str">
        <f>HYPERLINK("mailto:"&amp;RADataTable[[#This Row],[email]]&amp;"&amp;subject=Your NSF Proposal:  "&amp;RADataTable[[#This Row],[Div]]&amp;" "&amp;RADataTable[[#This Row],[prop_id0]], RADataTable[[#This Row],[email]])</f>
        <v>evouga@cs.utexas.edu</v>
      </c>
      <c r="Z17" s="15" t="str">
        <f>HYPERLINK("mailto:"&amp;RADataTable[[#This Row],[allPIemail]]&amp;"&amp;subject=NSF Proposal:  "&amp;RADataTable[[#This Row],[Div]]&amp;" "&amp;RADataTable[[#This Row],[prop_id0]], "PIs@")</f>
        <v>PIs@</v>
      </c>
      <c r="AA17" t="s">
        <v>245</v>
      </c>
      <c r="AB17" t="s">
        <v>526</v>
      </c>
      <c r="AC17" s="29" t="s">
        <v>676</v>
      </c>
      <c r="AD17" t="s">
        <v>677</v>
      </c>
      <c r="AE17" t="s">
        <v>678</v>
      </c>
      <c r="AF17" s="35">
        <v>523537</v>
      </c>
      <c r="AG17" s="35">
        <v>523537</v>
      </c>
      <c r="AH17" s="23"/>
      <c r="AJ17" s="33"/>
      <c r="AK17" t="s">
        <v>769</v>
      </c>
      <c r="AL17" t="s">
        <v>232</v>
      </c>
      <c r="AM17" s="33" t="s">
        <v>771</v>
      </c>
      <c r="AN17" s="33">
        <v>43032</v>
      </c>
      <c r="AO17" s="23">
        <v>12</v>
      </c>
      <c r="AP17" t="s">
        <v>786</v>
      </c>
      <c r="AR17" s="34"/>
      <c r="AS17"/>
      <c r="AT17" s="33"/>
      <c r="AV17" s="33"/>
      <c r="AX17" s="33"/>
      <c r="AY17"/>
      <c r="BA17" s="33"/>
      <c r="BB17"/>
      <c r="BC17" t="s">
        <v>680</v>
      </c>
      <c r="BD17" s="35">
        <v>523537</v>
      </c>
      <c r="BE17" s="35">
        <v>523537</v>
      </c>
      <c r="BF17">
        <v>0</v>
      </c>
      <c r="BG17" s="33">
        <v>43344</v>
      </c>
      <c r="BH17">
        <v>60</v>
      </c>
      <c r="BI17" t="s">
        <v>283</v>
      </c>
      <c r="BJ17" t="s">
        <v>774</v>
      </c>
      <c r="BK17" t="s">
        <v>234</v>
      </c>
      <c r="BL17" t="s">
        <v>194</v>
      </c>
      <c r="BM17" s="8" t="s">
        <v>192</v>
      </c>
      <c r="BN17" t="s">
        <v>189</v>
      </c>
      <c r="BO17" t="s">
        <v>190</v>
      </c>
      <c r="BP17" s="34" t="s">
        <v>572</v>
      </c>
      <c r="BQ17"/>
      <c r="BU17" s="34"/>
      <c r="BV17" s="34"/>
      <c r="BX17"/>
      <c r="CA17" s="34"/>
      <c r="CB17" s="34"/>
      <c r="CC17"/>
      <c r="CG17" s="34"/>
      <c r="CH17" s="34"/>
      <c r="CK17"/>
      <c r="CM17" s="34"/>
      <c r="CN17" s="34"/>
      <c r="CQ17"/>
      <c r="CS17" s="34"/>
      <c r="CT17" s="34"/>
      <c r="CX17"/>
      <c r="CZ17" s="34"/>
      <c r="DD17" s="33"/>
      <c r="DG17" t="s">
        <v>679</v>
      </c>
      <c r="DH17" t="s">
        <v>813</v>
      </c>
      <c r="DI17" t="s">
        <v>233</v>
      </c>
      <c r="DL17" t="s">
        <v>526</v>
      </c>
      <c r="DM17">
        <v>5</v>
      </c>
      <c r="DN17">
        <v>7</v>
      </c>
      <c r="DO17" t="s">
        <v>596</v>
      </c>
      <c r="DQ17" t="s">
        <v>773</v>
      </c>
      <c r="DR17">
        <v>14</v>
      </c>
      <c r="DS17">
        <v>0</v>
      </c>
      <c r="DU17">
        <v>14</v>
      </c>
      <c r="DV17">
        <v>0</v>
      </c>
      <c r="DX17">
        <v>14</v>
      </c>
      <c r="DY17">
        <v>0</v>
      </c>
      <c r="DZ17" t="s">
        <v>246</v>
      </c>
      <c r="EA17" t="s">
        <v>775</v>
      </c>
    </row>
    <row r="18" spans="1:131" x14ac:dyDescent="0.4">
      <c r="A18" s="33">
        <v>43072.860763888886</v>
      </c>
      <c r="B18" s="24">
        <v>42956.472222222219</v>
      </c>
      <c r="D18" s="33"/>
      <c r="E18" s="33" t="s">
        <v>193</v>
      </c>
      <c r="F18" s="33" t="s">
        <v>191</v>
      </c>
      <c r="G18" s="33" t="s">
        <v>100</v>
      </c>
      <c r="H18" t="s">
        <v>702</v>
      </c>
      <c r="I18" t="s">
        <v>243</v>
      </c>
      <c r="J18" t="s">
        <v>703</v>
      </c>
      <c r="K18" t="s">
        <v>559</v>
      </c>
      <c r="L18" t="s">
        <v>701</v>
      </c>
      <c r="M18" s="29">
        <v>3.04</v>
      </c>
      <c r="N18">
        <v>5</v>
      </c>
      <c r="P18" s="23" t="str">
        <f>IFERROR(MID(RADataTable[[#This Row],[RATemplate]],1,LEN(RADataTable[[#This Row],[RATemplate]])-8),"RA") &amp; " " &amp; RADataTable[[#This Row],[prop_id0]] &amp; " " &amp; RADataTable[[#This Row],[last0]]</f>
        <v>RA 1755702 Charkhgard</v>
      </c>
      <c r="T18">
        <v>3</v>
      </c>
      <c r="U18">
        <v>3</v>
      </c>
      <c r="V18" s="33">
        <v>43031.770833333336</v>
      </c>
      <c r="W18">
        <v>1</v>
      </c>
      <c r="X18" s="15" t="str">
        <f>HYPERLINK("https://www.ejacket.nsf.gov/ej/showProposal.do?Continue=Y&amp;ID="&amp;RADataTable[[#This Row],[prop_id0]],"eJ")</f>
        <v>eJ</v>
      </c>
      <c r="Y18" s="15" t="str">
        <f>HYPERLINK("mailto:"&amp;RADataTable[[#This Row],[email]]&amp;"&amp;subject=Your NSF Proposal:  "&amp;RADataTable[[#This Row],[Div]]&amp;" "&amp;RADataTable[[#This Row],[prop_id0]], RADataTable[[#This Row],[email]])</f>
        <v>hcharkhgard@usf.edu</v>
      </c>
      <c r="Z18" s="15" t="str">
        <f>HYPERLINK("mailto:"&amp;RADataTable[[#This Row],[allPIemail]]&amp;"&amp;subject=NSF Proposal:  "&amp;RADataTable[[#This Row],[Div]]&amp;" "&amp;RADataTable[[#This Row],[prop_id0]], "PIs@")</f>
        <v>PIs@</v>
      </c>
      <c r="AA18" t="s">
        <v>245</v>
      </c>
      <c r="AB18" t="s">
        <v>531</v>
      </c>
      <c r="AC18" s="29" t="s">
        <v>710</v>
      </c>
      <c r="AD18" t="s">
        <v>711</v>
      </c>
      <c r="AE18" t="s">
        <v>712</v>
      </c>
      <c r="AF18" s="35">
        <v>172682</v>
      </c>
      <c r="AG18" s="35">
        <v>172682</v>
      </c>
      <c r="AH18" s="23"/>
      <c r="AJ18" s="33"/>
      <c r="AK18" t="s">
        <v>769</v>
      </c>
      <c r="AL18" t="s">
        <v>287</v>
      </c>
      <c r="AM18" s="33" t="s">
        <v>771</v>
      </c>
      <c r="AN18" s="33">
        <v>43032</v>
      </c>
      <c r="AO18" s="23">
        <v>4</v>
      </c>
      <c r="AP18" t="s">
        <v>823</v>
      </c>
      <c r="AR18" s="34"/>
      <c r="AS18"/>
      <c r="AT18" s="33"/>
      <c r="AV18" s="33"/>
      <c r="AX18" s="33"/>
      <c r="AY18"/>
      <c r="BA18" s="33"/>
      <c r="BB18"/>
      <c r="BC18" t="s">
        <v>716</v>
      </c>
      <c r="BD18" s="35">
        <v>172682</v>
      </c>
      <c r="BE18" s="35">
        <v>172682</v>
      </c>
      <c r="BF18">
        <v>0</v>
      </c>
      <c r="BG18" s="33">
        <v>43221</v>
      </c>
      <c r="BH18">
        <v>24</v>
      </c>
      <c r="BI18" t="s">
        <v>820</v>
      </c>
      <c r="BJ18" t="s">
        <v>821</v>
      </c>
      <c r="BK18" t="s">
        <v>234</v>
      </c>
      <c r="BL18" t="s">
        <v>194</v>
      </c>
      <c r="BM18" s="8" t="s">
        <v>192</v>
      </c>
      <c r="BN18" t="s">
        <v>189</v>
      </c>
      <c r="BO18" t="s">
        <v>190</v>
      </c>
      <c r="BP18" s="34" t="s">
        <v>707</v>
      </c>
      <c r="BQ18"/>
      <c r="BU18" s="34"/>
      <c r="BV18" s="34"/>
      <c r="BX18"/>
      <c r="CA18" s="34"/>
      <c r="CB18" s="34"/>
      <c r="CC18"/>
      <c r="CG18" s="34"/>
      <c r="CH18" s="34"/>
      <c r="CK18"/>
      <c r="CM18" s="34"/>
      <c r="CN18" s="34"/>
      <c r="CQ18"/>
      <c r="CS18" s="34"/>
      <c r="CT18" s="34"/>
      <c r="CX18"/>
      <c r="CZ18" s="34"/>
      <c r="DD18" s="33"/>
      <c r="DG18" t="s">
        <v>714</v>
      </c>
      <c r="DH18" t="s">
        <v>824</v>
      </c>
      <c r="DI18" t="s">
        <v>286</v>
      </c>
      <c r="DL18" t="s">
        <v>531</v>
      </c>
      <c r="DM18">
        <v>5</v>
      </c>
      <c r="DN18">
        <v>5</v>
      </c>
      <c r="DO18" t="s">
        <v>715</v>
      </c>
      <c r="DQ18" t="s">
        <v>773</v>
      </c>
      <c r="DR18">
        <v>14</v>
      </c>
      <c r="DS18">
        <v>0</v>
      </c>
      <c r="DU18">
        <v>14</v>
      </c>
      <c r="DV18">
        <v>0</v>
      </c>
      <c r="DX18">
        <v>14</v>
      </c>
      <c r="DY18">
        <v>0</v>
      </c>
      <c r="DZ18" t="s">
        <v>246</v>
      </c>
      <c r="EA18" t="s">
        <v>775</v>
      </c>
    </row>
    <row r="19" spans="1:131" x14ac:dyDescent="0.4">
      <c r="A19" s="33">
        <v>43072.860763888886</v>
      </c>
      <c r="B19" s="24">
        <v>42933.547222222223</v>
      </c>
      <c r="D19" s="33"/>
      <c r="E19" s="33" t="s">
        <v>193</v>
      </c>
      <c r="F19" s="33" t="s">
        <v>191</v>
      </c>
      <c r="G19" s="33" t="s">
        <v>100</v>
      </c>
      <c r="H19" t="s">
        <v>279</v>
      </c>
      <c r="I19" t="s">
        <v>243</v>
      </c>
      <c r="J19" t="s">
        <v>558</v>
      </c>
      <c r="K19" t="s">
        <v>559</v>
      </c>
      <c r="L19" t="s">
        <v>557</v>
      </c>
      <c r="M19" s="29">
        <v>3.13</v>
      </c>
      <c r="N19">
        <v>6.25</v>
      </c>
      <c r="P19" s="23" t="str">
        <f>IFERROR(MID(RADataTable[[#This Row],[RATemplate]],1,LEN(RADataTable[[#This Row],[RATemplate]])-8),"RA") &amp; " " &amp; RADataTable[[#This Row],[prop_id0]] &amp; " " &amp; RADataTable[[#This Row],[last0]]</f>
        <v>RA 1749385 Wang</v>
      </c>
      <c r="T19">
        <v>4</v>
      </c>
      <c r="U19">
        <v>4</v>
      </c>
      <c r="V19" s="33">
        <v>43030.179166666669</v>
      </c>
      <c r="W19">
        <v>1</v>
      </c>
      <c r="X19" s="15" t="str">
        <f>HYPERLINK("https://www.ejacket.nsf.gov/ej/showProposal.do?Continue=Y&amp;ID="&amp;RADataTable[[#This Row],[prop_id0]],"eJ")</f>
        <v>eJ</v>
      </c>
      <c r="Y19" s="15" t="str">
        <f>HYPERLINK("mailto:"&amp;RADataTable[[#This Row],[email]]&amp;"&amp;subject=Your NSF Proposal:  "&amp;RADataTable[[#This Row],[Div]]&amp;" "&amp;RADataTable[[#This Row],[prop_id0]], RADataTable[[#This Row],[email]])</f>
        <v>haitao.wang@usu.edu</v>
      </c>
      <c r="Z19" s="15" t="str">
        <f>HYPERLINK("mailto:"&amp;RADataTable[[#This Row],[allPIemail]]&amp;"&amp;subject=NSF Proposal:  "&amp;RADataTable[[#This Row],[Div]]&amp;" "&amp;RADataTable[[#This Row],[prop_id0]], "PIs@")</f>
        <v>PIs@</v>
      </c>
      <c r="AA19" t="s">
        <v>245</v>
      </c>
      <c r="AB19" t="s">
        <v>508</v>
      </c>
      <c r="AC19" s="29" t="s">
        <v>567</v>
      </c>
      <c r="AD19" t="s">
        <v>568</v>
      </c>
      <c r="AE19" t="s">
        <v>569</v>
      </c>
      <c r="AF19" s="35">
        <v>524898</v>
      </c>
      <c r="AG19" s="35">
        <v>524898</v>
      </c>
      <c r="AH19" s="23"/>
      <c r="AJ19" s="33"/>
      <c r="AK19" t="s">
        <v>769</v>
      </c>
      <c r="AL19" t="s">
        <v>287</v>
      </c>
      <c r="AM19" s="33" t="s">
        <v>771</v>
      </c>
      <c r="AN19" s="33">
        <v>43032</v>
      </c>
      <c r="AO19" s="23">
        <v>13</v>
      </c>
      <c r="AP19" t="s">
        <v>777</v>
      </c>
      <c r="AR19" s="34"/>
      <c r="AS19"/>
      <c r="AT19" s="33"/>
      <c r="AV19" s="33"/>
      <c r="AX19" s="33"/>
      <c r="AY19"/>
      <c r="BA19" s="33"/>
      <c r="BB19"/>
      <c r="BC19" t="s">
        <v>574</v>
      </c>
      <c r="BD19" s="35">
        <v>524898</v>
      </c>
      <c r="BE19" s="35">
        <v>524898</v>
      </c>
      <c r="BF19">
        <v>0</v>
      </c>
      <c r="BG19" s="33">
        <v>43221</v>
      </c>
      <c r="BH19">
        <v>60</v>
      </c>
      <c r="BI19" t="s">
        <v>283</v>
      </c>
      <c r="BJ19" t="s">
        <v>774</v>
      </c>
      <c r="BK19" t="s">
        <v>234</v>
      </c>
      <c r="BL19" t="s">
        <v>194</v>
      </c>
      <c r="BM19" s="8" t="s">
        <v>192</v>
      </c>
      <c r="BN19" t="s">
        <v>189</v>
      </c>
      <c r="BO19" t="s">
        <v>190</v>
      </c>
      <c r="BP19" s="34" t="s">
        <v>572</v>
      </c>
      <c r="BQ19"/>
      <c r="BU19" s="34"/>
      <c r="BV19" s="34"/>
      <c r="BX19"/>
      <c r="CA19" s="34"/>
      <c r="CB19" s="34"/>
      <c r="CC19"/>
      <c r="CG19" s="34"/>
      <c r="CH19" s="34"/>
      <c r="CK19"/>
      <c r="CM19" s="34"/>
      <c r="CN19" s="34"/>
      <c r="CQ19"/>
      <c r="CS19" s="34"/>
      <c r="CT19" s="34"/>
      <c r="CX19"/>
      <c r="CZ19" s="34"/>
      <c r="DD19" s="33"/>
      <c r="DG19" t="s">
        <v>571</v>
      </c>
      <c r="DH19" t="s">
        <v>778</v>
      </c>
      <c r="DI19" t="s">
        <v>286</v>
      </c>
      <c r="DL19" t="s">
        <v>508</v>
      </c>
      <c r="DM19">
        <v>4</v>
      </c>
      <c r="DN19">
        <v>9</v>
      </c>
      <c r="DO19" t="s">
        <v>573</v>
      </c>
      <c r="DQ19" t="s">
        <v>773</v>
      </c>
      <c r="DR19">
        <v>14</v>
      </c>
      <c r="DS19">
        <v>0</v>
      </c>
      <c r="DU19">
        <v>14</v>
      </c>
      <c r="DV19">
        <v>0</v>
      </c>
      <c r="DX19">
        <v>14</v>
      </c>
      <c r="DY19">
        <v>0</v>
      </c>
      <c r="DZ19" t="s">
        <v>246</v>
      </c>
      <c r="EA19" t="s">
        <v>775</v>
      </c>
    </row>
    <row r="20" spans="1:131" x14ac:dyDescent="0.4">
      <c r="A20" s="33">
        <v>43072.860763888886</v>
      </c>
      <c r="B20" s="24">
        <v>42933.579861111109</v>
      </c>
      <c r="D20" s="33"/>
      <c r="E20" s="33" t="s">
        <v>193</v>
      </c>
      <c r="F20" s="33" t="s">
        <v>191</v>
      </c>
      <c r="G20" s="33" t="s">
        <v>100</v>
      </c>
      <c r="H20" t="s">
        <v>279</v>
      </c>
      <c r="I20" t="s">
        <v>243</v>
      </c>
      <c r="J20" t="s">
        <v>558</v>
      </c>
      <c r="K20" t="s">
        <v>575</v>
      </c>
      <c r="L20" t="s">
        <v>557</v>
      </c>
      <c r="M20" s="29">
        <v>3.13</v>
      </c>
      <c r="N20">
        <v>6.8</v>
      </c>
      <c r="P20" s="23" t="str">
        <f>IFERROR(MID(RADataTable[[#This Row],[RATemplate]],1,LEN(RADataTable[[#This Row],[RATemplate]])-8),"RA") &amp; " " &amp; RADataTable[[#This Row],[prop_id0]] &amp; " " &amp; RADataTable[[#This Row],[last0]]</f>
        <v>RA 1749414 Moseley</v>
      </c>
      <c r="T20">
        <v>5</v>
      </c>
      <c r="U20">
        <v>5</v>
      </c>
      <c r="V20" s="33">
        <v>43032.510416666664</v>
      </c>
      <c r="W20">
        <v>1</v>
      </c>
      <c r="X20" s="15" t="str">
        <f>HYPERLINK("https://www.ejacket.nsf.gov/ej/showProposal.do?Continue=Y&amp;ID="&amp;RADataTable[[#This Row],[prop_id0]],"eJ")</f>
        <v>eJ</v>
      </c>
      <c r="Y20" s="15" t="str">
        <f>HYPERLINK("mailto:"&amp;RADataTable[[#This Row],[email]]&amp;"&amp;subject=Your NSF Proposal:  "&amp;RADataTable[[#This Row],[Div]]&amp;" "&amp;RADataTable[[#This Row],[prop_id0]], RADataTable[[#This Row],[email]])</f>
        <v>bmoseley@seas.wustl.edu</v>
      </c>
      <c r="Z20" s="15" t="str">
        <f>HYPERLINK("mailto:"&amp;RADataTable[[#This Row],[allPIemail]]&amp;"&amp;subject=NSF Proposal:  "&amp;RADataTable[[#This Row],[Div]]&amp;" "&amp;RADataTable[[#This Row],[prop_id0]], "PIs@")</f>
        <v>PIs@</v>
      </c>
      <c r="AA20" t="s">
        <v>245</v>
      </c>
      <c r="AB20" t="s">
        <v>509</v>
      </c>
      <c r="AC20" s="29" t="s">
        <v>576</v>
      </c>
      <c r="AD20" t="s">
        <v>285</v>
      </c>
      <c r="AE20" t="s">
        <v>577</v>
      </c>
      <c r="AF20" s="35">
        <v>545000</v>
      </c>
      <c r="AG20" s="35">
        <v>545000</v>
      </c>
      <c r="AH20" s="23"/>
      <c r="AJ20" s="33"/>
      <c r="AK20" t="s">
        <v>769</v>
      </c>
      <c r="AL20" t="s">
        <v>287</v>
      </c>
      <c r="AM20" s="33" t="s">
        <v>771</v>
      </c>
      <c r="AN20" s="33">
        <v>43032</v>
      </c>
      <c r="AO20" s="23">
        <v>13</v>
      </c>
      <c r="AP20" t="s">
        <v>779</v>
      </c>
      <c r="AR20" s="34"/>
      <c r="AS20"/>
      <c r="AT20" s="33"/>
      <c r="AV20" s="33"/>
      <c r="AX20" s="33"/>
      <c r="AY20"/>
      <c r="BA20" s="33"/>
      <c r="BB20"/>
      <c r="BC20" t="s">
        <v>581</v>
      </c>
      <c r="BD20" s="35">
        <v>545000</v>
      </c>
      <c r="BE20" s="35">
        <v>545000</v>
      </c>
      <c r="BF20">
        <v>0</v>
      </c>
      <c r="BG20" s="33">
        <v>43282</v>
      </c>
      <c r="BH20">
        <v>60</v>
      </c>
      <c r="BI20" t="s">
        <v>283</v>
      </c>
      <c r="BJ20" t="s">
        <v>774</v>
      </c>
      <c r="BK20" t="s">
        <v>780</v>
      </c>
      <c r="BL20" t="s">
        <v>194</v>
      </c>
      <c r="BM20" s="8" t="s">
        <v>192</v>
      </c>
      <c r="BN20" t="s">
        <v>189</v>
      </c>
      <c r="BO20" t="s">
        <v>190</v>
      </c>
      <c r="BP20" s="34" t="s">
        <v>579</v>
      </c>
      <c r="BQ20"/>
      <c r="BU20" s="34"/>
      <c r="BV20" s="34"/>
      <c r="BX20"/>
      <c r="CA20" s="34"/>
      <c r="CB20" s="34"/>
      <c r="CC20"/>
      <c r="CG20" s="34"/>
      <c r="CH20" s="34"/>
      <c r="CK20"/>
      <c r="CM20" s="34"/>
      <c r="CN20" s="34"/>
      <c r="CQ20"/>
      <c r="CS20" s="34"/>
      <c r="CT20" s="34"/>
      <c r="CX20"/>
      <c r="CZ20" s="34"/>
      <c r="DD20" s="33"/>
      <c r="DG20" t="s">
        <v>578</v>
      </c>
      <c r="DH20" t="s">
        <v>781</v>
      </c>
      <c r="DI20" t="s">
        <v>286</v>
      </c>
      <c r="DL20" t="s">
        <v>509</v>
      </c>
      <c r="DM20">
        <v>5</v>
      </c>
      <c r="DN20">
        <v>9</v>
      </c>
      <c r="DO20" t="s">
        <v>580</v>
      </c>
      <c r="DQ20" t="s">
        <v>773</v>
      </c>
      <c r="DR20">
        <v>14</v>
      </c>
      <c r="DS20">
        <v>1</v>
      </c>
      <c r="DU20">
        <v>14</v>
      </c>
      <c r="DV20">
        <v>1</v>
      </c>
      <c r="DX20">
        <v>14</v>
      </c>
      <c r="DY20">
        <v>1</v>
      </c>
      <c r="DZ20" t="s">
        <v>246</v>
      </c>
      <c r="EA20" t="s">
        <v>775</v>
      </c>
    </row>
    <row r="21" spans="1:131" x14ac:dyDescent="0.4">
      <c r="A21" s="33">
        <v>43072.860763888886</v>
      </c>
      <c r="B21" s="24">
        <v>42934.695138888892</v>
      </c>
      <c r="D21" s="33"/>
      <c r="E21" s="33" t="s">
        <v>193</v>
      </c>
      <c r="F21" s="33" t="s">
        <v>191</v>
      </c>
      <c r="G21" s="33" t="s">
        <v>100</v>
      </c>
      <c r="H21" t="s">
        <v>279</v>
      </c>
      <c r="I21" t="s">
        <v>243</v>
      </c>
      <c r="J21" t="s">
        <v>558</v>
      </c>
      <c r="K21" t="s">
        <v>559</v>
      </c>
      <c r="L21" t="s">
        <v>557</v>
      </c>
      <c r="M21" s="29">
        <v>3.13</v>
      </c>
      <c r="N21">
        <v>6.25</v>
      </c>
      <c r="P21" s="23" t="str">
        <f>IFERROR(MID(RADataTable[[#This Row],[RATemplate]],1,LEN(RADataTable[[#This Row],[RATemplate]])-8),"RA") &amp; " " &amp; RADataTable[[#This Row],[prop_id0]] &amp; " " &amp; RADataTable[[#This Row],[last0]]</f>
        <v>RA 1749977 Solomon</v>
      </c>
      <c r="T21">
        <v>4</v>
      </c>
      <c r="U21">
        <v>4</v>
      </c>
      <c r="V21" s="33">
        <v>43030.972222222219</v>
      </c>
      <c r="W21">
        <v>1</v>
      </c>
      <c r="X21" s="15" t="str">
        <f>HYPERLINK("https://www.ejacket.nsf.gov/ej/showProposal.do?Continue=Y&amp;ID="&amp;RADataTable[[#This Row],[prop_id0]],"eJ")</f>
        <v>eJ</v>
      </c>
      <c r="Y21" s="15" t="str">
        <f>HYPERLINK("mailto:"&amp;RADataTable[[#This Row],[email]]&amp;"&amp;subject=Your NSF Proposal:  "&amp;RADataTable[[#This Row],[Div]]&amp;" "&amp;RADataTable[[#This Row],[prop_id0]], RADataTable[[#This Row],[email]])</f>
        <v>jsolomon@mit.edu</v>
      </c>
      <c r="Z21" s="15" t="str">
        <f>HYPERLINK("mailto:"&amp;RADataTable[[#This Row],[allPIemail]]&amp;"&amp;subject=NSF Proposal:  "&amp;RADataTable[[#This Row],[Div]]&amp;" "&amp;RADataTable[[#This Row],[prop_id0]], "PIs@")</f>
        <v>PIs@</v>
      </c>
      <c r="AA21" t="s">
        <v>245</v>
      </c>
      <c r="AB21" t="s">
        <v>515</v>
      </c>
      <c r="AC21" s="29" t="s">
        <v>612</v>
      </c>
      <c r="AD21" t="s">
        <v>613</v>
      </c>
      <c r="AE21" t="s">
        <v>244</v>
      </c>
      <c r="AF21" s="35">
        <v>550000</v>
      </c>
      <c r="AG21" s="35">
        <v>550000</v>
      </c>
      <c r="AH21" s="23"/>
      <c r="AJ21" s="33"/>
      <c r="AK21" t="s">
        <v>769</v>
      </c>
      <c r="AL21" t="s">
        <v>287</v>
      </c>
      <c r="AM21" s="33" t="s">
        <v>771</v>
      </c>
      <c r="AN21" s="33">
        <v>43032</v>
      </c>
      <c r="AO21" s="23">
        <v>13</v>
      </c>
      <c r="AP21" t="s">
        <v>793</v>
      </c>
      <c r="AR21" s="34"/>
      <c r="AS21"/>
      <c r="AT21" s="33"/>
      <c r="AV21" s="33"/>
      <c r="AX21" s="33"/>
      <c r="AY21"/>
      <c r="BA21" s="33"/>
      <c r="BB21"/>
      <c r="BC21" t="s">
        <v>616</v>
      </c>
      <c r="BD21" s="35">
        <v>550000</v>
      </c>
      <c r="BE21" s="35">
        <v>550000</v>
      </c>
      <c r="BF21">
        <v>0</v>
      </c>
      <c r="BG21" s="33">
        <v>43101</v>
      </c>
      <c r="BH21">
        <v>60</v>
      </c>
      <c r="BI21" t="s">
        <v>283</v>
      </c>
      <c r="BJ21" t="s">
        <v>774</v>
      </c>
      <c r="BK21" t="s">
        <v>234</v>
      </c>
      <c r="BL21" t="s">
        <v>194</v>
      </c>
      <c r="BM21" s="8" t="s">
        <v>192</v>
      </c>
      <c r="BN21" t="s">
        <v>189</v>
      </c>
      <c r="BO21" t="s">
        <v>190</v>
      </c>
      <c r="BP21" s="34" t="s">
        <v>572</v>
      </c>
      <c r="BQ21"/>
      <c r="BU21" s="34"/>
      <c r="BV21" s="34"/>
      <c r="BX21"/>
      <c r="CA21" s="34"/>
      <c r="CB21" s="34"/>
      <c r="CC21"/>
      <c r="CG21" s="34"/>
      <c r="CH21" s="34"/>
      <c r="CK21"/>
      <c r="CM21" s="34"/>
      <c r="CN21" s="34"/>
      <c r="CQ21"/>
      <c r="CS21" s="34"/>
      <c r="CT21" s="34"/>
      <c r="CX21"/>
      <c r="CZ21" s="34"/>
      <c r="DD21" s="33"/>
      <c r="DG21" t="s">
        <v>614</v>
      </c>
      <c r="DH21" t="s">
        <v>794</v>
      </c>
      <c r="DI21" t="s">
        <v>286</v>
      </c>
      <c r="DL21" t="s">
        <v>515</v>
      </c>
      <c r="DM21">
        <v>3</v>
      </c>
      <c r="DN21">
        <v>9</v>
      </c>
      <c r="DO21" t="s">
        <v>615</v>
      </c>
      <c r="DQ21" t="s">
        <v>773</v>
      </c>
      <c r="DR21">
        <v>14</v>
      </c>
      <c r="DS21">
        <v>2</v>
      </c>
      <c r="DU21">
        <v>14</v>
      </c>
      <c r="DV21">
        <v>2</v>
      </c>
      <c r="DX21">
        <v>14</v>
      </c>
      <c r="DY21">
        <v>2</v>
      </c>
      <c r="DZ21" t="s">
        <v>246</v>
      </c>
      <c r="EA21" t="s">
        <v>775</v>
      </c>
    </row>
    <row r="22" spans="1:131" x14ac:dyDescent="0.4">
      <c r="A22" s="33">
        <v>43072.860763888886</v>
      </c>
      <c r="B22" s="24">
        <v>42934.737500000003</v>
      </c>
      <c r="D22" s="33"/>
      <c r="E22" s="33" t="s">
        <v>193</v>
      </c>
      <c r="F22" s="33" t="s">
        <v>191</v>
      </c>
      <c r="G22" s="33" t="s">
        <v>100</v>
      </c>
      <c r="H22" t="s">
        <v>279</v>
      </c>
      <c r="I22" t="s">
        <v>243</v>
      </c>
      <c r="J22" t="s">
        <v>558</v>
      </c>
      <c r="K22" t="s">
        <v>604</v>
      </c>
      <c r="L22" t="s">
        <v>557</v>
      </c>
      <c r="M22" s="29">
        <v>3.13</v>
      </c>
      <c r="N22">
        <v>4.5</v>
      </c>
      <c r="P22" s="23" t="str">
        <f>IFERROR(MID(RADataTable[[#This Row],[RATemplate]],1,LEN(RADataTable[[#This Row],[RATemplate]])-8),"RA") &amp; " " &amp; RADataTable[[#This Row],[prop_id0]] &amp; " " &amp; RADataTable[[#This Row],[last0]]</f>
        <v>RA 1750039 Solomonik</v>
      </c>
      <c r="T22">
        <v>4</v>
      </c>
      <c r="U22">
        <v>4</v>
      </c>
      <c r="V22" s="33">
        <v>43031.922222222223</v>
      </c>
      <c r="W22">
        <v>1</v>
      </c>
      <c r="X22" s="15" t="str">
        <f>HYPERLINK("https://www.ejacket.nsf.gov/ej/showProposal.do?Continue=Y&amp;ID="&amp;RADataTable[[#This Row],[prop_id0]],"eJ")</f>
        <v>eJ</v>
      </c>
      <c r="Y22" s="15" t="str">
        <f>HYPERLINK("mailto:"&amp;RADataTable[[#This Row],[email]]&amp;"&amp;subject=Your NSF Proposal:  "&amp;RADataTable[[#This Row],[Div]]&amp;" "&amp;RADataTable[[#This Row],[prop_id0]], RADataTable[[#This Row],[email]])</f>
        <v>solomon2@illinois.edu</v>
      </c>
      <c r="Z22" s="15" t="str">
        <f>HYPERLINK("mailto:"&amp;RADataTable[[#This Row],[allPIemail]]&amp;"&amp;subject=NSF Proposal:  "&amp;RADataTable[[#This Row],[Div]]&amp;" "&amp;RADataTable[[#This Row],[prop_id0]], "PIs@")</f>
        <v>PIs@</v>
      </c>
      <c r="AA22" t="s">
        <v>245</v>
      </c>
      <c r="AB22" t="s">
        <v>516</v>
      </c>
      <c r="AC22" s="29" t="s">
        <v>617</v>
      </c>
      <c r="AD22" t="s">
        <v>618</v>
      </c>
      <c r="AE22" t="s">
        <v>607</v>
      </c>
      <c r="AF22" s="35">
        <v>524117</v>
      </c>
      <c r="AG22" s="35">
        <v>524117</v>
      </c>
      <c r="AH22" s="23"/>
      <c r="AJ22" s="33"/>
      <c r="AK22" t="s">
        <v>769</v>
      </c>
      <c r="AL22" t="s">
        <v>287</v>
      </c>
      <c r="AM22" s="33" t="s">
        <v>771</v>
      </c>
      <c r="AN22" s="33">
        <v>43032</v>
      </c>
      <c r="AO22" s="23">
        <v>13</v>
      </c>
      <c r="AP22" t="s">
        <v>795</v>
      </c>
      <c r="AR22" s="34"/>
      <c r="AS22"/>
      <c r="AT22" s="33"/>
      <c r="AV22" s="33"/>
      <c r="AX22" s="33"/>
      <c r="AY22"/>
      <c r="BA22" s="33"/>
      <c r="BB22"/>
      <c r="BC22" t="s">
        <v>621</v>
      </c>
      <c r="BD22" s="35">
        <v>524117</v>
      </c>
      <c r="BE22" s="35">
        <v>524117</v>
      </c>
      <c r="BF22">
        <v>0</v>
      </c>
      <c r="BG22" s="33">
        <v>43132</v>
      </c>
      <c r="BH22">
        <v>60</v>
      </c>
      <c r="BI22" t="s">
        <v>283</v>
      </c>
      <c r="BJ22" t="s">
        <v>774</v>
      </c>
      <c r="BK22" t="s">
        <v>791</v>
      </c>
      <c r="BL22" t="s">
        <v>194</v>
      </c>
      <c r="BM22" s="8" t="s">
        <v>192</v>
      </c>
      <c r="BN22" t="s">
        <v>189</v>
      </c>
      <c r="BO22" t="s">
        <v>190</v>
      </c>
      <c r="BP22" s="34" t="s">
        <v>579</v>
      </c>
      <c r="BQ22"/>
      <c r="BU22" s="34"/>
      <c r="BV22" s="34"/>
      <c r="BX22"/>
      <c r="CA22" s="34"/>
      <c r="CB22" s="34"/>
      <c r="CC22"/>
      <c r="CG22" s="34"/>
      <c r="CH22" s="34"/>
      <c r="CK22"/>
      <c r="CM22" s="34"/>
      <c r="CN22" s="34"/>
      <c r="CQ22"/>
      <c r="CS22" s="34"/>
      <c r="CT22" s="34"/>
      <c r="CX22"/>
      <c r="CZ22" s="34"/>
      <c r="DD22" s="33"/>
      <c r="DG22" t="s">
        <v>619</v>
      </c>
      <c r="DH22" t="s">
        <v>796</v>
      </c>
      <c r="DI22" t="s">
        <v>286</v>
      </c>
      <c r="DL22" t="s">
        <v>516</v>
      </c>
      <c r="DM22">
        <v>3</v>
      </c>
      <c r="DN22">
        <v>5</v>
      </c>
      <c r="DO22" t="s">
        <v>620</v>
      </c>
      <c r="DQ22" t="s">
        <v>773</v>
      </c>
      <c r="DR22">
        <v>14</v>
      </c>
      <c r="DS22">
        <v>2</v>
      </c>
      <c r="DU22">
        <v>14</v>
      </c>
      <c r="DV22">
        <v>2</v>
      </c>
      <c r="DX22">
        <v>14</v>
      </c>
      <c r="DY22">
        <v>2</v>
      </c>
      <c r="DZ22" t="s">
        <v>246</v>
      </c>
      <c r="EA22" t="s">
        <v>775</v>
      </c>
    </row>
    <row r="23" spans="1:131" x14ac:dyDescent="0.4">
      <c r="A23" s="33">
        <v>43072.860763888886</v>
      </c>
      <c r="B23" s="24">
        <v>42935.359027777777</v>
      </c>
      <c r="D23" s="33"/>
      <c r="E23" s="33" t="s">
        <v>193</v>
      </c>
      <c r="F23" s="33" t="s">
        <v>191</v>
      </c>
      <c r="G23" s="33" t="s">
        <v>100</v>
      </c>
      <c r="H23" t="s">
        <v>279</v>
      </c>
      <c r="I23" t="s">
        <v>243</v>
      </c>
      <c r="J23" t="s">
        <v>558</v>
      </c>
      <c r="K23" t="s">
        <v>575</v>
      </c>
      <c r="L23" t="s">
        <v>557</v>
      </c>
      <c r="M23" s="29">
        <v>3.13</v>
      </c>
      <c r="N23">
        <v>5.25</v>
      </c>
      <c r="P23" s="23" t="str">
        <f>IFERROR(MID(RADataTable[[#This Row],[RATemplate]],1,LEN(RADataTable[[#This Row],[RATemplate]])-8),"RA") &amp; " " &amp; RADataTable[[#This Row],[prop_id0]] &amp; " " &amp; RADataTable[[#This Row],[last0]]</f>
        <v>RA 1750118 Li</v>
      </c>
      <c r="T23">
        <v>4</v>
      </c>
      <c r="U23">
        <v>4</v>
      </c>
      <c r="V23" s="33">
        <v>43031.584722222222</v>
      </c>
      <c r="W23">
        <v>1</v>
      </c>
      <c r="X23" s="15" t="str">
        <f>HYPERLINK("https://www.ejacket.nsf.gov/ej/showProposal.do?Continue=Y&amp;ID="&amp;RADataTable[[#This Row],[prop_id0]],"eJ")</f>
        <v>eJ</v>
      </c>
      <c r="Y23" s="15" t="str">
        <f>HYPERLINK("mailto:"&amp;RADataTable[[#This Row],[email]]&amp;"&amp;subject=Your NSF Proposal:  "&amp;RADataTable[[#This Row],[Div]]&amp;" "&amp;RADataTable[[#This Row],[prop_id0]], RADataTable[[#This Row],[email]])</f>
        <v>shil@buffalo.edu</v>
      </c>
      <c r="Z23" s="15" t="str">
        <f>HYPERLINK("mailto:"&amp;RADataTable[[#This Row],[allPIemail]]&amp;"&amp;subject=NSF Proposal:  "&amp;RADataTable[[#This Row],[Div]]&amp;" "&amp;RADataTable[[#This Row],[prop_id0]], "PIs@")</f>
        <v>PIs@</v>
      </c>
      <c r="AA23" t="s">
        <v>245</v>
      </c>
      <c r="AB23" t="s">
        <v>518</v>
      </c>
      <c r="AC23" s="29" t="s">
        <v>629</v>
      </c>
      <c r="AD23" t="s">
        <v>630</v>
      </c>
      <c r="AE23" t="s">
        <v>241</v>
      </c>
      <c r="AF23" s="35">
        <v>530842</v>
      </c>
      <c r="AG23" s="35">
        <v>530842</v>
      </c>
      <c r="AH23" s="23"/>
      <c r="AJ23" s="33"/>
      <c r="AK23" t="s">
        <v>769</v>
      </c>
      <c r="AL23" t="s">
        <v>287</v>
      </c>
      <c r="AM23" s="33" t="s">
        <v>771</v>
      </c>
      <c r="AN23" s="33">
        <v>43032</v>
      </c>
      <c r="AO23" s="23">
        <v>13</v>
      </c>
      <c r="AP23" t="s">
        <v>799</v>
      </c>
      <c r="AR23" s="34"/>
      <c r="AS23"/>
      <c r="AT23" s="33"/>
      <c r="AV23" s="33"/>
      <c r="AX23" s="33"/>
      <c r="AY23"/>
      <c r="BA23" s="33"/>
      <c r="BB23"/>
      <c r="BC23" t="s">
        <v>633</v>
      </c>
      <c r="BD23" s="35">
        <v>530842</v>
      </c>
      <c r="BE23" s="35">
        <v>530842</v>
      </c>
      <c r="BF23">
        <v>0</v>
      </c>
      <c r="BG23" s="33">
        <v>43344</v>
      </c>
      <c r="BH23">
        <v>60</v>
      </c>
      <c r="BI23" t="s">
        <v>283</v>
      </c>
      <c r="BJ23" t="s">
        <v>774</v>
      </c>
      <c r="BK23" t="s">
        <v>780</v>
      </c>
      <c r="BL23" t="s">
        <v>194</v>
      </c>
      <c r="BM23" s="8" t="s">
        <v>192</v>
      </c>
      <c r="BN23" t="s">
        <v>189</v>
      </c>
      <c r="BO23" t="s">
        <v>190</v>
      </c>
      <c r="BP23" s="34" t="s">
        <v>564</v>
      </c>
      <c r="BQ23"/>
      <c r="BU23" s="34"/>
      <c r="BV23" s="34"/>
      <c r="BX23"/>
      <c r="CA23" s="34"/>
      <c r="CB23" s="34"/>
      <c r="CC23"/>
      <c r="CG23" s="34"/>
      <c r="CH23" s="34"/>
      <c r="CK23"/>
      <c r="CM23" s="34"/>
      <c r="CN23" s="34"/>
      <c r="CQ23"/>
      <c r="CS23" s="34"/>
      <c r="CT23" s="34"/>
      <c r="CX23"/>
      <c r="CZ23" s="34"/>
      <c r="DD23" s="33"/>
      <c r="DG23" t="s">
        <v>631</v>
      </c>
      <c r="DH23" t="s">
        <v>800</v>
      </c>
      <c r="DI23" t="s">
        <v>286</v>
      </c>
      <c r="DL23" t="s">
        <v>518</v>
      </c>
      <c r="DM23">
        <v>4</v>
      </c>
      <c r="DN23">
        <v>7</v>
      </c>
      <c r="DO23" t="s">
        <v>632</v>
      </c>
      <c r="DQ23" t="s">
        <v>773</v>
      </c>
      <c r="DR23">
        <v>14</v>
      </c>
      <c r="DS23">
        <v>2</v>
      </c>
      <c r="DU23">
        <v>14</v>
      </c>
      <c r="DV23">
        <v>2</v>
      </c>
      <c r="DX23">
        <v>14</v>
      </c>
      <c r="DY23">
        <v>2</v>
      </c>
      <c r="DZ23" t="s">
        <v>246</v>
      </c>
      <c r="EA23" t="s">
        <v>775</v>
      </c>
    </row>
    <row r="24" spans="1:131" x14ac:dyDescent="0.4">
      <c r="A24" s="33">
        <v>43072.860763888886</v>
      </c>
      <c r="B24" s="24">
        <v>42935.475694444445</v>
      </c>
      <c r="D24" s="33"/>
      <c r="E24" s="33" t="s">
        <v>193</v>
      </c>
      <c r="F24" s="33" t="s">
        <v>191</v>
      </c>
      <c r="G24" s="33" t="s">
        <v>100</v>
      </c>
      <c r="H24" t="s">
        <v>279</v>
      </c>
      <c r="I24" t="s">
        <v>243</v>
      </c>
      <c r="J24" t="s">
        <v>558</v>
      </c>
      <c r="K24" t="s">
        <v>575</v>
      </c>
      <c r="L24" t="s">
        <v>557</v>
      </c>
      <c r="M24" s="29">
        <v>3.13</v>
      </c>
      <c r="N24">
        <v>6.75</v>
      </c>
      <c r="P24" s="23" t="str">
        <f>IFERROR(MID(RADataTable[[#This Row],[RATemplate]],1,LEN(RADataTable[[#This Row],[RATemplate]])-8),"RA") &amp; " " &amp; RADataTable[[#This Row],[prop_id0]] &amp; " " &amp; RADataTable[[#This Row],[last0]]</f>
        <v>RA 1750302 Dinitz</v>
      </c>
      <c r="T24">
        <v>4</v>
      </c>
      <c r="U24">
        <v>4</v>
      </c>
      <c r="V24" s="33">
        <v>43030.96875</v>
      </c>
      <c r="W24">
        <v>1</v>
      </c>
      <c r="X24" s="15" t="str">
        <f>HYPERLINK("https://www.ejacket.nsf.gov/ej/showProposal.do?Continue=Y&amp;ID="&amp;RADataTable[[#This Row],[prop_id0]],"eJ")</f>
        <v>eJ</v>
      </c>
      <c r="Y24" s="15" t="str">
        <f>HYPERLINK("mailto:"&amp;RADataTable[[#This Row],[email]]&amp;"&amp;subject=Your NSF Proposal:  "&amp;RADataTable[[#This Row],[Div]]&amp;" "&amp;RADataTable[[#This Row],[prop_id0]], RADataTable[[#This Row],[email]])</f>
        <v>mdinitz@cs.jhu.edu</v>
      </c>
      <c r="Z24" s="15" t="str">
        <f>HYPERLINK("mailto:"&amp;RADataTable[[#This Row],[allPIemail]]&amp;"&amp;subject=NSF Proposal:  "&amp;RADataTable[[#This Row],[Div]]&amp;" "&amp;RADataTable[[#This Row],[prop_id0]], "PIs@")</f>
        <v>PIs@</v>
      </c>
      <c r="AA24" t="s">
        <v>245</v>
      </c>
      <c r="AB24" t="s">
        <v>521</v>
      </c>
      <c r="AC24" s="29" t="s">
        <v>647</v>
      </c>
      <c r="AD24" t="s">
        <v>296</v>
      </c>
      <c r="AE24" t="s">
        <v>648</v>
      </c>
      <c r="AF24" s="35">
        <v>507459</v>
      </c>
      <c r="AG24" s="35">
        <v>507459</v>
      </c>
      <c r="AH24" s="23"/>
      <c r="AJ24" s="33"/>
      <c r="AK24" t="s">
        <v>769</v>
      </c>
      <c r="AL24" t="s">
        <v>287</v>
      </c>
      <c r="AM24" s="33" t="s">
        <v>771</v>
      </c>
      <c r="AN24" s="33">
        <v>43032</v>
      </c>
      <c r="AO24" s="23">
        <v>13</v>
      </c>
      <c r="AP24" t="s">
        <v>804</v>
      </c>
      <c r="AR24" s="34"/>
      <c r="AS24"/>
      <c r="AT24" s="33"/>
      <c r="AV24" s="33"/>
      <c r="AX24" s="33"/>
      <c r="AY24"/>
      <c r="BA24" s="33"/>
      <c r="BB24"/>
      <c r="BC24" t="s">
        <v>651</v>
      </c>
      <c r="BD24" s="35">
        <v>507459</v>
      </c>
      <c r="BE24" s="35">
        <v>507459</v>
      </c>
      <c r="BF24">
        <v>0</v>
      </c>
      <c r="BG24" s="33">
        <v>43282</v>
      </c>
      <c r="BH24">
        <v>60</v>
      </c>
      <c r="BI24" t="s">
        <v>283</v>
      </c>
      <c r="BJ24" t="s">
        <v>774</v>
      </c>
      <c r="BK24" t="s">
        <v>780</v>
      </c>
      <c r="BL24" t="s">
        <v>194</v>
      </c>
      <c r="BM24" s="8" t="s">
        <v>192</v>
      </c>
      <c r="BN24" t="s">
        <v>189</v>
      </c>
      <c r="BO24" t="s">
        <v>190</v>
      </c>
      <c r="BP24" s="34" t="s">
        <v>564</v>
      </c>
      <c r="BQ24"/>
      <c r="BU24" s="34"/>
      <c r="BV24" s="34"/>
      <c r="BX24"/>
      <c r="CA24" s="34"/>
      <c r="CB24" s="34"/>
      <c r="CC24"/>
      <c r="CG24" s="34"/>
      <c r="CH24" s="34"/>
      <c r="CK24"/>
      <c r="CM24" s="34"/>
      <c r="CN24" s="34"/>
      <c r="CQ24"/>
      <c r="CS24" s="34"/>
      <c r="CT24" s="34"/>
      <c r="CX24"/>
      <c r="CZ24" s="34"/>
      <c r="DD24" s="33"/>
      <c r="DG24" t="s">
        <v>649</v>
      </c>
      <c r="DH24" t="s">
        <v>805</v>
      </c>
      <c r="DI24" t="s">
        <v>286</v>
      </c>
      <c r="DL24" t="s">
        <v>521</v>
      </c>
      <c r="DM24">
        <v>6</v>
      </c>
      <c r="DN24">
        <v>8</v>
      </c>
      <c r="DO24" t="s">
        <v>650</v>
      </c>
      <c r="DQ24" t="s">
        <v>773</v>
      </c>
      <c r="DR24">
        <v>14</v>
      </c>
      <c r="DS24">
        <v>1</v>
      </c>
      <c r="DU24">
        <v>14</v>
      </c>
      <c r="DV24">
        <v>1</v>
      </c>
      <c r="DX24">
        <v>14</v>
      </c>
      <c r="DY24">
        <v>1</v>
      </c>
      <c r="DZ24" t="s">
        <v>246</v>
      </c>
      <c r="EA24" t="s">
        <v>775</v>
      </c>
    </row>
    <row r="25" spans="1:131" x14ac:dyDescent="0.4">
      <c r="A25" s="33">
        <v>43072.860763888886</v>
      </c>
      <c r="B25" s="24">
        <v>42935.54583333333</v>
      </c>
      <c r="D25" s="33"/>
      <c r="E25" s="33" t="s">
        <v>193</v>
      </c>
      <c r="F25" s="33" t="s">
        <v>191</v>
      </c>
      <c r="G25" s="33" t="s">
        <v>100</v>
      </c>
      <c r="H25" t="s">
        <v>279</v>
      </c>
      <c r="I25" t="s">
        <v>243</v>
      </c>
      <c r="J25" t="s">
        <v>558</v>
      </c>
      <c r="K25" t="s">
        <v>575</v>
      </c>
      <c r="L25" t="s">
        <v>557</v>
      </c>
      <c r="M25" s="29">
        <v>3.13</v>
      </c>
      <c r="N25">
        <v>6.5</v>
      </c>
      <c r="P25" s="23" t="str">
        <f>IFERROR(MID(RADataTable[[#This Row],[RATemplate]],1,LEN(RADataTable[[#This Row],[RATemplate]])-8),"RA") &amp; " " &amp; RADataTable[[#This Row],[prop_id0]] &amp; " " &amp; RADataTable[[#This Row],[last0]]</f>
        <v>RA 1750463 Raghvendra</v>
      </c>
      <c r="T25">
        <v>4</v>
      </c>
      <c r="U25">
        <v>4</v>
      </c>
      <c r="V25" s="33">
        <v>43032.486805555556</v>
      </c>
      <c r="W25">
        <v>1</v>
      </c>
      <c r="X25" s="15" t="str">
        <f>HYPERLINK("https://www.ejacket.nsf.gov/ej/showProposal.do?Continue=Y&amp;ID="&amp;RADataTable[[#This Row],[prop_id0]],"eJ")</f>
        <v>eJ</v>
      </c>
      <c r="Y25" s="15" t="str">
        <f>HYPERLINK("mailto:"&amp;RADataTable[[#This Row],[email]]&amp;"&amp;subject=Your NSF Proposal:  "&amp;RADataTable[[#This Row],[Div]]&amp;" "&amp;RADataTable[[#This Row],[prop_id0]], RADataTable[[#This Row],[email]])</f>
        <v>sharathr@vt.edu</v>
      </c>
      <c r="Z25" s="15" t="str">
        <f>HYPERLINK("mailto:"&amp;RADataTable[[#This Row],[allPIemail]]&amp;"&amp;subject=NSF Proposal:  "&amp;RADataTable[[#This Row],[Div]]&amp;" "&amp;RADataTable[[#This Row],[prop_id0]], "PIs@")</f>
        <v>PIs@</v>
      </c>
      <c r="AA25" t="s">
        <v>245</v>
      </c>
      <c r="AB25" t="s">
        <v>523</v>
      </c>
      <c r="AC25" s="29" t="s">
        <v>658</v>
      </c>
      <c r="AD25" t="s">
        <v>659</v>
      </c>
      <c r="AE25" t="s">
        <v>660</v>
      </c>
      <c r="AF25" s="35">
        <v>533991</v>
      </c>
      <c r="AG25" s="35">
        <v>533991</v>
      </c>
      <c r="AH25" s="23"/>
      <c r="AJ25" s="33"/>
      <c r="AK25" t="s">
        <v>769</v>
      </c>
      <c r="AL25" t="s">
        <v>287</v>
      </c>
      <c r="AM25" s="33" t="s">
        <v>771</v>
      </c>
      <c r="AN25" s="33">
        <v>43032</v>
      </c>
      <c r="AO25" s="23">
        <v>13</v>
      </c>
      <c r="AP25" t="s">
        <v>808</v>
      </c>
      <c r="AR25" s="34"/>
      <c r="AS25"/>
      <c r="AT25" s="33"/>
      <c r="AV25" s="33"/>
      <c r="AX25" s="33"/>
      <c r="AY25"/>
      <c r="BA25" s="33"/>
      <c r="BB25"/>
      <c r="BC25" t="s">
        <v>664</v>
      </c>
      <c r="BD25" s="35">
        <v>533991</v>
      </c>
      <c r="BE25" s="35">
        <v>533991</v>
      </c>
      <c r="BF25">
        <v>0</v>
      </c>
      <c r="BG25" s="33">
        <v>43110</v>
      </c>
      <c r="BH25">
        <v>60</v>
      </c>
      <c r="BI25" t="s">
        <v>283</v>
      </c>
      <c r="BJ25" t="s">
        <v>774</v>
      </c>
      <c r="BK25" t="s">
        <v>780</v>
      </c>
      <c r="BL25" t="s">
        <v>194</v>
      </c>
      <c r="BM25" s="8" t="s">
        <v>192</v>
      </c>
      <c r="BN25" t="s">
        <v>189</v>
      </c>
      <c r="BO25" t="s">
        <v>190</v>
      </c>
      <c r="BP25" s="34" t="s">
        <v>564</v>
      </c>
      <c r="BQ25"/>
      <c r="BU25" s="34"/>
      <c r="BV25" s="34"/>
      <c r="BX25"/>
      <c r="CA25" s="34"/>
      <c r="CB25" s="34"/>
      <c r="CC25"/>
      <c r="CG25" s="34"/>
      <c r="CH25" s="34"/>
      <c r="CK25"/>
      <c r="CM25" s="34"/>
      <c r="CN25" s="34"/>
      <c r="CQ25"/>
      <c r="CS25" s="34"/>
      <c r="CT25" s="34"/>
      <c r="CX25"/>
      <c r="CZ25" s="34"/>
      <c r="DD25" s="33"/>
      <c r="DG25" t="s">
        <v>662</v>
      </c>
      <c r="DH25" t="s">
        <v>809</v>
      </c>
      <c r="DI25" t="s">
        <v>286</v>
      </c>
      <c r="DL25" t="s">
        <v>523</v>
      </c>
      <c r="DM25">
        <v>5</v>
      </c>
      <c r="DN25">
        <v>8</v>
      </c>
      <c r="DO25" t="s">
        <v>663</v>
      </c>
      <c r="DQ25" t="s">
        <v>773</v>
      </c>
      <c r="DR25">
        <v>14</v>
      </c>
      <c r="DS25">
        <v>2</v>
      </c>
      <c r="DU25">
        <v>14</v>
      </c>
      <c r="DV25">
        <v>2</v>
      </c>
      <c r="DX25">
        <v>14</v>
      </c>
      <c r="DY25">
        <v>2</v>
      </c>
      <c r="DZ25" t="s">
        <v>246</v>
      </c>
      <c r="EA25" t="s">
        <v>775</v>
      </c>
    </row>
    <row r="26" spans="1:131" x14ac:dyDescent="0.4">
      <c r="A26" s="33">
        <v>43072.860763888886</v>
      </c>
      <c r="B26" s="24">
        <v>42935.680555555555</v>
      </c>
      <c r="D26" s="33"/>
      <c r="E26" s="33" t="s">
        <v>193</v>
      </c>
      <c r="F26" s="33" t="s">
        <v>191</v>
      </c>
      <c r="G26" s="33" t="s">
        <v>100</v>
      </c>
      <c r="H26" t="s">
        <v>279</v>
      </c>
      <c r="I26" t="s">
        <v>243</v>
      </c>
      <c r="J26" t="s">
        <v>558</v>
      </c>
      <c r="K26" t="s">
        <v>559</v>
      </c>
      <c r="L26" t="s">
        <v>557</v>
      </c>
      <c r="M26" s="29">
        <v>3.13</v>
      </c>
      <c r="N26">
        <v>4.75</v>
      </c>
      <c r="P26" s="23" t="str">
        <f>IFERROR(MID(RADataTable[[#This Row],[RATemplate]],1,LEN(RADataTable[[#This Row],[RATemplate]])-8),"RA") &amp; " " &amp; RADataTable[[#This Row],[prop_id0]] &amp; " " &amp; RADataTable[[#This Row],[last0]]</f>
        <v>RA 1751047 Gibson</v>
      </c>
      <c r="T26">
        <v>4</v>
      </c>
      <c r="U26">
        <v>4</v>
      </c>
      <c r="V26" s="33">
        <v>43030.177777777775</v>
      </c>
      <c r="W26">
        <v>1</v>
      </c>
      <c r="X26" s="15" t="str">
        <f>HYPERLINK("https://www.ejacket.nsf.gov/ej/showProposal.do?Continue=Y&amp;ID="&amp;RADataTable[[#This Row],[prop_id0]],"eJ")</f>
        <v>eJ</v>
      </c>
      <c r="Y26" s="15" t="str">
        <f>HYPERLINK("mailto:"&amp;RADataTable[[#This Row],[email]]&amp;"&amp;subject=Your NSF Proposal:  "&amp;RADataTable[[#This Row],[Div]]&amp;" "&amp;RADataTable[[#This Row],[prop_id0]], RADataTable[[#This Row],[email]])</f>
        <v>MATTHEW.GIBSON@UTSA.EDU</v>
      </c>
      <c r="Z26" s="15" t="str">
        <f>HYPERLINK("mailto:"&amp;RADataTable[[#This Row],[allPIemail]]&amp;"&amp;subject=NSF Proposal:  "&amp;RADataTable[[#This Row],[Div]]&amp;" "&amp;RADataTable[[#This Row],[prop_id0]], "PIs@")</f>
        <v>PIs@</v>
      </c>
      <c r="AA26" t="s">
        <v>245</v>
      </c>
      <c r="AB26" t="s">
        <v>525</v>
      </c>
      <c r="AC26" s="29" t="s">
        <v>670</v>
      </c>
      <c r="AD26" t="s">
        <v>671</v>
      </c>
      <c r="AE26" t="s">
        <v>672</v>
      </c>
      <c r="AF26" s="35">
        <v>415497</v>
      </c>
      <c r="AG26" s="35">
        <v>415497</v>
      </c>
      <c r="AH26" s="23"/>
      <c r="AJ26" s="33"/>
      <c r="AK26" t="s">
        <v>769</v>
      </c>
      <c r="AL26" t="s">
        <v>287</v>
      </c>
      <c r="AM26" s="33" t="s">
        <v>771</v>
      </c>
      <c r="AN26" s="33">
        <v>43032</v>
      </c>
      <c r="AO26" s="23">
        <v>13</v>
      </c>
      <c r="AP26" t="s">
        <v>811</v>
      </c>
      <c r="AR26" s="34"/>
      <c r="AS26"/>
      <c r="AT26" s="33"/>
      <c r="AV26" s="33"/>
      <c r="AX26" s="33"/>
      <c r="AY26"/>
      <c r="BA26" s="33"/>
      <c r="BB26"/>
      <c r="BC26" t="s">
        <v>675</v>
      </c>
      <c r="BD26" s="35">
        <v>415497</v>
      </c>
      <c r="BE26" s="35">
        <v>415497</v>
      </c>
      <c r="BF26">
        <v>0</v>
      </c>
      <c r="BG26" s="33">
        <v>43132</v>
      </c>
      <c r="BH26">
        <v>60</v>
      </c>
      <c r="BI26" t="s">
        <v>283</v>
      </c>
      <c r="BJ26" t="s">
        <v>774</v>
      </c>
      <c r="BK26" t="s">
        <v>234</v>
      </c>
      <c r="BL26" t="s">
        <v>194</v>
      </c>
      <c r="BM26" s="8" t="s">
        <v>192</v>
      </c>
      <c r="BN26" t="s">
        <v>189</v>
      </c>
      <c r="BO26" t="s">
        <v>190</v>
      </c>
      <c r="BP26" s="34" t="s">
        <v>572</v>
      </c>
      <c r="BQ26"/>
      <c r="BU26" s="34"/>
      <c r="BV26" s="34"/>
      <c r="BX26"/>
      <c r="CA26" s="34"/>
      <c r="CB26" s="34"/>
      <c r="CC26"/>
      <c r="CG26" s="34"/>
      <c r="CH26" s="34"/>
      <c r="CK26"/>
      <c r="CM26" s="34"/>
      <c r="CN26" s="34"/>
      <c r="CQ26"/>
      <c r="CS26" s="34"/>
      <c r="CT26" s="34"/>
      <c r="CX26"/>
      <c r="CZ26" s="34"/>
      <c r="DD26" s="33"/>
      <c r="DG26" t="s">
        <v>673</v>
      </c>
      <c r="DH26" t="s">
        <v>812</v>
      </c>
      <c r="DI26" t="s">
        <v>286</v>
      </c>
      <c r="DL26" t="s">
        <v>525</v>
      </c>
      <c r="DM26">
        <v>3</v>
      </c>
      <c r="DN26">
        <v>7</v>
      </c>
      <c r="DO26" t="s">
        <v>674</v>
      </c>
      <c r="DQ26" t="s">
        <v>773</v>
      </c>
      <c r="DR26">
        <v>14</v>
      </c>
      <c r="DS26">
        <v>0</v>
      </c>
      <c r="DU26">
        <v>14</v>
      </c>
      <c r="DV26">
        <v>0</v>
      </c>
      <c r="DX26">
        <v>14</v>
      </c>
      <c r="DY26">
        <v>0</v>
      </c>
      <c r="DZ26" t="s">
        <v>246</v>
      </c>
      <c r="EA26" t="s">
        <v>775</v>
      </c>
    </row>
    <row r="27" spans="1:131" x14ac:dyDescent="0.4">
      <c r="A27" s="33">
        <v>43072.860763888886</v>
      </c>
      <c r="B27" s="24">
        <v>42935.851388888892</v>
      </c>
      <c r="D27" s="33"/>
      <c r="E27" s="33" t="s">
        <v>193</v>
      </c>
      <c r="F27" s="33" t="s">
        <v>191</v>
      </c>
      <c r="G27" s="33" t="s">
        <v>100</v>
      </c>
      <c r="H27" t="s">
        <v>279</v>
      </c>
      <c r="I27" t="s">
        <v>243</v>
      </c>
      <c r="J27" t="s">
        <v>558</v>
      </c>
      <c r="K27" t="s">
        <v>575</v>
      </c>
      <c r="L27" t="s">
        <v>557</v>
      </c>
      <c r="M27" s="29">
        <v>3.13</v>
      </c>
      <c r="N27">
        <v>5.5</v>
      </c>
      <c r="P27" s="23" t="str">
        <f>IFERROR(MID(RADataTable[[#This Row],[RATemplate]],1,LEN(RADataTable[[#This Row],[RATemplate]])-8),"RA") &amp; " " &amp; RADataTable[[#This Row],[prop_id0]] &amp; " " &amp; RADataTable[[#This Row],[last0]]</f>
        <v>RA 1751416 Sitchinava</v>
      </c>
      <c r="T27">
        <v>4</v>
      </c>
      <c r="U27">
        <v>4</v>
      </c>
      <c r="V27" s="33">
        <v>43031.703472222223</v>
      </c>
      <c r="W27">
        <v>1</v>
      </c>
      <c r="X27" s="15" t="str">
        <f>HYPERLINK("https://www.ejacket.nsf.gov/ej/showProposal.do?Continue=Y&amp;ID="&amp;RADataTable[[#This Row],[prop_id0]],"eJ")</f>
        <v>eJ</v>
      </c>
      <c r="Y27" s="15" t="str">
        <f>HYPERLINK("mailto:"&amp;RADataTable[[#This Row],[email]]&amp;"&amp;subject=Your NSF Proposal:  "&amp;RADataTable[[#This Row],[Div]]&amp;" "&amp;RADataTable[[#This Row],[prop_id0]], RADataTable[[#This Row],[email]])</f>
        <v>nodari@hawaii.edu</v>
      </c>
      <c r="Z27" s="15" t="str">
        <f>HYPERLINK("mailto:"&amp;RADataTable[[#This Row],[allPIemail]]&amp;"&amp;subject=NSF Proposal:  "&amp;RADataTable[[#This Row],[Div]]&amp;" "&amp;RADataTable[[#This Row],[prop_id0]], "PIs@")</f>
        <v>PIs@</v>
      </c>
      <c r="AA27" t="s">
        <v>245</v>
      </c>
      <c r="AB27" t="s">
        <v>529</v>
      </c>
      <c r="AC27" s="29" t="s">
        <v>694</v>
      </c>
      <c r="AD27" t="s">
        <v>695</v>
      </c>
      <c r="AE27" t="s">
        <v>696</v>
      </c>
      <c r="AF27" s="35">
        <v>549999</v>
      </c>
      <c r="AG27" s="35">
        <v>549999</v>
      </c>
      <c r="AH27" s="23"/>
      <c r="AJ27" s="33"/>
      <c r="AK27" t="s">
        <v>769</v>
      </c>
      <c r="AL27" t="s">
        <v>287</v>
      </c>
      <c r="AM27" s="33" t="s">
        <v>771</v>
      </c>
      <c r="AN27" s="33">
        <v>43032</v>
      </c>
      <c r="AO27" s="23">
        <v>13</v>
      </c>
      <c r="AP27" t="s">
        <v>817</v>
      </c>
      <c r="AR27" s="34"/>
      <c r="AS27"/>
      <c r="AT27" s="33"/>
      <c r="AV27" s="33"/>
      <c r="AX27" s="33"/>
      <c r="AY27"/>
      <c r="BA27" s="33"/>
      <c r="BB27"/>
      <c r="BC27" t="s">
        <v>700</v>
      </c>
      <c r="BD27" s="35">
        <v>549999</v>
      </c>
      <c r="BE27" s="35">
        <v>549999</v>
      </c>
      <c r="BF27">
        <v>0</v>
      </c>
      <c r="BG27" s="33">
        <v>43160</v>
      </c>
      <c r="BH27">
        <v>60</v>
      </c>
      <c r="BI27" t="s">
        <v>283</v>
      </c>
      <c r="BJ27" t="s">
        <v>774</v>
      </c>
      <c r="BK27" t="s">
        <v>780</v>
      </c>
      <c r="BL27" t="s">
        <v>194</v>
      </c>
      <c r="BM27" s="8" t="s">
        <v>192</v>
      </c>
      <c r="BN27" t="s">
        <v>189</v>
      </c>
      <c r="BO27" t="s">
        <v>190</v>
      </c>
      <c r="BP27" s="34" t="s">
        <v>698</v>
      </c>
      <c r="BQ27"/>
      <c r="BU27" s="34"/>
      <c r="BV27" s="34"/>
      <c r="BX27"/>
      <c r="CA27" s="34"/>
      <c r="CB27" s="34"/>
      <c r="CC27"/>
      <c r="CG27" s="34"/>
      <c r="CH27" s="34"/>
      <c r="CK27"/>
      <c r="CM27" s="34"/>
      <c r="CN27" s="34"/>
      <c r="CQ27"/>
      <c r="CS27" s="34"/>
      <c r="CT27" s="34"/>
      <c r="CX27"/>
      <c r="CZ27" s="34"/>
      <c r="DD27" s="33"/>
      <c r="DG27" t="s">
        <v>697</v>
      </c>
      <c r="DH27" t="s">
        <v>818</v>
      </c>
      <c r="DI27" t="s">
        <v>286</v>
      </c>
      <c r="DL27" t="s">
        <v>529</v>
      </c>
      <c r="DM27">
        <v>4</v>
      </c>
      <c r="DN27">
        <v>7</v>
      </c>
      <c r="DO27" t="s">
        <v>699</v>
      </c>
      <c r="DQ27" t="s">
        <v>773</v>
      </c>
      <c r="DR27">
        <v>14</v>
      </c>
      <c r="DS27">
        <v>1</v>
      </c>
      <c r="DU27">
        <v>14</v>
      </c>
      <c r="DV27">
        <v>1</v>
      </c>
      <c r="DX27">
        <v>14</v>
      </c>
      <c r="DY27">
        <v>1</v>
      </c>
      <c r="DZ27" t="s">
        <v>246</v>
      </c>
      <c r="EA27" t="s">
        <v>775</v>
      </c>
    </row>
    <row r="28" spans="1:131" x14ac:dyDescent="0.4">
      <c r="A28" s="33">
        <v>43072.860763888886</v>
      </c>
      <c r="B28" s="24">
        <v>42954.500694444447</v>
      </c>
      <c r="D28" s="33"/>
      <c r="E28" s="33" t="s">
        <v>193</v>
      </c>
      <c r="F28" s="33" t="s">
        <v>191</v>
      </c>
      <c r="G28" s="33" t="s">
        <v>100</v>
      </c>
      <c r="H28" t="s">
        <v>702</v>
      </c>
      <c r="I28" t="s">
        <v>243</v>
      </c>
      <c r="J28" t="s">
        <v>703</v>
      </c>
      <c r="K28" t="s">
        <v>575</v>
      </c>
      <c r="L28" t="s">
        <v>701</v>
      </c>
      <c r="M28" s="29">
        <v>4.05</v>
      </c>
      <c r="N28">
        <v>3.25</v>
      </c>
      <c r="P28" s="23" t="str">
        <f>IFERROR(MID(RADataTable[[#This Row],[RATemplate]],1,LEN(RADataTable[[#This Row],[RATemplate]])-8),"RA") &amp; " " &amp; RADataTable[[#This Row],[prop_id0]] &amp; " " &amp; RADataTable[[#This Row],[last0]]</f>
        <v>RA 1755481 Wang</v>
      </c>
      <c r="T28">
        <v>4</v>
      </c>
      <c r="U28">
        <v>4</v>
      </c>
      <c r="V28" s="33">
        <v>43031.775694444441</v>
      </c>
      <c r="W28">
        <v>1</v>
      </c>
      <c r="X28" s="15" t="str">
        <f>HYPERLINK("https://www.ejacket.nsf.gov/ej/showProposal.do?Continue=Y&amp;ID="&amp;RADataTable[[#This Row],[prop_id0]],"eJ")</f>
        <v>eJ</v>
      </c>
      <c r="Y28" s="15" t="str">
        <f>HYPERLINK("mailto:"&amp;RADataTable[[#This Row],[email]]&amp;"&amp;subject=Your NSF Proposal:  "&amp;RADataTable[[#This Row],[Div]]&amp;" "&amp;RADataTable[[#This Row],[prop_id0]], RADataTable[[#This Row],[email]])</f>
        <v>kwang@georgiasouthern.edu</v>
      </c>
      <c r="Z28" s="15" t="str">
        <f>HYPERLINK("mailto:"&amp;RADataTable[[#This Row],[allPIemail]]&amp;"&amp;subject=NSF Proposal:  "&amp;RADataTable[[#This Row],[Div]]&amp;" "&amp;RADataTable[[#This Row],[prop_id0]], "PIs@")</f>
        <v>PIs@</v>
      </c>
      <c r="AA28" t="s">
        <v>245</v>
      </c>
      <c r="AB28" t="s">
        <v>530</v>
      </c>
      <c r="AC28" s="29" t="s">
        <v>567</v>
      </c>
      <c r="AD28" t="s">
        <v>704</v>
      </c>
      <c r="AE28" t="s">
        <v>705</v>
      </c>
      <c r="AF28" s="35">
        <v>168126</v>
      </c>
      <c r="AG28" s="35">
        <v>168126</v>
      </c>
      <c r="AH28" s="23"/>
      <c r="AJ28" s="33"/>
      <c r="AK28" t="s">
        <v>769</v>
      </c>
      <c r="AL28" t="s">
        <v>770</v>
      </c>
      <c r="AM28" s="33" t="s">
        <v>771</v>
      </c>
      <c r="AN28" s="33">
        <v>43032</v>
      </c>
      <c r="AO28" s="23">
        <v>5</v>
      </c>
      <c r="AP28" t="s">
        <v>819</v>
      </c>
      <c r="AR28" s="34"/>
      <c r="AS28"/>
      <c r="AT28" s="33"/>
      <c r="AV28" s="33"/>
      <c r="AX28" s="33"/>
      <c r="AY28"/>
      <c r="BA28" s="33"/>
      <c r="BB28"/>
      <c r="BC28" t="s">
        <v>709</v>
      </c>
      <c r="BD28" s="35">
        <v>168126</v>
      </c>
      <c r="BE28" s="35">
        <v>168126</v>
      </c>
      <c r="BF28">
        <v>0</v>
      </c>
      <c r="BG28" s="33">
        <v>43101</v>
      </c>
      <c r="BH28">
        <v>24</v>
      </c>
      <c r="BI28" t="s">
        <v>820</v>
      </c>
      <c r="BJ28" t="s">
        <v>821</v>
      </c>
      <c r="BK28" t="s">
        <v>780</v>
      </c>
      <c r="BL28" t="s">
        <v>194</v>
      </c>
      <c r="BM28" s="8" t="s">
        <v>192</v>
      </c>
      <c r="BN28" t="s">
        <v>189</v>
      </c>
      <c r="BO28" t="s">
        <v>190</v>
      </c>
      <c r="BP28" s="34" t="s">
        <v>707</v>
      </c>
      <c r="BQ28"/>
      <c r="BU28" s="34"/>
      <c r="BV28" s="34"/>
      <c r="BX28"/>
      <c r="CA28" s="34"/>
      <c r="CB28" s="34"/>
      <c r="CC28"/>
      <c r="CG28" s="34"/>
      <c r="CH28" s="34"/>
      <c r="CK28"/>
      <c r="CM28" s="34"/>
      <c r="CN28" s="34"/>
      <c r="CQ28"/>
      <c r="CS28" s="34"/>
      <c r="CT28" s="34"/>
      <c r="CX28"/>
      <c r="CZ28" s="34"/>
      <c r="DD28" s="33"/>
      <c r="DG28" t="s">
        <v>706</v>
      </c>
      <c r="DH28" t="s">
        <v>822</v>
      </c>
      <c r="DI28" t="s">
        <v>644</v>
      </c>
      <c r="DL28" t="s">
        <v>530</v>
      </c>
      <c r="DM28">
        <v>3</v>
      </c>
      <c r="DN28">
        <v>4</v>
      </c>
      <c r="DO28" t="s">
        <v>708</v>
      </c>
      <c r="DQ28" t="s">
        <v>773</v>
      </c>
      <c r="DR28">
        <v>14</v>
      </c>
      <c r="DS28">
        <v>0</v>
      </c>
      <c r="DU28">
        <v>14</v>
      </c>
      <c r="DV28">
        <v>0</v>
      </c>
      <c r="DX28">
        <v>14</v>
      </c>
      <c r="DY28">
        <v>0</v>
      </c>
      <c r="DZ28" t="s">
        <v>246</v>
      </c>
      <c r="EA28" t="s">
        <v>775</v>
      </c>
    </row>
    <row r="29" spans="1:131" x14ac:dyDescent="0.4">
      <c r="A29" s="33">
        <v>43072.860763888886</v>
      </c>
      <c r="B29" s="24">
        <v>42956.647916666669</v>
      </c>
      <c r="D29" s="33"/>
      <c r="E29" s="33" t="s">
        <v>193</v>
      </c>
      <c r="F29" s="33" t="s">
        <v>191</v>
      </c>
      <c r="G29" s="33" t="s">
        <v>100</v>
      </c>
      <c r="H29" t="s">
        <v>702</v>
      </c>
      <c r="I29" t="s">
        <v>243</v>
      </c>
      <c r="J29" t="s">
        <v>703</v>
      </c>
      <c r="K29" t="s">
        <v>559</v>
      </c>
      <c r="L29" t="s">
        <v>701</v>
      </c>
      <c r="M29" s="29">
        <v>4.05</v>
      </c>
      <c r="N29">
        <v>5.333333333333333</v>
      </c>
      <c r="P29" s="23" t="str">
        <f>IFERROR(MID(RADataTable[[#This Row],[RATemplate]],1,LEN(RADataTable[[#This Row],[RATemplate]])-8),"RA") &amp; " " &amp; RADataTable[[#This Row],[prop_id0]] &amp; " " &amp; RADataTable[[#This Row],[last0]]</f>
        <v>RA 1755881 San</v>
      </c>
      <c r="T29">
        <v>3</v>
      </c>
      <c r="U29">
        <v>3</v>
      </c>
      <c r="V29" s="33">
        <v>43031.741666666669</v>
      </c>
      <c r="W29">
        <v>1</v>
      </c>
      <c r="X29" s="15" t="str">
        <f>HYPERLINK("https://www.ejacket.nsf.gov/ej/showProposal.do?Continue=Y&amp;ID="&amp;RADataTable[[#This Row],[prop_id0]],"eJ")</f>
        <v>eJ</v>
      </c>
      <c r="Y29" s="15" t="str">
        <f>HYPERLINK("mailto:"&amp;RADataTable[[#This Row],[email]]&amp;"&amp;subject=Your NSF Proposal:  "&amp;RADataTable[[#This Row],[Div]]&amp;" "&amp;RADataTable[[#This Row],[prop_id0]], RADataTable[[#This Row],[email]])</f>
        <v>osan@okstate.edu</v>
      </c>
      <c r="Z29" s="15" t="str">
        <f>HYPERLINK("mailto:"&amp;RADataTable[[#This Row],[allPIemail]]&amp;"&amp;subject=NSF Proposal:  "&amp;RADataTable[[#This Row],[Div]]&amp;" "&amp;RADataTable[[#This Row],[prop_id0]], "PIs@")</f>
        <v>PIs@</v>
      </c>
      <c r="AA29" t="s">
        <v>245</v>
      </c>
      <c r="AB29" t="s">
        <v>534</v>
      </c>
      <c r="AC29" s="29" t="s">
        <v>729</v>
      </c>
      <c r="AD29" t="s">
        <v>730</v>
      </c>
      <c r="AE29" t="s">
        <v>731</v>
      </c>
      <c r="AF29" s="35">
        <v>170144</v>
      </c>
      <c r="AG29" s="35">
        <v>170144</v>
      </c>
      <c r="AH29" s="23"/>
      <c r="AJ29" s="33"/>
      <c r="AK29" t="s">
        <v>769</v>
      </c>
      <c r="AL29" t="s">
        <v>770</v>
      </c>
      <c r="AM29" s="33" t="s">
        <v>771</v>
      </c>
      <c r="AN29" s="33">
        <v>43032</v>
      </c>
      <c r="AO29" s="23">
        <v>5</v>
      </c>
      <c r="AP29" t="s">
        <v>829</v>
      </c>
      <c r="AR29" s="34"/>
      <c r="AS29"/>
      <c r="AT29" s="33"/>
      <c r="AV29" s="33"/>
      <c r="AX29" s="33"/>
      <c r="AY29"/>
      <c r="BA29" s="33"/>
      <c r="BB29"/>
      <c r="BC29" t="s">
        <v>735</v>
      </c>
      <c r="BD29" s="35">
        <v>170144</v>
      </c>
      <c r="BE29" s="35">
        <v>170144</v>
      </c>
      <c r="BF29">
        <v>0</v>
      </c>
      <c r="BG29" s="33">
        <v>43252</v>
      </c>
      <c r="BH29">
        <v>24</v>
      </c>
      <c r="BI29" t="s">
        <v>820</v>
      </c>
      <c r="BJ29" t="s">
        <v>821</v>
      </c>
      <c r="BK29" t="s">
        <v>234</v>
      </c>
      <c r="BL29" t="s">
        <v>194</v>
      </c>
      <c r="BM29" s="8" t="s">
        <v>192</v>
      </c>
      <c r="BN29" t="s">
        <v>189</v>
      </c>
      <c r="BO29" t="s">
        <v>190</v>
      </c>
      <c r="BP29" s="34" t="s">
        <v>733</v>
      </c>
      <c r="BQ29"/>
      <c r="BU29" s="34"/>
      <c r="BV29" s="34"/>
      <c r="BX29"/>
      <c r="CA29" s="34"/>
      <c r="CB29" s="34"/>
      <c r="CC29"/>
      <c r="CG29" s="34"/>
      <c r="CH29" s="34"/>
      <c r="CK29"/>
      <c r="CM29" s="34"/>
      <c r="CN29" s="34"/>
      <c r="CQ29"/>
      <c r="CS29" s="34"/>
      <c r="CT29" s="34"/>
      <c r="CX29"/>
      <c r="CZ29" s="34"/>
      <c r="DD29" s="33"/>
      <c r="DG29" t="s">
        <v>732</v>
      </c>
      <c r="DH29" t="s">
        <v>830</v>
      </c>
      <c r="DI29" t="s">
        <v>644</v>
      </c>
      <c r="DL29" t="s">
        <v>534</v>
      </c>
      <c r="DM29">
        <v>3</v>
      </c>
      <c r="DN29">
        <v>8</v>
      </c>
      <c r="DO29" t="s">
        <v>734</v>
      </c>
      <c r="DQ29" t="s">
        <v>773</v>
      </c>
      <c r="DR29">
        <v>14</v>
      </c>
      <c r="DS29">
        <v>0</v>
      </c>
      <c r="DU29">
        <v>14</v>
      </c>
      <c r="DV29">
        <v>0</v>
      </c>
      <c r="DX29">
        <v>14</v>
      </c>
      <c r="DY29">
        <v>0</v>
      </c>
      <c r="DZ29" t="s">
        <v>246</v>
      </c>
      <c r="EA29" t="s">
        <v>775</v>
      </c>
    </row>
    <row r="30" spans="1:131" x14ac:dyDescent="0.4">
      <c r="A30" s="33">
        <v>43072.860763888886</v>
      </c>
      <c r="B30" s="24">
        <v>42956.697222222225</v>
      </c>
      <c r="D30" s="33"/>
      <c r="E30" s="33" t="s">
        <v>193</v>
      </c>
      <c r="F30" s="33" t="s">
        <v>191</v>
      </c>
      <c r="G30" s="33" t="s">
        <v>100</v>
      </c>
      <c r="H30" t="s">
        <v>702</v>
      </c>
      <c r="I30" t="s">
        <v>243</v>
      </c>
      <c r="J30" t="s">
        <v>703</v>
      </c>
      <c r="K30" t="s">
        <v>559</v>
      </c>
      <c r="L30" t="s">
        <v>701</v>
      </c>
      <c r="M30" s="29">
        <v>4.05</v>
      </c>
      <c r="N30">
        <v>5.333333333333333</v>
      </c>
      <c r="P30" s="23" t="str">
        <f>IFERROR(MID(RADataTable[[#This Row],[RATemplate]],1,LEN(RADataTable[[#This Row],[RATemplate]])-8),"RA") &amp; " " &amp; RADataTable[[#This Row],[prop_id0]] &amp; " " &amp; RADataTable[[#This Row],[last0]]</f>
        <v>RA 1755954 Hajimirza</v>
      </c>
      <c r="T30">
        <v>3</v>
      </c>
      <c r="U30">
        <v>3</v>
      </c>
      <c r="V30" s="33">
        <v>43032.675694444442</v>
      </c>
      <c r="W30">
        <v>1</v>
      </c>
      <c r="X30" s="15" t="str">
        <f>HYPERLINK("https://www.ejacket.nsf.gov/ej/showProposal.do?Continue=Y&amp;ID="&amp;RADataTable[[#This Row],[prop_id0]],"eJ")</f>
        <v>eJ</v>
      </c>
      <c r="Y30" s="15" t="str">
        <f>HYPERLINK("mailto:"&amp;RADataTable[[#This Row],[email]]&amp;"&amp;subject=Your NSF Proposal:  "&amp;RADataTable[[#This Row],[Div]]&amp;" "&amp;RADataTable[[#This Row],[prop_id0]], RADataTable[[#This Row],[email]])</f>
        <v>shima.hm@tamu.edu</v>
      </c>
      <c r="Z30" s="15" t="str">
        <f>HYPERLINK("mailto:"&amp;RADataTable[[#This Row],[allPIemail]]&amp;"&amp;subject=NSF Proposal:  "&amp;RADataTable[[#This Row],[Div]]&amp;" "&amp;RADataTable[[#This Row],[prop_id0]], "PIs@")</f>
        <v>PIs@</v>
      </c>
      <c r="AA30" t="s">
        <v>245</v>
      </c>
      <c r="AB30" t="s">
        <v>535</v>
      </c>
      <c r="AC30" s="29" t="s">
        <v>736</v>
      </c>
      <c r="AD30" t="s">
        <v>737</v>
      </c>
      <c r="AE30" t="s">
        <v>738</v>
      </c>
      <c r="AF30" s="35">
        <v>175000</v>
      </c>
      <c r="AG30" s="35">
        <v>175000</v>
      </c>
      <c r="AH30" s="23"/>
      <c r="AJ30" s="33"/>
      <c r="AK30" t="s">
        <v>769</v>
      </c>
      <c r="AL30" t="s">
        <v>770</v>
      </c>
      <c r="AM30" s="33" t="s">
        <v>771</v>
      </c>
      <c r="AN30" s="33">
        <v>43032</v>
      </c>
      <c r="AO30" s="23">
        <v>5</v>
      </c>
      <c r="AP30" t="s">
        <v>831</v>
      </c>
      <c r="AR30" s="34"/>
      <c r="AS30"/>
      <c r="AT30" s="33"/>
      <c r="AV30" s="33"/>
      <c r="AX30" s="33"/>
      <c r="AY30"/>
      <c r="BA30" s="33"/>
      <c r="BB30"/>
      <c r="BC30" t="s">
        <v>741</v>
      </c>
      <c r="BD30" s="35">
        <v>175000</v>
      </c>
      <c r="BE30" s="35">
        <v>175000</v>
      </c>
      <c r="BF30">
        <v>0</v>
      </c>
      <c r="BG30" s="33">
        <v>43252</v>
      </c>
      <c r="BH30">
        <v>24</v>
      </c>
      <c r="BI30" t="s">
        <v>820</v>
      </c>
      <c r="BJ30" t="s">
        <v>821</v>
      </c>
      <c r="BK30" t="s">
        <v>234</v>
      </c>
      <c r="BL30" t="s">
        <v>194</v>
      </c>
      <c r="BM30" s="8" t="s">
        <v>192</v>
      </c>
      <c r="BN30" t="s">
        <v>189</v>
      </c>
      <c r="BO30" t="s">
        <v>190</v>
      </c>
      <c r="BP30" s="34" t="s">
        <v>726</v>
      </c>
      <c r="BQ30"/>
      <c r="BU30" s="34"/>
      <c r="BV30" s="34"/>
      <c r="BX30"/>
      <c r="CA30" s="34"/>
      <c r="CB30" s="34"/>
      <c r="CC30"/>
      <c r="CG30" s="34"/>
      <c r="CH30" s="34"/>
      <c r="CK30"/>
      <c r="CM30" s="34"/>
      <c r="CN30" s="34"/>
      <c r="CQ30"/>
      <c r="CS30" s="34"/>
      <c r="CT30" s="34"/>
      <c r="CX30"/>
      <c r="CZ30" s="34"/>
      <c r="DD30" s="33"/>
      <c r="DG30" t="s">
        <v>739</v>
      </c>
      <c r="DH30" t="s">
        <v>832</v>
      </c>
      <c r="DI30" t="s">
        <v>644</v>
      </c>
      <c r="DL30" t="s">
        <v>535</v>
      </c>
      <c r="DM30">
        <v>4</v>
      </c>
      <c r="DN30">
        <v>7</v>
      </c>
      <c r="DO30" t="s">
        <v>740</v>
      </c>
      <c r="DQ30" t="s">
        <v>773</v>
      </c>
      <c r="DR30">
        <v>14</v>
      </c>
      <c r="DS30">
        <v>0</v>
      </c>
      <c r="DU30">
        <v>14</v>
      </c>
      <c r="DV30">
        <v>0</v>
      </c>
      <c r="DX30">
        <v>14</v>
      </c>
      <c r="DY30">
        <v>0</v>
      </c>
      <c r="DZ30" t="s">
        <v>246</v>
      </c>
      <c r="EA30" t="s">
        <v>775</v>
      </c>
    </row>
    <row r="31" spans="1:131" x14ac:dyDescent="0.4">
      <c r="A31" s="33">
        <v>43072.860763888886</v>
      </c>
      <c r="B31" s="24">
        <v>42956.717361111114</v>
      </c>
      <c r="D31" s="33"/>
      <c r="E31" s="33" t="s">
        <v>193</v>
      </c>
      <c r="F31" s="33" t="s">
        <v>191</v>
      </c>
      <c r="G31" s="33" t="s">
        <v>100</v>
      </c>
      <c r="H31" t="s">
        <v>702</v>
      </c>
      <c r="I31" t="s">
        <v>243</v>
      </c>
      <c r="J31" t="s">
        <v>703</v>
      </c>
      <c r="K31" t="s">
        <v>559</v>
      </c>
      <c r="L31" t="s">
        <v>701</v>
      </c>
      <c r="M31" s="29">
        <v>4.05</v>
      </c>
      <c r="N31">
        <v>4.666666666666667</v>
      </c>
      <c r="P31" s="23" t="str">
        <f>IFERROR(MID(RADataTable[[#This Row],[RATemplate]],1,LEN(RADataTable[[#This Row],[RATemplate]])-8),"RA") &amp; " " &amp; RADataTable[[#This Row],[prop_id0]] &amp; " " &amp; RADataTable[[#This Row],[last0]]</f>
        <v>RA 1755978 Gangammanavar</v>
      </c>
      <c r="T31">
        <v>3</v>
      </c>
      <c r="U31">
        <v>3</v>
      </c>
      <c r="V31" s="33">
        <v>43031.75</v>
      </c>
      <c r="W31">
        <v>1</v>
      </c>
      <c r="X31" s="15" t="str">
        <f>HYPERLINK("https://www.ejacket.nsf.gov/ej/showProposal.do?Continue=Y&amp;ID="&amp;RADataTable[[#This Row],[prop_id0]],"eJ")</f>
        <v>eJ</v>
      </c>
      <c r="Y31" s="15" t="str">
        <f>HYPERLINK("mailto:"&amp;RADataTable[[#This Row],[email]]&amp;"&amp;subject=Your NSF Proposal:  "&amp;RADataTable[[#This Row],[Div]]&amp;" "&amp;RADataTable[[#This Row],[prop_id0]], RADataTable[[#This Row],[email]])</f>
        <v>harsha@smu.edu</v>
      </c>
      <c r="Z31" s="15" t="str">
        <f>HYPERLINK("mailto:"&amp;RADataTable[[#This Row],[allPIemail]]&amp;"&amp;subject=NSF Proposal:  "&amp;RADataTable[[#This Row],[Div]]&amp;" "&amp;RADataTable[[#This Row],[prop_id0]], "PIs@")</f>
        <v>PIs@</v>
      </c>
      <c r="AA31" t="s">
        <v>245</v>
      </c>
      <c r="AB31" t="s">
        <v>536</v>
      </c>
      <c r="AC31" s="29" t="s">
        <v>742</v>
      </c>
      <c r="AD31" t="s">
        <v>743</v>
      </c>
      <c r="AE31" t="s">
        <v>744</v>
      </c>
      <c r="AF31" s="35">
        <v>175000</v>
      </c>
      <c r="AG31" s="35">
        <v>175000</v>
      </c>
      <c r="AH31" s="23"/>
      <c r="AJ31" s="33"/>
      <c r="AK31" t="s">
        <v>769</v>
      </c>
      <c r="AL31" t="s">
        <v>770</v>
      </c>
      <c r="AM31" s="33" t="s">
        <v>771</v>
      </c>
      <c r="AN31" s="33">
        <v>43032</v>
      </c>
      <c r="AO31" s="23">
        <v>5</v>
      </c>
      <c r="AP31" t="s">
        <v>833</v>
      </c>
      <c r="AR31" s="34"/>
      <c r="AS31"/>
      <c r="AT31" s="33"/>
      <c r="AV31" s="33"/>
      <c r="AX31" s="33"/>
      <c r="AY31"/>
      <c r="BA31" s="33"/>
      <c r="BB31"/>
      <c r="BC31" t="s">
        <v>747</v>
      </c>
      <c r="BD31" s="35">
        <v>175000</v>
      </c>
      <c r="BE31" s="35">
        <v>175000</v>
      </c>
      <c r="BF31">
        <v>0</v>
      </c>
      <c r="BG31" s="33">
        <v>43101</v>
      </c>
      <c r="BH31">
        <v>24</v>
      </c>
      <c r="BI31" t="s">
        <v>820</v>
      </c>
      <c r="BJ31" t="s">
        <v>821</v>
      </c>
      <c r="BK31" t="s">
        <v>234</v>
      </c>
      <c r="BL31" t="s">
        <v>194</v>
      </c>
      <c r="BM31" s="8" t="s">
        <v>192</v>
      </c>
      <c r="BN31" t="s">
        <v>189</v>
      </c>
      <c r="BO31" t="s">
        <v>190</v>
      </c>
      <c r="BP31" s="34" t="s">
        <v>503</v>
      </c>
      <c r="BQ31"/>
      <c r="BU31" s="34"/>
      <c r="BV31" s="34"/>
      <c r="BX31"/>
      <c r="CA31" s="34"/>
      <c r="CB31" s="34"/>
      <c r="CC31"/>
      <c r="CG31" s="34"/>
      <c r="CH31" s="34"/>
      <c r="CK31"/>
      <c r="CM31" s="34"/>
      <c r="CN31" s="34"/>
      <c r="CQ31"/>
      <c r="CS31" s="34"/>
      <c r="CT31" s="34"/>
      <c r="CX31"/>
      <c r="CZ31" s="34"/>
      <c r="DD31" s="33"/>
      <c r="DG31" t="s">
        <v>745</v>
      </c>
      <c r="DH31" t="s">
        <v>834</v>
      </c>
      <c r="DI31" t="s">
        <v>644</v>
      </c>
      <c r="DL31" t="s">
        <v>536</v>
      </c>
      <c r="DM31">
        <v>3</v>
      </c>
      <c r="DN31">
        <v>6</v>
      </c>
      <c r="DO31" t="s">
        <v>746</v>
      </c>
      <c r="DQ31" t="s">
        <v>773</v>
      </c>
      <c r="DR31">
        <v>14</v>
      </c>
      <c r="DS31">
        <v>0</v>
      </c>
      <c r="DU31">
        <v>14</v>
      </c>
      <c r="DV31">
        <v>0</v>
      </c>
      <c r="DX31">
        <v>14</v>
      </c>
      <c r="DY31">
        <v>0</v>
      </c>
      <c r="DZ31" t="s">
        <v>246</v>
      </c>
      <c r="EA31" t="s">
        <v>775</v>
      </c>
    </row>
    <row r="32" spans="1:131" x14ac:dyDescent="0.4">
      <c r="A32" s="33">
        <v>43072.860763888886</v>
      </c>
      <c r="B32" s="24">
        <v>42930.554166666669</v>
      </c>
      <c r="D32" s="33"/>
      <c r="E32" s="33" t="s">
        <v>193</v>
      </c>
      <c r="F32" s="33" t="s">
        <v>191</v>
      </c>
      <c r="G32" s="33" t="s">
        <v>100</v>
      </c>
      <c r="H32" t="s">
        <v>279</v>
      </c>
      <c r="I32" t="s">
        <v>243</v>
      </c>
      <c r="J32" t="s">
        <v>558</v>
      </c>
      <c r="K32" t="s">
        <v>559</v>
      </c>
      <c r="L32" t="s">
        <v>557</v>
      </c>
      <c r="M32" s="29">
        <v>4.22</v>
      </c>
      <c r="N32">
        <v>3.75</v>
      </c>
      <c r="P32" s="23" t="str">
        <f>IFERROR(MID(RADataTable[[#This Row],[RATemplate]],1,LEN(RADataTable[[#This Row],[RATemplate]])-8),"RA") &amp; " " &amp; RADataTable[[#This Row],[prop_id0]] &amp; " " &amp; RADataTable[[#This Row],[last0]]</f>
        <v>RA 1749173 Borgwardt</v>
      </c>
      <c r="T32">
        <v>4</v>
      </c>
      <c r="U32">
        <v>4</v>
      </c>
      <c r="V32" s="33">
        <v>43031.583333333336</v>
      </c>
      <c r="W32">
        <v>1</v>
      </c>
      <c r="X32" s="15" t="str">
        <f>HYPERLINK("https://www.ejacket.nsf.gov/ej/showProposal.do?Continue=Y&amp;ID="&amp;RADataTable[[#This Row],[prop_id0]],"eJ")</f>
        <v>eJ</v>
      </c>
      <c r="Y32" s="15" t="str">
        <f>HYPERLINK("mailto:"&amp;RADataTable[[#This Row],[email]]&amp;"&amp;subject=Your NSF Proposal:  "&amp;RADataTable[[#This Row],[Div]]&amp;" "&amp;RADataTable[[#This Row],[prop_id0]], RADataTable[[#This Row],[email]])</f>
        <v>steffen.borgwardt@ucdenver.edu</v>
      </c>
      <c r="Z32" s="15" t="str">
        <f>HYPERLINK("mailto:"&amp;RADataTable[[#This Row],[allPIemail]]&amp;"&amp;subject=NSF Proposal:  "&amp;RADataTable[[#This Row],[Div]]&amp;" "&amp;RADataTable[[#This Row],[prop_id0]], "PIs@")</f>
        <v>PIs@</v>
      </c>
      <c r="AA32" t="s">
        <v>245</v>
      </c>
      <c r="AB32" t="s">
        <v>507</v>
      </c>
      <c r="AC32" s="29" t="s">
        <v>560</v>
      </c>
      <c r="AD32" t="s">
        <v>561</v>
      </c>
      <c r="AE32" t="s">
        <v>562</v>
      </c>
      <c r="AF32" s="35">
        <v>470400</v>
      </c>
      <c r="AG32" s="35">
        <v>470400</v>
      </c>
      <c r="AH32" s="23"/>
      <c r="AJ32" s="33"/>
      <c r="AK32" t="s">
        <v>769</v>
      </c>
      <c r="AL32" t="s">
        <v>770</v>
      </c>
      <c r="AM32" s="33" t="s">
        <v>771</v>
      </c>
      <c r="AN32" s="33">
        <v>43032</v>
      </c>
      <c r="AO32" s="23">
        <v>22</v>
      </c>
      <c r="AP32" t="s">
        <v>772</v>
      </c>
      <c r="AR32" s="34"/>
      <c r="AS32"/>
      <c r="AT32" s="33"/>
      <c r="AV32" s="33"/>
      <c r="AX32" s="33"/>
      <c r="AY32"/>
      <c r="BA32" s="33"/>
      <c r="BB32"/>
      <c r="BC32" t="s">
        <v>566</v>
      </c>
      <c r="BD32" s="35">
        <v>470400</v>
      </c>
      <c r="BE32" s="35">
        <v>470400</v>
      </c>
      <c r="BF32">
        <v>0</v>
      </c>
      <c r="BG32" s="33">
        <v>43101</v>
      </c>
      <c r="BH32">
        <v>60</v>
      </c>
      <c r="BI32" t="s">
        <v>283</v>
      </c>
      <c r="BJ32" t="s">
        <v>774</v>
      </c>
      <c r="BK32" t="s">
        <v>234</v>
      </c>
      <c r="BL32" t="s">
        <v>194</v>
      </c>
      <c r="BM32" s="8" t="s">
        <v>192</v>
      </c>
      <c r="BN32" t="s">
        <v>189</v>
      </c>
      <c r="BO32" t="s">
        <v>190</v>
      </c>
      <c r="BP32" s="34" t="s">
        <v>564</v>
      </c>
      <c r="BQ32"/>
      <c r="BU32" s="34"/>
      <c r="BV32" s="34"/>
      <c r="BX32"/>
      <c r="CA32" s="34"/>
      <c r="CB32" s="34"/>
      <c r="CC32"/>
      <c r="CG32" s="34"/>
      <c r="CH32" s="34"/>
      <c r="CK32"/>
      <c r="CM32" s="34"/>
      <c r="CN32" s="34"/>
      <c r="CQ32"/>
      <c r="CS32" s="34"/>
      <c r="CT32" s="34"/>
      <c r="CX32"/>
      <c r="CZ32" s="34"/>
      <c r="DD32" s="33"/>
      <c r="DG32" t="s">
        <v>563</v>
      </c>
      <c r="DH32" t="s">
        <v>776</v>
      </c>
      <c r="DI32" t="s">
        <v>644</v>
      </c>
      <c r="DL32" t="s">
        <v>507</v>
      </c>
      <c r="DM32">
        <v>2</v>
      </c>
      <c r="DN32">
        <v>7</v>
      </c>
      <c r="DO32" t="s">
        <v>565</v>
      </c>
      <c r="DQ32" t="s">
        <v>773</v>
      </c>
      <c r="DR32">
        <v>14</v>
      </c>
      <c r="DS32">
        <v>0</v>
      </c>
      <c r="DU32">
        <v>14</v>
      </c>
      <c r="DV32">
        <v>0</v>
      </c>
      <c r="DX32">
        <v>14</v>
      </c>
      <c r="DY32">
        <v>0</v>
      </c>
      <c r="DZ32" t="s">
        <v>246</v>
      </c>
      <c r="EA32" t="s">
        <v>775</v>
      </c>
    </row>
    <row r="33" spans="1:131" x14ac:dyDescent="0.4">
      <c r="A33" s="33">
        <v>43072.860763888886</v>
      </c>
      <c r="B33" s="24">
        <v>42934.808333333334</v>
      </c>
      <c r="D33" s="33"/>
      <c r="E33" s="33" t="s">
        <v>193</v>
      </c>
      <c r="F33" s="33" t="s">
        <v>191</v>
      </c>
      <c r="G33" s="33" t="s">
        <v>100</v>
      </c>
      <c r="H33" t="s">
        <v>279</v>
      </c>
      <c r="I33" t="s">
        <v>243</v>
      </c>
      <c r="J33" t="s">
        <v>558</v>
      </c>
      <c r="K33" t="s">
        <v>559</v>
      </c>
      <c r="L33" t="s">
        <v>557</v>
      </c>
      <c r="M33" s="29">
        <v>4.22</v>
      </c>
      <c r="N33">
        <v>4</v>
      </c>
      <c r="P33" s="23" t="str">
        <f>IFERROR(MID(RADataTable[[#This Row],[RATemplate]],1,LEN(RADataTable[[#This Row],[RATemplate]])-8),"RA") &amp; " " &amp; RADataTable[[#This Row],[prop_id0]] &amp; " " &amp; RADataTable[[#This Row],[last0]]</f>
        <v>RA 1750076 Schroeder</v>
      </c>
      <c r="T33">
        <v>4</v>
      </c>
      <c r="U33">
        <v>4</v>
      </c>
      <c r="V33" s="33">
        <v>43031.584027777775</v>
      </c>
      <c r="W33">
        <v>1</v>
      </c>
      <c r="X33" s="15" t="str">
        <f>HYPERLINK("https://www.ejacket.nsf.gov/ej/showProposal.do?Continue=Y&amp;ID="&amp;RADataTable[[#This Row],[prop_id0]],"eJ")</f>
        <v>eJ</v>
      </c>
      <c r="Y33" s="15" t="str">
        <f>HYPERLINK("mailto:"&amp;RADataTable[[#This Row],[email]]&amp;"&amp;subject=Your NSF Proposal:  "&amp;RADataTable[[#This Row],[Div]]&amp;" "&amp;RADataTable[[#This Row],[prop_id0]], RADataTable[[#This Row],[email]])</f>
        <v>craig@ucr.edu</v>
      </c>
      <c r="Z33" s="15" t="str">
        <f>HYPERLINK("mailto:"&amp;RADataTable[[#This Row],[allPIemail]]&amp;"&amp;subject=NSF Proposal:  "&amp;RADataTable[[#This Row],[Div]]&amp;" "&amp;RADataTable[[#This Row],[prop_id0]], "PIs@")</f>
        <v>PIs@</v>
      </c>
      <c r="AA33" t="s">
        <v>245</v>
      </c>
      <c r="AB33" t="s">
        <v>517</v>
      </c>
      <c r="AC33" s="29" t="s">
        <v>622</v>
      </c>
      <c r="AD33" t="s">
        <v>623</v>
      </c>
      <c r="AE33" t="s">
        <v>624</v>
      </c>
      <c r="AF33" s="35">
        <v>440331</v>
      </c>
      <c r="AG33" s="35">
        <v>440331</v>
      </c>
      <c r="AH33" s="23"/>
      <c r="AJ33" s="33"/>
      <c r="AK33" t="s">
        <v>769</v>
      </c>
      <c r="AL33" t="s">
        <v>770</v>
      </c>
      <c r="AM33" s="33" t="s">
        <v>771</v>
      </c>
      <c r="AN33" s="33">
        <v>43032</v>
      </c>
      <c r="AO33" s="23">
        <v>22</v>
      </c>
      <c r="AP33" t="s">
        <v>797</v>
      </c>
      <c r="AR33" s="34"/>
      <c r="AS33"/>
      <c r="AT33" s="33"/>
      <c r="AV33" s="33"/>
      <c r="AX33" s="33"/>
      <c r="AY33"/>
      <c r="BA33" s="33"/>
      <c r="BB33"/>
      <c r="BC33" t="s">
        <v>628</v>
      </c>
      <c r="BD33" s="35">
        <v>440331</v>
      </c>
      <c r="BE33" s="35">
        <v>440331</v>
      </c>
      <c r="BF33">
        <v>0</v>
      </c>
      <c r="BG33" s="33">
        <v>43101</v>
      </c>
      <c r="BH33">
        <v>60</v>
      </c>
      <c r="BI33" t="s">
        <v>283</v>
      </c>
      <c r="BJ33" t="s">
        <v>774</v>
      </c>
      <c r="BK33" t="s">
        <v>234</v>
      </c>
      <c r="BL33" t="s">
        <v>194</v>
      </c>
      <c r="BM33" s="8" t="s">
        <v>192</v>
      </c>
      <c r="BN33" t="s">
        <v>189</v>
      </c>
      <c r="BO33" t="s">
        <v>190</v>
      </c>
      <c r="BP33" s="34" t="s">
        <v>626</v>
      </c>
      <c r="BQ33"/>
      <c r="BU33" s="34"/>
      <c r="BV33" s="34"/>
      <c r="BX33"/>
      <c r="CA33" s="34"/>
      <c r="CB33" s="34"/>
      <c r="CC33"/>
      <c r="CG33" s="34"/>
      <c r="CH33" s="34"/>
      <c r="CK33"/>
      <c r="CM33" s="34"/>
      <c r="CN33" s="34"/>
      <c r="CQ33"/>
      <c r="CS33" s="34"/>
      <c r="CT33" s="34"/>
      <c r="CX33"/>
      <c r="CZ33" s="34"/>
      <c r="DD33" s="33"/>
      <c r="DG33" t="s">
        <v>625</v>
      </c>
      <c r="DH33" t="s">
        <v>798</v>
      </c>
      <c r="DI33" t="s">
        <v>644</v>
      </c>
      <c r="DL33" t="s">
        <v>517</v>
      </c>
      <c r="DM33">
        <v>3</v>
      </c>
      <c r="DN33">
        <v>7</v>
      </c>
      <c r="DO33" t="s">
        <v>627</v>
      </c>
      <c r="DQ33" t="s">
        <v>773</v>
      </c>
      <c r="DR33">
        <v>14</v>
      </c>
      <c r="DS33">
        <v>0</v>
      </c>
      <c r="DU33">
        <v>14</v>
      </c>
      <c r="DV33">
        <v>0</v>
      </c>
      <c r="DX33">
        <v>14</v>
      </c>
      <c r="DY33">
        <v>0</v>
      </c>
      <c r="DZ33" t="s">
        <v>246</v>
      </c>
      <c r="EA33" t="s">
        <v>775</v>
      </c>
    </row>
  </sheetData>
  <conditionalFormatting sqref="R2:R33">
    <cfRule type="expression" dxfId="103" priority="1">
      <formula>LEFT(#REF!,1)="E"</formula>
    </cfRule>
  </conditionalFormatting>
  <dataValidations count="1">
    <dataValidation type="list" allowBlank="1" showInputMessage="1" showErrorMessage="1" sqref="O2:O33">
      <formula1>INDIRECT("AvailableTemplates[Available templates:]")</formula1>
    </dataValidation>
  </dataValidation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14</xdr:col>
                    <xdr:colOff>125186</xdr:colOff>
                    <xdr:row>0</xdr:row>
                    <xdr:rowOff>174171</xdr:rowOff>
                  </from>
                  <to>
                    <xdr:col>16</xdr:col>
                    <xdr:colOff>484414</xdr:colOff>
                    <xdr:row>0</xdr:row>
                    <xdr:rowOff>402771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W2:W33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C39"/>
  <sheetViews>
    <sheetView topLeftCell="A18" workbookViewId="0">
      <selection activeCell="A37" sqref="A37"/>
    </sheetView>
  </sheetViews>
  <sheetFormatPr defaultRowHeight="14.6" x14ac:dyDescent="0.4"/>
  <cols>
    <col min="1" max="1" width="16.765625" style="68" customWidth="1"/>
    <col min="2" max="2" width="16.61328125" style="68" customWidth="1"/>
    <col min="3" max="3" width="98.53515625" style="81" customWidth="1"/>
    <col min="4" max="16384" width="9.23046875" style="66"/>
  </cols>
  <sheetData>
    <row r="1" spans="1:2" x14ac:dyDescent="0.4">
      <c r="A1" s="68" t="s">
        <v>469</v>
      </c>
    </row>
    <row r="2" spans="1:2" x14ac:dyDescent="0.4">
      <c r="A2" s="69" t="s">
        <v>470</v>
      </c>
      <c r="B2" s="70" t="s">
        <v>471</v>
      </c>
    </row>
    <row r="3" spans="1:2" x14ac:dyDescent="0.4">
      <c r="A3" s="69" t="s">
        <v>472</v>
      </c>
      <c r="B3" s="71" t="s">
        <v>490</v>
      </c>
    </row>
    <row r="4" spans="1:2" x14ac:dyDescent="0.4">
      <c r="A4" s="68" t="s">
        <v>473</v>
      </c>
      <c r="B4" s="70" t="s">
        <v>474</v>
      </c>
    </row>
    <row r="5" spans="1:2" x14ac:dyDescent="0.4">
      <c r="A5" s="68" t="s">
        <v>475</v>
      </c>
      <c r="B5" s="70" t="s">
        <v>476</v>
      </c>
    </row>
    <row r="7" spans="1:2" x14ac:dyDescent="0.4">
      <c r="A7" s="72" t="s">
        <v>454</v>
      </c>
      <c r="B7" s="73" t="s">
        <v>455</v>
      </c>
    </row>
    <row r="8" spans="1:2" x14ac:dyDescent="0.4">
      <c r="A8" s="74" t="s">
        <v>459</v>
      </c>
      <c r="B8" s="75"/>
    </row>
    <row r="9" spans="1:2" x14ac:dyDescent="0.4">
      <c r="A9" s="74" t="s">
        <v>444</v>
      </c>
      <c r="B9" s="75"/>
    </row>
    <row r="10" spans="1:2" x14ac:dyDescent="0.4">
      <c r="A10" s="74" t="s">
        <v>458</v>
      </c>
      <c r="B10" s="75"/>
    </row>
    <row r="11" spans="1:2" x14ac:dyDescent="0.4">
      <c r="A11" s="74" t="s">
        <v>457</v>
      </c>
      <c r="B11" s="75"/>
    </row>
    <row r="12" spans="1:2" x14ac:dyDescent="0.4">
      <c r="A12" s="74" t="s">
        <v>456</v>
      </c>
      <c r="B12" s="75"/>
    </row>
    <row r="13" spans="1:2" x14ac:dyDescent="0.4">
      <c r="A13" s="74" t="s">
        <v>460</v>
      </c>
      <c r="B13" s="75"/>
    </row>
    <row r="14" spans="1:2" x14ac:dyDescent="0.4">
      <c r="A14" s="74" t="s">
        <v>193</v>
      </c>
      <c r="B14" s="75"/>
    </row>
    <row r="15" spans="1:2" x14ac:dyDescent="0.4">
      <c r="A15" s="74" t="s">
        <v>461</v>
      </c>
      <c r="B15" s="75"/>
    </row>
    <row r="16" spans="1:2" x14ac:dyDescent="0.4">
      <c r="A16" s="74" t="s">
        <v>448</v>
      </c>
      <c r="B16" s="75"/>
    </row>
    <row r="17" spans="1:3" x14ac:dyDescent="0.4">
      <c r="A17" s="74" t="s">
        <v>451</v>
      </c>
      <c r="B17" s="75"/>
    </row>
    <row r="18" spans="1:3" x14ac:dyDescent="0.4">
      <c r="A18" s="76" t="s">
        <v>453</v>
      </c>
      <c r="B18" s="77"/>
    </row>
    <row r="24" spans="1:3" x14ac:dyDescent="0.4">
      <c r="A24" s="78" t="s">
        <v>207</v>
      </c>
      <c r="B24" s="79" t="s">
        <v>477</v>
      </c>
      <c r="C24" s="82" t="s">
        <v>478</v>
      </c>
    </row>
    <row r="25" spans="1:3" ht="35.6" customHeight="1" x14ac:dyDescent="0.4">
      <c r="A25" s="68" t="s">
        <v>479</v>
      </c>
      <c r="B25" s="80">
        <v>43072.808009259257</v>
      </c>
      <c r="C25" s="83" t="s">
        <v>872</v>
      </c>
    </row>
    <row r="26" spans="1:3" ht="35.6" customHeight="1" x14ac:dyDescent="0.4">
      <c r="A26" s="68" t="s">
        <v>480</v>
      </c>
      <c r="B26" s="80">
        <v>43072.808009259257</v>
      </c>
      <c r="C26" s="83" t="s">
        <v>882</v>
      </c>
    </row>
    <row r="27" spans="1:3" ht="35.6" customHeight="1" x14ac:dyDescent="0.4">
      <c r="A27" s="68" t="s">
        <v>481</v>
      </c>
      <c r="B27" s="80">
        <v>43072.808009259257</v>
      </c>
      <c r="C27" s="83" t="s">
        <v>868</v>
      </c>
    </row>
    <row r="28" spans="1:3" ht="35.6" customHeight="1" x14ac:dyDescent="0.4">
      <c r="A28" s="68" t="s">
        <v>482</v>
      </c>
      <c r="B28" s="80">
        <v>43072.808009259257</v>
      </c>
      <c r="C28" s="83" t="s">
        <v>869</v>
      </c>
    </row>
    <row r="29" spans="1:3" ht="35.6" customHeight="1" x14ac:dyDescent="0.4">
      <c r="A29" s="68" t="s">
        <v>483</v>
      </c>
      <c r="B29" s="80">
        <v>43072.808009259257</v>
      </c>
      <c r="C29" s="83" t="s">
        <v>870</v>
      </c>
    </row>
    <row r="30" spans="1:3" ht="35.6" customHeight="1" x14ac:dyDescent="0.4">
      <c r="A30" s="68" t="s">
        <v>484</v>
      </c>
      <c r="B30" s="80">
        <v>43072.808009259257</v>
      </c>
      <c r="C30" s="83" t="s">
        <v>871</v>
      </c>
    </row>
    <row r="31" spans="1:3" ht="35.6" customHeight="1" x14ac:dyDescent="0.4">
      <c r="A31" s="68" t="s">
        <v>485</v>
      </c>
      <c r="B31" s="80">
        <v>43072.808009259257</v>
      </c>
      <c r="C31" s="83" t="s">
        <v>874</v>
      </c>
    </row>
    <row r="32" spans="1:3" ht="35.6" customHeight="1" x14ac:dyDescent="0.4">
      <c r="A32" s="68" t="s">
        <v>486</v>
      </c>
      <c r="B32" s="80">
        <v>43072.808009259257</v>
      </c>
      <c r="C32" s="83" t="s">
        <v>875</v>
      </c>
    </row>
    <row r="33" spans="1:3" ht="35.6" customHeight="1" x14ac:dyDescent="0.4">
      <c r="A33" s="68" t="s">
        <v>487</v>
      </c>
      <c r="B33" s="80">
        <v>43072.808009259257</v>
      </c>
      <c r="C33" s="83" t="s">
        <v>877</v>
      </c>
    </row>
    <row r="34" spans="1:3" ht="35.6" customHeight="1" x14ac:dyDescent="0.4">
      <c r="A34" s="68" t="s">
        <v>488</v>
      </c>
      <c r="B34" s="80">
        <v>43072.808009259257</v>
      </c>
      <c r="C34" s="83" t="s">
        <v>873</v>
      </c>
    </row>
    <row r="35" spans="1:3" ht="35.6" customHeight="1" x14ac:dyDescent="0.4">
      <c r="A35" s="68" t="s">
        <v>865</v>
      </c>
      <c r="B35" s="80">
        <v>43072.808009259257</v>
      </c>
      <c r="C35" s="83" t="s">
        <v>876</v>
      </c>
    </row>
    <row r="36" spans="1:3" ht="35.6" customHeight="1" x14ac:dyDescent="0.4">
      <c r="A36" s="68" t="s">
        <v>866</v>
      </c>
      <c r="B36" s="80">
        <v>43072.808009259257</v>
      </c>
      <c r="C36" s="83" t="s">
        <v>878</v>
      </c>
    </row>
    <row r="37" spans="1:3" ht="35.6" customHeight="1" x14ac:dyDescent="0.4">
      <c r="A37" s="68" t="s">
        <v>867</v>
      </c>
      <c r="B37" s="80">
        <v>43072.808009259257</v>
      </c>
      <c r="C37" s="83" t="s">
        <v>879</v>
      </c>
    </row>
    <row r="38" spans="1:3" ht="35.6" customHeight="1" x14ac:dyDescent="0.4">
      <c r="A38" s="68" t="s">
        <v>880</v>
      </c>
      <c r="B38" s="80">
        <v>43072.808009259257</v>
      </c>
      <c r="C38" s="83" t="s">
        <v>881</v>
      </c>
    </row>
    <row r="39" spans="1:3" ht="18" customHeight="1" x14ac:dyDescent="0.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43</vt:i4>
      </vt:variant>
    </vt:vector>
  </HeadingPairs>
  <TitlesOfParts>
    <vt:vector size="53" baseType="lpstr">
      <vt:lpstr>RoboRA</vt:lpstr>
      <vt:lpstr>ckCoding</vt:lpstr>
      <vt:lpstr>Budgets</vt:lpstr>
      <vt:lpstr>ckAwd</vt:lpstr>
      <vt:lpstr>ckSplits</vt:lpstr>
      <vt:lpstr>ProjText</vt:lpstr>
      <vt:lpstr>PRCs</vt:lpstr>
      <vt:lpstr>Advanced</vt:lpstr>
      <vt:lpstr>RAData</vt:lpstr>
      <vt:lpstr>HiddenSettings</vt:lpstr>
      <vt:lpstr>AwdTemplate</vt:lpstr>
      <vt:lpstr>DeclTemplate</vt:lpstr>
      <vt:lpstr>delaytime</vt:lpstr>
      <vt:lpstr>dir_div_abbr</vt:lpstr>
      <vt:lpstr>dirRAoutput</vt:lpstr>
      <vt:lpstr>dirRAtemplate</vt:lpstr>
      <vt:lpstr>Budgets!fiscalyear</vt:lpstr>
      <vt:lpstr>from_date</vt:lpstr>
      <vt:lpstr>HiddenSettings!Mac_connect_string</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prop_stts_abbr</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HiddenSettings!rpt_pwd</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2017-10-20T22:26:00Z</cp:lastPrinted>
  <dcterms:created xsi:type="dcterms:W3CDTF">2015-12-15T02:29:55Z</dcterms:created>
  <dcterms:modified xsi:type="dcterms:W3CDTF">2017-12-04T01:41:28Z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PEND</vt:lpwstr>
  </property>
  <property fmtid="{D5CDD505-2E9C-101B-9397-08002B2CF9AE}" pid="5" name="titl_txt" linkTarget="prop_titl_txt">
    <vt:lpwstr>eg: %Medium%</vt:lpwstr>
  </property>
</Properties>
</file>