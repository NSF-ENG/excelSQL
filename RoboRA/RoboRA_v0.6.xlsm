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3.xml" ContentType="application/vnd.openxmlformats-officedocument.drawing+xml"/>
  <Override PartName="/xl/tables/table5.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drawings/drawing4.xml" ContentType="application/vnd.openxmlformats-officedocument.drawing+xml"/>
  <Override PartName="/xl/tables/table6.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drawings/drawing5.xml" ContentType="application/vnd.openxmlformats-officedocument.drawing+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queryTables/queryTable5.xml" ContentType="application/vnd.openxmlformats-officedocument.spreadsheetml.queryTable+xml"/>
  <Override PartName="/xl/drawings/drawing6.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queryTables/queryTable6.xml" ContentType="application/vnd.openxmlformats-officedocument.spreadsheetml.queryTable+xml"/>
  <Override PartName="/xl/comments4.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5.xml" ContentType="application/vnd.openxmlformats-officedocument.spreadsheetml.comments+xml"/>
  <Override PartName="/xl/pivotTables/pivotTable1.xml" ContentType="application/vnd.openxmlformats-officedocument.spreadsheetml.pivotTable+xml"/>
  <Override PartName="/xl/drawings/drawing8.xml" ContentType="application/vnd.openxmlformats-officedocument.drawing+xml"/>
  <Override PartName="/xl/tables/table12.xml" ContentType="application/vnd.openxmlformats-officedocument.spreadsheetml.table+xml"/>
  <Override PartName="/xl/queryTables/queryTable7.xml" ContentType="application/vnd.openxmlformats-officedocument.spreadsheetml.queryTable+xml"/>
  <Override PartName="/xl/comments6.xml" ContentType="application/vnd.openxmlformats-officedocument.spreadsheetml.comments+xml"/>
  <Override PartName="/xl/drawings/drawing9.xml" ContentType="application/vnd.openxmlformats-officedocument.drawing+xml"/>
  <Override PartName="/xl/ctrlProps/ctrlProp15.xml" ContentType="application/vnd.ms-excel.controlproperties+xml"/>
  <Override PartName="/xl/tables/table13.xml" ContentType="application/vnd.openxmlformats-officedocument.spreadsheetml.table+xml"/>
  <Override PartName="/xl/queryTables/queryTable8.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R:\RoboRA\RAtemplates_docm\"/>
    </mc:Choice>
  </mc:AlternateContent>
  <bookViews>
    <workbookView xWindow="0" yWindow="0" windowWidth="7335" windowHeight="5190"/>
  </bookViews>
  <sheets>
    <sheet name="RoboRA" sheetId="7" r:id="rId1"/>
    <sheet name="ckCoding" sheetId="3" r:id="rId2"/>
    <sheet name="ckAwd" sheetId="10" r:id="rId3"/>
    <sheet name="Budgets" sheetId="13" r:id="rId4"/>
    <sheet name="PRCs" sheetId="11" r:id="rId5"/>
    <sheet name="RAData" sheetId="2" r:id="rId6"/>
    <sheet name="Advanced" sheetId="1" r:id="rId7"/>
    <sheet name="ckSplits" sheetId="12" r:id="rId8"/>
    <sheet name="ProjText" sheetId="6" r:id="rId9"/>
    <sheet name="HiddenSettings" sheetId="9" state="hidden" r:id="rId10"/>
  </sheets>
  <functionGroups builtInGroupCount="18"/>
  <definedNames>
    <definedName name="AwdTemplate">RoboRA!$B$11</definedName>
    <definedName name="codes_prop_stts">HiddenSettings!$E$7:$E$11</definedName>
    <definedName name="DeclTemplate">RoboRA!$E$11</definedName>
    <definedName name="delaytime">RoboRA!$L$8</definedName>
    <definedName name="dir_div_abbr">Advanced!$E$17</definedName>
    <definedName name="dirRAoutput">Advanced!$J$8</definedName>
    <definedName name="dirRAtemplate">Advanced!$J$6</definedName>
    <definedName name="fiscalyear" localSheetId="3">Budgets!$M$2</definedName>
    <definedName name="from_date">Advanced!$F$12</definedName>
    <definedName name="Mac_connect_string" localSheetId="9">HiddenSettings!$B$5</definedName>
    <definedName name="menu_prop_stts">HiddenSettings!$D$7:$D$11</definedName>
    <definedName name="natr_rqst_abbr">Advanced!$E$19</definedName>
    <definedName name="obj_clas_code">Advanced!$E$20</definedName>
    <definedName name="org_code">Advanced!$E$16</definedName>
    <definedName name="overwrite_option">RoboRA!$J$2</definedName>
    <definedName name="panl_id">Advanced!$E$13</definedName>
    <definedName name="PC_connect_string" localSheetId="9">HiddenSettings!$B$4</definedName>
    <definedName name="pgm_annc_id">Advanced!$E$15</definedName>
    <definedName name="pgm_ele_code">Advanced!$E$18</definedName>
    <definedName name="PO_id">Budgets!$K$2</definedName>
    <definedName name="prop_atr_code">Advanced!$E$22</definedName>
    <definedName name="prop_stts_abbr">Advanced!#REF!</definedName>
    <definedName name="prop_stts_code" localSheetId="6">Advanced!$E$23</definedName>
    <definedName name="prop_titl_txt">Advanced!$E$21</definedName>
    <definedName name="Query_from_RPTSERVER" localSheetId="3" hidden="1">Budgets!$A$3:$AD$75</definedName>
    <definedName name="Query_from_RPTSERVER" localSheetId="2" hidden="1">ckAwd!$A$1:$AX$20</definedName>
    <definedName name="Query_from_RPTSERVER" localSheetId="1" hidden="1">ckCoding!$A$1:$BL$20</definedName>
    <definedName name="Query_from_RPTSERVER" localSheetId="7" hidden="1">ckSplits!$A$1:$AH$2</definedName>
    <definedName name="Query_from_RPTSERVER" localSheetId="4" hidden="1">PRCs!$A$2:$B$6</definedName>
    <definedName name="Query_from_RPTSERVER" localSheetId="8" hidden="1">ProjText!$B$1:$P$95</definedName>
    <definedName name="Query_from_RPTSERVER" localSheetId="5" hidden="1">RAData!$A$1:$EC$17</definedName>
    <definedName name="Query_from_RPTSERVER_1" localSheetId="4" hidden="1">PRCs!$D$2:$E$3</definedName>
    <definedName name="query_params" localSheetId="6">Advanced!$E$12:$F$22</definedName>
    <definedName name="query_params" localSheetId="9">HiddenSettings!$A$7:$B$17</definedName>
    <definedName name="RA_allRAdata" localSheetId="9">HiddenSettings!$C$30</definedName>
    <definedName name="RA_awdCheck" localSheetId="9">HiddenSettings!$C$32</definedName>
    <definedName name="RA_budgBlocks" localSheetId="9">HiddenSettings!$C$35</definedName>
    <definedName name="RA_leads" localSheetId="9">HiddenSettings!$C$25</definedName>
    <definedName name="RA_panl" localSheetId="9">HiddenSettings!$C$29</definedName>
    <definedName name="RA_PECglossary" localSheetId="9">HiddenSettings!$C$39</definedName>
    <definedName name="RA_pidCreate" localSheetId="9">HiddenSettings!$C$37</definedName>
    <definedName name="RA_pidSelect" localSheetId="9">HiddenSettings!$C$38</definedName>
    <definedName name="RA_PRCglossary" localSheetId="9">HiddenSettings!$C$31</definedName>
    <definedName name="RA_projText" localSheetId="9">HiddenSettings!$C$34</definedName>
    <definedName name="RA_prop" localSheetId="9">HiddenSettings!$C$27</definedName>
    <definedName name="RA_propCheck" localSheetId="9">HiddenSettings!$C$33</definedName>
    <definedName name="RA_propPRCs" localSheetId="9">HiddenSettings!$C$26</definedName>
    <definedName name="RA_revs" localSheetId="9">HiddenSettings!$C$28</definedName>
    <definedName name="RA_splits" localSheetId="9">HiddenSettings!$C$36</definedName>
    <definedName name="revtable" localSheetId="9">HiddenSettings!$C$24</definedName>
    <definedName name="RoboRACleanCopy.dotm">HiddenSettings!$B$6</definedName>
    <definedName name="rpt_pwd" comment="reportserver password" localSheetId="9">HiddenSettings!$B$3</definedName>
    <definedName name="select_prop_stts">HiddenSettings!$E$6</definedName>
    <definedName name="signer1">RoboRA!$M$11</definedName>
    <definedName name="signer2">RoboRA!$M$12</definedName>
    <definedName name="StdDeclTemplate">RoboRA!$H$11</definedName>
    <definedName name="to_date">Advanced!$E$12</definedName>
    <definedName name="user_id" comment="reportserver user_id" localSheetId="9">HiddenSettings!$B$2</definedName>
  </definedNames>
  <calcPr calcId="152511" concurrentCalc="0"/>
  <pivotCaches>
    <pivotCache cacheId="7" r:id="rId11"/>
    <pivotCache cacheId="16" r:id="rId1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10" l="1"/>
  <c r="M3" i="10"/>
  <c r="M4" i="10"/>
  <c r="M5" i="10"/>
  <c r="M6" i="10"/>
  <c r="M7" i="10"/>
  <c r="M8" i="10"/>
  <c r="M9" i="10"/>
  <c r="M10" i="10"/>
  <c r="M11" i="10"/>
  <c r="M12" i="10"/>
  <c r="M13" i="10"/>
  <c r="M14" i="10"/>
  <c r="M15" i="10"/>
  <c r="M16" i="10"/>
  <c r="M17" i="10"/>
  <c r="M18" i="10"/>
  <c r="M19" i="10"/>
  <c r="M20" i="10"/>
  <c r="P2" i="10"/>
  <c r="P3" i="10"/>
  <c r="P4" i="10"/>
  <c r="P5" i="10"/>
  <c r="P6" i="10"/>
  <c r="P7" i="10"/>
  <c r="P8" i="10"/>
  <c r="P9" i="10"/>
  <c r="P10" i="10"/>
  <c r="P11" i="10"/>
  <c r="P12" i="10"/>
  <c r="P13" i="10"/>
  <c r="P14" i="10"/>
  <c r="P15" i="10"/>
  <c r="P16" i="10"/>
  <c r="P17" i="10"/>
  <c r="P18" i="10"/>
  <c r="P19" i="10"/>
  <c r="P20" i="10"/>
  <c r="W2" i="10"/>
  <c r="W3" i="10"/>
  <c r="W4" i="10"/>
  <c r="W5" i="10"/>
  <c r="W6" i="10"/>
  <c r="W7" i="10"/>
  <c r="W8" i="10"/>
  <c r="W9" i="10"/>
  <c r="W10" i="10"/>
  <c r="W11" i="10"/>
  <c r="W12" i="10"/>
  <c r="W13" i="10"/>
  <c r="W14" i="10"/>
  <c r="W15" i="10"/>
  <c r="W16" i="10"/>
  <c r="W17" i="10"/>
  <c r="W18" i="10"/>
  <c r="W19" i="10"/>
  <c r="W20" i="10"/>
  <c r="AT2" i="10"/>
  <c r="AT3" i="10"/>
  <c r="AT4" i="10"/>
  <c r="AT5" i="10"/>
  <c r="AT6" i="10"/>
  <c r="AT7" i="10"/>
  <c r="AT8" i="10"/>
  <c r="AT9" i="10"/>
  <c r="AT10" i="10"/>
  <c r="AT11" i="10"/>
  <c r="AT12" i="10"/>
  <c r="AT13" i="10"/>
  <c r="AT14" i="10"/>
  <c r="AT15" i="10"/>
  <c r="AT16" i="10"/>
  <c r="AT17" i="10"/>
  <c r="AT18" i="10"/>
  <c r="AT19" i="10"/>
  <c r="AT20" i="10"/>
  <c r="AW2" i="10"/>
  <c r="AW3" i="10"/>
  <c r="AW4" i="10"/>
  <c r="AW5" i="10"/>
  <c r="AW6" i="10"/>
  <c r="AW7" i="10"/>
  <c r="AW8" i="10"/>
  <c r="AW9" i="10"/>
  <c r="AW10" i="10"/>
  <c r="AW11" i="10"/>
  <c r="AW12" i="10"/>
  <c r="AW13" i="10"/>
  <c r="AW14" i="10"/>
  <c r="AW15" i="10"/>
  <c r="AW16" i="10"/>
  <c r="AW17" i="10"/>
  <c r="AW18" i="10"/>
  <c r="AW19" i="10"/>
  <c r="AW20" i="10"/>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L4" i="13"/>
  <c r="L5" i="13"/>
  <c r="L6"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68" i="13"/>
  <c r="L69" i="13"/>
  <c r="L70" i="13"/>
  <c r="L71" i="13"/>
  <c r="L72" i="13"/>
  <c r="L73" i="13"/>
  <c r="L74" i="13"/>
  <c r="L75" i="13"/>
  <c r="M4"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M2" i="13"/>
  <c r="Y4" i="13"/>
  <c r="Y5" i="13"/>
  <c r="Y6" i="13"/>
  <c r="Y7" i="13"/>
  <c r="Y8" i="13"/>
  <c r="Y9" i="13"/>
  <c r="Y10" i="13"/>
  <c r="Y11" i="13"/>
  <c r="Y12" i="13"/>
  <c r="Y13" i="13"/>
  <c r="Y14" i="13"/>
  <c r="Y15" i="13"/>
  <c r="Y16" i="13"/>
  <c r="Y17" i="13"/>
  <c r="Y18" i="13"/>
  <c r="Y19" i="13"/>
  <c r="Y20" i="13"/>
  <c r="Y21" i="13"/>
  <c r="Y22" i="13"/>
  <c r="Y23" i="13"/>
  <c r="Y24" i="13"/>
  <c r="Y25" i="13"/>
  <c r="Y26" i="13"/>
  <c r="Y27" i="13"/>
  <c r="Y28" i="13"/>
  <c r="Y29" i="13"/>
  <c r="Y30" i="13"/>
  <c r="Y31" i="13"/>
  <c r="Y32" i="13"/>
  <c r="Y33" i="13"/>
  <c r="Y34" i="13"/>
  <c r="Y35" i="13"/>
  <c r="Y36" i="13"/>
  <c r="Y37" i="13"/>
  <c r="Y38" i="13"/>
  <c r="Y39" i="13"/>
  <c r="Y40" i="13"/>
  <c r="Y41" i="13"/>
  <c r="Y42" i="13"/>
  <c r="Y43" i="13"/>
  <c r="Y44" i="13"/>
  <c r="Y45" i="13"/>
  <c r="Y46" i="13"/>
  <c r="Y47" i="13"/>
  <c r="Y48" i="13"/>
  <c r="Y49" i="13"/>
  <c r="Y50" i="13"/>
  <c r="Y51" i="13"/>
  <c r="Y52" i="13"/>
  <c r="Y53" i="13"/>
  <c r="Y54" i="13"/>
  <c r="Y55" i="13"/>
  <c r="Y56" i="13"/>
  <c r="Y57" i="13"/>
  <c r="Y58" i="13"/>
  <c r="Y59" i="13"/>
  <c r="Y60" i="13"/>
  <c r="Y61" i="13"/>
  <c r="Y62" i="13"/>
  <c r="Y63" i="13"/>
  <c r="Y64" i="13"/>
  <c r="Y65" i="13"/>
  <c r="Y66" i="13"/>
  <c r="Y67" i="13"/>
  <c r="Y68" i="13"/>
  <c r="Y69" i="13"/>
  <c r="Y70" i="13"/>
  <c r="Y71" i="13"/>
  <c r="Y72" i="13"/>
  <c r="Y73" i="13"/>
  <c r="Y74" i="13"/>
  <c r="Y75" i="13"/>
  <c r="R4" i="2"/>
  <c r="R5" i="2"/>
  <c r="R6" i="2"/>
  <c r="R7" i="2"/>
  <c r="R8" i="2"/>
  <c r="R9" i="2"/>
  <c r="R10" i="2"/>
  <c r="R11" i="2"/>
  <c r="R12" i="2"/>
  <c r="R3" i="2"/>
  <c r="R13" i="2"/>
  <c r="R14" i="2"/>
  <c r="R15" i="2"/>
  <c r="R16" i="2"/>
  <c r="R17" i="2"/>
  <c r="R2" i="2"/>
  <c r="U4" i="2"/>
  <c r="U5" i="2"/>
  <c r="U6" i="2"/>
  <c r="U7" i="2"/>
  <c r="U8" i="2"/>
  <c r="U9" i="2"/>
  <c r="U10" i="2"/>
  <c r="U11" i="2"/>
  <c r="U12" i="2"/>
  <c r="U3" i="2"/>
  <c r="U13" i="2"/>
  <c r="U14" i="2"/>
  <c r="U15" i="2"/>
  <c r="U16" i="2"/>
  <c r="U17" i="2"/>
  <c r="U2" i="2"/>
  <c r="V4" i="2"/>
  <c r="V5" i="2"/>
  <c r="V6" i="2"/>
  <c r="V7" i="2"/>
  <c r="V8" i="2"/>
  <c r="V9" i="2"/>
  <c r="V10" i="2"/>
  <c r="V11" i="2"/>
  <c r="V12" i="2"/>
  <c r="V3" i="2"/>
  <c r="V13" i="2"/>
  <c r="V14" i="2"/>
  <c r="V15" i="2"/>
  <c r="V16" i="2"/>
  <c r="V17" i="2"/>
  <c r="V2" i="2"/>
  <c r="W4" i="2"/>
  <c r="W5" i="2"/>
  <c r="W6" i="2"/>
  <c r="W7" i="2"/>
  <c r="W8" i="2"/>
  <c r="W9" i="2"/>
  <c r="W10" i="2"/>
  <c r="W11" i="2"/>
  <c r="W12" i="2"/>
  <c r="W3" i="2"/>
  <c r="W13" i="2"/>
  <c r="W14" i="2"/>
  <c r="W15" i="2"/>
  <c r="W16" i="2"/>
  <c r="W17" i="2"/>
  <c r="W2" i="2"/>
  <c r="X4" i="2"/>
  <c r="X5" i="2"/>
  <c r="X6" i="2"/>
  <c r="X7" i="2"/>
  <c r="X8" i="2"/>
  <c r="X9" i="2"/>
  <c r="X10" i="2"/>
  <c r="X11" i="2"/>
  <c r="X12" i="2"/>
  <c r="X3" i="2"/>
  <c r="X13" i="2"/>
  <c r="X14" i="2"/>
  <c r="X15" i="2"/>
  <c r="X16" i="2"/>
  <c r="X17" i="2"/>
  <c r="X2" i="2"/>
  <c r="Y4" i="2"/>
  <c r="Y5" i="2"/>
  <c r="Y6" i="2"/>
  <c r="Y7" i="2"/>
  <c r="Y8" i="2"/>
  <c r="Y9" i="2"/>
  <c r="Y10" i="2"/>
  <c r="Y11" i="2"/>
  <c r="Y12" i="2"/>
  <c r="Y3" i="2"/>
  <c r="Y13" i="2"/>
  <c r="Y14" i="2"/>
  <c r="Y15" i="2"/>
  <c r="Y16" i="2"/>
  <c r="Y17" i="2"/>
  <c r="Y2" i="2"/>
  <c r="AE4" i="2"/>
  <c r="AE5" i="2"/>
  <c r="AE6" i="2"/>
  <c r="AE7" i="2"/>
  <c r="AE8" i="2"/>
  <c r="AE9" i="2"/>
  <c r="AE10" i="2"/>
  <c r="AE11" i="2"/>
  <c r="AE12" i="2"/>
  <c r="AE3" i="2"/>
  <c r="AE13" i="2"/>
  <c r="AE14" i="2"/>
  <c r="AE15" i="2"/>
  <c r="AE16" i="2"/>
  <c r="AE17" i="2"/>
  <c r="AE2" i="2"/>
  <c r="N2" i="3"/>
  <c r="N3" i="3"/>
  <c r="N4" i="3"/>
  <c r="N5" i="3"/>
  <c r="N6" i="3"/>
  <c r="N7" i="3"/>
  <c r="N8" i="3"/>
  <c r="N9" i="3"/>
  <c r="N10" i="3"/>
  <c r="N11" i="3"/>
  <c r="N12" i="3"/>
  <c r="N13" i="3"/>
  <c r="N14" i="3"/>
  <c r="N15" i="3"/>
  <c r="N16" i="3"/>
  <c r="N17" i="3"/>
  <c r="N18" i="3"/>
  <c r="N19" i="3"/>
  <c r="N20" i="3"/>
  <c r="O2" i="3"/>
  <c r="O3" i="3"/>
  <c r="O4" i="3"/>
  <c r="O5" i="3"/>
  <c r="O6" i="3"/>
  <c r="O7" i="3"/>
  <c r="O8" i="3"/>
  <c r="O9" i="3"/>
  <c r="O10" i="3"/>
  <c r="O11" i="3"/>
  <c r="O12" i="3"/>
  <c r="O13" i="3"/>
  <c r="O14" i="3"/>
  <c r="O15" i="3"/>
  <c r="O16" i="3"/>
  <c r="O17" i="3"/>
  <c r="O18" i="3"/>
  <c r="O19" i="3"/>
  <c r="O20" i="3"/>
  <c r="P2" i="3"/>
  <c r="P3" i="3"/>
  <c r="P4" i="3"/>
  <c r="P5" i="3"/>
  <c r="P6" i="3"/>
  <c r="P7" i="3"/>
  <c r="P8" i="3"/>
  <c r="P9" i="3"/>
  <c r="P10" i="3"/>
  <c r="P11" i="3"/>
  <c r="P12" i="3"/>
  <c r="P13" i="3"/>
  <c r="P14" i="3"/>
  <c r="P15" i="3"/>
  <c r="P16" i="3"/>
  <c r="P17" i="3"/>
  <c r="P18" i="3"/>
  <c r="P19" i="3"/>
  <c r="P20" i="3"/>
  <c r="S2" i="3"/>
  <c r="S3" i="3"/>
  <c r="S4" i="3"/>
  <c r="S5" i="3"/>
  <c r="S6" i="3"/>
  <c r="S7" i="3"/>
  <c r="S8" i="3"/>
  <c r="S9" i="3"/>
  <c r="S10" i="3"/>
  <c r="S11" i="3"/>
  <c r="S12" i="3"/>
  <c r="S13" i="3"/>
  <c r="S14" i="3"/>
  <c r="S15" i="3"/>
  <c r="S16" i="3"/>
  <c r="S17" i="3"/>
  <c r="S18" i="3"/>
  <c r="S19" i="3"/>
  <c r="S20" i="3"/>
  <c r="V2" i="3"/>
  <c r="V3" i="3"/>
  <c r="V4" i="3"/>
  <c r="V5" i="3"/>
  <c r="V6" i="3"/>
  <c r="V7" i="3"/>
  <c r="V8" i="3"/>
  <c r="V9" i="3"/>
  <c r="V10" i="3"/>
  <c r="V11" i="3"/>
  <c r="V12" i="3"/>
  <c r="V13" i="3"/>
  <c r="V14" i="3"/>
  <c r="V15" i="3"/>
  <c r="V16" i="3"/>
  <c r="V17" i="3"/>
  <c r="V18" i="3"/>
  <c r="V19" i="3"/>
  <c r="V20" i="3"/>
  <c r="AB2" i="3"/>
  <c r="AB3" i="3"/>
  <c r="AB4" i="3"/>
  <c r="AB5" i="3"/>
  <c r="AB6" i="3"/>
  <c r="AB7" i="3"/>
  <c r="AB8" i="3"/>
  <c r="AB9" i="3"/>
  <c r="AB10" i="3"/>
  <c r="AB11" i="3"/>
  <c r="AB12" i="3"/>
  <c r="AB13" i="3"/>
  <c r="AB14" i="3"/>
  <c r="AB15" i="3"/>
  <c r="AB16" i="3"/>
  <c r="AB17" i="3"/>
  <c r="AB18" i="3"/>
  <c r="AB19" i="3"/>
  <c r="AB20" i="3"/>
  <c r="AR2" i="3"/>
  <c r="AR3" i="3"/>
  <c r="AR4" i="3"/>
  <c r="AR5" i="3"/>
  <c r="AR6" i="3"/>
  <c r="AR7" i="3"/>
  <c r="AR8" i="3"/>
  <c r="AR9" i="3"/>
  <c r="AR10" i="3"/>
  <c r="AR11" i="3"/>
  <c r="AR12" i="3"/>
  <c r="AR13" i="3"/>
  <c r="AR14" i="3"/>
  <c r="AR15" i="3"/>
  <c r="AR16" i="3"/>
  <c r="AR17" i="3"/>
  <c r="AR18" i="3"/>
  <c r="AR19" i="3"/>
  <c r="AR20" i="3"/>
  <c r="AU2" i="3"/>
  <c r="AU3" i="3"/>
  <c r="AU4" i="3"/>
  <c r="AU5" i="3"/>
  <c r="AU6" i="3"/>
  <c r="AU7" i="3"/>
  <c r="AU8" i="3"/>
  <c r="AU9" i="3"/>
  <c r="AU10" i="3"/>
  <c r="AU11" i="3"/>
  <c r="AU12" i="3"/>
  <c r="AU13" i="3"/>
  <c r="AU14" i="3"/>
  <c r="AU15" i="3"/>
  <c r="AU16" i="3"/>
  <c r="AU17" i="3"/>
  <c r="AU18" i="3"/>
  <c r="AU19" i="3"/>
  <c r="AU20" i="3"/>
  <c r="P96" i="6"/>
  <c r="A2" i="6"/>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K2" i="13"/>
  <c r="N30" i="1"/>
  <c r="E23" i="1"/>
</calcChain>
</file>

<file path=xl/comments1.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2.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AV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3.xml><?xml version="1.0" encoding="utf-8"?>
<comments xmlns="http://schemas.openxmlformats.org/spreadsheetml/2006/main">
  <authors>
    <author>Snoeyink, Jack S.</author>
  </authors>
  <commentList>
    <comment ref="I2" authorId="0" shapeId="0">
      <text>
        <r>
          <rPr>
            <sz val="9"/>
            <color indexed="81"/>
            <rFont val="Tahoma"/>
            <family val="2"/>
          </rPr>
          <t>You can probably ignore this.
This 7-letter pm_ibm_logn_id is used to construct a unique id to jump to the ejacket  RA page. By default it uses the first PM id (=g4), but it can be over-ridden.  (note: the ibm_logn_id is usually the lan_id truncated to 7 letters instead of 8.)</t>
        </r>
      </text>
    </comment>
    <comment ref="L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4.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S1" authorId="1" shapeId="0">
      <text>
        <r>
          <rPr>
            <sz val="9"/>
            <color indexed="81"/>
            <rFont val="Tahoma"/>
            <family val="2"/>
          </rPr>
          <t xml:space="preserve">Any note here will be included just after the data block and before the RA text.  Good place to explain Es for Declines, which is why they are highlighted. (Note: to stop highlighting E/Vs, too, change conditional formatting formula to =left($AG2,2)= "E,")
</t>
        </r>
      </text>
    </comment>
    <comment ref="T1" authorId="1" shapeId="0">
      <text>
        <r>
          <rPr>
            <sz val="9"/>
            <color indexed="81"/>
            <rFont val="Tahoma"/>
            <family val="2"/>
          </rPr>
          <t>Postscript after the signature is a good place for a DGA note if you don't want to modify the template.</t>
        </r>
      </text>
    </comment>
  </commentList>
</comments>
</file>

<file path=xl/comments5.xml><?xml version="1.0" encoding="utf-8"?>
<comments xmlns="http://schemas.openxmlformats.org/spreadsheetml/2006/main">
  <authors>
    <author>Jack Snoeyink</author>
  </authors>
  <commentList>
    <comment ref="C11" authorId="0" shapeId="0">
      <text>
        <r>
          <rPr>
            <b/>
            <sz val="10"/>
            <color indexed="9"/>
            <rFont val="Corbel"/>
            <family val="2"/>
          </rPr>
          <t>The chosen proposals are the AND of all entered restrictions.</t>
        </r>
      </text>
    </comment>
    <comment ref="E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C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C14" authorId="0" shapeId="0">
      <text>
        <r>
          <rPr>
            <b/>
            <sz val="10"/>
            <color indexed="9"/>
            <rFont val="Corbel"/>
            <family val="2"/>
          </rPr>
          <t>Another common query: all the RAs a PD must write
7-letter ibm login id, not the 8-letter lan id.</t>
        </r>
      </text>
    </comment>
    <comment ref="C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6" authorId="0" shapeId="0">
      <text>
        <r>
          <rPr>
            <b/>
            <sz val="10"/>
            <color indexed="9"/>
            <rFont val="Corbel"/>
            <family val="2"/>
          </rPr>
          <t>8-digit org code, but you can use wildcards to restrict to directorate (05% for CISE) or divisions (050[125]0000 is CCF, IIS, &amp; CNS)</t>
        </r>
      </text>
    </comment>
    <comment ref="C17" authorId="0" shapeId="0">
      <text>
        <r>
          <rPr>
            <b/>
            <sz val="10"/>
            <color indexed="9"/>
            <rFont val="Corbel"/>
            <family val="2"/>
          </rPr>
          <t>Can restrict proposals by division abbreviation instead of numeric org code.</t>
        </r>
      </text>
    </comment>
    <comment ref="C18" authorId="0" shapeId="0">
      <text>
        <r>
          <rPr>
            <b/>
            <sz val="10"/>
            <color indexed="9"/>
            <rFont val="Corbel"/>
            <family val="2"/>
          </rPr>
          <t>4-digit program element code.</t>
        </r>
      </text>
    </comment>
    <comment ref="C19"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20" authorId="0" shapeId="0">
      <text>
        <r>
          <rPr>
            <b/>
            <sz val="10"/>
            <color indexed="9"/>
            <rFont val="Corbel"/>
            <family val="2"/>
          </rPr>
          <t>4-digit object class.  Common possibilities
 4101 - Personnel Mobility
 4110 - Research Grants
 4118 - SBIR Grant
 4144 - Equipment Grant
 4160 - Conference</t>
        </r>
      </text>
    </comment>
    <comment ref="C21" authorId="0" shapeId="0">
      <text>
        <r>
          <rPr>
            <b/>
            <sz val="10"/>
            <color indexed="9"/>
            <rFont val="Corbel"/>
            <family val="2"/>
          </rPr>
          <t>%Medium%  or %GOALI% can be used to restrict proposals to those that follow title conventions; ~%GOALI% to exclude.</t>
        </r>
      </text>
    </comment>
    <comment ref="C22" authorId="0" shapeId="0">
      <text>
        <r>
          <rPr>
            <b/>
            <sz val="10"/>
            <color indexed="9"/>
            <rFont val="Corbel"/>
            <family val="2"/>
          </rPr>
          <t>4-digit PRCs. The PRC table doesn't have an index, so this query slow; use a narrow date range</t>
        </r>
      </text>
    </comment>
    <comment ref="C23" authorId="0" shapeId="0">
      <text>
        <r>
          <rPr>
            <sz val="9"/>
            <color indexed="81"/>
            <rFont val="Tahoma"/>
            <family val="2"/>
          </rPr>
          <t>Please select status codes range from menu.</t>
        </r>
      </text>
    </comment>
  </commentList>
</comments>
</file>

<file path=xl/comments6.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a.abst_narr_txt, prop_stts_txt, prop.prop_titl_txt,_x000d__x000a_prop.rqst_eff_date,prop.rqst_mnth_cnt,_x000d__x000a_b.RN as brevn,p.D AS rqst_tot, b.T as budg_tot, _x000d__x000a_b.sub_ctr_tot, b.frgn_trav_tot, b.pdoc_tot,b.part_tot_dol, b.grad_tot_cnt, _x000d__x000a_b.sr_tot_cnt, b.sr_sumr_mnths, b.sr_acad_mnths, b.sr_cal_mnths, 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rop), RA_propPRCs(#myPRCs)_x000d__x000a_--DROP TABLE #myBudg_x000d__x000a_SELECT p.lead, p.prop_id, eb.revn_num, eb.budg_seq_yr, eb.budg_tot_dol, _x000d__x000a_eb.sr_pers_cnt, eb.sr_summ_mnth_cnt, eb.pdoc_grnt_dol, eb.frgn_trav_dol, eb.part_dol_x000d__x000a_INTO #myBudg FROM #myProp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nullif((SELECT count(*) FROM #myRevs c WHERE confl=1 AND c.panl_id = rp.panl_id AND c.lead = rp.lead ),0)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b.RN as brevn, p.D AS rqst_tot, b.T as budg_tot,  _x000d__x000a_b.sub_ctr_tot, b.frgn_trav_tot, b.pdoc_tot, b.part_tot_dol, _x000d__x000a_b.grad_tot_cnt, b.sr_tot_cnt, b.sr_sumr_mnths, b.sr_acad_mnths, b.sr_cal_mnths,_x000d__x000a_NfmlPIs,NhispPIs,NhndcpPIs,NnonWhtAsnPIs,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anl, #myProjPanl, #myProjPanlSumm"/>
  </connection>
  <connection id="4" name="PECGlossaryQuery"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DROP TABLE #myPid _x000d__x000a_SELECT p.pgm_ele_code AS PEC, pec.pgm_ele_name AS PEC_Description_x000d__x000a_FROM (SELECT DISTINCT pgm_ele_code FROM #myPid pid _x000d__x000a_JOIN csd.prop p ON p.prop_id = pid.prop_id) p_x000d__x000a_JOIN csd.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id"/>
  </connection>
  <connection id="5" name="PRCGlossaryQuery"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6" name="ProjTextQuery" type="1" refreshedVersion="5"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as docType, p.PO, panl_prop_summ.PANL_ID,  ' '+panl.panl_name, panl_rcom_def.RCOM_TXT,_x000d__x000a_convert(varchar,panl_prop_summ.RCOM_SEQ_NUM), convert(varchar,panl_prop_summ.PROP_ORDR), panl.panl_bgn_date, panl_prop_summ.last_updt_tmsp,_x000d__x000a_panl_rcom_def.RCOM_ABBR, panl_prop_summ.PANL_SUMM_TXT_x000d__x000a_    FROM #myLead p _x000d__x000a_    JOIN FLflpdb.flp.panl_prop_summ panl_prop_summ ON panl_prop_summ.PROP_ID = p.lead_x000d__x000a_    JOIN csd.panl panl ON panl.panl_id = panl_prop_summ.PANL_ID_x000d__x000a_    LEFT JOIN FLflpdb.flp.panl_rcom_def panl_rcom_def ON panl_rcom_def.RCOM_SEQ_NUM = panl_prop_summ.RCOM_SEQ_NUM AND panl_rcom_def.PANL_ID = panl_prop_summ.PANL_ID_x000d__x000a_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 #myLead, #myRA DROP TABLE #myRevInfo, #mySumm"/>
  </connection>
  <connection id="7" name="RAMailMerge"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nullif((SELECT count(*) FROM #myRevs c WHERE confl=1 AND c.panl_id = rp.panl_id AND c.lead = rp.lead ),0)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 AS RecRkMin, pn0.RA as rec0, pn1.RA as rec1, pn2.RA as rec2, _x000d__x000a_p.RAtemplate, org.dir_div_abbr as Div, rs.*, -- lead, Nrev, Nunmkd, min, avg, max scores, allReviews, 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_x000d__x000a_ pn1.I AS panl_id1, pn1.RT AS RCOM_TXT1, pn1.RK AS rank1, pn1.PN AS panl_name1,pn1.E AS panl_end1,pn1.V AS revs1,pn1.S AS PanlString1,pn1.P as pnlst1, pn1.C as confl1,_x000d__x000a_ pn2.I AS panl_id2, pn2.RT AS RCOM_TXT2, pn2.RK AS rank2, pn2.PN AS panl_name2,pn2.E AS panl_end2,pn2.V AS revs2,pn2.S AS PanlString2,pn2.P as pnlst2, pn2.C as confl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Object Class full name','DIR'_x000d__x000a_,'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DROP TABLE #myPid, #myLead, #myRA, #myProp, #myPropBudg, #myRevs, #myRevPanl, #myRevMarks, #myRevSumm, #myPanl, #myProjPanl, #myProjPanlSumm DROP TABLE #myDmog"/>
  </connection>
  <connection id="8" name="SplitsQuery"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<sst xmlns="http://schemas.openxmlformats.org/spreadsheetml/2006/main" count="4046" uniqueCount="790">
  <si>
    <t>prop_id</t>
  </si>
  <si>
    <t>eJ</t>
  </si>
  <si>
    <t>RA</t>
  </si>
  <si>
    <t>solicitation</t>
  </si>
  <si>
    <t>pgm_ele_code</t>
  </si>
  <si>
    <t>org_code</t>
  </si>
  <si>
    <t>Column1</t>
  </si>
  <si>
    <t>nsf_rcvd_date</t>
  </si>
  <si>
    <t>pgm_annc_id</t>
  </si>
  <si>
    <t>lead</t>
  </si>
  <si>
    <t>pi_last_name</t>
  </si>
  <si>
    <t>inst_name</t>
  </si>
  <si>
    <t>PRCs</t>
  </si>
  <si>
    <t xml:space="preserve"> </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</si>
  <si>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</si>
  <si>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</si>
  <si>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</si>
  <si>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</si>
  <si>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</si>
  <si>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</si>
  <si>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</si>
  <si>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</si>
  <si>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</si>
  <si>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</si>
  <si>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</si>
  <si>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</si>
  <si>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</si>
  <si>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</si>
  <si>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</si>
  <si>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</si>
  <si>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</si>
  <si>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</si>
  <si>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</si>
  <si>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</si>
  <si>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</si>
  <si>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</si>
  <si>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</si>
  <si>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</si>
  <si>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</si>
  <si>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</si>
  <si>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</si>
  <si>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</si>
  <si>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</si>
  <si>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</si>
  <si>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</si>
  <si>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</si>
  <si>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</si>
  <si>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</si>
  <si>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</si>
  <si>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</si>
  <si>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</si>
  <si>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</si>
  <si>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</si>
  <si>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</si>
  <si>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</si>
  <si>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</si>
  <si>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</si>
  <si>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</si>
  <si>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</si>
  <si>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</si>
  <si>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</si>
  <si>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</si>
  <si>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</si>
  <si>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</si>
  <si>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</si>
  <si>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</si>
  <si>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</si>
  <si>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</si>
  <si>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</si>
  <si>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</si>
  <si>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</si>
  <si>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</si>
  <si>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</si>
  <si>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</si>
  <si>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</si>
  <si>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</si>
  <si>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</si>
  <si>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</si>
  <si>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</si>
  <si>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</si>
  <si>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</si>
  <si>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</si>
  <si>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</si>
  <si>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</si>
  <si>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</si>
  <si>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</si>
  <si>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</si>
  <si>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</si>
  <si>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</si>
  <si>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</si>
  <si>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</si>
  <si>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</si>
  <si>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</si>
  <si>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</si>
  <si>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4110</t>
  </si>
  <si>
    <t>I</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</si>
  <si>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</si>
  <si>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</si>
  <si>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</si>
  <si>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</si>
  <si>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</si>
  <si>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</si>
  <si>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</si>
  <si>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</si>
  <si>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</si>
  <si>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</si>
  <si>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</si>
  <si>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</si>
  <si>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</si>
  <si>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</si>
  <si>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</si>
  <si>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</si>
  <si>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</si>
  <si>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</si>
  <si>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</si>
  <si>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</si>
  <si>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</si>
  <si>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</si>
  <si>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</si>
  <si>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</si>
  <si>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</si>
  <si>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</si>
  <si>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</si>
  <si>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</si>
  <si>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</si>
  <si>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</si>
  <si>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</si>
  <si>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</si>
  <si>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</si>
  <si>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</si>
  <si>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</si>
  <si>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</si>
  <si>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</si>
  <si>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</si>
  <si>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</si>
  <si>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</si>
  <si>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</si>
  <si>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</si>
  <si>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</si>
  <si>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Note: Award templates file names must begin with Awd</t>
  </si>
  <si>
    <t xml:space="preserve">            All others are  declines.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</si>
  <si>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</si>
  <si>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</si>
  <si>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</si>
  <si>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</si>
  <si>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</si>
  <si>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</si>
  <si>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</si>
  <si>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</si>
  <si>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</si>
  <si>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</si>
  <si>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</si>
  <si>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</si>
  <si>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</si>
  <si>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</si>
  <si>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</si>
  <si>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</si>
  <si>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</si>
  <si>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</si>
  <si>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</si>
  <si>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</si>
  <si>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</si>
  <si>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</si>
  <si>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</si>
  <si>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</si>
  <si>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</si>
  <si>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</si>
  <si>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NEW</t>
  </si>
  <si>
    <t>Research Grants-Not Elsewh Cla</t>
  </si>
  <si>
    <t>PEND</t>
  </si>
  <si>
    <t>Pending, Review Package Produced</t>
  </si>
  <si>
    <t>Awd RAt.docx</t>
  </si>
  <si>
    <t>Decline RAt.docx</t>
  </si>
  <si>
    <t>R</t>
  </si>
  <si>
    <t>Std Decline RAt.docx</t>
  </si>
  <si>
    <t>sign_blck_name</t>
  </si>
  <si>
    <t>RecRkMin</t>
  </si>
  <si>
    <t>docType</t>
  </si>
  <si>
    <t>pm_logn_id</t>
  </si>
  <si>
    <t>panl_revr_id</t>
  </si>
  <si>
    <t>name</t>
  </si>
  <si>
    <t>info</t>
  </si>
  <si>
    <t>type</t>
  </si>
  <si>
    <t>stts</t>
  </si>
  <si>
    <t>due</t>
  </si>
  <si>
    <t>returned</t>
  </si>
  <si>
    <t>nchars</t>
  </si>
  <si>
    <t>nwords</t>
  </si>
  <si>
    <t>score</t>
  </si>
  <si>
    <t>text</t>
  </si>
  <si>
    <t>Review</t>
  </si>
  <si>
    <t>G</t>
  </si>
  <si>
    <t>SummProj</t>
  </si>
  <si>
    <t>V</t>
  </si>
  <si>
    <t>F</t>
  </si>
  <si>
    <t>V/G</t>
  </si>
  <si>
    <t>G/F</t>
  </si>
  <si>
    <t>Total</t>
  </si>
  <si>
    <t>P</t>
  </si>
  <si>
    <t>E,V,G,F,P</t>
  </si>
  <si>
    <t>@PI</t>
  </si>
  <si>
    <t>Decline: select template</t>
  </si>
  <si>
    <t>Awds: select template</t>
  </si>
  <si>
    <t>Preferences</t>
  </si>
  <si>
    <t>Autoload to eJacket Preferences</t>
  </si>
  <si>
    <t>Here is what to do:</t>
  </si>
  <si>
    <t>0:</t>
  </si>
  <si>
    <t>1:</t>
  </si>
  <si>
    <t>2:</t>
  </si>
  <si>
    <t>3:</t>
  </si>
  <si>
    <t>4:</t>
  </si>
  <si>
    <t>5:</t>
  </si>
  <si>
    <t>if needed:</t>
  </si>
  <si>
    <t>to check coding:</t>
  </si>
  <si>
    <r>
      <rPr>
        <b/>
        <sz val="11"/>
        <color theme="3" tint="-0.249977111117893"/>
        <rFont val="Calibri"/>
        <family val="2"/>
        <scheme val="minor"/>
      </rPr>
      <t>RoboRA</t>
    </r>
    <r>
      <rPr>
        <sz val="11"/>
        <color theme="3" tint="-0.249977111117893"/>
        <rFont val="Calibri"/>
        <family val="2"/>
        <scheme val="minor"/>
      </rPr>
      <t xml:space="preserve"> creates RA Drafts </t>
    </r>
  </si>
  <si>
    <t>if desired:</t>
  </si>
  <si>
    <t xml:space="preserve">and finally: </t>
  </si>
  <si>
    <t>Standard Declines: autoloaded to eJacket</t>
  </si>
  <si>
    <t>international?</t>
  </si>
  <si>
    <t>Revs &amp; Panl release</t>
  </si>
  <si>
    <t>Human &amp; Vertibrate</t>
  </si>
  <si>
    <t>demographics</t>
  </si>
  <si>
    <t xml:space="preserve">            Auto decline templates must begin with Std</t>
  </si>
  <si>
    <t>Set Autoload Preferences on RoboRA tab</t>
  </si>
  <si>
    <t>delay (increase if eJacket can't keep up.)</t>
  </si>
  <si>
    <t>email PI</t>
  </si>
  <si>
    <t>E</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</si>
  <si>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</si>
  <si>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</si>
  <si>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</si>
  <si>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</si>
  <si>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</si>
  <si>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</si>
  <si>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</si>
  <si>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</si>
  <si>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</si>
  <si>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</si>
  <si>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</si>
  <si>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</si>
  <si>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</si>
  <si>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</si>
  <si>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</si>
  <si>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</si>
  <si>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</si>
  <si>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</si>
  <si>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</si>
  <si>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</si>
  <si>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</si>
  <si>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</si>
  <si>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</si>
  <si>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</si>
  <si>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</si>
  <si>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</si>
  <si>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</si>
  <si>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</si>
  <si>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</si>
  <si>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line 1:</t>
  </si>
  <si>
    <t>line 2:</t>
  </si>
  <si>
    <t>This page holds hidden settings: reportservers login credentials, sql fragments, preferences, or history...</t>
  </si>
  <si>
    <t>user id:</t>
  </si>
  <si>
    <t>ccfuser</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</si>
  <si>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</si>
  <si>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</si>
  <si>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</si>
  <si>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</si>
  <si>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</si>
  <si>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</si>
  <si>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</si>
  <si>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</si>
  <si>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</si>
  <si>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</si>
  <si>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</si>
  <si>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</si>
  <si>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</si>
  <si>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</si>
  <si>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</si>
  <si>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</si>
  <si>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</si>
  <si>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</si>
  <si>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PRC</t>
  </si>
  <si>
    <t>PRC_Description</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</si>
  <si>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</si>
  <si>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</si>
  <si>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</si>
  <si>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</si>
  <si>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</si>
  <si>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</si>
  <si>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</si>
  <si>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</si>
  <si>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</si>
  <si>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</si>
  <si>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</si>
  <si>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</si>
  <si>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</si>
  <si>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</si>
  <si>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</si>
  <si>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</si>
  <si>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</si>
  <si>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</si>
  <si>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</si>
  <si>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TX</t>
  </si>
  <si>
    <t>rec0</t>
  </si>
  <si>
    <t>rec1</t>
  </si>
  <si>
    <t>rec2</t>
  </si>
  <si>
    <t>minScore</t>
  </si>
  <si>
    <t>maxScore</t>
  </si>
  <si>
    <t>PanlString0</t>
  </si>
  <si>
    <t>pnlst0</t>
  </si>
  <si>
    <t>confl0</t>
  </si>
  <si>
    <t>PanlString1</t>
  </si>
  <si>
    <t>pnlst1</t>
  </si>
  <si>
    <t>confl1</t>
  </si>
  <si>
    <t>PanlString2</t>
  </si>
  <si>
    <t>pnlst2</t>
  </si>
  <si>
    <t>confl2</t>
  </si>
  <si>
    <t>Div_name</t>
  </si>
  <si>
    <t>natr_rqst_txt</t>
  </si>
  <si>
    <t>New Project</t>
  </si>
  <si>
    <t>NRFP</t>
  </si>
  <si>
    <t>1234567</t>
  </si>
  <si>
    <t>E,E/V,V,V/G,G,G/F,F,F/P,P</t>
  </si>
  <si>
    <t>This first row is needed so that mail merge formatting will be correct. Please do not remove it.  Mail merge takes its formatting from the first rows of the table............</t>
  </si>
  <si>
    <t>Dont remove this line for panel rec formatting....</t>
  </si>
  <si>
    <t>Panel name spelled out; keep this line for formatting.......</t>
  </si>
  <si>
    <t>Reports rank &amp; all recs (HC, etc.) from Interactive Panel System (IPS).  I suggest Standard competition rank  (wikipedia) .</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</si>
  <si>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</si>
  <si>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</si>
  <si>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</si>
  <si>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</si>
  <si>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</si>
  <si>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</si>
  <si>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</si>
  <si>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</si>
  <si>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</si>
  <si>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</si>
  <si>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</si>
  <si>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</si>
  <si>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</si>
  <si>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</si>
  <si>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</si>
  <si>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</si>
  <si>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</si>
  <si>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</si>
  <si>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</si>
  <si>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RA_pidSelect</t>
  </si>
  <si>
    <t>10</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</si>
  <si>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</si>
  <si>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</si>
  <si>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</si>
  <si>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</si>
  <si>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</si>
  <si>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</si>
  <si>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</si>
  <si>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</si>
  <si>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</si>
  <si>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</si>
  <si>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</si>
  <si>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</si>
  <si>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</si>
  <si>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</si>
  <si>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</si>
  <si>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</si>
  <si>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</si>
  <si>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</si>
  <si>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</si>
  <si>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</si>
  <si>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</si>
  <si>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</si>
  <si>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</si>
  <si>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</si>
  <si>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</si>
  <si>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using mail merge to fill  RAtemplates with reportserver data.</t>
  </si>
  <si>
    <t/>
  </si>
  <si>
    <t xml:space="preserve">-- Needs: #myPid (&amp; drops it)_x000D_
-- DROP TABLE #myProp, #myLead, #myRA_x000D_
CREATE INDEX myPid_idx ON #myPid(prop_id)_x000D_
INSERT INTO #myPid SELECT DISTINCT p.prop_id, p.lead_prop_id, p.pi_id, p.inst_id, p.pm_ibm_logn_id as PO, pid.RAtemplate _x000D_
FROM #myPid pid_x000D_
JOIN csd.prop p ON p.lead_prop_id = pid.lead_prop_id_x000D_
WHERE pid.lead_prop_id is not NULL  _x000D_
    AND NOT EXISTS (SELECT * FROM #myPid px WHERE px.prop_id = p.prop_id)_x000D_
--get props_x000D_
SELECT CASE WHEN p.lead_prop_id IS NULL THEN 'I' WHEN p.lead_prop_id &lt;&gt; p.prop_id THEN 'N' ELSE 'L' END AS ILN, _x000D_
  isnull(p.lead_prop_id,p.prop_id) AS lead, p.prop_id, p.pi_id, pi_last_name as L, pi_frst_name as F, _x000D_
  inst_shrt_name as I, inst.st_code, pi_emai_addr AS M, p.PO, p.RAtemplate_x000D_
INTO #myProp FROM #myPid p_x000D_
LEFT JOIN csd.pi_vw pi ON pi.pi_id = p.pi_id AND pi.prim_addr_flag='Y'_x000D_
LEFT JOIN csd.inst inst ON inst.inst_id = p.inst_id_x000D_
ORDER BY lead, ILN, p.prop_id_x000D_
DROP TABLE #myPid_x000D_
CREATE INDEX myProp_idx ON #myProp(prop_id)_x000D_
--get leads_x000D_
SELECT p.ILN, p.PO, p.lead, p.L, p.RAtemplate_x000D_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</si>
  <si>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</si>
  <si>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RA_lead(#myProp), RA_propPRCs(#myPRCs)_x000D_
--DROP TABLE #myPropBudg, #myPropInfo_x000D_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</si>
  <si>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</si>
  <si>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RA_pidCreate</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</si>
  <si>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b.RN as brevn, p.D AS rqst_tot, b.T as budg_tot,  _x000D_
b.sub_ctr_tot, b.frgn_trav_tot, b.pdoc_tot, b.part_tot_dol, _x000D_
b.grad_tot_cnt, b.sr_tot_cnt, b.sr_sumr_mnths, b.sr_acad_mnths, b.sr_cal_mnths,_x000D_
NfmlPIs,NhispPIs,NhndcpPIs,NnonWhtAsnPIs,_x000D_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</si>
  <si>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a.abst_narr_txt, prop_stts_txt, prop.prop_titl_txt,_x000D_
prop.rqst_eff_date,prop.rqst_mnth_cnt,_x000D_
b.RN as brevn,p.D AS rqst_tot, b.T as budg_tot, _x000D_
b.sub_ctr_tot, b.frgn_trav_tot, b.pdoc_tot,b.part_tot_dol, b.grad_tot_cnt, _x000D_
b.sr_tot_cnt, b.sr_sumr_mnths, b.sr_acad_mnths, b.sr_cal_mnths, 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</si>
  <si>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Nconfl</t>
  </si>
  <si>
    <t>.first line.</t>
  </si>
  <si>
    <t>keep</t>
  </si>
  <si>
    <t>mail</t>
  </si>
  <si>
    <t>merge</t>
  </si>
  <si>
    <t>Divn</t>
  </si>
  <si>
    <t>Name for PO signature</t>
  </si>
  <si>
    <t>hum_asur</t>
  </si>
  <si>
    <t>HUM_EXPT</t>
  </si>
  <si>
    <t>vrtb_asur</t>
  </si>
  <si>
    <t>pObj</t>
  </si>
  <si>
    <t>bObj</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</si>
  <si>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</si>
  <si>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pi</t>
  </si>
  <si>
    <t>Column Labels</t>
  </si>
  <si>
    <t>Grand Total</t>
  </si>
  <si>
    <t>Sum of budg_splt_tot_dol</t>
  </si>
  <si>
    <t>Row Labels</t>
  </si>
  <si>
    <t>wmd</t>
  </si>
  <si>
    <t>epscor</t>
  </si>
  <si>
    <t>dmog</t>
  </si>
  <si>
    <t>titl_ck</t>
  </si>
  <si>
    <t>RAtemplate</t>
  </si>
  <si>
    <t>Radraft_filename</t>
  </si>
  <si>
    <t>RAsigner2</t>
  </si>
  <si>
    <t>ej</t>
  </si>
  <si>
    <t>@pi</t>
  </si>
  <si>
    <t>@allPIs</t>
  </si>
  <si>
    <t>ckAwd</t>
  </si>
  <si>
    <t>Budgets</t>
  </si>
  <si>
    <t>ckCoding</t>
  </si>
  <si>
    <t>Coding for lead &amp; non-lead</t>
  </si>
  <si>
    <t>Email all PI&amp;co-Pis, or just lead</t>
  </si>
  <si>
    <t>above, or RAData</t>
  </si>
  <si>
    <t>RAData</t>
  </si>
  <si>
    <t>Abstr?marks</t>
  </si>
  <si>
    <t>Where to find:</t>
  </si>
  <si>
    <t>Customize RA draft signer</t>
  </si>
  <si>
    <t>Advanced</t>
  </si>
  <si>
    <t>Budget splits summary</t>
  </si>
  <si>
    <t>Pivot table on ckSplits</t>
  </si>
  <si>
    <t>Proposal PRC checks</t>
  </si>
  <si>
    <t>RAData, or edit template</t>
  </si>
  <si>
    <t>Add note to DGA</t>
  </si>
  <si>
    <t>Countries &amp; foreign travel $</t>
  </si>
  <si>
    <t>Research %age</t>
  </si>
  <si>
    <t>PO(7 letters):</t>
  </si>
  <si>
    <t>blocks to copy for RA or budget calculations</t>
  </si>
  <si>
    <t>Table of EPSCoR states</t>
  </si>
  <si>
    <t>Available RA templates</t>
  </si>
  <si>
    <t>Project revs, panel summ, etc.</t>
  </si>
  <si>
    <t>pdf from ProjText</t>
  </si>
  <si>
    <t>ckSplits</t>
  </si>
  <si>
    <t>Budget splits by year/co-funding</t>
  </si>
  <si>
    <t>Count of lead</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</si>
  <si>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 AS RecRkMin, pn0.RA as rec0, pn1.RA as rec1, pn2.RA as rec2, _x000D_
p.RAtemplate, org.dir_div_abbr as Div, rs.*, -- lead, Nrev, Nunmkd, min, avg, max scores, allReviews, 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confl0,_x000D_
 pn1.I AS panl_id1, pn1.RT AS RCOM_TXT1, pn1.RK AS rank1, pn1.PN AS panl_name1,pn1.E AS panl_end1,pn1.V AS revs1,pn1.S AS PanlString1,pn1.P as pnlst1, pn1.C as confl1,_x000D_
 pn2.I AS panl_id2, pn2.RT AS RCOM_TXT2, pn2.RK AS rank2, pn2.PN AS panl_name2,pn2.E AS panl_end2,pn2.V AS revs2,pn2.S AS PanlString2,pn2.P as pnlst2, pn2.C as confl2,_x000D_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name','Object Class full name','DIR'_x000D_
,'Directorate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</si>
  <si>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 xml:space="preserve">--Needs: RA_lead(#myProp), RA_propPRCs(#myPRCs)_x000D_
--DROP TABLE #myBudg_x000D_
SELECT p.lead, p.prop_id, eb.revn_num, eb.budg_seq_yr, eb.budg_tot_dol, _x000D_
eb.sr_pers_cnt, eb.sr_summ_mnth_cnt, eb.pdoc_grnt_dol, eb.frgn_trav_dol, eb.part_dol_x000D_
INTO #myBudg FROM #myProp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</si>
  <si>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..please</t>
  </si>
  <si>
    <t>for</t>
  </si>
  <si>
    <t>formatting.</t>
  </si>
  <si>
    <t>thx.</t>
  </si>
  <si>
    <t>zztemplateFname RAt.docx</t>
  </si>
  <si>
    <t>P123456</t>
  </si>
  <si>
    <t>Obj</t>
  </si>
  <si>
    <t>RAps_note</t>
  </si>
  <si>
    <t>divergentReviews</t>
  </si>
  <si>
    <t>Revised budget totals by year</t>
  </si>
  <si>
    <t>PEC Glossary; program element codes on proposals</t>
  </si>
  <si>
    <t>PEC_Description</t>
  </si>
  <si>
    <t>Glossaries of PRC/PECs used</t>
  </si>
  <si>
    <t>RA_PECglossary</t>
  </si>
  <si>
    <t xml:space="preserve">--DROP TABLE #myPid _x000D_
SELECT p.pgm_ele_code AS PEC, pec.pgm_ele_name AS PEC_Description_x000D_
FROM (SELECT DISTINCT pgm_ele_code FROM #myPid pid _x000D_
JOIN csd.prop p ON p.prop_id = pid.prop_id) p_x000D_
JOIN csd.pgm_ele pec ON pec.pgm_ele_code = p.pgm_ele_code_x000D_
ORDER BY PEC_x000D_
</t>
  </si>
  <si>
    <t xml:space="preserve">SET NOCOUNT ON _x000D_
CREATE TABLE #myPid (prop_id char(7), lead_prop_id char(7) null, pi_id char(9), inst_id char(10), PO char(7), RAtemplate varchar(63))_x000D_
</t>
  </si>
  <si>
    <t>eJ again</t>
  </si>
  <si>
    <t>%</t>
  </si>
  <si>
    <t>proposal status code restrictions</t>
  </si>
  <si>
    <t>0[01289]</t>
  </si>
  <si>
    <t>0[3-Z]</t>
  </si>
  <si>
    <t>02</t>
  </si>
  <si>
    <t>0%</t>
  </si>
  <si>
    <t>Review packet prepared (02)</t>
  </si>
  <si>
    <t>All needing PM recommendation (0-2,8,9)</t>
  </si>
  <si>
    <t>PM recommended (03-0Z)</t>
  </si>
  <si>
    <t>All Pending = not DD concurred (0%)</t>
  </si>
  <si>
    <t>All proposals (%)</t>
  </si>
  <si>
    <t>Cognizant Program Director</t>
  </si>
  <si>
    <t xml:space="preserve">  Restrict proposal status to:</t>
  </si>
  <si>
    <t xml:space="preserve">SELECT DISTINCT prop.prop_id, prop.lead_prop_id, prop.pi_id, prop.inst_id, prop.pm_ibm_logn_id as PO, _x000D_
</t>
  </si>
  <si>
    <t>(blank)</t>
  </si>
  <si>
    <t>2. List panels, solicitations, and/or PDs</t>
  </si>
  <si>
    <t xml:space="preserve">       in table below, and press GO.</t>
  </si>
  <si>
    <t>1. Have your reportserver password ready.</t>
  </si>
  <si>
    <t xml:space="preserve">0. If needed, pick template &amp; output folders. </t>
  </si>
  <si>
    <t xml:space="preserve">3. If desired,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</si>
  <si>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--per project panel summary _x000D_
SELECT rp.lead, ps.*, rp.N, rp.V, s.RCOM_SEQ_NUM AS RS, d.RCOM_ABBR as RA, d.RCOM_TXT as RT, s.PROP_ORDR as RK,_x000D_
nullif((SELECT count(*) FROM #myRevs c WHERE confl=1 AND c.panl_id = rp.panl_id AND c.lead = rp.lead ),0) as C,_x000D_
CASE WHEN panl_summ_unrl_flag = 'Y' THEN 1 ELSE 0 END as summ_unrls, _x000D_
CASE WHEN panl_summ_unrl_flag = 'Y' OR panl_summ_rlse_flag = 'Y'  THEN 0 ELSE 1 END as summ_unmrkd,id=identity(18), 0 as seq_x000D_
INTO #myProjPanl FROM #myRevPanl rp_x000D_
JOIN #myPanl ps ON ps.I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</si>
  <si>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L</t>
  </si>
  <si>
    <t>MT</t>
  </si>
  <si>
    <t>N</t>
  </si>
  <si>
    <t>IN</t>
  </si>
  <si>
    <t>Purdue University</t>
  </si>
  <si>
    <t>STND</t>
  </si>
  <si>
    <t xml:space="preserve">        </t>
  </si>
  <si>
    <r>
      <t xml:space="preserve">4. Visit </t>
    </r>
    <r>
      <rPr>
        <b/>
        <sz val="11"/>
        <color theme="5" tint="-0.499984740745262"/>
        <rFont val="Calibri"/>
        <family val="2"/>
        <scheme val="minor"/>
      </rPr>
      <t>RAData</t>
    </r>
    <r>
      <rPr>
        <sz val="11"/>
        <color theme="5" tint="-0.499984740745262"/>
        <rFont val="Calibri"/>
        <family val="2"/>
        <scheme val="minor"/>
      </rPr>
      <t xml:space="preserve"> tab to select Awd/Decl/Std Decl</t>
    </r>
  </si>
  <si>
    <t xml:space="preserve">       &amp; click Make Indicated RA Drafts</t>
  </si>
  <si>
    <r>
      <t xml:space="preserve">Signature block: </t>
    </r>
    <r>
      <rPr>
        <sz val="10"/>
        <color theme="5" tint="-0.499984740745262"/>
        <rFont val="Calibri"/>
        <family val="2"/>
        <scheme val="minor"/>
      </rPr>
      <t xml:space="preserve"> PD=managing pgm dir, blank=draft uploader, or Name T. Use.</t>
    </r>
  </si>
  <si>
    <r>
      <t xml:space="preserve">Select RA templates </t>
    </r>
    <r>
      <rPr>
        <sz val="9"/>
        <color theme="3" tint="-0.249977111117893"/>
        <rFont val="Calibri"/>
        <family val="2"/>
        <scheme val="minor"/>
      </rPr>
      <t>(above each table)</t>
    </r>
  </si>
  <si>
    <t>Awd RAt.docm</t>
  </si>
  <si>
    <t>Decline RAt.docm</t>
  </si>
  <si>
    <t>Std Decline RAt.docm</t>
  </si>
  <si>
    <r>
      <t xml:space="preserve">Paste prop_id </t>
    </r>
    <r>
      <rPr>
        <sz val="9"/>
        <color theme="3" tint="-0.249977111117893"/>
        <rFont val="Calibri"/>
        <family val="2"/>
        <scheme val="minor"/>
      </rPr>
      <t>(values)</t>
    </r>
    <r>
      <rPr>
        <sz val="11"/>
        <color theme="3" tint="-0.249977111117893"/>
        <rFont val="Calibri"/>
        <family val="2"/>
        <scheme val="minor"/>
      </rPr>
      <t xml:space="preserve"> into tables </t>
    </r>
  </si>
  <si>
    <t>Have rptServer credentials ready</t>
  </si>
  <si>
    <t>Human/vertibrate</t>
  </si>
  <si>
    <t>Folder with RA templates:</t>
  </si>
  <si>
    <t>Where to save filled-in RA drafts:</t>
  </si>
  <si>
    <t>David</t>
  </si>
  <si>
    <t xml:space="preserve"> PanlSumm</t>
  </si>
  <si>
    <t>5</t>
  </si>
  <si>
    <t>2</t>
  </si>
  <si>
    <t>3</t>
  </si>
  <si>
    <t>C</t>
  </si>
  <si>
    <t>Questionable '?' in abstract</t>
  </si>
  <si>
    <t>Reviews&amp;panel summ released</t>
  </si>
  <si>
    <t>Folder to save RA drafts</t>
  </si>
  <si>
    <t>U of Texas Austin</t>
  </si>
  <si>
    <t>FL</t>
  </si>
  <si>
    <t>AZ</t>
  </si>
  <si>
    <t xml:space="preserve"> G,G/F,F</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</si>
  <si>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as docType, p.PO, panl_prop_summ.PANL_ID,  ' '+panl.panl_name, panl_rcom_def.RCOM_TXT,_x000D_
convert(varchar,panl_prop_summ.RCOM_SEQ_NUM), convert(varchar,panl_prop_summ.PROP_ORDR), panl.panl_bgn_date, panl_prop_summ.last_updt_tmsp,_x000D_
panl_rcom_def.RCOM_ABBR, panl_prop_summ.PANL_SUMM_TXT_x000D_
    FROM #myLead p _x000D_
    JOIN FLflpdb.flp.panl_prop_summ panl_prop_summ ON panl_prop_summ.PROP_ID = p.lead_x000D_
    JOIN csd.panl panl ON panl.panl_id = panl_prop_summ.PANL_ID_x000D_
    LEFT JOIN FLflpdb.flp.panl_rcom_def panl_rcom_def ON panl_rcom_def.RCOM_SEQ_NUM = panl_prop_summ.RCOM_SEQ_NUM AND panl_rcom_def.PANL_ID = panl_prop_summ.PANL_ID_x000D_
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</si>
  <si>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xDiaryNt</t>
  </si>
  <si>
    <t>9150</t>
  </si>
  <si>
    <t>EXP PROG TO STIM COMP RES</t>
  </si>
  <si>
    <t>F/P</t>
  </si>
  <si>
    <t>Lee</t>
  </si>
  <si>
    <t>Chen</t>
  </si>
  <si>
    <t>Park</t>
  </si>
  <si>
    <t>WA</t>
  </si>
  <si>
    <t>U of Washington</t>
  </si>
  <si>
    <t>DC</t>
  </si>
  <si>
    <t>Matthew</t>
  </si>
  <si>
    <t>Amir</t>
  </si>
  <si>
    <t>GA</t>
  </si>
  <si>
    <t>Ga. Southern Univ. R&amp;S Fdn</t>
  </si>
  <si>
    <t>G,G/F,F</t>
  </si>
  <si>
    <t>Georgia Tech Research Corp</t>
  </si>
  <si>
    <t>Arizona State University</t>
  </si>
  <si>
    <t>Texas A&amp;M Main Campus</t>
  </si>
  <si>
    <t xml:space="preserve"> F</t>
  </si>
  <si>
    <t xml:space="preserve"> G,F,F</t>
  </si>
  <si>
    <t>Pend</t>
  </si>
  <si>
    <t>RoboRACleanCopy</t>
  </si>
  <si>
    <t>https://collaboration.inside.nsf.gov/eng/meritreview/SiteAssets/ENG%20Tools%20Websites%20and%20Best%20Practices/RoboRA/RoboRACleanCopy.dotm</t>
  </si>
  <si>
    <t>p180480</t>
  </si>
  <si>
    <t>1631</t>
  </si>
  <si>
    <t>CIVIL INFRASTRUCTURE SYSTEMS</t>
  </si>
  <si>
    <t>036E</t>
  </si>
  <si>
    <t>CIVIL INFRASTRUCTURE</t>
  </si>
  <si>
    <t>1057</t>
  </si>
  <si>
    <t>CIS BASE RESEARCH</t>
  </si>
  <si>
    <t>CVIS</t>
  </si>
  <si>
    <t>1759519</t>
  </si>
  <si>
    <t>Kim</t>
  </si>
  <si>
    <t>YHSUAN</t>
  </si>
  <si>
    <t>P180480</t>
  </si>
  <si>
    <t xml:space="preserve"> 1631 CIS Unsol Proposal Review - Construction</t>
  </si>
  <si>
    <t>Do Not Consider</t>
  </si>
  <si>
    <t>DNC</t>
  </si>
  <si>
    <t>UC0915690</t>
  </si>
  <si>
    <t>El-Gohary</t>
  </si>
  <si>
    <t>gohary@illinois.edu</t>
  </si>
  <si>
    <t xml:space="preserve">In the context of the five review elements, please _x000D_
evaluate the strengths and weaknesses of the proposal with respect to intellectual merit._x000D_
_x000D_
Strengths_x000D_
The research objective of this proposal is to investigate the reliability and economy of a prefabrication/modularization construction supply chain. Prefabrication/modularization is an important area to investigate, as it could potentially have a high impact on the success of construction projects. The proposed research activities are also well-reasoned. The PIs are well-qualified to conduct the proposed activities. The PI have sufficient access to resources._x000D_
_x000D_
Weaknesses_x000D_
While the proposed research activities are well-defined and well-reasoned, the intellectual merit is weak. _x000D_
_x000D_
The second objective (which is in fact the main objective or research outcome) aims to develop a decision-support model for the planning and scheduling of prefabrication/modularization supply chains with multiple fabrication shops. The model includes optimization and aims to help suppliers develop their production plan to meet the demands with different levels of reliability. While this model could be highly useful in practice, the novelty and intellectual merit of the proposed effort is not high. _x000D_
_x000D_
The core tasks in the proposed research plan are Task 3 (Develop optimization models for the distribution network and solve the models using an optimization software package) and Task 4 (Investigate the impact of the demand reliability on the reliability and economy of prefabrication construction supply chains). Again, the optimization models are well-defined, and the models could be highly useful in practice, but the novelty and intellectual merit of the proposed effort is not high. Perhaps NSF is not the right agency to fund this effort, in its current form. _x000D_
_x000D_
The description of Task 3 sounds like development effort. What are the challenging research questions that are being addressed? What is the novelty in the proposed approach? What is the intellectual contribution and novelty in the modeling? _x000D_
_x000D_
The description of Task 4 is too brief and lacks sufficient detail on how the impact of the demand reliability on the reliability and economy of prefabrication construction supply chains will be investigated.  _x000D_
_x000D_
No letters, to support the proposed industry collaboration, are provided. _x000D_
_x000D_
_x000D_
In the context of the five review elements, please _x000D_
evaluate the strengths and weaknesses of the proposal with respect to broader impacts._x000D_
_x000D_
Strengths_x000D_
The PIs plan to promote teaching and learning through developing educational material regarding prefabrication supply chains and integrating them into existing courses. For outreach activities, the PIs plan to organize educational workshops for construction contractors and prefabricators. The PIs plan to mentor women faculty (although it wasn't clear if they refer to previous efforts, future plans, or both). The PIs plan to disseminate the research results through journal articles and conference papers. _x000D_
_x000D_
Weaknesses_x000D_
The educational and outreach activities are weak, and could be highly strengthened. Similarly, the dissemination efforts could be strengthened and broadened û using more methods, reach more audience, etc. _x000D_
_x000D_
_x000D_
Please evaluate the strengths and _x000D_
weaknesses of the proposal with respect to any additional solicitation-specific review criteria, if _x000D_
applicable_x000D_
_x000D_
_x000D_
_x000D_
Summary Statement_x000D_
_x000D_
The successful use of prefabrication/modularization could potentially have a high impact on the success of construction projects, and the industry as a whole. The proposed research activities are well-reasoned and well-defined. But, the intellectual contribution and novelty of the proposed research activities, including the optimization approach, are weak._x000D_
_x000D_
</t>
  </si>
  <si>
    <t>PS0916244</t>
  </si>
  <si>
    <t>Liang</t>
  </si>
  <si>
    <t>daan.liang@ttu.edu</t>
  </si>
  <si>
    <t xml:space="preserve">In the context of the five review elements, please _x000D_
evaluate the strengths and weaknesses of the proposal with respect to intellectual merit._x000D_
_x000D_
Strengths: The researchers attempt to investigate the problem of demand uncertainty in prefabrication operations of construction. The system approach, by adopting concepts such as supply chain modeling and production management, seems well reasoned. The team has complementary expertise in construction management and industry engineering. _x000D_
Weaknesses: The research plan being presented lack intellectual insight and doesn't highlight transformative nature. For example, understanding how contractors develop and communicate demand forecast is a very practical problem and not driven by vigorous and testable hypothesis. At the same time, the definition of demand reliability (which may not be a proper term to use) is overly simplistic, overlooking important dimensions such as type and quantity of prefabricated components sought for a given job. Interesting questions raised at the beginning of the proposal, as related to differences between manufactured products and constructed projects, are left unaddressed. The subsequent modeling effort reads as an application of known optimization applications and algorithms rather than generating anything new. The task to examine the linkage between demand uncertainty and large-scale supply chain performance is severely underspecified. The effort described as Task 5, by comparing actual operation with optimized solution, couldn't be deemed as true model validation._x000D_
_x000D_
In the context of the five review elements, please _x000D_
evaluate the strengths and weaknesses of the proposal with respect to broader impacts._x000D_
_x000D_
Weaknesses: Curricular improvement and outreach activities are only minimally described in the proposal. No assessment plan is provided. No protection of human subject is mentioned._x000D_
_x000D_
Please evaluate the strengths and _x000D_
weaknesses of the proposal with respect to any additional solicitation-specific review criteria, if _x000D_
applicable_x000D_
_x000D_
_x000D_
_x000D_
Summary Statement_x000D_
_x000D_
The researchers aim to investigate the uncertainty in demand of prefabricated components in construction and examine how it affects project cost and schedule. It will use the surveys and interviews to capture current practices in production planning, focusing on both suppliers and contractors. They hypothesize that uncertainty in demand forecasting by contractors decreases as time of delivery nears. Meanwhile, suppliers' response to changing demand could be influenced by many factors, which will be identified and investigated. Then the researchers will focus their attention onto the issue associated with multiple fabrication shops and develop a network-based framework to aid resource allocation. Involvement by other participating agents (e.g. trucking companies, raw material suppliers) will be studied and included in the analysis. Based on mapping of the supply chain, an optimization model will be developed, possibly involving multiple objectives such as cost and time. The model will also be utilized to examine the effect of demand uncertainty on the performance of the entire supply chain through computer simulation. Lastly two case studies will be performed to validate the feasibility of the optimization model. _x000D_
Being very applied, the research being proposed is unlikely to lead to fundamental knowledge discovery._x000D_
_x000D_
</t>
  </si>
  <si>
    <t>GN1007870</t>
  </si>
  <si>
    <t>Turkan</t>
  </si>
  <si>
    <t>yelda.turkan@oregonstate.edu</t>
  </si>
  <si>
    <t xml:space="preserve">In the context of the five review elements, please _x000D_
evaluate the strengths and weaknesses of the proposal with respect to intellectual merit._x000D_
_x000D_
This proposal aims to assess the impact of demand reliability on the costs and reliability in the timely delivery of prefabricated products. They plan to do this by developing a robust, optimization based decision support tool._x000D_
It is not clear what the unique, substantial contribution of this study will be._x000D_
_x000D_
In the context of the five review elements, please _x000D_
evaluate the strengths and weaknesses of the proposal with respect to broader impacts._x000D_
_x000D_
Not well defined broader impacts. No detailed plans._x000D_
_x000D_
Please evaluate the strengths and _x000D_
weaknesses of the proposal with respect to any additional solicitation-specific review criteria, if _x000D_
applicable_x000D_
_x000D_
_x000D_
_x000D_
Summary Statement_x000D_
_x000D_
This proposal aims to assess the impact of demand reliability on the costs and reliability in the timely delivery of prefabricated products. They plan to do this by developing a robust, optimization based decision support tool._x000D_
It is not clear what the unique, substantial contribution of this study will be._x000D_
Not well defined broader impacts. No detailed plans._x000D_
_x000D_
</t>
  </si>
  <si>
    <t>Given the growing trend of prefabrication/modularization in the construction industry, the management of prefabrication/modularization supply chains is essential for the success of construction projects.  This proposal requests funds to support research to investigate the reliability and economy of a prefabrication/ modularization construction supply chain. The objective of the proposed research is threefold: (1) to investigate the impact of demand reliability on the costs and reliability in the timely delivery of prefabrication/modularization products, (2) to develop a robust, optimization-based decision-support model for the planning and scheduling of prefabrication/modularization supply chains with multiple fabrication shops, and (3) to validate the optimization model and develop case studies._x000D_
The educational component in this research is to develop case study material in which students would learn the impact of demand reliability on the costs and reliability of the prefabrication supply system. The outcome would help construction management students learn production management and operations research, and expose industrial engineering students to optimization under uncertainty in the context of construction supply chain management. For outreach, the research team will organize educational workshops for practitioners focusing on the construction demand reliability and its impact on prefabrication production planning.The research delves into the variability of demands (i.e., contractors? production planning) and its impact on the economy and reliability of the prefabrication/modularization supply chain. Literature in the construction project planning addresses the construction contractor?s production planning process but does not investigate its relations with the reliability and economy of the supply chain. This research poses a challenge to the silo-mentality which considers a supplier?s production planning excluded from construction management.  _x000D_
It will also shed a light on how operations research can improve performance in managing the prefabrication supply chains. The PIs of this research come from the Construction Management and Industrial Engineering domains. Their interdisciplinary approach is promising in bridging the knowledge gap between construction and manufacturing sectors in operating prefabrication supply chain systems.Prefabrication suppliers? production planning capacity: Though many prefabricators are operating multiple fabrication shops to enhance their responsiveness and efficiency, few optimization models are available to assist them in allocating jobs and inventory between these fabrication shops. In addition, not many prefabricators are capitalized enough to invest in advancing their production planning. This research will develop an optimization model which will help prefabrication suppliers with multiple fabrication shops improve their production planning ability._x000D_
Cost savings in the delivery of capital projects: Given an increased share of prefabrication/modularization in construction project budgets, improving the reliability and economy of prefabrication/modularization supply chains will eventually contribute to the improved efficiency of capital project delivery. This improved efficiency will credit all stakeholders in the industry including taxpayers._x000D_
Extensive use of prefabrication/modularization in the Architecture, Engineering, and Construction (AEC) industry: Our research explores optimization opportunities in the planning and scheduling of prefabrication construction supply chains with multi- fabrication shops. The research team expects that the outcome of the proposed research will expand the use of prefabrication/modularization in the construction industry._x000D_
Fostering diversity: We are committed to fostering diversity in our research and education missions and will leverage several resources available at the University of Washington (UW). Both PIs have mentored women faculty, postdocs, Ph.D. students and undergraduate students for many years and will continue to encourage diverse involvement in our research activities.</t>
  </si>
  <si>
    <t>kwebster</t>
  </si>
  <si>
    <t>Compliance Pass</t>
  </si>
  <si>
    <t>1760110</t>
  </si>
  <si>
    <t>Dossick</t>
  </si>
  <si>
    <t>VS0540524</t>
  </si>
  <si>
    <t>Hazelrigg</t>
  </si>
  <si>
    <t>ghazelrigg@verizon.net</t>
  </si>
  <si>
    <t xml:space="preserve">In the context of the five review elements, please _x000D_
evaluate the strengths and weaknesses of the proposal with respect to intellectual merit._x000D_
_x000D_
The proposed work seeks an answer to the question, "How do varying information exchange requirements impact the organizational routines of engineering and construction firms and project networks?"  While research on this question begs a hypothesis, neither is a hypothesis given nor is a research objective stated.  As a result the proposed work is not well formulated or described.  The first eight pages of the technical description argue that external disruptions from information exchange requirements negatively impact organizational routines.  To begin, this reviewer would like to see a clear definition of "routine."  The proposal is not clear on what comprises a routine.  The purpose of Figure 1 is not clear.  The figure does not explain anything and the text provides no explanation of the figure.  On page 4, there is a section labeled "Objectives..."  However, all that is said is, "This study aims to investigate how external disruptions from information exchange requirements impact organizational routines."  Again, this is a statement of what the PIs intend to do, it is not a research objective.  Then a series of four very loosely described tasks are presented.  Table 1 is also a bit confusing.  Why is it there?  It would seem to me that three short sentences would convey all the information presented in the table._x000D_
_x000D_
A description of the proposed research begins at the bottom of page 8 with a restatement (for the third time) of the basic research question.  But then the proposal merely outlines a vague study approach with statements like: "This research will investigate in-depth case studies...," and "This study will use qualitative research methods..."  There is a section on "External Interviews," which notes, "the researchers will interview a group of external experts (at least 30 experts) who are actively involved in developing and implementing information exchange standards..."  The protocol for the interviews is well laid out, but we never learn the objective of these interviews.  What is their purpose, what do the researchers intend to find out from them, and how does this knowledge contribute to the accomplishment of the (unstated) research objective?  Because we are not told what the research objective is, we cannot evaluate the research plan._x000D_
_x000D_
It is also the case that the PIs failed to proof read their proposal subsequent to submission.  The Project Summary contains many spurious "?" marks, which failed to translate from a Word document to the final pdf version.  The Technical Description section also contains a number of typos and grammatical errors, all of which tend to make the document harder to read.  For example, on the top of page 10, "Table  " is referred to.  And further down the page, much of the wording on Figure 2 is eclipsed by a set of boxes.  These deficiencies bode a degree of carelessness that does not lead to well-designed and well-conducted research._x000D_
_x000D_
Intellectual Merit_x000D_
_x000D_
The PIs note that, "This proposed research will advance our understanding of (1) the impact of frequent information exchange disruptions on project networks and organizations in their operations and (2) the patterns and underlying factors of organizational and network responses to these disruptions."  It's not entirely clear what this statement means, nor is it clear that they will accomplish an advanced understanding.  Indeed, the knowledge contribution of the proposed work is not clearly defined in the proposal._x000D_
_x000D_
_x000D_
In the context of the five review elements, please _x000D_
evaluate the strengths and weaknesses of the proposal with respect to broader impacts._x000D_
_x000D_
Broader Impact_x000D_
_x000D_
The PIs call out as the key broader impact of the proposed work, offering "public agencies, institutional owners, and policy makers insights into the effectiveness of prevalent information exchange standards and consequences of frequent disruptions they often make when changing information exchange requirements."  However, given the lack of a clear research plan, it is doubtful that such an impact will be realized.  The PIs also note that they will be interacting with industry and mentoring graduate students.  But the effectiveness of the industrial interaction is questionable, and the mentoring of graduate students is the job of faculty with or without a research grant._x000D_
_x000D_
_x000D_
Please evaluate the strengths and _x000D_
weaknesses of the proposal with respect to any additional solicitation-specific review criteria, if _x000D_
applicable_x000D_
_x000D_
_x000D_
_x000D_
Summary Statement_x000D_
_x000D_
Summary_x000D_
_x000D_
This proposal is not fundable as written.  To be fundable, the PIs would have to provide a clear research objective and a well-designed plan to accomplish that objective.  It would seem that, in order to conduct research related to the stated research question, the PIs would have to have a hypothesis of some sort.  They should state their hypothesis and then design a test of the hypothesis.  This reviewer believes that the background and motivation for the study could be accomplished in well under half of the eight pages currently devoted to that purpose, and this would provide the space for the PIs to give a better description of their proposed research._x000D_
_x000D_
This reviewer is also somewhat troubled by the totally "qualitative" nature of the proposed work.  Understanding and extensibility derive from logical constructs (mathematical models).  In the absence of such a construct, the value of the research is significantly diminished.  In the Project Summary, the PIs present a "three phased research plan (Exploration[,] Theory Building[, and] Theory Testing)." Unfortunately, the proposal is weak in its description of the last two elements of this plan, with only a short, two-paragraph section devoted to it._x000D_
_x000D_
_x000D_
</t>
  </si>
  <si>
    <t>PU0990721</t>
  </si>
  <si>
    <t>Karimi</t>
  </si>
  <si>
    <t>jazizade@vt.edu</t>
  </si>
  <si>
    <t xml:space="preserve">In the context of the five review elements, please _x000D_
evaluate the strengths and weaknesses of the proposal with respect to intellectual merit._x000D_
_x000D_
[+] The novelty of the proposal reflected in the investigation of internal and network level dynamics of project stakeholders in response to information exchange disruptions._x000D_
_x000D_
[-] The introduction and motivation section could be more concise as part of the material does not directly add value to the goals and objective of the study._x000D_
_x000D_
[-] Similarly, the literature review section could be presented in a more effective way. The presentation style for these two sections distracts the reader from the main contributions in the proposal._x000D_
_x000D_
[-] The text does not provide an explanation on the nature of the disruptions in information exchange routines. The concepts have been presented in an abstract and do not provide a description of the disruptions._x000D_
_x000D_
[-] The description does not provide information on the frequency of the changes in information exchange standards and how that is compared to the duration of a project._x000D_
_x000D_
[-] The process of the ethnographic methodology lacks sufficient details and has been presented at an abstract level._x000D_
_x000D_
[-] More elaboration is needed on the data collection procedures. How research team members interact with the project stakeholders to collect the data?_x000D_
_x000D_
_x000D_
In the context of the five review elements, please _x000D_
evaluate the strengths and weaknesses of the proposal with respect to broader impacts._x000D_
_x000D_
[+] Economical and technical broader impact of the proposal have been sufficiently elaborated._x000D_
_x000D_
[+] The proposal presents multi-faceted educational and outreach plan._x000D_
_x000D_
[-] However, the plans require more details. The plans for educational and outreach activities were presented  a high-level._x000D_
_x000D_
Please evaluate the strengths and _x000D_
weaknesses of the proposal with respect to any additional solicitation-specific review criteria, if _x000D_
applicable_x000D_
_x000D_
_x000D_
_x000D_
Summary Statement_x000D_
_x000D_
The proposal seeks to investigate the internal dynamics of perceiving, implementing, and responding to requirements of information exchange standards as they have a significant impact on project life-cycle costs for infrastructure owners. Therefore, the goal of the proposal is to improve the implementation of information exchange standards and guide government agencies, public and private owners in developing project requirements to minimize inefficiencies in construction project networks._x000D_
_x000D_
_x000D_
</t>
  </si>
  <si>
    <t xml:space="preserve">In the context of the five review elements, please _x000D_
evaluate the strengths and weaknesses of the proposal with respect to intellectual merit._x000D_
_x000D_
Strength: The researchers aim to bring social science methods into the analysis of engineering practices to study the effect of information exchange standards and project requirements on company's internal routines. Expected outcomes include new theoretical models to understand organizational responses to frequent external disruptions._x000D_
Weaknesses: While the overall project objective is sound, it's unclear to the reviewer how organizational structures and responses would be characterized and modeled. Research design is largely prepared in a qualitative manner and the key component û modeling building techniques û lacks details.  To some degree, the proposed research could itself be labelled as 'black box' for the absence of clear theoretical framework and testable hypothesis._x000D_
_x000D_
In the context of the five review elements, please _x000D_
evaluate the strengths and weaknesses of the proposal with respect to broader impacts._x000D_
_x000D_
Strengths: This research is intended to minimize disruption caused by new information exchange standards. _x000D_
Weaknesses: The proposal contains a few activities aimed for industry collaboration, integration of research and education, and mentorship of students. However, they lack specificity and creativity. Protection of human subject is not described in the proposal (and only referenced in the Data Management Pan)._x000D_
_x000D_
Please evaluate the strengths and _x000D_
weaknesses of the proposal with respect to any additional solicitation-specific review criteria, if _x000D_
applicable_x000D_
_x000D_
_x000D_
_x000D_
Summary Statement_x000D_
_x000D_
The project has a lofty goal of contributing to the theoretical understanding of organizational routines in engineering firms subject to frequent routine disruptions and their influence organizational and inter-organizational processes and behaviors. However, many of these processes are not well defined, and methods to examine them are not grounded in theories. Reliance on case studies and interviews may restrict broad applicability of future research findings._x000D_
_x000D_
</t>
  </si>
  <si>
    <t>When planning for disruption, infrastructure owners primarily focus on uninterrupted service, safety, and security. However, disruptions of workflows and practices in design and construction have significant economic impacts that as yet have not been well understood. Per a National Institute of Standards and Testing 2004 study, the lack of interoperability?the ability for computer systems to exchange and use information? costs the U.S. capital facilities industry tens of billions of dollars per year (Gallaher, et al., 2004).  Despite this call for action, the industry still suffers from the lack of established and consistent workflows, ontologies, and information exchange standards in projects and still struggles to develop and implement standards (Zhou et al., 2016). The National Institute of Building Sciences and other standards bodies such as the Construction Specification Institute have made efforts to create information exchange standards that would normalize information exchange across the industry network of design, construction and maintenance firms and agencies. These standards have evolved over time with changes published periodically. However, the industry has been slow to adopt and implement these standards as these revised standards disrupt design and construction practices (known as routines in organizational science). While many recognize the problem, research is scarce in this area.  This proposed research seeks to understand these impacts, which are significant and limit adoption of new standards. Understanding the impact on routines allow researchers, policy makers and information exchange advocates to implement these standards that are so vital to the economic and by extension the physical health of civil infrastructure systems.  _x000D_
_x000D_
Research Question: How do varying information exchange requirements impact the organizational routines of engineering and construction firms and project networks?_x000D_
_x000D_
Method:  This three phased proposed research plan (Exploration	 ? Theory Building ? Theory Testing)  includes 4 embedded (cases within larger cases) ethnographic case studies four project networks in two public owner organizations. and interviews with 30 nationally recognized industry experts. This work will extend existing research partnerships with the University of Washington?s Capital Planning and Development office and the US Army Corp of Engineers BIM and CIM Consortia.This research will bring social science methods into the engineering context to study the internal dynamics of perceiving, implementing, and responding to information exchange standards and project requirements. Contributions include new theoretical models to understand organizational responses to the frequent disruption of routines of interdependent network participants in temporary projects.  This proposed research will support the understanding of the impact of frequent information exchange disruptions on project networks in the construction industry as well as explore the patterns and underlying factors of organizational and network responses to these disruptions.This basic engineering organizations science research has broad implications for national mandates around information exchange standards. With these findings, public agencies, institutional owners, and policy makers will be able to mitigate the negative impact of disruptions in project networks and optimize lifecycle costs of information management in the public domain by addressing the inefficiencies caused by changes to information exchange standards. While the heart of the intellectual merit looks at basic engineering project organization questions, the research method supports academic-industry interaction through case studies and industry expert interviews.  Through the dissemination plan the research team proposes to create a technical report which translates the implications of the basic science for industry with recommendations for further information exchange standards development and implementation.</t>
  </si>
  <si>
    <t>1760664</t>
  </si>
  <si>
    <t>QCHEN</t>
  </si>
  <si>
    <t>YW0600483</t>
  </si>
  <si>
    <t>de la Garza</t>
  </si>
  <si>
    <t>chema@vt.edu</t>
  </si>
  <si>
    <t xml:space="preserve">In the context of the five review elements, please _x000D_
evaluate the strengths and weaknesses of the proposal with respect to intellectual merit._x000D_
_x000D_
It seems like the BOK of Modular construction using factory-built facilities, which are then transported and assembled onsite is already well established (p.1); notwithstanding this BOK, PIs objective #1 (p.2) proposes to re-research these benefits and tradeoffs.  The PIs are simply proposing to add BIM technology to the existing processùthis is objective #2.  The PIs have not elaborated on the differences between the proposed scope and the results from their preliminary study.  As for objective #3, the PIs have also acknowledged that their methodology of choiceùdynamic optimizationùhas also already being considered for facility location planning (p.3)._x000D_
_x000D_
Figures and equations are unreadable and/or unexplained, e.g., Eq. 2._x000D_
_x000D_
The tasks listed on section D.2.1 are not cross-referenced to the two hypotheses briefly introduced in Section B.  The only viable research scope is the piece listed as R&amp;D Task 4._x000D_
_x000D_
This proposal, as written, has limited potential to further advance the existing BOK; it lacks originality._x000D_
_x000D_
_x000D_
In the context of the five review elements, please _x000D_
evaluate the strengths and weaknesses of the proposal with respect to broader impacts._x000D_
_x000D_
The Broader Impacts listed in the Project Summery are actually Broad Impacts which belong on the Intellectual Merit.  The activities detailed in Section H regarding integrating research into education and outreach activities are well conceived and offer potential value._x000D_
_x000D_
_x000D_
Please evaluate the strengths and _x000D_
weaknesses of the proposal with respect to any additional solicitation-specific review criteria, if _x000D_
applicable_x000D_
_x000D_
_x000D_
_x000D_
Summary Statement_x000D_
_x000D_
It seems like the PIs have recycled an EAGER proposal.  PIs are encouraged to utilize the 7 unused pages in the Project Description to provide detailed explanations of their scope/methodology and contrast them with that of their preliminary study._x000D_
_x000D_
</t>
  </si>
  <si>
    <t xml:space="preserve">In the context of the five review elements, please _x000D_
evaluate the strengths and weaknesses of the proposal with respect to intellectual merit._x000D_
_x000D_
[-] The proposal fails to present a coherent structure. The content from different disciplines seemed to be put together before a clear connection between the components could be formed._x000D_
_x000D_
[-] The proposal is too short while there are several ambiguities in the text that were remained unanswered. The tasks were not described in detail. _x000D_
_x000D_
[-] The proposed plan contributes to the development of an optimization tool rather than addressing more fundamental research questions. The topic has the potential for knowledge development._x000D_
_x000D_
[-] The background and preliminary research sections are not providing sufficient insight into the state of the art._x000D_
_x000D_
_x000D_
In the context of the five review elements, please _x000D_
evaluate the strengths and weaknesses of the proposal with respect to broader impacts._x000D_
_x000D_
[-] The proposal presents a standard plan for education and outreach activities. _x000D_
_x000D_
[-] Given the shortcomings of the research components, the educational efforts could be affected._x000D_
_x000D_
_x000D_
Please evaluate the strengths and _x000D_
weaknesses of the proposal with respect to any additional solicitation-specific review criteria, if _x000D_
applicable_x000D_
_x000D_
_x000D_
_x000D_
Summary Statement_x000D_
_x000D_
The proposal seeks to develop a framework for dynamic optimization of prefabricated and modular reconstruction of flooded areas. The proposed plan does not provide sufficient details._x000D_
_x000D_
_x000D_
</t>
  </si>
  <si>
    <t xml:space="preserve">In the context of the five review elements, please _x000D_
evaluate the strengths and weaknesses of the proposal with respect to intellectual merit._x000D_
_x000D_
Strengths: The researchers attempt to integrate multiple technologies together into a common framework to identify post-flooding needs and allocate resources. They have relevant experience and expertise to undertake proposed tasks. _x000D_
Weaknesses: The research question being proposed is primarily application-driven and therefore lacks intellectual insights. Besides, it is defined too broadly to include both infrastructures and housing. While its intent is stated to work on residential and institutional buildings, shelters, and interstate bridges, none of them is discussed in detail in the research plan. Furthermore, the first working hypothesis is already proven true by existing literature and the second one is hardly testable._x000D_
_x000D_
In the context of the five review elements, please _x000D_
evaluate the strengths and weaknesses of the proposal with respect to broader impacts._x000D_
_x000D_
Strengths: The research has a clear potential benefit to emergency management agencies when responding to major flooding events. Several curricular and outreach programs are described in the proposal. _x000D_
Weaknesses: There is a lack of assessment plan for the outreach activities._x000D_
_x000D_
Please evaluate the strengths and _x000D_
weaknesses of the proposal with respect to any additional solicitation-specific review criteria, if _x000D_
applicable_x000D_
_x000D_
_x000D_
_x000D_
Summary Statement_x000D_
_x000D_
The researchers aim to establish a framework for assessing the housing need after major flooding events and investigate how modular construction can be best utilized for addressing this need. The goal is to accelerate the disaster recovery process and lower the reconstruction cost. Building Information Modeling will be exploited for facilitating data integration and exchange, allowing for dynamic optimization of resource allocation. The proposal could be improved by narrowing its scope, clarifying its contribution to knowledge discovery, and presenting a more integrated, streamlined research plan._x000D_
_x000D_
</t>
  </si>
  <si>
    <t>Each city should establish meticulous and deliberate plans for robust recovery and reconstruction of their infrastructure systems and neighboring communities following natural disasters. The twin pillars of natural disaster recovery planning are (1) promptly reconstructing damaged infrastructure/houses (including low-income residential areas) and (2) rapidly providing disaster victims with sufficient shelters in secured locations. However, because of the large-scale nature of disasters, rebuilding resilient infrastructure and neighboring communities requires a long-term commitment, leaving many victims homeless in the meantime. Two recent, severe flooding events in Louisiana (August 2016) and Texas (August 2017) show how devastating flooding can be. The governor of Texas estimated that damages will be $150-180 billion and that full recovery may take more than 10 years. The August 2016 flooding in Baton Rouge will require consistent commitment to recovery efforts for more than 3 years. _x000D_
To facilitate these recovery and reconstruction practices, the PIs propose a Building Information Modeling (BIM)-based modular construction approach for prompt post-flood recovery of infrastructure systems and neighboring communities in the wake of natural disasters. For one, modular construction processes that use factory-built facility units -completely fabricated, transported, and assembled onsite- can be maximized by adopting BIM technology precisely coordinating modular units and adequately archiving modular construction data. Thus, BIM-based modular construction is expected to facilitate post-flood reconstruction of infrastructure facilities and neighboring communities through rapid processes, lower capital costs, and improved productivity. Particularly, this EArly-concept Grant for Exploratory Research (EAGER) project will create a time-scale, parameter-based optimization framework that instantly identifies the demands of modular-based reconstruction and effectively distributes modular construction materials to prioritized damaged locations. This optimization framework employs rapidly changing flood damage data and decisive time-scale parameters for sequentially allocating modular construction units according to urgent recovery demands and available transportation routes. To achieve the objectives, the PIs will pursue the following tasks: (1) measurement of the performance of BIM-based modular construction methods for post-flood recovery; (2) investigation of time-scale parameters required for modular-based post-flood reconstruction; (3) identification of flood damaged and secured areas; (4) BIM and ArcGIS data integration including information of flood damages, residents' locations, geographical conditions, transportation networks, and modular manufacturing factories; and (5) establishment of a data-driven dynamic optimization framework for providing modular construction units with accessible transportation routes for facilitating recovery.This study establishes a theoretical framework and a dynamic optimization algorithm for identification of flood damaged/secured locations and an optimal sequence of prompt modular-based reconstruction. This study will also provide interdisciplinary scientific knowledge required for planning BIM-based modular construction for rapid disaster recovery. If successful, the research findings are expected to provide a real-work engineering framework that integrates heterogeneous flood disaster and recovery data in one platform and supports to drive dramatic changes that represent significant improvements in a post-flood recovery process. This proposed research study represents not just a big moment in reconstruction planning but also a "paradigm shift" in fostering resilient and inclusive disaster recovery.The major broader impact of this proposal is the establishment of a rapid post-flood recovery framework. First, the findings will 1) bring information to practitioners (FEMA and local state emergency departments) in post-emergency recovery who plan, respond, and make decisions before, during, and after a natural disaster; 2) provide a BIM/ArcGIS-based flooding simulation that integrates heterogeneous disaster and recovery data; and 3) build a modular construction-based disaster recovery execution plan that will drastically change the recovery process of diverse natural disasters such as hurricane, fire, and earthquake. Particularly, the study outcomes will assist practitioners to rapidly provide short-term shelters and permanent reconstruction assistance to eligible disaster survivors including low-income residents.</t>
  </si>
  <si>
    <t>1760896</t>
  </si>
  <si>
    <t>QT0701636</t>
  </si>
  <si>
    <t>Jaselskis</t>
  </si>
  <si>
    <t>ejjasels@ncsu.edu</t>
  </si>
  <si>
    <t xml:space="preserve">In the context of the five review elements, please _x000D_
evaluate the strengths and weaknesses of the proposal with respect to intellectual merit._x000D_
_x000D_
Strengths:_x000D_
ò PI has demonstrated research expertise in sensors û in particular, wireless proximity and vision tracking_x000D_
ò Use of tactile sensors are a new and innovative way of communicating safety issues to construction workers _x000D_
Weaknesses:_x000D_
ò PI has a limited background related to construction safety and signal processing to the brain and thus should consider adding experts in construction safety and neuroscience.  _x000D_
ò Is the PI going to actually "wire the tactile sensory receptor system to the brain and optimize communication flow."  A literal translation of this statement would be impractical on a construction site._x000D_
ò Can a construction worker sense the different signals sent to different vibration sensors on his/her back?  Will the sensors need to be in constant touch with the backùcan there be some separation?_x000D_
_x000D_
_x000D_
In the context of the five review elements, please _x000D_
evaluate the strengths and weaknesses of the proposal with respect to broader impacts._x000D_
_x000D_
Strengths: _x000D_
ò This approach offers a back stop in terms of identifying potential safety hazards û whatever the worker misses, this system would hopefully identify and communicate to the worker._x000D_
ò Website for general public, K-12 activitiesùpartnering with Clack County School District, participation with UG and graduate students and underrepresented groups._x000D_
Weaknesses: _x000D_
ò More fundamental knowledge is necessary prior to this study.  _x000D_
o Understand the best way to communicate safety hazards to the _x000D_
workers (should it be visually through a heads up display, audio, or tactileùas suggested by the PI)_x000D_
_x000D_
If the tactile approach is the right way to go, then there needs to be a lot of testing on a brain's ability to sense different vibratory signals.  Understand how many tactile sensors can be interpreted simultaneously, etc.  This is where a neuro scientist might be helpful.  _x000D_
_x000D_
_x000D_
Please evaluate the strengths and _x000D_
weaknesses of the proposal with respect to any additional solicitation-specific review criteria, if _x000D_
applicable_x000D_
_x000D_
_x000D_
_x000D_
Summary Statement_x000D_
_x000D_
An innovative method for alerting construction workers of potential safety hazards is proposed using tactile sensors as a way to augment the normal visual and auditory language to the brain.  Attached to the back of the worker, these sensors deliver different signal vibrations to represent various safety issues (e.g., floor opening 3 feet ahead, low overhead obstruction, etc.).  Other sensors (e.g., proximity sensors) help identify the hazardous situation and feed an alert to the tactile sensor using uniquely coded signals.  First, this idea will be tested with students then verified with construction workers in a "safe" construction environment._x000D_
_x000D_
</t>
  </si>
  <si>
    <t xml:space="preserve">In the context of the five review elements, please _x000D_
evaluate the strengths and weaknesses of the proposal with respect to intellectual merit._x000D_
_x000D_
[+] The problem statement is well described and follows a logical structure which relies on fundamental research._x000D_
_x000D_
[+] The project description follows a scientific organization and provide a structured process. It also explains the technical impact of the envisioned research. _x000D_
_x000D_
[-] The text presents a number of expressions throughout the proposal description without properly describing them. Starting from page 1 of the document, these expressions are presented in different forms: (1) hazard information encoded as pattern, (2) tactile language, (3) patterned hazards, (4) tactile signals, (5) certain key information about detected hazards, (6) standardized patterns, (7) tactile pattern, (8) tactile-signalized, (9) body tactile receptors, and so on.  _x000D_
_x000D_
[-] In the state of the knowledge section under Research efforts, several shortcomings of previous studies were described without proper support from literature. _x000D_
_x000D_
[-] The proposal uses rather old studies in support of expanding human sensory capabilities. Are these methods commonly used in other domains?_x000D_
_x000D_
[-] The description makes strong claims such as the one, presented at the end of section 3.2._x000D_
_x000D_
[-] The proposal does not provide preliminary findings in support of the approach. Therefore, the text does not provide evidence on the potential success of the study._x000D_
_x000D_
[-] The text points to noise from the environment for other sensory perceptions as an obstacle. Vibration (commonly from equipment operation) in construction sites are also common. Is that going to be an obstacle?_x000D_
_x000D_
[-] Earlier in the text, it has been stated that the source of some hazards is not known. However, later, in the research tasks, the tactile messages are designed based on causes and proper reactions. Therefore, the task description contradicts the introduction._x000D_
_x000D_
[-] The text does not provide details on how high learnability is achieved? _x000D_
_x000D_
[-] Methods such as LPC and MFCC were described without describing how they will address the research activities._x000D_
_x000D_
[-] Why sensory information should be communicated on the back?_x000D_
_x000D_
[-] The project will benefit from adding a PI or senior personnel with background on the human side._x000D_
_x000D_
_x000D_
In the context of the five review elements, please _x000D_
evaluate the strengths and weaknesses of the proposal with respect to broader impacts._x000D_
_x000D_
[+] The socio-economic aspects of the broader impact were properly addressed._x000D_
_x000D_
[-] The outreach and educational efforts are very generic and they do not include specific of this research. If you use the exact same activities for another project they will still fit._x000D_
_x000D_
_x000D_
Please evaluate the strengths and _x000D_
weaknesses of the proposal with respect to any additional solicitation-specific review criteria, if _x000D_
applicable_x000D_
_x000D_
_x000D_
_x000D_
Summary Statement_x000D_
_x000D_
The proposal seeks to address the gap at the intersection of safety hazards detection and communication to construction workers._x000D_
_x000D_
_x000D_
</t>
  </si>
  <si>
    <t xml:space="preserve">In the context of the five review elements, please _x000D_
evaluate the strengths and weaknesses of the proposal with respect to intellectual merit._x000D_
_x000D_
Strengths: The researcher introduces a new way to communicate hazard information to construction workers through vibratory sensors attached to their backs. It's intended to enhance their risk perception ability that relies mainly on visual and audible cues. A single signal has the potential, through different waveforms and frequencies, to convey complex messages to the brain. _x000D_
Weaknesses: The key contribution of the research is largely limited to translation of hazard information to vibratory signals while the pathway from body receptor to brain to action receives scant attention. Such a gap in research design undermines not only the overall aim of the proposal but also its potential contribution to fundamental knowledge discovery. It reads more like an adoption of findings from neuroscience to a construction context without looking deeper into unique scientific and technological challenges. Furthermore, the size of subjects participating in experiment (10) may be too small to be statistically significant. It would be helpful to compare the efficacy of this new sensory receptor system against existing systems of hazard communications in construction as the part of this research._x000D_
_x000D_
In the context of the five review elements, please _x000D_
evaluate the strengths and weaknesses of the proposal with respect to broader impacts._x000D_
_x000D_
Strengths: This research clearly aims to improve construction safety. The proposal includes several activities on education and outreach. _x000D_
Weaknesses: The educational and outreach programs proposed lack measurable outcomes._x000D_
_x000D_
Please evaluate the strengths and _x000D_
weaknesses of the proposal with respect to any additional solicitation-specific review criteria, if _x000D_
applicable_x000D_
_x000D_
_x000D_
_x000D_
Summary Statement_x000D_
_x000D_
The objective of this research is to explore sensory addition and substitution using tactile language to improve worker's hazard perception and reaction mechanism. It focuses on algorithms to create tactile language that profiles certain hazard conditions and attach vibratory system to the body. It's intended to overcome shortcomings in visual signs and audible alerts. The central hypothesis that addition of tactile language improves hazard perception and reaction mechanism needs to be vigorously and systematically tested._x000D_
_x000D_
</t>
  </si>
  <si>
    <t>The goal of this research is to transform the perception of hazards and reaction mechanism of construction workers on development sites in a way that: 1) allows their awareness to activate immediately and intuitively and 2) prompts preventative reactions that they have been trained and instructed to take via brain receptors. The proposed research builds its foundation on strong evidence of neurological capability - a brain can learn new things (safety perception and ensuing reaction) through repeated actions (training through body-to-brain stimulus) and takes the first step in the civil/construction industry to leverage the learning capability of the brain as a medium of safety perception and reaction in construction.  This research hypothesizes that the sensory addition using a tactile language will expand the sensing domain of workers (beyond vision and audio) and thus improve their real-time hazard perception and reaction mechanism. To accomplish this goal, the proposed research will: 1) identify a framework for integrating hazard detection systems with the proposed hazard perception and reaction system; 2) use algorithms to create a tactile language that profiles patterned hazards; 3) wire the tactile sensory receptor system to the brain and optimize communication flow; and 4) field-validate the efficacy and usefulness of the proposed method for providing workers with a new, transformative level of hazard perception and guiding workers'  reactions for avoiding accidents. To this end, our research will equip the construction worker with an additional ability - the perception of a safety hazard - that relies on neither the senses from his/her naked eyes and ears. Indeed, this study will demonstrate an innovative communication tool that goes beyond our mother-born-sensing abilities. Contributing to the body of knowledge in construction research, the findings of this research will be a major breakthrough, providing a procedure of scientific significance that will support researchers applying it in other domains where communication is challenged.Any discovery uncovered by our investigative outcomes centers on the potential of the brain - its ability to acquire a new sensory capability. By applying findings on neurological brain research to hazardous situations in construction, this research will lay the groundwork for establishment of procedures and methodologies for a new safety communication mechanism. This mechanism will bridge the link between system-level real-time hazard detection and individual-level real-time hazard perception without relying on workers' fragile physical senses that are often hindered by the nature of construction sites. The generic applicability of such procedures and methods in solving a new problem will result in a paradigm shift in construction as workers cannot constantly be aware of their surroundings all the time. The findings of this research will also establish metrics and processes as a methodological foundation associated with overcoming the perceptional deficiency of workers. In sum, this research will contribute to the body of knowledge by presenting a completely new safety perception and reaction mechanism by means of an additional sensory capability imparted to workers through training. What one can do with such new abilities is only limited by our imagination.The outcomes of this research are expected to contribute in several ways. The new safety communication mechanism with the expanded sensing ability will intervene and guide workers' safety behaviors, and eventually advance construction safety to a different level. This evolution in worker safety will facilitate and encourage the participation/employment for underrepresented groups (e.g., the deaf and blind) and provide an equal opportunity to a wider range of people. The first bridge to neurological research constructed by this research will introduce new perspectives that envision the importance of biological and neurological areas and their potential impact on construction and civil engineering research. Research outcomes will be disseminated to researchers, educators, industry practitioners, and students and used to enhance the education of K-12 and college students. Our diversely planned research activities will not only advance students' educational knowledge and experience by expanding critical thinking and scientific problem-solving skills but also grant an opportunity to enhance leadership and lifelong learning skills.</t>
  </si>
  <si>
    <t>1760898</t>
  </si>
  <si>
    <t>Ahn</t>
  </si>
  <si>
    <t xml:space="preserve"> Panel Summary       
 Synopsis_x000D_
_x000D_
This proposal is aimed to continuously measure worker's lower-body dynamics with sensors. The measurement will then be used to create indices to assess worker's risk perception and propensity. The goal is to improve identification of construction risks and risky behaviors. _x000D_
_x000D_
Intellectual merit _x000D_
_x000D_
Strengths _x000D_
The researchers present a convincing case for examining individual worker's bodily motion and using contextualized information. Preliminary result exists to support their ideas. _x000D_
_x000D_
Weaknesses_x000D_
The central hypothesis shall be refined to be more quantifiable and testable. Some of sub-hypothesises (i.e. 1 thru 5 in Task 2) are obvious and therefore don't require in-depth investigation. The researchers could elaborate more on the limitation of using lower body dynamics for detecting activities. Task 1 reads more like development effort than fundamental research. In Task 2, it's not clear how hazard is defined and how well experimental setup simulates real-time condition. Hazard types could be narrowed. It doesn't provide sufficient details on eye tracking and how it's integrated with the rest of the research. Bias in survey for measuring risk propensity shall be identified and addressed. Inclusion of machine learning seems forced. There should be more specifications provided to the indices and their reliability in Task 3. Validation described in Task 4 lacks metrics. No plan is presented for coordinating multiple PIs from three institutions._x000D_
_x000D_
Broader impact_x000D_
_x000D_
Strengths _x000D_
A comprehensive education and outreach plan is presented with learning objectives.  _x000D_
_x000D_
Weaknesses_x000D_
No major weaknesses are observed._x000D_
_x000D_
Data Management Plan_x000D_
Data management plan is sufficiently described. _x000D_
_x000D_
Rationale for Recommendation _x000D_
The panel suggests major improvements are needed for this proposal. Hypothesis shall be re-focused and refined to reflect potential contribution to knowledge discoveries. Activities not central to the core research shall be removed. 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</si>
  <si>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hypothesizes that we can predict workers' risk perception and propensity by the continuous monitoring and measurement of the workers' adaptive physical responses to hazardsùspecifically by measuring abnormalities in lower body movements._x000D_
_x000D_
This is a well-written proposal with a well articulated goal and a set of 4 objectives.  The PIs have the background needed to successfully accomplish the proposed scope.  The PIs have clearly and succinctly summarized the BOK in the key areas of study: 1) personality, risk behaviors, and risky behaviors; 2) risk perception and propensity; and 3) hazard zone analysis. _x000D_
_x000D_
The PIs have conducted a preliminary study on assessing workers' adaptive physical responses and have identified the gaps in knowledge on which they are basing their key hypothesis.  The research methodology is creative and robust and it is logically designed to test the main hypothesis.  From the outcomes from this research, there is great potential to advance the current state of safety knowledge in the construction industry._x000D_
_x000D_
_x000D_
_x000D_
In the context of the five review elements, please _x000D_
evaluate the strengths and weaknesses of the proposal with respect to broader impacts._x000D_
_x000D_
Half in the Broader Impacts listed in the Project Summery are actually Broad Impacts which belong on the Intellectual Merit.  The PIs are advised to link the description in the bottom half to NSF's strategic plan.  The Education and Research plans are robust and well articulated, with clear value added to NSF's strategic goals._x000D_
_x000D_
Please evaluate the strengths and _x000D_
weaknesses of the proposal with respect to any additional solicitation-specific review criteria, if _x000D_
applicable_x000D_
_x000D_
_x000D_
_x000D_
Summary Statement_x000D_
_x000D_
This is a well-written proposal which has high potential to advance our current understanding of workers' risk perception and risk propensity.  Such understanding will directly lead to a reduction of jobsite accidents, a win-win-win proposition._x000D_
_x000D_
_x000D_
</t>
  </si>
  <si>
    <t xml:space="preserve">In the context of the five review elements, please _x000D_
evaluate the strengths and weaknesses of the proposal with respect to intellectual merit._x000D_
_x000D_
Intellectual Merit_x000D_
Strengths_x000D_
The research objective of this proposal is to test the hypothesis that the continuous measurement of individual workers' adaptive physical responses to hazards (e.g., changes in their physical behaviors upon encountering hazards) will identify individual differences in risk perception and propensity. There are some preliminary results provided. The PIs are qualified to conduct the proposed research activities. The PIs have sufficient resources to carry out the proposed activities, including collaboration with industry (letters are provided). _x000D_
_x000D_
Weaknesses_x000D_
The experimental setup does not seem to be able to capture the necessary data to be able to identify individual differences in risk perception and propensity. _x000D_
_x000D_
Task 1 (identify platforms for assessing adaptive physical responses to hazard zones) is mostly development effort. It is very hard to see a significant intellectual contribution. _x000D_
_x000D_
Task 2 is the core task in the proposal. In Task 2, experiments will repeatedly expose subjects to various pre-defined hazard zones while subjects are performing tasks. What does "pre-defined" here means, and how are the hazards defined? And how do these "pre-defined" settings resemble the real-life settings? This experimental setup is not likely to capture the real-life situation, in which risk perception and risk propensity is affected by many other factors (such as fatigue, weather conditions, etc.) that would not appear in in such an experimental setup. This is a key problem of the proposed approach. _x000D_
_x000D_
For the survey that is used to measure risk perception and risk propensity, it is questionable whether the proposed survey will capture risk propensity (personal tendency to take/avoid risks) in a "real" (or true) way. Many studies have shown that respondents tend to provide "ideal" responses in this situation, especially when this is related to the safety on their jobsite.  _x000D_
_x000D_
The data collected (e.g., physical response, eye movement) are not well-integrated with the survey data to make a convincing or cohesive story that these data will be able to provide reliable assessments of risk perception and propensity._x000D_
_x000D_
Task 3 aims to formulate a model to profile individual differences in risk preparedness. The description of the formulation is very brief. What is the basis for formulation the following two metrics/indexes: Risk-Perception Rate (overall level of a worker's adaptive response to existing hazards based on the logs of all of his encounters with the hazards) and Risk-Decay Rate (worker's adaptive response declines with repeated exposures to hazards)? It's not convincing that these metrics/indexes would reliably indicate of risk perception and propensity, given the concerns on the data that are used to measure them. _x000D_
_x000D_
There are concerns on the validation. The PIs discuss a validation plan, which includes a description of participants, procedures, and hypotheses. But, what are the metrics to assess if the resulting models and indexes are reliable?  _x000D_
_x000D_
_x000D_
In the context of the five review elements, please _x000D_
evaluate the strengths and weaknesses of the proposal with respect to broader impacts._x000D_
_x000D_
Strengths_x000D_
The PIs plan to promote teaching and learning through building and adapting a curriculum on the cognitive and behavioral aspects of construction safety management for different groups of learners, including undergraduate students, graduate students, field workers, and safety managers. There is planning to increase the participation of unrepresented groups through recruiting undergraduate and graduate students from various economic, social, cultural, racial, and gender backgrounds. The PIs plan to disseminate the research results through journal publications, conference, and presentation to the Construction Industry Advisory Council. _x000D_
_x000D_
The data management plan is appropriate. _x000D_
_x000D_
Weaknesses_x000D_
The broader impacts of the research to the society at large are not strong. _x000D_
_x000D_
No apparent weaknesses for the broader impacts of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This proposal aims to test the hypothesis that continuous measurement of individual workers' adaptive physical responses to hazards will identify individual differences in risk perception and propensity. But, the input data (e.g., the data from the experimental hazard studies) are not likely to be able to indicate the desired output (identifying individual risk perception and propensity); the experimental setup does not seem to be able to capture the necessary data to be able to identify risk perception and propensity._x000D_
_x000D_
</t>
  </si>
  <si>
    <t xml:space="preserve">In the context of the five review elements, please _x000D_
evaluate the strengths and weaknesses of the proposal with respect to intellectual merit._x000D_
_x000D_
[+] The proposal presents a convincing case on the need for the investigation and properly elaborates the significance of the proposed research._x000D_
_x000D_
[+] The study will investigate personalized safety risks using contextual information rather than relying on fact collected through surveys, which do not reflect the real-time response._x000D_
_x000D_
[+] The proposal presents preliminary results in support of the proposed research._x000D_
_x000D_
[-] The central hypothesis of the proposal focuses on tool development rather than advancing knowledge. Measurement techniques used in this study provide a platform for answering interesting questions. However, the central proposal has been focused on measurement. The proposal asks some interesting questions that could be the focus of this study. The hypotheses at the end of Task 4 seem to be the better overall hypotheses._x000D_
_x000D_
[-] It seems that focusing on lower-body dynamics could pose limitations on the hazard types. Although the description points to the scope of measurement, it does not explain what type of hazards will be investigated._x000D_
_x000D_
[-] The first task describes the measurement tools and the metrics that will be used. This is in contradiction to the first group of research questions, which focus on identifying best platform and metrics. Therefore, the description of the first task has is rather vague in addressing the research questions._x000D_
_x000D_
[-] The proposal does not provide a justification for the design of the testbed. Furthermore, it does not explain how eye-tracking data is integrated with the data obtained from other sensing platforms._x000D_
_x000D_
[-] Some of the sub-hypotheses in Task 2 seem to be obvious as they want to show a correlation between workers' reaction to they perceive risks._x000D_
_x000D_
[-] The reason for application of machine learning at the end of task 2 is not clear._x000D_
_x000D_
[-] Given that the PI's are in different universities, it is important to see the project management plan. The proposal description does not provide one. _x000D_
_x000D_
_x000D_
In the context of the five review elements, please _x000D_
evaluate the strengths and weaknesses of the proposal with respect to broader impacts._x000D_
_x000D_
[+] The proposal has a comprehensive outreach and education plan._x000D_
_x000D_
[+] The proposal has provided insights on societal benefits of the research. _x000D_
_x000D_
_x000D_
Please evaluate the strengths and _x000D_
weaknesses of the proposal with respect to any additional solicitation-specific review criteria, if _x000D_
applicable_x000D_
_x000D_
_x000D_
_x000D_
Summary Statement_x000D_
_x000D_
The project will investigate individual differences in risk perception and propensity by measuring workers' lower body dynamics when they encounter hazard._x000D_
_x000D_
_x000D_
</t>
  </si>
  <si>
    <t xml:space="preserve">In the context of the five review elements, please _x000D_
evaluate the strengths and weaknesses of the proposal with respect to intellectual merit._x000D_
_x000D_
Strengths: Use of wearable sensor allows for recording of worker's kinematic data continuously and efficiently, which has the potential to reveal patterns and habits when combined with other information (e.g. trade, training, hazard exposure, tasks, and interaction with others). In addition to gait motion, the researchers plan to measure eye movement in the context of surrounding environment. As the result, a rich dataset would be generated, enabling realistic reconstruction of the situation where safety risk emerges, is encountered, and responded to. Risk perception and risk propensity, which are assessed at the individual level, will later be correlated to gait and eye movement patterns with regression models. _x000D_
Weakness: With only 50 subjects recruited in controlled experiment, the researchers may be overly ambitious in their ability to separate signals from noises. To that end, they could consider narrowing the scope of experiment to focus on slip-and-fall accidents, for example. The data size and complexity would be reduced dramatically. Meanwhile, it would allow researchers to expand their work by 1) investigating cognitive factors and their contribution to empirical evidences such as risk perception decay 2) exploring risk mitigation measures and assessing their efficacy._x000D_
_x000D_
In the context of the five review elements, please _x000D_
evaluate the strengths and weaknesses of the proposal with respect to broader impacts._x000D_
_x000D_
Strengths: The research has a clear benefit to construction workers by reducing risk of accidents and injuries. The project includes a list of educational activities aimed at improving curriculums for both students and workers as well as the effort to engage underrepresented students in research. _x000D_
Weaknesses: No major weaknesses. _x000D_
_x000D_
_x000D_
Please evaluate the strengths and _x000D_
weaknesses of the proposal with respect to any additional solicitation-specific review criteria, if _x000D_
applicable_x000D_
_x000D_
_x000D_
_x000D_
Summary Statement_x000D_
_x000D_
This research examines whether the measurement of an individual worker's bodily motion can infer his/her behavioral response when encountering known hazards which in turn can be used to identify his/her risk perception and risk propensity.  It will select platforms for assessing physical adaption to hazards in construction workplaces, followed by examining the relationships between physical adaption, risk perception, and risk propensity. A model to profile individual differences will be developed and validated. The end goal is to advance the understanding of a person's risk perception and propensity in high-risk environments and allow for risk-mitigation mechanisms. Overall, the proposal research seems to overlap considerably with PI's existing grant (#1538029 Revealing Hidden Safety Hazards Using Workers' Collective Bodily and Behavioral Response Patterns)._x000D_
_x000D_
</t>
  </si>
  <si>
    <t>This research examines whether and how the continuous measurements of an individual worker's behavioral adaptations to hazards identifies his/her risk perception and risk propensity in a high-risk environment. This research hypothesizes that the continuous measurement of individual workers' adaptive physical responses to hazards (e.g., changes in their physical behaviors upon encountering hazards) will identify individual differences in risk perception and propensity. To test this hypothesis, this project will 1) identify platforms for assessing adaptive physical responses to hazards in construction workplaces; 2) examine the relationships between adaptive physical responses, risk perception, and risk propensity; 3) formulate a model to profile individual differences in risk perception and propensity based on adaptive response measurements; and 4) field validate the efficacy and usefulness of the model in predicting risky behaviors in the construction workplace. Considering the fact that critical differences in risk perception and risk propensity between individual workers exists and that underestimated risks or escalated risk propensities cause unsafe behaviors, the success of this research will critically advance our ability to understand a person's risk perception and propensity in high-risk environments. The success of this work will eventually substantially enhance safety performance in construction by allowing for high-impact risk-mitigation mechanisms.The fundamental contribution of this research is the discovery of new knowledge regarding how behavioral adaptation measurements identify individuals' risk perception and risk propensity in occupational settings, a contribution that will advance our ability to understand and predict an individual worker's risky behavior in a high-risk environment. Using the specific application of a dynamic construction setting, this research will examine the relationship between adaptive response as it manifests in behavioral measurements, risk perception, and risk propensity. Specifically, this research will identify metrics for characterizing risk perception and propensity from workers' adaptive physical responses and will provide a model for predicting workers' risky behaviors using continuous observations of their behaviors upon encountering recognized/unrecognized external threats. More broadly, these research findings will be the basis for creating a novel safety management system that enables continuous and efficient observations on workers' risky behaviors and provides individualized feedbacks to intervene and modify such behaviors before an accident occurs.The success of the proposed research will lead to a breakthrough innovation in safety management for those industries that repeatedly expose workers to workplace hazards. Specifically, results of this research will transform current safety-management practices so that managers can deliver targeted individualized interventions rather than rely on monolithic interventions at the group level. Given the disproportionate incidence of injuries among a subset of individuals, such innovations will significantly reduce injuries and fatalities from risky behaviors and will also help prevent the deterioration of industries' budgets and schedule performances due to safety accidents. Using the proposed tools/methods, this project will build and adapt a curriculum on the cognitive and behavioral aspects of construction safety management for diverse groups of learners, including undergraduate students, graduate students, field workers, and safety managers. In addition, undergraduate and graduate students from various economic, social, cultural, racial, and gender backgrounds will be recruited and engaged in the proposed project by leveraging the universities' student organizations. In total, these research interests and tasks will foster a paradigm shift in safety management education, research, and practice.</t>
  </si>
  <si>
    <t>1761160</t>
  </si>
  <si>
    <t>Leite</t>
  </si>
  <si>
    <t xml:space="preserve">In the context of the five review elements, please _x000D_
evaluate the strengths and weaknesses of the proposal with respect to intellectual merit._x000D_
_x000D_
The PIs propose to build a search engine, named BIM2Vec, that can find digital work products from engineering design processes; objectives 1-7 on p.2 detail the tasks to build such software prototype.  The description of the intellectual merit in the project summary is extremely convoluted and fails to communicate the significance of the research._x000D_
_x000D_
The RDF-encoded linked data BoK seems to have already matured as presented by the PIs on p.6 and in the description of Objectives 3 &amp; 4 on p.10.  The only viable scope of basic research that is novel is described on section 5.3; this ought to be the focus of the proposal._x000D_
_x000D_
The proposal, as currently cast, offers little new insights into the Knowledge Management field and focuses too much on software prototyping._x000D_
_x000D_
Other issues with the proposal: 1. Figures have no captions; 2. References to published papers are missing from Section 8._x000D_
_x000D_
_x000D_
_x000D_
In the context of the five review elements, please _x000D_
evaluate the strengths and weaknesses of the proposal with respect to broader impacts._x000D_
_x000D_
Most of the Broader Impacts listed in the Project Summery are actually Broad Impacts which belong on the Intellectual Merit.  The PIs are advised to link their description to NSF's strategic plan.  The Broader Impacts described on pp.13-14 are robust and will add value to NSF's Strategic goals._x000D_
_x000D_
_x000D_
_x000D_
Please evaluate the strengths and _x000D_
weaknesses of the proposal with respect to any additional solicitation-specific review criteria, if _x000D_
applicable_x000D_
_x000D_
_x000D_
_x000D_
Summary Statement_x000D_
_x000D_
This is a poorly conceived proposal with too much emphasis on the development of a piece of software as opposed to addressing basic research questions, like those described in section 5.3._x000D_
_x000D_
_x000D_
_x000D_
</t>
  </si>
  <si>
    <t xml:space="preserve">In the context of the five review elements, please _x000D_
evaluate the strengths and weaknesses of the proposal with respect to intellectual merit._x000D_
_x000D_
Strengths_x000D_
A BIM-based approach for capturing and retrieving engineering project knowledge is proposed, which could help better retrieve project knowledge. The PIs are well-qualified to conduct the proposed research activities; they have expertise in BIM and knowledge management. The PIs have sufficient resources to carry out the proposed activities, including industry collaborations.  _x000D_
_x000D_
Weaknesses_x000D_
The proposal does not fit very well within the scope of the CIS program, which focuses on the use of system-based methods. _x000D_
_x000D_
There is no doubt that the proposed research could be of value to the AEC industry since it could help better retrieve project knowledge. However, the intellectual merit of the proposed activities are weak; the activities are mostly implementation effort.   _x000D_
_x000D_
I see very little intellectual research in Objective 1. For example, as the PIs acknowledge, Objective 1 addresses two research questions: 1) what digital work products exist in the AEC industry; and 2) which of these digital work products have the potential to support entity-level authorship tracking. Similarly, the research tasks include listing data files, collecting digital work samples, identify opportunities for authorship tracking, etc. _x000D_
_x000D_
What is innovative in Objective 3 (Design and develop an effective search and faceted browsing tool)? There are several efforts that have developed BIM browsing tools or BIM-integrated/enabled browsing tools. What is the intellectual merit in this task? _x000D_
_x000D_
The descriptions of the tasks (e.g., Task 3-1 to 3-4) are very brief (it's basically just a title). More description is needed for each task to better assess the research plan. _x000D_
_x000D_
Again, Objective 4 (Add support for performing structural SPARQL search) and Objective 5 (Support richer free-text search) are mostly development effort.  It is very hard to see a significant intellectual contribution. How are the proposed research activities any different from existing search engines, inside and outside of the AEC domain? And is the difference constituting an intellectual contribution, or a software development effort? _x000D_
_x000D_
It is not clear how Objective 6 (Investigate knowledge graph embedding algorithms for the BIM entity graph) is related to the previous objectives. More detail is also needed on the proposed knowledge graph modeling. Only very abstract descriptions are provided. _x000D_
_x000D_
The proposal lacks any validation. Objective 7 only includes a user study with functional demo._x000D_
_x000D_
_x000D_
In the context of the five review elements, please _x000D_
evaluate the strengths and weaknesses of the proposal with respect to broader impacts._x000D_
_x000D_
Strengths_x000D_
The PIs plan to promote teaching and learning through integrating the research findings into undergraduate and graduate educational modules; and mentoring and training undergraduate students in research and teaching activities [through the existing Graduates Linked with Undergraduates in Engineering (GLUE) program]. The PIs plan to produce short videos for a YouTube channel geared towards High School students interested in a career in engineering, with the help of the Women in Engineering Program. There is planning to support the retention of unrepresented groups through mentoring underrepresented undergraduate students. The PIs plan to disseminate the research results through journal publications, conferences, and professional committees. _x000D_
_x000D_
The data management plan is appropriate. _x000D_
_x000D_
Weaknesses_x000D_
The broader impacts to the society at large are not strong. The proposed educational and outreach activities are fine. There are no plans to assess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If successful, the proposed activities could help better retrieve project knowledge. However, the proposed activities are highly implementation/development effort. There are several major concerns related to the intellectual merit, the novelty of the proposed work, the lack of detail in the research plan, and the lack of validation._x000D_
_x000D_
</t>
  </si>
  <si>
    <t xml:space="preserve">In the context of the five review elements, please _x000D_
evaluate the strengths and weaknesses of the proposal with respect to intellectual merit._x000D_
_x000D_
Strengths:_x000D_
ò Applying innovative machine learning tools (knowledge graphs) for improving engineering knowledge management capabilities.  _x000D_
ò Developing new algorithms to structure engineering data from "digital work products" (e.g., CAD files, BIMs, spreadsheets, etc.) in such a way as to improve information flow and availability between designer ("author") and design entity ("design component) and reduce manual data entry._x000D_
Weaknesses:_x000D_
ò Should the PIs first perform Task 7 (Task 7-1 steps 1-2 and Task 7-2 step 1) to learn about the engineering problems and their possible data format structures.  Having this knowledge first might better inform their next steps._x000D_
ò PIs need to explain what "the fundamental change in engineering knowledge management" is.  Elaborate on the current and desired states and the gaps._x000D_
ò Prior to embarking on this research, it would seem appropriate for the PIs to already know the authorship tracking capabilities for each digital work product (e.g., CAD, BIMs, spreadsheets, etc.).  If these files do not have authorship tracking capabilities, then it will not be possible to conduct this research._x000D_
ò Task 2-3 seems like a project in itselfù"Explore practical difficulties of forming a large engineering knowledge repository to identify challenges that industries have faced in storing and accessing large databases securely"_x000D_
_x000D_
_x000D_
In the context of the five review elements, please _x000D_
evaluate the strengths and weaknesses of the proposal with respect to broader impacts._x000D_
_x000D_
Strengths: _x000D_
ò Idea in itself could be a fundamental shift in improving the management of design knowledge in that it would increase the rate of knowledge transfer between siloed entities in a design organization._x000D_
ò Other aspects of broader impacts are goodùunderrepresented student involvement, STEM outreach using YouTube, etc._x000D_
Weakness: _x000D_
ò Is the broader impact of this research weakened by only using BIM data from which there are already methods for conversion into a linked data format? _x000D_
_x000D_
_x000D_
Please evaluate the strengths and _x000D_
weaknesses of the proposal with respect to any additional solicitation-specific review criteria, if _x000D_
applicable_x000D_
_x000D_
_x000D_
_x000D_
Summary Statement_x000D_
_x000D_
This proposal explores the use of knowledge graphs ("graph database to provide structured and detailed information about the topic in addition to a list of links to other sites" Wikipedia) to link knowledge from individual designers and design organizations in such as way as to make information retrieval more efficientùlinking designer authorship to entities (e.g., a particular type of window) can save time and effort on future design projects.  Design knowledge comes from "digital work products (e.g., CAD, BIMs, spreadsheets, etc.)."  PIs lay out a well-structured methodology including the following objectives:_x000D_
1. Link design work products (e.g., CAD files, BIMs, spreadsheets, etc.) to personnel for entity-level authorship tracking at various levels of granularity_x000D_
a. "what digital work products exist in AEC industry"_x000D_
b."which of these digital work products have the potential to support entity-level authorship?"_x000D_
2. Convert input data to linked data and construct a knowledge graph_x000D_
3. Design and develop an effective search and faceted ("explore a collection of information by applying multiple filters" Wikipedia) browsing tool.  PIs might filter by price, pixels, brand, etc.  They will "explore the ways in which engineers might usefully access the knowledge stored in the linked data and the knowledge graph embedding."_x000D_
4. Add support for performing structural SPARQL search û essentially advanced search capabilities._x000D_
5. Support richer free-text search of structured RDF ("standard model for data interchange on the web" Wikipedia) entitiesùwill allow the engineer to perform more powerful free-form search of the knowledge graph as part of their work._x000D_
6. Investigate knowledge graph embedding algorithms for the BIM entity graphù"most technologically ambitious objectiveùdoes not depend on objectives 3-5)_x000D_
7. Conduct user study with functional demoù"process by which engineers interact with the BIM knowledge graph will be studied.  à"will require how engineers define problems and how these definitions can be used to place vectors in the knowledge base embedding to find relevant pieces of knowledge."_x000D_
_x000D_
_x000D_
</t>
  </si>
  <si>
    <t>In their entirety, large architecture, engineering and construction (AEC) firms represent massive banks of knowledge. However, making this knowledge readily available to everyone within the company is a challenge. While there has been steady improvement in knowledge management over the past two decades, little effort has been applied to developing machine learning tools for engineering knowledge management that build off the increasing digitization of the engineering industry. For the time being, online knowledge portals are limited to the most basic text search, which fails to adequately use the richness of engineering information for storing and retrieving that information.This research will address these challenges by: (1) Utilizing the digitization of engineering work processes to circumvent the problem of manual knowledge input into knowledge bases. By using pre-existing digital work products of engineers to represent knowledge, the practical and psychological obstacles of populating knowledge bases will be made irrelevant; (2) Applying concepts from the semantic web and linked data to engineering information will provide fundamental contributions to the field of data integration, which is an ever more central problem in the age of abundant data and information; and (3) Transforming the way knowledge workers of the future seek answers to technical questions, by placing linked data search and knowledge embeddings that broker information flows between previously unrelated or weakly related people at the forefront of information and knowledge exploration and access. The results of this research will provide a needed interface between the traditional computer science-based linked data field and the civil engineering field. Such synergetic collaboration will also provide a significant scientific and multidisciplinary body of work.This research will result in a fundamental change in engineering knowledge management. If successful, the research will increase the rate of knowledge transfer between the otherwise siloed teams and departments comprising large engineering firms by removing the burden of manually and consciously populating a knowledge base from the employee. In addition, developing effective text-based search and graph embedding for BIM knowledge graphs is further expected to yield improved algorithms with broad applicability. New algorithms developed will potentially benefit not only the AEC domain, but also broader use of knowledge graphs in engineering, as well as use of knowledge graphs at large. The findings of this work will also provide opportunities to impact the next generation of researchers and engineers, by integrating the research findings into undergraduate and graduate educational modules. Videos created for YouTube will also be developed to attract high school and underrepresented persons to a career in civil engineering.</t>
  </si>
  <si>
    <t>1761370</t>
  </si>
  <si>
    <t>Lucko</t>
  </si>
  <si>
    <t xml:space="preserve">In the context of the five review elements, please _x000D_
evaluate the strengths and weaknesses of the proposal with respect to intellectual merit._x000D_
_x000D_
The stated objective of the proposed work "is exploring if and how the recently discovered Tracy-Widom distribution can contribute to solving the pervasive problem of delays in construction projects..."  To begin, this is not a well stated research objective in that is fails to adequately frame the proposed research.  As a result, the proposed work is not clear.  The proposed work is presented as six "Research Objective[s]," which are really tasks.  Tasks 1 and 3 propose literature searches, which are not appropriate for an NSF research proposal.  Typically, a literature search should be completed in advance of the proposed work.  An exception might be appropriate if properly defended, but no such argument is presented.  The proposal is not written clearly, leaving this reviewer pondering what the PI intends.  For example, the PI does not explain how the Tracy-Widom distribution is to be used.  Is it to be a probabilistic representation of the time-to-completion of an individual task?  A set of tasks?  Certain specific tasks or sets of tasks?  The entire project?  What is the overall framework within which the TW distribution will be employed?  The validation plan also is not clear.  What is being validated and why might the validation be meaningful?  What role does permutation of parameters have in a validation study (Objective 4)?_x000D_
_x000D_
On the one hand, the PI presents a seemingly comprehensive knowledge of construction scheduling approaches such as PERT and CPM and the associated literature.  But this reviewer is disturbed by the PI's apparent lack of understanding of probability theory.  This comes out in a few ways.  First, the PI proposes exploring the use of Fuzzy Logic.  Why would one choose to even consider the use of Fuzzy Logic?  It has been thoroughly debunked (even before Zadeh proposed it).  For example, it is refuted by the Dutch Book Argument, Susan Haack (Deviant Logic Fuzzy Logic), Bernardo and Smith (Bayesian Theory), and others.  The Dutch Book Argument shows that all approaches to prediction other than Kolmogorov probability present contradictions that invalidate them.  Fuzzy Logic is based on the premise that we do not know for certain that an element is or is not a member of a set.  But the number sets are based on knowing with certainty that elements are or are not members of a set.  Thus, numbers (1, 2, 3, 4, 5, etc.) and Fuzzy Logic are based on contradictory logics and cannot be used in the same analysis, that is to say that the use of numbers is not permitted within the axioms of Fuzzy Logic._x000D_
_x000D_
A second problem lies in the PI's interpretation of a probability distribution.  A probability is a belief; it is not a physically measurable property of a system.  Therefore, probabilities inure to individuals.  For example, suppose Tom and Sally each hold a belief on the probability of heads or tails on the toss of a bent coin (not a fair coin).  Say, Tom believes the toss will be heads with probability 0.65, and Sally believes it will be heads with probability 0.73.  These are Tom's and Sally's beliefs, and both must be recognized as correct statements of their beliefs.  Probability theory is a framework for reasoning logically about beliefs.  There is no way to combine Tom's and Sally's beliefs.  They simply are what they are.  This has rather profound implications for the proposed study.  Whatever scheduling method is used, the choice to use the method and the input data must concur with the beliefs of the project decision maker.  In essence, the validation of a specific distribution for a specific decision maker must consist of determining that the given distribution truly is the belief of the decision maker, and the results of any such analysis will be of direct value only to that decision maker (and may or may not aid others to the extent that they agree with the beliefs of the decision maker)._x000D_
_x000D_
Intellectual Merit_x000D_
_x000D_
To be sure, construction project scheduling is an important problem, and one that could use further research.  Mathematically rigorous advances could be of significant value both scientifically and economically.  But the problem needs to be framed more precisely in order to realize this potential.  Assume that the TW distribution is a superior representation of task time-to-completion.  Then, a logical research objective might be to demonstrate this and, perhaps, to explain it with an underlying theory (note that both the Gaussian and Laplacian distributions derive from underlying phenomena).  The challenge then is to have project managers adopt this as their personal belief.  Note that all inputs to a scheduling analysis must be the beliefs of the project manager, not independent inputs from a set of people, even if they are experts._x000D_
_x000D_
_x000D_
In the context of the five review elements, please _x000D_
evaluate the strengths and weaknesses of the proposal with respect to broader impacts._x000D_
_x000D_
Broader Impact_x000D_
_x000D_
To be sure, better construction project scheduling promises to be of considerable value to the industry.  But the implementation of a schedule is also a significant factor.  For example, suppose a schedule flowdown approach is used to the management of the schedule, and suppose that a particular task is given 5 days for completion.  Without clear incentives to the contrary, the task manager will take 5 days to complete the task, even when conditions might enable completion in 3 days.  In this sense, the schedule itself is a cause of schedule overruns.  From this point of view, the scheduling problem might be better addressed in the broader context of overall project management.  This is probably not the objective of this project, which is more narrowly focused on the use of the Tracy-Widom distribution.  But to be of value, we need to know how the TW distribution might be used.  For example, will it be used to influence the beliefs of the project manager and how might it be put to that use?  In the end, the value of any knowledge gained from this study will be highly dependent upon the availability of a rigorous mathematical framework for its use.  As presented, it is not clear to this reviewer that the PI is currently well equipped to create such a framework._x000D_
_x000D_
The PI also proposes working with high school students and young minority mentees.  However, this reviewer feels that a strong mathematical base in probability theory is important to maximizing the impact of such interactions, and would like to see a more rigorous appraisal of the proposed approaches._x000D_
_x000D_
_x000D_
Please evaluate the strengths and _x000D_
weaknesses of the proposal with respect to any additional solicitation-specific review criteria, if _x000D_
applicable_x000D_
_x000D_
_x000D_
_x000D_
Summary Statement_x000D_
_x000D_
Summary_x000D_
_x000D_
It is quite possible that the PI has the germ of an idea worth some investigation.  The problem for this reviewer is that it was hard to understand exactly what the PI proposes.  Is it simply to see if the TW distributional form provides a good fit to actual time-to-completion data?  Is it to take into consideration realities of construction that are not incorporated in current scheduling methods?  Is it to revamp the entire scheduling approach?  This reviewer suggests that the PI rethink the research objective, focusing on the new knowledge to be gained from the research.  Then, focus the proposed tasks on achieving the clearly restated objective.  As written, this reviewer was left confused by the proposal and with concerns that the PI doesn't fully understand probability theory, its purpose and its application._x000D_
_x000D_
_x000D_
</t>
  </si>
  <si>
    <t xml:space="preserve">In the context of the five review elements, please _x000D_
evaluate the strengths and weaknesses of the proposal with respect to intellectual merit._x000D_
_x000D_
Strengths_x000D_
ò PI has strong background in scheduling theory and is highly capable of performing this research including expertise in the area of matrixes and eigenvalue functions._x000D_
ò Tracy-Widom function may have important applications in construction.  _x000D_
Weakness_x000D_
ò Need to explain what it is about this particular function that will be the silver bullet to solving the delay problem or coming up with more robust schedulesùperhaps there is a need to better understand the multitude of reasons for schedule delays occurring in the first place._x000D_
ò It appears that the PI has found a tool and is in search of an application for itùas opposed identifying a problem and then identifying a suitable theory or tool to solve it._x000D_
ò Focus of proposal is more on scheduling and how it can be improved by using the new function as opposed to delay mitigation as is being sold in the proposal.  Not clear to this reviewer how the TW distribution can reduce/mitigate delays._x000D_
_x000D_
_x000D_
In the context of the five review elements, please _x000D_
evaluate the strengths and weaknesses of the proposal with respect to broader impacts._x000D_
_x000D_
Strengths_x000D_
ò Potential to improve probabilistic schedule performance_x000D_
ò Good plan to involve female graduate student strong mathematics background_x000D_
ò Involvement of K-12 using engaging game approach_x000D_
ò Dissemination of results through ACE mentoring program_x000D_
Weaknessess_x000D_
ò This appears to be a "shot in the dark" approach to applying this new function/distribution in the construction scheduling field.  In order to find out where this new functions best fits (if at all), it might be better to investigate where it might fit firstàthen apply it to that area.  At this point, it is not clear why this function is best suited for reducing schedule delays.  There are already several other functions that can be used (beta, normal, log-normal, triangular, logit, etc.)._x000D_
_x000D_
_x000D_
Please evaluate the strengths and _x000D_
weaknesses of the proposal with respect to any additional solicitation-specific review criteria, if _x000D_
applicable_x000D_
_x000D_
_x000D_
_x000D_
Summary Statement_x000D_
_x000D_
The PI proposes to solve the recurring problem of reducing (mitigating) construction schedule delays using the recently discovered Tracy-Widom (TW) distribution.  This distribution has been used successfully in other scientific areas such as bacteria colonies, population genetics, optics, and even airline boarding.  PI describes the shortcomings of current deterministic (CPM) and probabilistic scheduling approaches (PERT, fuzzy logi-based scheduling).  The TW distribution "is a continuous function that characterized a system of independent but randomly interacting agents that reach a tipping point.  It emerges if systems incur a phase transition from 'too few' to 'too intensive' interactionsà.this causes a distinct asymmetric shape."  Hypothesis: "Tracy-Widom may be found if construction participants interact probabilistically (e.g., "at work handovers among subcontractors").  PI states that this distribution may be "natural to the network system of project participants."  The research plan involves an extensive literature review to map and match the TW distribution to construction schedule elements, obtain benchmark schedule and determine certain attributes (e.g., complexity metrics, record probabilistic schedules as random matrices and determine their eigenvalues and eigenvectors), simulate deterministic and probabilistic schedules with traditional distributions and compare to using the TW distribution, "identify any phases of smooth workflow versus delayed progress and determine the tipping point, statistically compare fit of distribution," validate findings using case study schedule data, and "track delay 'ripple effect' through schedule, quantify relationship of interactions and delays, derive delay avoidance guidelines in schedule structure, disseminate to professional audience."_x000D_
_x000D_
</t>
  </si>
  <si>
    <t xml:space="preserve">In the context of the five review elements, please _x000D_
evaluate the strengths and weaknesses of the proposal with respect to intellectual merit._x000D_
_x000D_
Strengths: The researcher explores if Tracy-Widom distribution can be found in construction and then applied to improve scheduling. It is proposed as a way to reveal transition from smooth workflow into delay. _x000D_
Weaknesses: It's unclear if Tracy-Widom distribution would be a good choice for construction scheduling as it 'characterizes a system of independent but randomly interacting agents that reach a tipping point'. Are subcontractors, engineers, architects working on a construction project fit into these descriptions? While its universality applies to many documented microscopic phenomena, the reviewer would like to see some preliminary evidence before lending his support to this proposal. The fact that an extensive literature review would be the first research objective shows a lack of in-depth knowledge of subject being investigated. Could there be other distributions and functions to be explored and employed? Furthermore, the linkage between the result of research and practical solutions is weak as parameters from simulation or case studies often lack contextual meanings. For example, how would the phase transition or tipping point correspond to delays in real applications? Even though a construction project can have many repetitive activities, one of key drivers of delays is unexpected conditions which could pertain to heterogeneous factors such as tasks, equipment, design, or weather. As the result, the causation of delays is often generalized at a higher level in order to be useful. As long as the researcher continues relying on common attributes defined in CPM (e.g. float, logic) it is difficult to imagine the transformative potential it could promise._x000D_
_x000D_
In the context of the five review elements, please _x000D_
evaluate the strengths and weaknesses of the proposal with respect to broader impacts._x000D_
_x000D_
Strengths: The researcher makes a strong argument about the impact of delays on construction cost and potential saving that can be attained if they are avoided. The proposal includes several educational activities. _x000D_
Weaknesses: The linkage between this research and the board games to be designed seems weak. There is a lack of effort to engage underrepresented groups. _x000D_
_x000D_
_x000D_
Please evaluate the strengths and _x000D_
weaknesses of the proposal with respect to any additional solicitation-specific review criteria, if _x000D_
applicable_x000D_
_x000D_
_x000D_
_x000D_
Summary Statement_x000D_
_x000D_
The goal of this research is to investigate if construction delays may be explained by the Tracy-Widom distribution and to help avoid delays and improve on-time delivery. The project will start with reviewing of scientific literature for models and applications of Tracy-Widom to map and match them with construction scheduling elements, followed by coding Tracy-Widom distributions and conducting simulation. Case study will be performed in collaboration with industry partner. More attention shall be focused on highlighting 1) why Tracy-Widom distribution is a better solution to modeling construction delays; 2) what the physical meanings of function parameters and results are; and 3) how this research could be a part of coordinated and sustained efforts to improve project delivery._x000D_
_x000D_
</t>
  </si>
  <si>
    <t>1761372</t>
  </si>
  <si>
    <t xml:space="preserve">In the context of the five review elements, please _x000D_
evaluate the strengths and weaknesses of the proposal with respect to intellectual merit._x000D_
_x000D_
The stated objective of the proposed work is "to restore a macroscopic perspective of product flow in construction project scheduling with inspiration from traffic flow theory."  This is not the real objective, and it's stated as a goal anyway.  The real objective appears near the bottom of page 8, to apply traffic flow theory to the problem of construction scheduling (I've paraphrased the PIs' statement).  Also, the six research objectives presented on page 8 are not research objectives, they are tasks.  Tasks are what one does to accomplish objectives, research objectives are clear statements that define the new knowledge proposed by the research.  The topic of the proposal could be interesting provided I could fully understand what is proposed.  But, while the proposal goes into great detail on forecasting and scheduling methods currently in use, it does not say much about what is proposed.  For example, is the proposed scheduling method deterministic or stochastic?_x000D_
_x000D_
On page 8, the PIs' present Eq. 2, which the proposal notes "calculates accurate starts, finishes, criticality, and float from a given sequence and productivities."  The proposal goes on, "It conservatively 'stacks' activity..."  If Eq. 2 is 'accurate,' then there is no need for a probabilistic forecast.  But there is also no need for conservatism.  In fact, what does "conservatism" mean in a deterministic calculation.  I'm confused.  Further, suppose a singularity is known prior to its occurrence.  Then it wouldn't be difficult to model.  It would make more sense that singularity functions would be used to model singularities, namely unpredictable disruptions.  But this would mean that the construction schedule would have to be probabilistic.  In fact, if a disruption is predictable, it isn't a disruption._x000D_
_x000D_
The proposal notes, "Traffic engineers must solve multi-objective optimization problems to move the most people between destinations in the least time for the least cost."  To begin, there really is no such thing as multi-objective optimization.  Optimization means choosing the best.  But best is defined only on a scalar measure, and that precludes multiple objectives.  So the real question for a traffic engineer doing an optimization is, what is the correct objective?  Furthermore, it is not clear to me whether the traffic optimization is deterministic, e.g., based on averages, or under uncertainty._x000D_
_x000D_
Intellectual Merit_x000D_
_x000D_
There is a potential to use traffic flow theory in the scheduling of construction activities.  But this potential is not well presented in this proposal.  The proposal grasps at singularity functions as a key element to be used, but there are likely other aspects of traffic flow theory that may be useful or necessary as well.  Given the proposed work, it is not clear that the PIs will realize the potential suggested._x000D_
_x000D_
_x000D_
In the context of the five review elements, please _x000D_
evaluate the strengths and weaknesses of the proposal with respect to broader impacts._x000D_
_x000D_
Broader Impact_x000D_
_x000D_
The key broader impact claimed by the PIs is that their improvement in construction scheduling will "reduce delays and improve project performance."  It is not clear from the proposal, however, just how this will happen.  The remainder of the broader impact involves the usual outreach to minorities and high school students, and to industry._x000D_
_x000D_
_x000D_
Please evaluate the strengths and _x000D_
weaknesses of the proposal with respect to any additional solicitation-specific review criteria, if _x000D_
applicable_x000D_
_x000D_
_x000D_
_x000D_
Summary Statement_x000D_
_x000D_
Summary_x000D_
_x000D_
I might find this proposal to be much more worthwhile if I had a clear idea of what the PIs were actually proposing.  I would suggest that they begin with a clearly stated research objective (a knowledge objective), clearly define the problem and what they are proposing, and then present a plan to accomplish their stated objective.  They could significantly shorten the review of current practice, except where it is explicitly relevant to their proposed work.  It would be helpful to know exactly what outcome the PIs hope to achieve._x000D_
_x000D_
_x000D_
</t>
  </si>
  <si>
    <t xml:space="preserve">In the context of the five review elements, please _x000D_
evaluate the strengths and weaknesses of the proposal with respect to intellectual merit._x000D_
_x000D_
Strengths_x000D_
ò Potential innovativeness of ideaùusing a production-oriented scheduling approach combined with both traffic engineering theories (e.g., "capacity flow", "shockwaves", "starvation", and "free flow", etc.) and the use of proven singularity functions can lead to breakthrough concepts that can improve current scheduling techniques._x000D_
_x000D_
Weakness_x000D_
ò Unclear hypothesis:  "it is possible to extract from traffic engineering, match with to-be-defined analogies, and model a set of flow-related concepts for construction scheduling to reduce delays."_x000D_
ò PIs face uphill battle implementing production-oriented scheduling techniques due to the ingrained nature of the current network approach.  Certain kinds of projects lend themselves to a linear scheduling (or production) approach such as highways and others do not (e.g., industrial plants).  All projects can be modelled as a system (or network of activities) and can thus be scheduled efficiently as such.  _x000D_
ò PIs need to be more clear on what the problems are with the current scheduling approach and explain how the new approach will be that much better.  They implicate that "flow is ignored" with the current scheduling approachùis this really the case?_x000D_
ò What is (or should be) the role of a project scheduleùwhat are the critical functions that it should provide?  The answer to this question will help identify the best scheduling approach.  _x000D_
_x000D_
_x000D_
_x000D_
In the context of the five review elements, please _x000D_
evaluate the strengths and weaknesses of the proposal with respect to broader impacts._x000D_
_x000D_
Strengths_x000D_
ò PIs want to "shift the discrete network activity paradigm toward production-oriented flow"_x000D_
ò Good outreach program and use of games to engage interest._x000D_
_x000D_
Weakness_x000D_
ò None_x000D_
_x000D_
_x000D_
Please evaluate the strengths and _x000D_
weaknesses of the proposal with respect to any additional solicitation-specific review criteria, if _x000D_
applicable_x000D_
_x000D_
_x000D_
_x000D_
Summary Statement_x000D_
_x000D_
Current scheduling techniques use a network-based approach to plan projectsù"microscopic" approach.  The PIs propose to demonstrate that production-based schedules (e.g., linear scheduling, line of balance, etc.) in conjunction with singularity functions and traffic flow theory can be more informative (or more powerful) than the current approach.  Singularity functions have already been proven by the PI to be of value.  PIs see an opportunity to use traffic flow theories to make their scheduling technique even more insightful (by revealing continuous productivity and cashflows).  PIs plan to explore traffic engineering theories and identify which one(s) will be the most promising to apply to their schedule approach with the goal on improving flow (which is a goal in both transportation and construction).  They then plan to "translate these properties and matches to create flow singularity functionsùor production-oriented scheduling algorithms."  This will be accomplished by simulating both network and linear schedules using the newly created production-oriented method involving singularity functions and traffic flow algorithms.  A library of past project schedule data will be used for the simulation exercise.  Validation of this new production-oriented method will be accomplished using real project schedule files from Bozzuto Construction.  They will also perform production-oriented analysis on past projects using a case study approach to see if they can optimize the schedule a posteriori._x000D_
_x000D_
</t>
  </si>
  <si>
    <t>MN0879916</t>
  </si>
  <si>
    <t>Nie</t>
  </si>
  <si>
    <t>y-nie@northwestern.edu</t>
  </si>
  <si>
    <t xml:space="preserve">In the context of the five review elements, please _x000D_
evaluate the strengths and weaknesses of the proposal with respect to intellectual merit._x000D_
_x000D_
The analogy between vehicles and activities (table 1) seems problematic to me.  In macroscopic traffic flow theory, vehicles are treated as continuum flow, and accordingly their individual movement is not modeled. Instead, the focus is to represent the flow/density/average speed at each x-t point, which in turn reveals how congestion propagates within road segments and across intersections (spillback).   For one thing, the physical interactions between activities are very different from those between vehicles.  Also, the number of activities of interest in any construction project is likely to be much smaller and in most cases, they must be individually tracked (don't you need to schedule each activity precisely?).  If I understand it correctly, an activity is more like a road segment in the scheduling network, rather than a vehicle traveling on the link. _x000D_
_x000D_
The analogy between distance and work unit (as stated in Table 1) is also not convincing.  Distance is continuous by nature while work unit is inherently discrete.  In traffic flow theory, one can measure the cumulative flows passing a given location by certain time (which creates the N-T diagram, a critical building block), how can we measure cumulative activities at a given "work unit"? _x000D_
_x000D_
In any case, the PIs need to establish and validate in project scheduling the analogy of two most important cornerstones in traffic flow theory: the conservation law and the fundamental diagram.  The former states that the traffic is neither created nor destroyed as it flows through a road segment, which leads to a hyperbolic PDE (or the LWR model); the latter describes how flow is empirically related to density.   While my sense is that the underlying physics in scheduling would be too different to be treated using a similar mathematical framework, I am willing to give the PIs the benefit of doubt.  However, a much stronger case would have to be built that illustrates modeling these systems similarly is indeed doable in the form of preliminary results.  The current writing is way too speculative and vague in my humble opinion.   _x000D_
_x000D_
_x000D_
In the context of the five review elements, please _x000D_
evaluate the strengths and weaknesses of the proposal with respect to broader impacts._x000D_
_x000D_
The activities related to broader impacts are generally well planned and written._x000D_
_x000D_
Please evaluate the strengths and _x000D_
weaknesses of the proposal with respect to any additional solicitation-specific review criteria, if _x000D_
applicable_x000D_
_x000D_
_x000D_
_x000D_
Summary Statement_x000D_
_x000D_
The primary objective of the proposal is to renovate the theory of construction scheduling by applying the domain knowledge of traffic science.  The project will extract, map and match traffic concepts (such as flow, density, speed and shockwaves) and integrate them with the singularity function (a method the leading PI developed before) to extend and elevate linear schedules.  The PIs claim that combining traffic flow theory with scheduling promises a novel macroscopic approach that could improve efficiency, reduce delays, and save time.  Overall, the proposal is competently written and the PIs have strong track record in the field of construction management.  _x000D_
_x000D_
While the proposed research is novel and intriguing, my main concern is that the proposal offers little evidence that the traffic flow theory can be successfully transferred to improve scheduling. This is a critical shortcoming as this applicability is the foundation of the project._x000D_
_x000D_
_x000D_
</t>
  </si>
  <si>
    <t>1761479</t>
  </si>
  <si>
    <t>Dai</t>
  </si>
  <si>
    <t xml:space="preserve">In the context of the five review elements, please _x000D_
evaluate the strengths and weaknesses of the proposal with respect to intellectual merit._x000D_
_x000D_
Strengths_x000D_
The research objective of this proposal is to derive and validate improved dynamic procedures for quantification of contextual risks on construction sites, at the process level. The proposed research could provide a way to model individual improper behaviors and capture risk patterns for improved process-level analysis of risks for enhanced safety management on construction sites. The PIs are qualified to conduct the proposed research activities; they have expertise in occupational safety and health. The PIs have sufficient resources to carry out the proposed activities; collaboration letters from the Contractors Association of West Virginia, the National Institute for Occupational Health and Safety, and Austin Bridge &amp; Road are provided. _x000D_
_x000D_
Weaknesses_x000D_
The research plan lacks well-defined research questions. _x000D_
_x000D_
The proposal does not fit very well within the scope of the CIS program, which focuses on the use of system-based methods. _x000D_
_x000D_
Several aspects in the risk-taking behavior modeling (Section 5.2) are either vague/unclear or over simplified. For example, the PIs state that "the inputs to this algorithm will include several classes of data ranging from sensor data (e.g. positional data that can be translated into proximity information between a worker and site hazards) to information describing the location, type, and severity of site hazards, to data describing an individual's personal (i.e. behavioral) characteristics including but not limited to age, gender, level of experience, and presence of peer pressure." Why are all the data not well-defined in the proposal? How could something like presence of peer pressure be measured? Another example is that the PIs state that the proximity scale (a value that increases as the worker moves closer to the location of a hazard center) depends on the nature of the task and the severity of potential accident between the worker and site hazard. That is an oversimplification; it also depends on worker characteristics (experience with the task, learning curve, etc.), several environmental factors (e.g., distractions), etc._x000D_
_x000D_
Along the same line, it seems that the risk-taking behavior of individual workers (Section 5.2.2, ii) is quite focused on proximity. Also, the PIs explicitly sate that "the smaller the distance to a hazard, the higher the risk of being involved in an accident" and "an individual's risk-taking behavior can be estimated in recognition of its relationship with the distance between the location of a worker and the hazard center." Again, the risk depends on many other factors; and some activities require close proximity by nature. Also, perhaps consideration of whether the worker is aware of the hazard, whether that level of close proximity was planned for or not, whether the worker is wearing safety protection device, etc. is important.  _x000D_
_x000D_
The use of self-reporting for validating the risk-taking behavior modeling (Section 5.2.2, iii) approach introduces strong subjectivity in the validation. Can a more objective validation method be used instead or in addition? Perhaps looking at historical safety violations (including document behavior, violations, near misses, accidents, etc.)? A lot of detail on the validation methodology is also missing. What is the sample size (number of participants)? How are they sampled? How will the responses to the questionnaire questions be used to validate the risk-taking behavior modeling (i.e., what are the metrics)? And why would self-reporting be a good way in the first place? Is the worker's perception of potential risks a valid way for measuring the actual risk?_x000D_
_x000D_
The contextual risk characterization (Section 5.3) assumes that risk quantification is dependent on the risk-taking behavior, the time of individual workers exposed to hazards, and the severity of the hazards. Why? Other important context descriptors (e.g., activity type, activity location, weather conditions, worker fatigue level, worker experience level, etc.) are also very important in quantifying such risk. These three descriptors (risk-taking behavior, the time of individual workers exposed to hazards, and the severity of the hazards) are not sufficient in contextual risk characterization. Accordingly, the proposed concept of determining different contextual risk levels does not seem to be well-conceptualized. _x000D_
_x000D_
For the validation of the contextual risk characterization (Section 5.3, iii), a "proactive safety management program customized for individual workers based on their ERTB and EP scales" will be developed. How will this program be developed based on these metrics? A customized safety program may also be problematic. It may result in inconsistency in training across workers, more unsafe situations, etc.  The validation procedure, in general, is questionable and is missing important detail and justifications for the choice of methodology. _x000D_
_x000D_
The overall validation plan (Section 5.4) is similarly not clear, missing important detail, missing good justification for why the selected methods are chosen and why they are valid methods for conducting the evaluation/validation. For example, the PIs stated that "this study will use the performance metrics of accuracy, efficiency, scalability, and robustness to site dynamics to measure the effectiveness of the system in real work environments". How are these metrics measured? It is important to provide the necessary level of detail about the validation, and most importantly to justify why the chosen methods would be valid and reliable for validation._x000D_
_x000D_
In the context of the five review elements, please _x000D_
evaluate the strengths and weaknesses of the proposal with respect to broader impacts._x000D_
_x000D_
Strengths_x000D_
In general, if such result is achieved, reduction of accidents and injuries due to individual unsafe behaviors in construction would constitute a high societal impact. The PIs plan to promote teaching and learning through a joint research-based graduate seminar course that will be taught at both universities; efforts targeted towards the industry including expo presentations, workshops, and training programs; and engaging students in research and teaching activities. There is planning to increase the participation and retention of unrepresented groups, including minority, women and low-income family K-12, undergraduate, and graduate students through outreach activities and educational programs. The PIs plan to disseminate the research results through a website, journal publications, newsletters, magazines, conferences, videos, Facebook, and YouTube. The plan also includes collaboration with the Contractors Association of West Virginia, TAMU Construction Industry Advisory Council, and National Institute of Occupational Safety and Health (NIOSH)._x000D_
_x000D_
The data management plan is appropriate. _x000D_
_x000D_
Weaknesses_x000D_
As pointed above, in general, reduction of accidents and injuries due to individual unsafe behaviors in construction would constitute a high societal impact. However, there are doubts that such results could be achieved. _x000D_
_x000D_
_x000D_
Please evaluate the strengths and _x000D_
weaknesses of the proposal with respect to any additional solicitation-specific review criteria, if _x000D_
applicable_x000D_
_x000D_
_x000D_
_x000D_
Summary Statement_x000D_
_x000D_
The research objective of this proposal is to derive and validate improved dynamic procedures for quantification of contextual risks on construction sites, at the process level. If the objective is successfully achieved, the proposed research could help enhanced safety management on construction sites. However, the proposed activities are not well-reasoned.  Several modeling aspects are not well-conceptualized. The validity and reliability of the proposed validation methodology is also questionable. The intellectual contribution is, therefore, not clear._x000D_
_x000D_
</t>
  </si>
  <si>
    <t xml:space="preserve">In the context of the five review elements, please _x000D_
evaluate the strengths and weaknesses of the proposal with respect to intellectual merit._x000D_
_x000D_
[+] The proposal presents well-defined hypotheses on the association between contextual parameters from site processes and safety risks._x000D_
_x000D_
[+] Quantification of risk-taking behaviors (personalization) is an interesting objective in the study._x000D_
_x000D_
[+] The project team has the expertise and experience to conduct the proposed study._x000D_
_x000D_
[-] Site scene updating through SFM method needs some preliminary results to evaluate the feasibility and risk, associated with the proposed approach. Given the focus on the study on contextual risk quantification, lack of success in this component of the study could be an obstacle._x000D_
_x000D_
[-] The quantification of personalized risk-taking behaviors calls for an understanding of the varying (dynamic) hazards in the job site. Given the proposed approach points to parameters such as the location, type, and severity of site hazards, the text does not clarify how dynamic hazards are identified on the site._x000D_
_x000D_
[-] In the contextual risk characterization activity, it appears that the approach assumes behavioral (RTB) changes from an individual on different occassions and do not manifest the same behavioral traits. Supporting this idea with preliminary data will add value. _x000D_
_x000D_
[-] The field validation plan needs further elaboration so that its feasibility in the project timeframe could be evaluated._x000D_
_x000D_
In the context of the five review elements, please _x000D_
evaluate the strengths and weaknesses of the proposal with respect to broader impacts._x000D_
_x000D_
[+] The PIs have the capacity to conduct the proposed education and outreach activities. _x000D_
_x000D_
[+] The proposal sufficiently addresses the technical and societal benefits of the proposed study._x000D_
_x000D_
[+]  The proposed plan for education and outreach efforts is a multifaceted plan that could enable outreach to underrepresented students, industry practitioners, and students at differentlevel._x000D_
_x000D_
Please evaluate the strengths and _x000D_
weaknesses of the proposal with respect to any additional solicitation-specific review criteria, if _x000D_
applicable_x000D_
_x000D_
_x000D_
_x000D_
Summary Statement_x000D_
_x000D_
The proposal seeks to quantify the personalized and contextual risk-taking behaviors on construction sites. The proposal has identified interesting hypotheses and objectives, however, further clarification on different aspects are needed._x000D_
_x000D_
</t>
  </si>
  <si>
    <t xml:space="preserve">In the context of the five review elements, please _x000D_
evaluate the strengths and weaknesses of the proposal with respect to intellectual merit._x000D_
_x000D_
Strengths: The researchers understand the dynamic nature of jobsite hazards and propose a new approach to capture it in an objective and efficient manner. An individual's risk behavior could be profiled and measured by associating his/her proximity to known hazard sources. _x000D_
Weaknesses: The central hypothesis of the proposal (the adoption of progressively collected site trajectory data together with knowledge such as site layout and hazard zone map will allow quantification of site contextual risks in a statistical manner.) is poorly formulated as it lacks intellectual insights or theoretical foundations. Knowing where workers are at any given point in time certainly helps assessing their exposure level to certain hazards but its linkage to accidents may not be that strong. Individual's risk perception and risk tolerance play a much larger role in creating a situation where accident is likely to occur. In addition, proper use of tools, equipment, or PPE could mitigate or remove safety risk. Therefore, it's a concern of the reviewer about the research's overly emphasis on locational and spatial data (or data derived from it) in risk assessment. In practical terms, there is an apparent difference in frequent visits to unprotected roof edges with and without fall protection. The absence of personal or task level variables will introduce false positives when profiling risk behaviors. With respect to hazards, the researchers didn't specify how they will be defined, selected, and measured. What adds to the complexity is the fact that many hazards (e.g. moving vehicles, uneven surfaces) can change quickly in configuration and severity and how to capture them is unclear in the proposal.  Furthermore, the reviewer would like to know the limitations of the image-based tracking technology with respect to interference, obstruction, and range. The researcher highlighted their intent to measure and update safety risks 'at the process level'. However, the specific meaning and examples of 'processes' being studied are missing in the proposal._x000D_
_x000D_
In the context of the five review elements, please _x000D_
evaluate the strengths and weaknesses of the proposal with respect to broader impacts._x000D_
_x000D_
Strengths: The researchers attempt to reduce accidents in construction by profiling and predicting unsafe behaviors. Videos, expo presentations, workshops, and training programs are planned with assistance from industry and government partners. Increase in the participation and retention rate of underrepresented groups including minority, women and low-income family K-12, undergraduate, and graduate students in STEM can be accomplished through several outreach activities and education programs. The research results will be published in journals._x000D_
Weaknesses: Protection of human subjects could be better described in the proposal and Data Management Plan._x000D_
_x000D_
Please evaluate the strengths and _x000D_
weaknesses of the proposal with respect to any additional solicitation-specific review criteria, if _x000D_
applicable_x000D_
_x000D_
_x000D_
_x000D_
Summary Statement_x000D_
_x000D_
The research aims to derive dynamic procedures for quantification of contextual risks on construction sites at process level. Method for positioning and motion trajectory collection inside a jobsite will be developed. Motion patterns, exposure severity, and exposure duration will be derived and risk-taking behavior be modeled at individual level. Lastly, it will establish procedures to characterize time-dependent risk patterns associated with trade, task, location, and time._x000D_
_x000D_
</t>
  </si>
  <si>
    <t>It is widely accepted that a clear and comprehensive safety plan should be formulated to ensure safety performance on construction sites. Unfortunately, measures resulting from current strategies become less informative and less actionable when analyses shift from project-level to process-level that is context-dependent. The research objective in this application is to derive and validate improved dynamic procedures for quantification of contextual risks on evolving construction sites at process level. To this end, progressively collected site trajectory data, together with project's a-priori knowledge, will be exploited to measure cumulatively individuals' risk-taking behaviors and then to enable context-based characterization of site risk patterns. In specific, this project will: 1) create a change-based method for positioning and motion trajectory collection inside a dynamic jobsite that account for site's evolutionary nature; 2) aggregate the site's a-priori knowledge, and motion patterns, exposure severity, and exposure duration derived from the collected trajectory data to model the risk-taking behavior at individual level; and 3) establish procedures to characterize the progressive site's risk patterns associated with a specific context of interest given (e.g., trade, task, location, and time) in a statistical manner.Protection measures and safety trainings have significant beneficial effects on construction workers; however, tragedies still happen sometimes due to one or two individual improper behaviors. This research demonstrates how such individual improper behaviors can be measured through modeling and prediction by blending in-situ motion trajectories collected by methods that accommodate site's evolutionary nature, and then plugging in such individual improper behaviors as a factor to characterize workers' injury risks along with site progression. This technique provides a new and efficient method for capturing ongoing risk patterns spreading over a site based on a context given (e.g., timeframe, worker crew, task, location, and certain individual). This research contributes in-depth and process-level analysis of vulnerable situations for progressive safety management of construction sites. The established analysis procedures are expected to enable ongoing risk pattern discovery and continuous likelihood updating for incident occurrences inside a dynamic work environment. The blending of such procedures with online data collection promises a real-time (or immediate-term) based safety decision-making mechanism in construction workplaces. Such novel procedures and methods can be applied to relevant industrial developments in civil infrastructure, manufacturing, mining, and safety electronic supplies. Moreover, the research outcomes expect to provide a methodological foundation for automatic review of safety measures and development of feedback and control systems for workplace safety applications.The benefits to society can be envisioned by the expected reduction of accidents and injuries due to individual unsafe behaviors in construction. The outcomes of this project may also benefit researchers (including the PIs) who intend to conduct science-based research on human factors and behavioral safety in sectors such as construction, civil infrastructure, manufacturing, and mining. The PIs will develop a joint research-based graduate seminar course that students in both universities can take (on campus or online). The dedication of developing easy-to-understand, intuitive concepts and materials such as example videos, together with expo presentations, workshops, and training programs that the PIs plan to offer, will increase participation of the industry and broaden the impacts. The involvement of the PIs' partners including Contractors Association of West Virginia, TAMU Construction Industry Advisory Council, and National Institute of Occupational Safety and Health (NIOSH) promises further development of applied methods and tools that will maximally benefit the industry and society through further projects funded by NIOSH. This project is expected to increase the participation and retention rate of underrepresented groups including minority, women and low-income family K-12, undergraduate, and graduate students in STEM by undertaking a set of structured outreach activities coupled with education programs such as Engineering Challenge Camps and co-hosting an engineering academy. The scientific contributions from this research will be published in diverse media, such as ASCE and Elsevier journals.</t>
  </si>
  <si>
    <t>1761623</t>
  </si>
  <si>
    <t>Du</t>
  </si>
  <si>
    <t>Secondary Consideration</t>
  </si>
  <si>
    <t xml:space="preserve"> Panel Summary       
 Synopsis _x000D_
This proposal uses a tool's acceleration data to derive construction-related tasks and project-level information including productivity.  The PIs intend to "create a spatiotemporal network, forming an 'internet of tools' that communicate and exchange information with each other" to collectively act as the project's "nervous system".  The research methodology involves 1. using tool vibration to determine which tool is being used (e.g., grinder, drill, etc.), 2. determining which work package is being executed (using of deep learning), and assessing the productivity (% complete of the WP) using Bayesian Network.   _x000D_
_x000D_
Intellectual merit_x000D_
Strengths _x000D_
This proposal is potentially transformative because it would provide an innovative approach for determining construction site productivity using high frequency signals from tools to identify specific work activities.  The idea of using tools as sensing nodes is novel.  Focusing on one activity (pipefitting/welding) will increase the chance of success for this proposal.   Additionally, the PIs have  strong industry collaboration and the necessary technical background to undertake this research._x000D_
 _x000D_
Weaknesses_x000D_
The proposal is not well conceptualized.  The core concerns relate to collecting input data (use of high frequency vibration signals for tools) that may not help in obtaining the desired output of measuring actual productivity.  The PIs should consider using a sensor that directly identifies the tool (e.g., RFID tags?).  The PIs criticize the use of other sensors to understand actual jobsite conditions, but the same criticism can apply to their sensor as well.  The alternative plan of using vision sensing is good--but this denigrates the PIs original plan.  It is not clear how deep learning will be used to identify specific work packages from tool use (e.g., spatial and temporal features are not described).  Task 4.3 was too broad and lacked necessary research questions and hypotheses.  Additionally, the PIs need to explain how they plan to establish ground truth and link data to productivity._x000D_
Welding is a fairly well structured activity--how will this approach work for less structured construction activities?  _x000D_
_x000D_
Several typos and acronyms that were not spelled out._x000D_
_x000D_
The PIs should consider rescoping their research to better understand the vibrational characteristics of different tools working in different material medium to demonstrate that this approach can be viable to detecting specific tasks.  The PIs might want to consider using two types of sensors for each tool-- one that provides the vibrational characteristics and other that directly identifies the specific tool. _x000D_
_x000D_
Broader impact_x000D_
Strengths_x000D_
The proposal describes a good educational plan that integrates reseach findings in UG and graduate courses as well as outreach to industry through seminars, foremen scholarships and involvement of Hispanic students._x000D_
_x000D_
Weaknesses_x000D_
The PIs present a nice idea that needs more work.  As currently written, it is not clear that PIs will be able to achieve their goal. _x000D_
 _x000D_
Data Management Plan_x000D_
The data management plan is fine._x000D_
_x000D_
_x000D_
Rationale for Recommendation (a short summary of the panel discussion)_x000D_
The proposed concept is novel because it would provide an innovative approach for determining construction site productivity using high frequency signals from tools to identify specific work activities.  Additionally, the PIs have demonstrated strong industry collaboration and have the necessary technical background to undertake this research.  The proposal needs to be better conceptualized particularly related to vibrational sensors to understand jobsite activities, how deep learning will be used to identify specific work packages, and estabilishing ground truth and linking data to productivity.  The proposal describes a good educational plan that integrates reseach findings in courses involving underrepresented groups as well as outreach to industry._x000D_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</si>
  <si>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Strengths_x000D_
The research objective of this proposal is to test the hypothesis that a spatiotemporal network of construction tools (particularly the use of high-frequency vibration data of the tools) enables real-time and precise recognition of construction activities at the individual level. The goal is to improve the accuracy and reliability of productivity assessment. The PIs are qualified to conduct the proposed research activities. The PIs have sufficient resources to carry out the proposed activities, including collaboration letters from Zachry Industrial. _x000D_
_x000D_
Weaknesses_x000D_
Using tools as sensing nodes is a nice idea. But, the input data (high-frequency vibration data of the tools) is not likely to be able to indicate the desired output (precise recognition of construction activities for accurate and reliable productivity assessment). For instance, a particular tool maybe used for different activities. A specific operation/task in an activity (using a specific tool) maybe conducted for different construction activities. It would be difficult to use the tool-based approach alone to assess the productivity. _x000D_
_x000D_
The PIs criticize existing construction activity recognition approaches that use equipment-mounted sensors, because "their level of prediction remains a major issue when jobsite conditions are more ambiguous and complex, particularly, when a recognized bodily movement is associated with multiple activities". The same criticism would apply to the proposed tool-based method. Why would the proposed method outperform existing methods? This wasn't convincing. _x000D_
_x000D_
The alternative plan in Section 4.1 seems to suggest using vision and sensor tracking of workers, an approach that the PIs have criticized. _x000D_
_x000D_
A number of important challenges are raised in Section 4.2. But, the research plan of how to address these challenges is not very well-defined. For example, why is the deep learning expected to improve activity recognition? What are the spatial and temporal features that will be used? Will other contextual features be used? _x000D_
_x000D_
The proposed activities in Section 4.3, which aim to "examine a jobsite data ecosystem for next generation productivity assessment", are very broad and need to be better focused. What are the specific research questions that are addressed in this task? _x000D_
_x000D_
The data collection and validation in Section 4.3 is not clear. What are the ground truth productivity data and how will the ground truth be developed based on these data? And who will develop the ground truth? What are the validation metrics? _x000D_
_x000D_
The research plan lacks well-defined research questions. _x000D_
_x000D_
The proposal has several typos. Also, please spell out all acronyms at first use. For example, PLOD is not spelled out._x000D_
_x000D_
In the context of the five review elements, please _x000D_
evaluate the strengths and weaknesses of the proposal with respect to broader impacts._x000D_
_x000D_
Strengths_x000D_
The PIs plan to promote teaching and learning through integrating research results into 3 undergraduate courses and one graduate course using teaching modules; and through professional training (including a proposal to provide scholarships to foremen). The PIs plan to conduct outreach activities targeted to Hispanic students, in collaboration with the San Antonio Northside ISD Construction Careers Academy. There is also further planning to broaden the participation of unrepresented groups by recruiting female and underrepresented students. There are plans to engage with the industry through seminars and an advisory panel. There are plans for assessing the educational activities through formative and summative assessment. The PIs plan to disseminate the research results through journal publications, conference publications and presentations, trade magazines, a project website, social media pages, a YouTube Channel, workshops, and ASCE webinars. _x000D_
_x000D_
The data management plan is appropriate. _x000D_
_x000D_
Weaknesses_x000D_
The broader impacts of the research to the society at large are not strong. _x000D_
_x000D_
No apparent weaknesses for the broader impacts of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The research objective of this proposal is to use high-frequency vibration data of construction tools to enable precise recognition of construction activities and improve the accuracy and reliability of productivity assessment. Trying to use tools as sensing nodes for productivity assessment could be a nice idea. But, the main problem is that the input (the tool data) is not likely to be able to indicate the desired output (productivity assessment). It seems difficult to use the proposed tool-based approach to assess the productivity. Several aspects of the research plan were also not well-defined._x000D_
_x000D_
</t>
  </si>
  <si>
    <t xml:space="preserve">In the context of the five review elements, please _x000D_
evaluate the strengths and weaknesses of the proposal with respect to intellectual merit._x000D_
_x000D_
Strengths_x000D_
ò Good industry support_x000D_
ò Strong PI knowledge in this area_x000D_
ò Well structured work plan_x000D_
Weakness_x000D_
ò It is not apparent that accelerometers need to be used to identify the piece of equipment being used for RO-1.  Why not use the sensor to identify which tool is being used (on or off) and records its location and duration of use.  Not sure why there is an extra step to interpret the vibrations signals to identify the tool in use._x000D_
ò What happens when a different set of activities are required for a WP?  Would this make its recognition difficult?  And if the WP is not found then it will be impossible to assess productivity._x000D_
ò Not clear how deep learning will be used to identify WPs from tool use._x000D_
ò Not clear how Bayesian Networks will be used to assess productivity._x000D_
ò Welding is a fairly well structured activityùhow will this approach work for less structured activities?_x000D_
_x000D_
_x000D_
In the context of the five review elements, please _x000D_
evaluate the strengths and weaknesses of the proposal with respect to broader impacts._x000D_
_x000D_
Strengths_x000D_
ò Robust broader impact statement_x000D_
Weaknessess_x000D_
ò Not sure if using accelerometers on construction equipment to accurately measure productivity is even possible._x000D_
_x000D_
_x000D_
Please evaluate the strengths and _x000D_
weaknesses of the proposal with respect to any additional solicitation-specific review criteria, if _x000D_
applicable_x000D_
_x000D_
_x000D_
_x000D_
Summary Statement_x000D_
_x000D_
This proposal attempts to solve the age old question about how to improve construction productivity using the internet of tools concept.  PIs want to "create a spatiotemporal network, forming an 'internet of tools" that communicate and exchance information with each otherùto collectively act as the project's "nervous system".  Essentially, this involves interconnected tools, sensors, data collection, and analysis.  The research methodology involves 1. using tool vibration to determine which tool is being used (e.g., grinder, drill, etc.), 2. determining which work package is being executed (using of deep learning), and assessing the productivity (% complete of the WP) using Bayesian Network._x000D_
_x000D_
</t>
  </si>
  <si>
    <t xml:space="preserve">In the context of the five review elements, please _x000D_
evaluate the strengths and weaknesses of the proposal with respect to intellectual merit._x000D_
_x000D_
Strengths: The researchers propose a novel way to evaluate construction productivity by collecting and mining acceleration data of hand and power tools being used. Based on their preliminary work, the predictability of recognizing activity types can be high, even with limited number of classifiers.  Sub-task information (e.g. materials being worked on) and personal attributes (e.g. level of training) could also be derived as secondary outcomes. Isolated tool-level data will be connected together through tool-activity matrix to form the basis for work package operation assessment. Then real-time activity data will be processed and analyzed, and methods be developed for assessing project level productivity. The cost effectiveness of the system is well documented. Its focus on pipefitting seems thoughtful and attainable.  _x000D_
Weaknesses: It's not totally clear how spatial data of tools is directly captured or inferred. Perhaps, there could be location sensors (GPS, RFID) added to the system. Considering the presence of hundreds of tool-mounted sensing systems, the reviewer wonders if synchronization of signals would be a problem to address._x000D_
_x000D_
In the context of the five review elements, please _x000D_
evaluate the strengths and weaknesses of the proposal with respect to broader impacts._x000D_
_x000D_
Strengths: The proposal contains a list of educational, training, and outreach activities with well-defined expectations. The researchers have a strong partnership with industry and are intended to strengthen it through this project. _x000D_
Weaknesses: None. _x000D_
_x000D_
_x000D_
Please evaluate the strengths and _x000D_
weaknesses of the proposal with respect to any additional solicitation-specific review criteria, if _x000D_
applicable_x000D_
_x000D_
_x000D_
_x000D_
Summary Statement_x000D_
_x000D_
The ideas in this proposal are well reasoned, prepared, and presented. The researchers have the required expertise and instructional resources to undertake proposed research tasks. The central concept of using tool's acceleration data to derive task and project level information is both intellectually challenging and technologically innovative. The success of this research would have a potential to change the way in which construction data is collected, analyzed, and acted on._x000D_
_x000D_
</t>
  </si>
  <si>
    <t xml:space="preserve">In the context of the five review elements, please _x000D_
evaluate the strengths and weaknesses of the proposal with respect to intellectual merit._x000D_
_x000D_
This research aims to test the hypothesis that the spatiotemporal network of connected construction tools, or Internet of Tools, enables real-time and precise productivity assessment. The proposed research is expected to advance knowledge in construction informatics by exploring new algorithms that enable decentralized and computationally efficient spatiotemporal analysis of construction tools._x000D_
It addresses the knowledge gap in measuring construction productivity using construction equipment vibration data._x000D_
_x000D_
In the context of the five review elements, please _x000D_
evaluate the strengths and weaknesses of the proposal with respect to broader impacts._x000D_
_x000D_
If successful, the project is expected to address the challenge identified by ASCE, "fostering the optimization of infrastructure investments for society". Their broader impact plans target academia, industry, and the general public. They plan to provide scholarships to craft workers. The PIs will broaden the participation of underrepresented students by working with campus programs and local schools, and actively recruiting students from these populations._x000D_
_x000D_
Please evaluate the strengths and _x000D_
weaknesses of the proposal with respect to any additional solicitation-specific review criteria, if _x000D_
applicable_x000D_
_x000D_
_x000D_
_x000D_
Summary Statement_x000D_
_x000D_
This research aims to test the hypothesis that the spatiotemporal network of connected construction tools, or Internet of Tools, enables real-time and precise productivity assessment. The proposed research is expected to advance knowledge in construction informatics by exploring new algorithms that enable decentralized and computationally efficient spatiotemporal analysis of construction tools._x000D_
It addresses the knowledge gap in measuring construction productivity using construction equipment vibration data._x000D_
If successful, the project is expected to address the challenge identified by ASCE, "fostering the optimization of infrastructure investments for society". Their broader impact plans target academia, industry, and the general public. They plan to provide scholarships to craft workers. The PIs will broaden the participation of underrepresented students by working with campus programs and local schools, and actively recruiting students from these populations._x000D_
_x000D_
</t>
  </si>
  <si>
    <t>This research aims to test the hypothesis that the spatiotemporal network of connected construction tools, or Internet of Tools, enables real-time and precise productivity assessment. Despite its importance to economies, the construction industry still suffers from a lack of productivity and technology innovation and integration. Past research has been centered on information and sensing systems for automated low-level activity recognition. Vision or sensor data is leveraged to track activities and status of people, equipment, and construction objects in near real-time, and relate this information to productivity. However, the predictability of existing activity recognition methods remains an issue when the feature-activity relationship is vague, and it is unclear if the present informatics is robust to the uncertainty and complexity of real world projects. Inspired by the concept of Internet of Things, the PIs envision that a project as a whole can be assessed through analysis of the hundreds or even thousands of pieces of construction tools on a jobsite, forming an Internet of Tools that communicate and exchange productivity information with each other. To test the concept, the PIs will: 1) investigate the extent to which current activity recognition algorithms can be improved using high-frequency vibration data from construction tools; 2) understand implications of spatiotemporal characteristics of connected tools in construction operation assessment; and 3) examine a jobsite data ecosystem for next generation productivity assessment. The PIs will use pipefitting as a study case, given its critical role in renovating American's infrastructure, and the embedded difficulties of tracking its productivity.The intellectual merits of this project lie in its transformative and transdisciplinary aspects. The proposed research is expected to advance knowledge in construction informatics by exploring new algorithms that enable decentralized and computationally efficient spatiotemporal analysis of construction tools. Giving tools the ability to sense and interpret the context in which they are being used, allows us to move toward the idea of "generative tools". Such tools can think and synthesize work strategies given task goals and constraints, explore the entire solution space, look into previously collected data and patterns, and develop suggestions as to how to perform a task more efficiently and safely. This proposal is transdisciplinary as it connotes a research strategy that crosses several disciplinary boundaries (engineering, management, computer science, control systems, and mathematics) to create a holistic approach to a well-defined problem. While designed algorithms and methods will be initially applied to the construction domain, the generated scientific knowledge can be widely adopted for use in other disciplines such as computer science and mathematics. At the same time, all proposed activities will enable inputs and scoping across various stakeholders (practitioners, researchers, educators, and students) and facilitate a systemic way of addressing identified challenges, and capacity building for successful implementation of research findings.The ASCE identifies "fostering the optimization of infrastructure investments for society" as one of the grand engineering challenges in the 21st century. While this project strongly contributes to addressing this challenge, its broader impacts target academia, industry, and the general public, thus supporting goals of the NSF Strategic Plan by (1) stimulating innovation in science and engineering to address societal needs, (2) enabling the formation of effective academia/industry partnerships to build capacity, leverage resources, and increase the speed of translation from discovery to innovation, and (3) integrating education and research to help prepare a diverse, globally competent STEM workforce. Scholarships will be provided to craft workers who do not otherwise have access to technology education. Instructional materials, methods, datasets, and models will be shared in open-source format via several outlets to allow for broader transfer of knowledge. Both PIs will proactively work to institutionalize the designed methods and strategies through long-lasting university/industry partnerships that will improve the research and education infrastructure of TAMU and surrounding communities. The PIs will broaden the participation of underrepresented students by working with campus programs and local schools, and actively recruiting students from these populations.</t>
  </si>
  <si>
    <t>1761829</t>
  </si>
  <si>
    <t>Cai</t>
  </si>
  <si>
    <t xml:space="preserve">In the context of the five review elements, please _x000D_
evaluate the strengths and weaknesses of the proposal with respect to intellectual merit._x000D_
_x000D_
Strengths_x000D_
ò Real-time automation of construction operations (e.g, monitoring and controlling) using sensors to understand the "spatial-temporal" patterns of workers, equipment, and materials can be significant in providing key project performance insights. _x000D_
_x000D_
Weakness_x000D_
òInteresting theories but a tough sell to successfully do what the PIs intent to accomplish in the real world_x000D_
ò Not clear what the level of granularity is for measuring time and location of each entity (seconds down to the nearest meter, cm?)_x000D_
ò What type of sensors do PIs envision for providing the spatial-temporal data for various entities (e.g., workers, materials, equipment, etc.)?  Will some entities need to have more than one sensor such as an excavator to obtain positional data on the arm?  Will the sensors be placed on all workers, equipment, materials, etc._x000D_
ò It appears that the PIs assume that the right data is available for all entities and that they plan to proceed with the research from this point._x000D_
ò On page 2, please describe the "status quo"ùyou say that your research is "creative and original" and departs from the current approach._x000D_
ò Even if you could assess the patterns from the various sensors and determine the construction operation, comparing it to an activity in the schedule might be challenging since field operations do not always follow the original schedule._x000D_
ò How are you measuring productivity?_x000D_
ò Will you only be able to sense potential accidents involving workers and equipment proximity or other types of accidents?_x000D_
ò Note that every construction operations even if it is labeled the same (e.g., "excavation") will most likely involve different resources (equipment, safety issues, workers, etc.)._x000D_
ò Not sure why adding mixed reality to this project is significant._x000D_
_x000D_
_x000D_
In the context of the five review elements, please _x000D_
evaluate the strengths and weaknesses of the proposal with respect to broader impacts._x000D_
_x000D_
Strengths_x000D_
ò Robust broader impact planùgood educational and outreach activities_x000D_
_x000D_
Weakness_x000D_
ò Ambitions idea that can most likely be proven in theory but will be difficult to implement on an actual construction project_x000D_
_x000D_
_x000D_
Please evaluate the strengths and _x000D_
weaknesses of the proposal with respect to any additional solicitation-specific review criteria, if _x000D_
applicable_x000D_
_x000D_
_x000D_
_x000D_
Summary Statement_x000D_
_x000D_
This proposal collects data from various sensors (e.g., GPS, RFID, photographs, video, and 3D point cloud data) about construction entities such as equipment (e.g., location, pose, type), workers (location), materials (type, location, and orientation), etc.  and "connect[s] [these] construction entities to construction operations based on entity behavior/functionality".  Through appropriate pattern analysis algorithms, the specific construction activity can be determined and matched to the construction plan (or schedule).  This can help identify which activities are tracking on time or behind schedule.  Understanding the spatial-temporal characteristics of equipment and workers can also help identify the possibility of an impending accident.  All of this will be visually portrayed using mixed reality.  This proposal uses location and time elements (entities) of various inputs to the construction process to help identify what activity is taking place (using sensors to automate the activity identification process), compares what is actually taking place on the site (using the 9-IM model approach) to what was planned using various pattern recognition techniques (discrete simulation models and agent based models) of similar activities (e.g., excavation, pipe laying, etc.).  A comparison is then proposed to the baseline schedule for performance assessment from which productivity can be assessed with necessary corrective actions prescribed, if necessary.  Worker-Equipment safety can also be assessed by knowing the location of both and the projected path of the equipment._x000D_
_x000D_
</t>
  </si>
  <si>
    <t xml:space="preserve">In the context of the five review elements, please _x000D_
evaluate the strengths and weaknesses of the proposal with respect to intellectual merit._x000D_
_x000D_
[-] The proposal seeks to enable spatiotemporal modeling and visualization of the construction activities and processes as the next step to advanced data sensing in construction sites. Although the description presents several hypotheses and provides justifications on its intellectual merits, it seems that the tasks have been mainly centered around developing methodologies in enabling the spatiotemporal modeling. _x000D_
_x000D_
[-] The transformative potentials of the proposal have not been properly described. A potentially interesting direction for transformative discoveries is the concept of unique spatiotemporal patterns for different construction activities._x000D_
_x000D_
[+] The team has strong background, expertise, and resources to conduct the study._x000D_
_x000D_
_x000D_
_x000D_
_x000D_
In the context of the five review elements, please _x000D_
evaluate the strengths and weaknesses of the proposal with respect to broader impacts._x000D_
_x000D_
[+] The proposal presents a comprehensive plan for integration of research outcome into the curriculum of undergraduate and graduate studies._x000D_
_x000D_
[+] The proposal provides a plan for outreach to industry._x000D_
_x000D_
[+] The proposal has devised plans for diversity enhancement._x000D_
_x000D_
[+] The research team has the background and resources to conduct the proposed tasks._x000D_
_x000D_
Please evaluate the strengths and _x000D_
weaknesses of the proposal with respect to any additional solicitation-specific review criteria, if _x000D_
applicable_x000D_
_x000D_
_x000D_
_x000D_
Summary Statement_x000D_
_x000D_
The proposal seeks to create spatiotemporal modeling and visualization (using mix reality)of construction operations to advance the job site operation analysis one step forward beyond the advanced sensing techniques. The team has a strong background for conducting the study, however, the proposal has not clearly identified transformative research efforts._x000D_
_x000D_
</t>
  </si>
  <si>
    <t xml:space="preserve">In the context of the five review elements, please _x000D_
evaluate the strengths and weaknesses of the proposal with respect to intellectual merit._x000D_
_x000D_
The objective of this proposal, is to create spatial-temporal analytics based on the locations, movements, and resulting spatial-temporal patterns of construction site entities to effectively control the construction process in real-time. The contribution of this proposal seems to be incremental rather than transformative._x000D_
_x000D_
In the context of the five review elements, please _x000D_
evaluate the strengths and weaknesses of the proposal with respect to broader impacts._x000D_
_x000D_
The proposed research is expected to contribute to the safety and productivity of the construction industry by automating effective, real-time monitoring and control mechanisms._x000D_
_x000D_
Please evaluate the strengths and _x000D_
weaknesses of the proposal with respect to any additional solicitation-specific review criteria, if _x000D_
applicable_x000D_
_x000D_
_x000D_
_x000D_
Summary Statement_x000D_
_x000D_
The objective of this proposal, is to create spatial-temporal analytics based on the locations, movements, and resulting spatial-temporal patterns of construction site entities to effectively control the construction process in real-time. The contribution of this proposal seems to be incremental rather than transformative._x000D_
_x000D_
The proposed research is expected to contribute to the safety and productivity of the construction industry by automating effective, real-time monitoring and control mechanisms. _x000D_
_x000D_
Does not include well planned dissemination or outreach plan._x000D_
_x000D_
</t>
  </si>
  <si>
    <t>Improper spatial-temporal interplays of construction resources on the jobsite are root causes to productivity loss and accidents in infrastructure construction. Lacking knowledge in correlating spatial-temporal patterns to construction operations has seriously hampered the promise of construction sensing technology to improve the productivity and enhance the safety in restoring and upgrading the nation's infrastructure. The objective of this application, is to create spatial-temporal analytics based on the locations, movements, and resulting spatial-temporal patterns of construction site entities to effectively control the construction process in real time. The central hypothesis is that construction operations have unique spatial-temporal patterns of participating entities, and thus, spatial-temporal patterns can be extracted from sensing data to reveal activity engagements of construction resources, which is the base for monitoring and control in real time to avoid productivity loss and accidents. A total of four aims have been formulated to achieve the objective in this application: 1) modeling spatial-temporal patterns of a group of entities, 2) correlating spatial-temporal patterns to construction operations, 3) controlling construction process in real time, and 4) visually documenting construction process in mixed reality for future knowledge discovery. The proposed research is creative and original, because it represents a substantive departure from the status quo by focusing on transforming information into knowledge to complete the data-information-knowledge cycle, enabling knowledge discovery from sensing data.This novel research is expected to shift the current paradigm in monitoring, controlling, and documenting infrastructure construction processes by leveraging the emerging and quickly maturing use of sensing networks to establish the link between construction operations and spatial-temporal patterns, in three aspects. First, rather than developing multi-sensor systems or advanced algorithms to more accurately and reliably detect, locate, and track entities on construction jobsites - the very first step in the data-information-knowledge process - the proposed research focuses on the second step to transform information (entity locations and movements) into knowledge (construction operations underway, productivity impacts, and safety prevention). Second, it is the first of its kind to model spatial-temporal patterns and correlate them with construction operations to better monitor and control infrastructure construction process in real time. Third, the documentation of construction process as spatial-temporal databases and visualization in mixed reality not only provide an information-rich as-built of the construction process, but also enable knowledge discovery that in turn, leads to productivity improvement and safety enhancement in infrastructure construction. The spatial-temporal analytics is readily extendable and applicable to domains such as manufacturing and transportation where spatial-temporal interactions are the driving factor to productivity and safety.The proposed research contributes to the safety and productivity of the construction industry by automating effective, real-time monitoring and control mechanisms. Besides promoting the competitiveness of the US construction industry and annual economic benefits in billions, this research will save the lives of hundreds of construction workers every year. This research also contributes to the improved infrastructure informatics by visually documenting construction processes. Complete footprint of construction processes supports informed decision-making in operation and maintenance and learning lessons from historical records. By engaging the general public with the devised analytics, this application will raise awareness of the infrastructure construction process that has long been unavailable to the public that in turn, can help engage the public in all life cycle stages of infrastructure. The project will foster innovations in education at all levels of K-12, undergraduate and graduate, and promote construction sensing analytics as a specialization area in academic and professional education. Proactive plans to include underrepresented groups involve active collaboration with WIEP and MEP Programs to recruit and mentor women and minority engineers in this project. Participating students will acquire intensive skills and knowledge that allow them to make valuable contributions to society in their independent careers beyond this project. The project findings will be widely disseminated.</t>
  </si>
  <si>
    <t>1762328</t>
  </si>
  <si>
    <t xml:space="preserve">In the context of the five review elements, please _x000D_
evaluate the strengths and weaknesses of the proposal with respect to intellectual merit._x000D_
_x000D_
Strengths_x000D_
ò PI proposes a potentially novel approach to improve construction site safety as it relates to construction struck-by injuries using smartphones as a proximity warning device._x000D_
ò Evaluation approach is extensive (cost-benefit, surveys, lab and site testing using eye-tracker technologyùwhich in itself is quite innovative)_x000D_
Weakness_x000D_
ò PIs propose an ambitious research plan that clearly has elements of applied research and potential for fundamental research in the area of signal processing (to be verified)._x000D_
ò System evaluation: There is a significant amount of discussion on validation of technique using an eye-trackerùthis can be a research topic in itself!_x000D_
ò Can GPS location derived from cell phone signals provide the necessary accuracy for supporting worker safety.  What happens when the GPS signal is lost due to an obstruction?_x000D_
ò How will the system "tell" the worker of the impending danger?_x000D_
_x000D_
_x000D_
_x000D_
In the context of the five review elements, please _x000D_
evaluate the strengths and weaknesses of the proposal with respect to broader impacts._x000D_
_x000D_
Strengths_x000D_
ò Smartphone use is prevalent on jobsites and thus, it would seem reasonable to try to adopt this tool more widely on construction sites. _x000D_
ò Good research plan to involve underrepresented students._x000D_
Weaknessess_x000D_
ò PIs needs to focus on the part of this research which is more fundamental in nature.  Current methodology comes across as too applied.  Can PIs scope out a more suitable basic research aspect of this topic?_x000D_
_x000D_
_x000D_
Please evaluate the strengths and _x000D_
weaknesses of the proposal with respect to any additional solicitation-specific review criteria, if _x000D_
applicable_x000D_
_x000D_
_x000D_
_x000D_
Summary Statement_x000D_
_x000D_
This proposal involves a potentially innovative approach for improving jobsite safety using a smartphone proximity warning system.  The overall goal is to design and test a novel SHE-PWS for reliable and accurate warning when workers and equipment are in hazardous proximity.  Their research plan involves developing movement models for workers and vehicles, designing low cost wireless communication protocol, and evaluating the new PWS approach through testing, validation, and cost-benefit analysis.  Most prevalent warning systems use visual or radar systems.  This one involves the use of smartphones to detect the presence of workers that might be in harms way of construction equipment.  GPS coordinates are determined from these smart devices which are located on the person of the construction worker as well as on the equipment.  PIs plan to overcome fundamental problems with communication signals by taking advantage of the multiple cell signals available as a way to increase bandwidth._x000D_
_x000D_
</t>
  </si>
  <si>
    <t xml:space="preserve">In the context of the five review elements, please _x000D_
evaluate the strengths and weaknesses of the proposal with respect to intellectual merit._x000D_
_x000D_
[-] The proposed research, though important, in its current form does not seem to fit the objectives of CIS program, as it mainly focuses on tool development._x000D_
_x000D_
[+] The concept of communication protocol has the potential for further exploration in the context of construction sites._x000D_
_x000D_
[+] The team has the expertise and background to conduct the proposed study._x000D_
_x000D_
In the context of the five review elements, please _x000D_
evaluate the strengths and weaknesses of the proposal with respect to broader impacts._x000D_
_x000D_
[+] The proposal presents a comprehensive plan for outreach and educational activities._x000D_
_x000D_
[+] The team has the experience to conduct the proposed tasks._x000D_
_x000D_
Please evaluate the strengths and _x000D_
weaknesses of the proposal with respect to any additional solicitation-specific review criteria, if _x000D_
applicable_x000D_
_x000D_
_x000D_
_x000D_
Summary Statement_x000D_
_x000D_
The proposed research seeks to develop a smartphone-based safety warning system for construction sites with a focus on developing a movement model for workers and equipment and design of a low-cost communication system. The proposal, as it has been presented, is focused on tool development efforts rather than advancing knowledge. However, the idea has the potential for scientific advancement, specifically by focusing on aspects such as communication protocols._x000D_
_x000D_
</t>
  </si>
  <si>
    <t xml:space="preserve">In the context of the five review elements, please _x000D_
evaluate the strengths and weaknesses of the proposal with respect to intellectual merit._x000D_
_x000D_
Strengths: The researchers will develop a new proximity warning system based on smartphones for construction workers. It is expected to be more reliable and effective by optimizing the usage of digital signals and wireless services available. _x000D_
Weaknesses: The research being proposed lacks intellectual vigor and theoretical foundation and reads more like a development effort. No hypothesis is formulated and tested. Therefore, the likelihood of producing new knowledge or discovery seems low._x000D_
_x000D_
In the context of the five review elements, please _x000D_
evaluate the strengths and weaknesses of the proposal with respect to broader impacts._x000D_
_x000D_
Strengths: Various educational and outreach activities are proposed. The PI has been active in mentoring high school students. _x000D_
Weaknesses: Protection of human subject shall be described in the proposal and Data Management Plan._x000D_
_x000D_
Please evaluate the strengths and _x000D_
weaknesses of the proposal with respect to any additional solicitation-specific review criteria, if _x000D_
applicable_x000D_
_x000D_
_x000D_
_x000D_
Summary Statement_x000D_
_x000D_
The researchers aim to develop a new smartphone-based proximity warning system to overcome some of the limitations of traditional location-based and computer vision-based systems. It will involve development of a novel data aggregation method to remove redundancy and compress safety messages for wireless transmission, design of a wireless communications and networking protocol to enable optimal network, testing in lab, controlled, and real environment, and evaluation of the system's performance.  The researchers are encouraged to focus on fundamental knowledge discovery as opposed to developing a piece of hardware or system._x000D_
_x000D_
</t>
  </si>
  <si>
    <t>This research aims to develop a reliable, effective, smartphone-based human-equipment proximity warning system (SHE-PWS) to enhance construction jobsite safety. The construction industry experiences one of the highest accident/fatality rates of all industry sectors. In the last ten years, on average, 16% of fatal and 50% of nonfatal occupational accidents resulted from contact with objects/equipment. Current safety practices include passive training and education, safety tools, and regulations, none of which can warn workers of imminent threat. Recognizing the urgent and widespread need for a proximity warning system (PWS), researchers have proposed and tested a limited number of systems relaying on various techniques. However, they have proved inefficient or severely limited, and the industry is still overwhelmed by proximity-related fatalities and accidents. _x000D_
_x000D_
The prevalence of smartphones and maturity of wireless communication represent a unique opportunity to develop a SHE-PWS free of the limitations of traditional location-based and computer vision-based systems. In this project, we will develop, test, and evaluate a transformative SHE-PWS. Specifically, we will: (1) develop a novel data aggregation method with optimal syntactic or semantic technique to simultaneously remove redundant information and compress safety messages for wireless communication; (2) design an innovative wireless communications and networking protocol to enable optimal network that is available at a smartphone while being cognizant of the other networks' spectrum utilization through the creation of a monitoring mediator through a firmware; (3) test the SHE-PWS system in the lab, controlled settings, and a real construction environment; (4) systematically evaluate the system's performance against cost and benefit, human factor, and workers' perception; and (5) integrate research in educational and outreach activities.This project builds on knowledge related to construction safety, sensing technologies, Building Information Modeling (BIM), wireless communication, and cyber security. It will save lives and advance the state of knowledge and technology in construction safety related to communication and human factors. It is motivated by the urgent need to remediate the inherent limitations of existing safety practices and techniques. It will contribute to the research literature by introducing a SHE-PWS that integrates and optimizes movement models and communication protocols. The system driven by our protocol is more reliable and effective because it optimizes the usage of all sources of digital signals and wireless services at a smartphone. Moreover, this protocol can be used to improve many critical areas, such as transportation and healthcare.This multidisciplinary project has practical applications in construction safety and other areas whether immediate communication is vital. Because the construction labor pool is so large and diverse, our innovations will have broad impact on labor safety and training. Practitioners and companies can use our protocol and system to optimize their construction safety management. Occupational safety and health agencies and institutions can revise their safety regulations and improve safety guidance. Educators and practitioners can develop education/training materials and best practices for students and workers based on our prototype and technologies. About 30 undergraduate and 60 graduate students across several engineering departments will be involved in all aspects of the project. To conduct supervised research projects, they will be trained in various engineering, communication, and cyber security areas. The research team will develop a freely open-source package for both practical and academic applications. The research will provide opportunities for multidisciplinary researchers to closely intersect at workshops, symposia, conferences, seminars, and on journal articles.</t>
  </si>
  <si>
    <t>1762357</t>
  </si>
  <si>
    <t>Ashuri</t>
  </si>
  <si>
    <t xml:space="preserve"> Panel Summary       
 Synopsis_x000D_
The objective of this proposal is to test the hypothesis that individual preferences of designers and collaborative characteristics of design teams can explain the variability in design productivity. _x000D_
_x000D_
Intellectual Merit_x000D_
Strengths_x000D_
The PIs aim to find a more objective way to assess design productivity. Moving away from subjective assessments to objective ones is a good direction, if this could be accomplished through the proposed research activities. _x000D_
_x000D_
Weaknesses_x000D_
The main hypothesis (individual preferences of designers in the execution of design tasks combined with collaborative characteristics of design teams can explain the variability in design productivity) is not clear. What does this really mean? _x000D_
_x000D_
Several issues are questionable in the fundamental conceptualization of the proposed research. _x000D_
_x000D_
How will the command data provide necessary data to assess design productivity? Design productivity cannot be measured by how fast a drafter/designer can execute commands. In this proposal, design productivity is measured by how many commands and patterns were executed during a certain period of time. This, however, does not indicate design productivity, but rather "command productivity".  Design is much more than executing commands. _x000D_
_x000D_
The panel felt that there was no deep understanding of the design process. The PIs oversimplified the design process to clicks. And, who is really developing the BIM model, the "designer," or the BIM drafter/technician?_x000D_
 _x000D_
Also, the proposal did not consider the "quality" of the design. Productivity is related to quality. The proposal assessed the commands, but not how much good-quality design development was produced. It seems that the PIs equate "command production" with design productivity, which is not really correct. Along the same line, design errors and omissions, inefficiencies in design and rework, and poor design outcomes were not considered. _x000D_
_x000D_
If you are studying design productivity, you need to study what happens outside the model space (e.g., discussions among designers). The proposed approach is like measuring how fast you could type on a computer, it does not measure design productivity. There were also suggestions to study how the design is related to errors and mistakes that have to be corrected in construction (originating from design); studying the dimensions of the design and how these relate to measuring design quality during the construction phase. _x000D_
_x000D_
There was also some discussion that going this way could be "dangerous" on the application level. What if such type of analysis/metric drives designers to inefficiently do more "ineffective" commands? What if such type of analysis/metric rewards inefficient designers who do "unnecessary" commands? _x000D_
_x000D_
There were also concerns on the formulation of the research and the problem. The stated objective is different from the stated hypothesis. A mathematical precise definition of productivity is also missing. _x000D_
_x000D_
The panel also noted that there was a recent Construction Industry Institute (CII) study on a related topic (measuring progress and defining productivity metrics in model-based engineering), which the PIs may want to review. The panel also suggested discussing and learning from preference theory. The PIs should be familiar with the work of K. Arrow and D. Saari. _x000D_
_x000D_
Figures (e.g., Fig 1) are unreadable. _x000D_
_x000D_
Broader Impact_x000D_
Strengths_x000D_
Outreach activities are concrete, well-defined, and robust; and the PIs have a good track record. Collaborations for this study are important; and letters of collaboration are provided._x000D_
 _x000D_
Weaknesses_x000D_
There were no apparent weaknesses in the educational and outreach activities. _x000D_
_x000D_
Data Management Plan_x000D_
The data management plan is appropriate. _x000D_
_x000D_
Rationale for Recommendation _x000D_
In summary, the panel had several concerns related to the fundamental conceptualization of the proposed research, including validation. The PIs seem to start from what data is available, instead of from what is the data you actually need to assess design productivity. The connection between electronic traces and assessing productivity is weak (or not there). 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</si>
  <si>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stagnant productivity referenced in the opening sentence in the Project Summary refers to a jobsite's "workface" tasks, not to the design productivity.  The PIs describe a proposal to mine event logs created while designing to distill design productivity.  It is unclear what the purpose of Figure 1 is since it is not referenced/described in the text.  The PIs have conducted and published preliminary work on the proposed research, but have failed to distinguish the proposed scope from that already executed/published.  If Figs. 3 &amp; 4 are from the JCCE paper, then they need to cited accordingly.  The validation plan described in Section 5.1.5 is fuzzy at best and shallow in its details for proving/disproving the research's hypothesis._x000D_
References are missing from the Results from Prior NSF Support from the RIPS project._x000D_
_x000D_
Letters from DPR and GT's Office of Undergrad Research should be about promise to "collaborate" as opposed to "support" for the proposal._x000D_
_x000D_
_x000D_
_x000D_
In the context of the five review elements, please _x000D_
evaluate the strengths and weaknesses of the proposal with respect to broader impacts._x000D_
_x000D_
Section 5.2 on Education and Outreach activities is very robust and if executed will add value to NSF's Strategic goals.  The first paragraph of Section 8, however, describes Broad Impacts (as opposed to Broader), which belong to the Intellectual Merit criterion. _x000D_
_x000D_
_x000D_
Please evaluate the strengths and _x000D_
weaknesses of the proposal with respect to any additional solicitation-specific review criteria, if _x000D_
applicable_x000D_
_x000D_
_x000D_
_x000D_
Summary Statement_x000D_
_x000D_
The Intellectual Merit of this proposal is a poorly conceived and fails to distinguish the proposed scope with that already executed and published._x000D_
_x000D_
</t>
  </si>
  <si>
    <t xml:space="preserve">In the context of the five review elements, please _x000D_
evaluate the strengths and weaknesses of the proposal with respect to intellectual merit._x000D_
_x000D_
Strengths_x000D_
The research objective of this proposal is to test the hypothesis that individual preferences of designers and collaborative characteristics of design teams can explain the variability in design productivity. The proposed research could provide a better understanding of the design process and how to assess its productivity. The PIs are qualified to conduct the proposed research activities. They have sufficient resources to carry out the proposed activities, including collaborations with industry (two letters provided)._x000D_
_x000D_
Weaknesses_x000D_
The proposal does not fit well within the scope of the CIS program, which focuses on the use of system-based methods. _x000D_
_x000D_
Several issues are questionable in the fundamental conceptualization of this proposed research. The PIs assume that design productivity is measured by how many commands and patterns were executed during a certain period. Why? The number of commands and patterns a designer has executed does not necessarily indicate design productivity û it may indicate "command productivity" but not necessarily how much good-quality design development was accomplished/produced. It seems that the PIs equate "commands" with design, which is not really correct. What if such type of analysis/metric drives designers to inefficiently do more "ineffective" commands? What if such type of analysis/metric rewards inefficient designers who do "unnecessary" commands? _x000D_
_x000D_
How are design errors and omissions and poor design outcomes considered in this type of command-focused analysis? How are inefficiencies and rework in the design considered? _x000D_
_x000D_
Why is social network analysis suitable for analyzing design productivity? The choice seems forced in. _x000D_
_x000D_
The predictive modeling section is very brief, lacking sufficient detail to be able to assess the plan and intellectual merit of the proposed predictive models. _x000D_
_x000D_
It is not clear how the proposed predictive models will be validated. The PIs mention the use of two metrics: Mean Absolute Prediction Error (MAPE) and Mean Squared Error (MSE). But, how are they used? And what is the ground truth to be able to measure the accuracy of the prediction? The later validation part that mentions industry feedback is poorly-defined and lacks clear validation metrics._x000D_
_x000D_
_x000D_
In the context of the five review elements, please _x000D_
evaluate the strengths and weaknesses of the proposal with respect to broader impacts._x000D_
_x000D_
Strengths_x000D_
The PIs plan to promote teaching and learning through integrating the research results into existing graduate and undergraduate courses; developing a new interdisciplinary course on Data Analytics for Design and Construction Engineering and Management that will be taught at both universities; and engaging graduate students in research and teaching activities. The PIs plan to conduct outreach activities to high-need K-12 students in collaboration with the Georgia Tech Center for Education Integrating Science, Mathematics, and Computing. There is planning to broaden the participation of unrepresented groups through these outreach activities; involving underrepresented and economically-disadvantaged students; and recruiting students from underrepresented groups in research. The PIs plan to disseminate the research results through industry workshops, journal publications, conferences, and releasing their code. The PIs plan to share the curriculum materials with other schools in Georgia, Texas, and other. There are sufficient plans for assessing the educational and outreach outcomes. _x000D_
_x000D_
Weaknesses_x000D_
The proposed research could provide a better understanding of the design process and how to assess its productivity. But, the broader impacts of the research to the society at large are not strong. _x000D_
_x000D_
No apparent weaknesses for the broader impacts of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The proposed research could provide a better understanding of the design process and how to assess its productivity. However, there are several concerns related to the intellectual merit, including several issues in the fundamental conceptualization of this proposed research, and the lack of necessary detail on several parts, including the validation. _x000D_
&amp;#8195;_x000D_
_x000D_
_x000D_
</t>
  </si>
  <si>
    <t xml:space="preserve">In the context of the five review elements, please _x000D_
evaluate the strengths and weaknesses of the proposal with respect to intellectual merit._x000D_
_x000D_
Strengths_x000D_
ò Extracting knowledge from design file logs offers a more objective way to determine design productivity compared to the current method that can be subjective (e.g., use of different rules of credit)_x000D_
ò Solid letters of support from industry which will make it easier to obtain the necessary data to perform this research.  _x000D_
_x000D_
Weakness_x000D_
ò Unclear main hypothesis: "àthat individual preference of designers in the execution of design tasks combined with collaborative characteristics of design teams can explain the variability in design productivity"_x000D_
ò Not clear that the design file logs will provide the necessary data for assessing design productivity.  Appears that the PIs are using available data as opposed to assessing what data is absolutely required to understand designer collaborations and productivity.  This reviewer does not see the connection between design productivity and the "electronic traces" left behind by the designers._x000D_
ò Not sure exactly how the PIs plan to measure design productivity.  Do the PIs plan to measure design productivity by the number of commands and patterns executed in a certain period (as shown in Fig 4).  If so, is what you are measuring how quickly someone can enter commands into a computer?  CII has recently completed a study to measure progress status of BIM modelsùPIs should review this research and determine if some of it can used to inform their research.  _x000D_
ò Is there a difference between a "designer" and "BIM technician" who will most likely enter the data into the modelling software?  Are you assuming that only designers enter data into the BIM models?_x000D_
ò It is not clear how PIs plan to measure collaboration at the macro, meso, and micro levels given the data provided in the software logs. Furthermore, to be more holistic, should one consider what happens in both model space and outside of the model space?  _x000D_
_x000D_
_x000D_
In the context of the five review elements, please _x000D_
evaluate the strengths and weaknesses of the proposal with respect to broader impacts._x000D_
_x000D_
Strengths_x000D_
ò Using data analytic techniques in construction for better decision making will pay dividends in an industry whose productivity has not changed much in decades._x000D_
ò Strong engagement plan with underrepresented and economically disadvantaged students in STEM learning activities._x000D_
_x000D_
Weakness_x000D_
ò None_x000D_
_x000D_
_x000D_
Please evaluate the strengths and _x000D_
weaknesses of the proposal with respect to any additional solicitation-specific review criteria, if _x000D_
applicable_x000D_
_x000D_
_x000D_
_x000D_
Summary Statement_x000D_
_x000D_
PIs propose to extract data from design/event log files in BIM such as the user ID, project ID, timestamp, and design command to understand collaboration patterns (using social networks) and ultimately improve design productivity.  PIs claim that this approach is less subjective compared to the current methods of determining design productivity.  It also will help understand individual preferences (clarify) of designers and their collaborations.  Results from this research will create a "better understanding of the dynamics of the design processà"  The research methodology involves using mining techniques for the "wealth of design log files" such as social networks, process patterns, and relationship predictive modelling using multivariate time series models._x000D_
_x000D_
</t>
  </si>
  <si>
    <t xml:space="preserve">In the context of the five review elements, please _x000D_
evaluate the strengths and weaknesses of the proposal with respect to intellectual merit._x000D_
_x000D_
Strengths: The research takes advantage of availability of large datasets generated from BIM applications and explores efficient ways to get useful data extracted and categorized. This overcomes a common challenge faced in labor productivity analysis. The social network properties are examined for mapping individual, team, and organizational level relationships. The research team has the required expertise in data analysis and statistical modeling. _x000D_
Weaknesses: In the proposal, design process, which is hypothesized as the primary driver of design productivity, is poorly defined. Rather than mining the design logs and deriving certain patterns, a more meaningful approach would be to acquire domain knowledge through expert solicitation and then use it to guide data analytics. As an example, it's difficult to understand the tangible meaning of five patterns identified in the preliminary work without contextual information and/or supporting evidence. It's not clear to the reviewer what is the advantage of applying social network analysis over simply using designer-level attributes, at least for the purpose of developing time series models. Creating complex models often introduce many side effects and limit their utilities. While the researchers themselves acknowledge the need to seek assistance from subject matter experts in 'better interpreting our findings' and 'enrich our existing hypotheses', the reviewer believes that their involvement should have been in place when this proposal was formulated. Generally speaking, the researchers grossly overlooked the importance of design quality in comparison with time. Though interrelated, the former has a much larger effect on cost, quality, and time of construction. Overall, the research is very empirical and therefore unlikely to add fundamental knowledge to what is already known in the ACE industry._x000D_
_x000D_
In the context of the five review elements, please _x000D_
evaluate the strengths and weaknesses of the proposal with respect to broader impacts._x000D_
_x000D_
Strengths: The researchers propose several education and outreach activities to broaden the impact of their research. They include improvement to curriculum, engagement of k-12 students, workshops tailored for different stakeholders, and recruitment of undergraduate students. They leverage the experience and existing programs of PI and co-PIs.  _x000D_
Weaknesses: Perhaps some of education and outreach activities can be consolidated to be more focused based on the target audiences. Routine tasks such as publishing in academic journals can be abbreviated._x000D_
_x000D_
Please evaluate the strengths and _x000D_
weaknesses of the proposal with respect to any additional solicitation-specific review criteria, if _x000D_
applicable_x000D_
_x000D_
_x000D_
_x000D_
Summary Statement_x000D_
_x000D_
The researchers attempt to harvest and process large volumes of event logs of building information model computer programs used by designers into electronic design logs. From there, they will analyze structural features of collaborations at macro, meso and micro levels through dynamic social network analysis. The links between design process and design productivity will be established. The end goal is to develop predictive models to explain the variability in design productivity and enable the industry to make future improvement. _x000D_
_x000D_
_x000D_
</t>
  </si>
  <si>
    <t xml:space="preserve">In the context of the five review elements, please _x000D_
evaluate the strengths and weaknesses of the proposal with respect to intellectual merit._x000D_
_x000D_
1- a) The proposed activity intents to change the way design productivity assessment is done, relies on mostly manual data collection. This study will attempt to reveal the relationship between the productivity and execution patterns of an individual designer using real-life data._x000D_
_x000D_
b) if successful, the outcomes of this research could help explain the variability in design productivity and perhaps help improve design productivity, thus saving project time and costs._x000D_
_x000D_
2- design productivity has not been measured this way before. The ideas in this proposal original and creative, could potentially be transformative._x000D_
_x000D_
3- Yes, the PIs have done preliminary work and the results show its applicability._x000D_
_x000D_
4- Yes._x000D_
_x000D_
5- Yes._x000D_
_x000D_
In the context of the five review elements, please _x000D_
evaluate the strengths and weaknesses of the proposal with respect to broader impacts._x000D_
_x000D_
1-	The PIs will bring a high school teacher and 2-3 high school students for two summers to campus through Georgia Intern Fellowships for Teachers (GIFT) program. Detailed plan on how to engage the teacher and the students is in the proposal._x000D_
2-	The PI has been working with undergraduate students in his lab for a number of years. One of the students who worked in his lab won the best poster award at the undergraduate symposium at gatech. Four of the students who worked in his lab were awarded with prestigious fellowships by the university undergraduate research and student innovation center. And the center provided Dr. Ashuri with a support letter for this project. He'll be recruiting the outstanding undergraduate students for this project, especially those from underrepresented groups._x000D_
3- The plan is also to have three companies (2 design firms and a GC) involved in this project. The companies have provided the PIs with support letters stating that they are willing to provide data and information as well as their feedback during the project._x000D_
_x000D_
Please evaluate the strengths and _x000D_
weaknesses of the proposal with respect to any additional solicitation-specific review criteria, if _x000D_
applicable_x000D_
_x000D_
_x000D_
_x000D_
Summary Statement_x000D_
_x000D_
The ultimate goal of this proposal is to improve understanding of the design process for the AEC industry to enable improvement in design productivity. The project aims to combine design management and data analytics disciplines. They will use design event logs in Revit files, and apply process mining and social network analysis to extract relevant data._x000D_
_x000D_
The proposal has a concrete and well planned outreach activities._x000D_
1-	The PIs will bring a high school teacher and 2-3 high school students for two summers to campus through Georgia Intern Fellowships for Teachers (GIFT) program. Detailed plan on how to engage the teacher and the students is in the proposal._x000D_
2-	The Gatech PI, Dr. Ashuri, has been working with undergraduate students in his lab for a number of years. One of the students who worked in his lab won the best poster award at the undergraduate symposium at gatech. Four of the students who worked in his lab were awarded with prestigious fellowships by the university undergraduate research and student innovation center. And the center provided Dr. Ashuri with a support letter for this project. He'll be recruiting the outstanding undergraduate students for this project, especially those from underrepresented groups._x000D_
_x000D_
The project proposal includes support letters from the best design and construction firms._x000D_
1-	Perkins and Will: The well-known, successful design firm has worked with the PIs during the preliminary work for this proposal. And they are willing to share the necessary design logs and information with the research team. Furthermore, they are willing to participate in meetings with the PIs during the course of the project and provide them with feedback. Having access to real life data from a well-known design firm is important to the success of this project._x000D_
2-	DPR Construction: Technical builder, a well-known, successful GC. They have a record working with the PIs in the past. They are willing to share necessary design logs and information, metrics of project performance and records on critical design and construction decisions with the project team. They are also willing to provide feedback on a regular basis._x000D_
3-	Beck Group: Previous and on-going collaboration with Gatech research team. Same as the other two companies, they are willing to share the necessary design logs and information with the research team, which is vital to the success of this project._x000D_
_x000D_
The research team plans to make their data and codes available through pegasus (CS.CMU). Well developed broader impacts plan, multiple institutions, multiple PIs with different backgrounds._x000D_
_x000D_
</t>
  </si>
  <si>
    <t>Despite substantial investments in Virtual Design and Construction (VDC) technologies, the Architecture, Engineering and Construction (AEC) industry has not improved productivity as much as other industries, such as manufacturing. The ultimate goal of this project is to improve understanding of the design process for the AEC industry to enable improvements in design productivity. The research objective is to test the hypothesis that individual preferences of designers in the execution of design tasks combined with collaborative characteristics of design teams can explain the variability in design productivity._x000D_
 _x000D_
The research will attempt to capitalize on large volumes of data available in the event logs of computer programs used by designers from numerous disciplines to create building information models. We will connect the disciplines of design management and data analytics to take advantage of the fine-grained, objective and cost-effective data provided in electronic design logs._x000D_
_x000D_
We will identify fundamental attributes describing individual designers' preferences in the execution of design tasks from rigorous process mining of a substantially large dataset of actual design log files. We will analyze structural features of collaborative networks at macro, meso and micro levels within a design organization through dynamic social network analysis. The identification of process pattern attributes and sociological network properties will be used to establish links between design process and design productivity. Predictive models will be created to explain the variability in design productivity. Finally, the temporal relationships, predictive models, and the hypothesis itself will be validated.This research will be a significant step beyond existing design productivity assessment methods that rely heavily on manual collection of data, non-verifiable presumptions about design process and often a narrowed view to analyze productivity data. This is the first attempt to reveal the relationship between the productivity and execution patterns of an individual designer using fine-grained, objective and cost-effective data captured non-intrusively from the actual design process. The proposed research will create empirically-verifiable links between design productivity and the electronic traces that designers have left behind, while taking into account unique characteristics of the project and distinctive attributes of the collaborative design team. It also provides insight into the relationships between social network characteristics and production performance of designers within a AEC firm. Revealing these fundamental relationships will help us create predictive models that explain the variability in design productivity.This research connects the disciplines of design management and data analytics. The research team can make substantial impacts on scientific and technical communities in both fields and thus, disseminate results via publications and conference presentations in both domains. The proposed collaboration among Georgia Tech, University of Texas at Arlington (an Hispanic-serving institution), key technology players in AEC firms, general contractors, software companies and public and private institutional owners enhances the likelihood of successful implementation of the research outcomes in the industry. Any impact our research has on society will have limited reach if not accompanied by proper educational and outreach programs. The proposed collaboration with CEISMC/Rockdale will involve a large number of underrepresented and economically disadvantaged students in STEM learning activities. The impact achieved through these activities will be amplified by sharing curriculum materials with other schools in Georgia, Texas and across the nation. This project aims to address the critical shortage of data science talent in the AEC industry. The proposed curriculum focused on Project Data Analytics establishes the foundation for integrated research and educational activities.</t>
  </si>
  <si>
    <t>1762649</t>
  </si>
  <si>
    <t>Franz</t>
  </si>
  <si>
    <t xml:space="preserve"> Panel Summary       
 The goal of this proposal is to better understand how the resilience of communication networks in project teams can influence project delivery performance. _x000D_
_x000D_
Intellectual Merit:_x000D_
_x000D_
The proposal presents a central hypothesis, "that greater resilience to changes in team composition will have a positive influence on long-term project outcomes."  Then three research "questions" are presented, but not as questions.  The central hypothesis is parsed into five subsequent hypotheses, for which one would expect test plans, but no such plans are presented.  Also, the hypotheses are poorly worded.  For example, "More resilient communications networks will have a significant, positive effect on project performance variables."  What does "will" mean?  Will improvements occur in every case?  On average?  Sometimes?  The proposal is a resubmission, and the PIs note that they have addressed previous weaknesses, however the proposal still lacks a clearly stated research objective.  Q(t) is the proposed measure of communications outcomes.  Figure 2 presents Q(t) as a scalar, Figure 3 presents Q(t) as a vector.  Which is it?  The research team is strong, but they propose using email only to measure Q(t), and the panel questions whether this presents a complete picture of a communications network.  Several other measures of communication were raised by the panel, which were felt to be equally important.  On the other hand, the example shown in Figure 3 suggests that there is potential for use of email, and the panel finds the underlying idea intriguing.  It was noted that the idea behind the proposal is good, but the proposal itself is not.  The tasks are not well connected to the objectives, and there is a lack of a systematic methodology.  The hypotheses H1 and H2 do not appear to be relevant to the objectives.  The proposal needs to be better organized, and the research objective needs to be stated clearly.  There is a concern that Q(t) is not a mathematically rigorous function.  For example, are the inputs to Q(t) defined as cardinal numbers?  A positive aspect is that the PIs have several collaborators to provide data.  One panelist felt that the approach seems overly simplified, and the model validation is in need of a plan._x000D_
_x000D_
Broader Impact_x000D_
_x000D_
While interesting activities are mentioned, there is no detail on the involvement of W/M/D persons.  The proposal asserts that the study will improve work flow, coordination and efficiency of information exchanges on complex, construction and engineering projects.  However, it is not clear how this will happen._x000D_
_x000D_
Summary_x000D_
_x000D_
Despite the fact that this proposal is a resubmission, it still lacks clarity.  A clearly stated research objective is needed, along with a clearly articulated plan to accomplish the stated objective.  Detail is needed on the computational model, and resilience needs to be clearly defined.  If hypotheses are to be tested, test plans need to be presented._x000D_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</si>
  <si>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Strengths_x000D_
The objective of this proposal is to understand how team composition and project delivery systems influence the formation and resilience of communication networks on construction projects, and in turn project performance. Using network modeling to understand project teams and their communication dynamics could be a suitable research approach, if the modeling is well-conceptualized. The PIs are well-qualified to conduct the proposed activities. The PI have sufficient access to resources including collaboration with industry (collaboration letters provided). _x000D_
_x000D_
Weaknesses_x000D_
The PIs only rely on email records to model communication. While email is an important means of communication, on construction projects, there are many other forms of communication that occur during progress meetings, face-to-face communication on site, phone communication, instant messaging, etc. There are also indirect communication that occur by editing and commenting on digital documents/designs (e.g., on BIMs, Google Docs, etc.). _x000D_
_x000D_
There are several assumptions that are debatable. For example, the PIs state that "Since AEC project teams are rarely co-located, they work primarily from their home offices or the project jobsite and meet in-person only weekly or bi-weekly." One can easily disagree with this statement. There are frequent in-person communications occurring daily (probably every minute) on the project jobsite, as well as the engineering office. _x000D_
_x000D_
The frequency and patterns of communication are affected by numerous factors (not only team composition and project delivery system) such as payment application reviews toward the end of the month, communications related to inspections, unforeseen issues on site, changes, delays, etc. This is not well-accounted for in the proposed conceptualization. This will affect the reliability of the research results. _x000D_
_x000D_
It is important to provide a stronger research plan that offers a better conceptualization for the proposed modeling, which addresses the following issues/questions in a more convincing way. What are the forms of communication that are essential to consider? What are the necessary data to analyze the communication? What other factors have an influence on the network dynamics and the frequency and patterns of communication (other than team composition and project delivery system)? _x000D_
_x000D_
How will the research results be validated? There is no clear validation plan. The PIs mention the use of empirical studies. But, no well-defined evaluation metrics are offered.  _x000D_
_x000D_
_x000D_
In the context of the five review elements, please _x000D_
evaluate the strengths and weaknesses of the proposal with respect to broader impacts._x000D_
_x000D_
Strengths_x000D_
The PIs plan to promote teaching and learning through developing modules on the use of network analysis to simulate project teams that will be introduced as a learning game into the engineering and construction coursework at Penn State and the University of Florida. The PIs plan to engage in outreach activities with Women and Minority-owned Business Enterprises (WMBE) subcontractors (the details are not provided though). They plan to disseminate the research results through journal publications, conference publications and presentations, and a professional development workshop. _x000D_
_x000D_
Weaknesses_x000D_
The research impacts on the society at large are weak. For the educational and outreach activities, there is a lack of detail on the proposed simulation game. There is no strong plan for broadening the participation of underrepresented groups. Details on the WMBE efforts are not sufficient. _x000D_
_x000D_
_x000D_
Please evaluate the strengths and _x000D_
weaknesses of the proposal with respect to any additional solicitation-specific review criteria, if _x000D_
applicable_x000D_
_x000D_
_x000D_
_x000D_
Summary Statement_x000D_
_x000D_
Using network modeling to understand project teams and their communication dynamics could be a suitable research approach, if the modeling is well-conceptualized. A better-reasoned conceptualization of the proposed modeling is needed, as pointed above. A clear validation plan, with objective and concrete evaluation metrics, is also necessary._x000D_
_x000D_
</t>
  </si>
  <si>
    <t xml:space="preserve">In the context of the five review elements, please _x000D_
evaluate the strengths and weaknesses of the proposal with respect to intellectual merit._x000D_
_x000D_
This proposal puts forth as its "central hypothesis," "greater resilience to changes in team composition will have a positive influence on long-term project outcomes."  Given this hypothesis, this reviewer would have expected to see a plan to test it.  But no such plan is discernable in the proposal.  Instead, the proposal goes on to pose three "questions" (although not as questions): (1) how changes in team composition influence the effectiveness of communication networks over time, (2) how the project delivery system influences the formation and resilience of communication networks, and (3) what effect more resilient communication networks have on long-term project performance, including budget, delivery time and construction quality.  There is no clear research objective stated in the proposal, although the PIs state explicitly that "we have improved the specificity of our goal and hypotheses."  Apparently, the proposal was a prior submission that was criticized in this area, but they have still failed to be adequately specific.  The proposal goes on to add five additional hypotheses, but fails to present a well-designed plan to test any of them._x000D_
_x000D_
The proposal discusses the associated literature at considerable length, but remains quite vague on the applicability of such literature and on the specific approach to be taken, although many generalities are given, e.g., "each of these three mechanisms will be simulated in the computational model," and "the computational model will enable us to refine hypotheses..." (what is meant by "refine hypotheses"?).  There is no detail presented to describe the computational model, or even its inputs and outputs.  Is the model valid?  There's no way to evaluate it, but the descriptions do leave concerns.  "The function Q(t) is a representation of the team's communication over time."  What does this mean?  It would be logical to think of a representation of communication over time to have many components.  Yet Q(t) appears to be presented as a scalar, as shown in Figure 2.  Are resilience and robustness physically measurable quantities? Apparently not.  Are they measures of a preference? This would present several questions.  Yet it's inferred that they are being quantitatively manipulated in the computational model.  An expression is (vaguely) given for Cij=function[(R1i-R1j)(R2i-R2j)].  Note that there is no comma between the parenthetical terms, they are a product denoting a resource possessed and a resource needed.  If the R's of one bracketed term are equal (not terribly unlikely), then this becomes function[0], and the other resources do not matter.  This doesn't seem correct.  This reviewer is concerned that inadequate attention has been given to numerical quantities.  If they are to be used in a simulation, they must be cardinal.  Yet, from the soft-science studies referred to throughout the proposal, it is not at all clear that this condition has been met.  If the condition is not met, the computational model will not be valid._x000D_
_x000D_
Figure 3 includes some microscopic print that would probably help to understand the figure were it readable._x000D_
_x000D_
Intellectual Merit_x000D_
_x000D_
The PIs note that this research will lead to a theoretical model of resilience.  But, as no clear mathematical definition of resilience is given, it is not at all clear that a useful theoretical model will result.  The proposal is all about improving resilience.  Yet, without a measurable (or calculable) definition of resilience that presents it as a scalar measure, one would never know if it is improved or worsened, and no such definition is presented.  On page 1, "By resilient, we mean the system's ability to resist or minimize the negative consequences of disruptions, and to recover quickly from those disruptions."  On page 5, "Resilience is the ability of a system to mitigate hazards, contain the effects of disasters when they occur, and carry out recovery activities in ways that minimize disruption and mitigate the effects of disasters."  And also on page 5, "four properties of resilienceùrobustness, rapidity, redundancy and resourcefulness."  Not only are these definitions somewhat contradictory, they all strongly imply that no measure of resilience is a scalar quantity.  This in itself bodes defeat to the stated goal of the project.  More than this, these definitions imply that any measure of resilience is a preference measure.  E.g., "minimize negative consequences": negativity is a preference on an outcome, it is not a physically measurable property of a system.  Thus, the definitions raise many questions when it comes to the goal of the proposal, and it is unlikely that the proposed intellectual merit will materialize._x000D_
_x000D_
_x000D_
In the context of the five review elements, please _x000D_
evaluate the strengths and weaknesses of the proposal with respect to broader impacts._x000D_
_x000D_
Broader Impact_x000D_
_x000D_
The proposal asserts that this study will improve work flow, coordination and efficiency of information exchanges on complex, construction and engineering projects.  However, it is not clear how this will happen.  Further, if the computational model is not mathematically rigorous, as it would appear from the proposal, then the results of the study could be misleading in ways that would damage productivity and resilience, however it might be measured._x000D_
_x000D_
_x000D_
Please evaluate the strengths and _x000D_
weaknesses of the proposal with respect to any additional solicitation-specific review criteria, if _x000D_
applicable_x000D_
_x000D_
_x000D_
_x000D_
Summary Statement_x000D_
_x000D_
Summary_x000D_
_x000D_
This reviewer finds the general topic of this proposal interesting, but finds its presentation weak.  First, a clear research objective (not a goal) is needed.  The objective needs to state specifically what new knowledge the study will produce, such as the test of an hypothesis.  Then, more detail is needed regarding the mathematical definition of resilience and its computation.  Detail is needed on the computational model, sufficient to provide some confidence that the model is mathematically rigorous.  If hypotheses are to be tested, tests need to be designed and documented in the proposal.  The hypotheses themselves need to be clearly stated.  E.g., H4, "Less organizationally-integrated project organizations...will have a negative influence on the redundancy and rapidity of recovery in communication networks."  What does "will" mean, will always have a negative influence (every case)?  Not likely.  There remain too many loose ends for this proposal to be funded._x000D_
_x000D_
_x000D_
</t>
  </si>
  <si>
    <t xml:space="preserve">In the context of the five review elements, please _x000D_
evaluate the strengths and weaknesses of the proposal with respect to intellectual merit._x000D_
_x000D_
Strengths:_x000D_
ò PIs have strong background to undertake this work both in terms of understanding construction and different project delivery methods as well as in the area of social science._x000D_
_x000D_
Weakness:_x000D_
ò Can email communication alone capture the true essence of a communication network of a project management organization?  There are several interactions that take place in the field (e.g., project engineer communication technical information to a foreman or craft worker) informal meetings in the jobsite trailer, formal meetings, and telephone conversations.  These interactions will not be captured in their current plan. _x000D_
_x000D_
_x000D_
In the context of the five review elements, please _x000D_
evaluate the strengths and weaknesses of the proposal with respect to broader impacts._x000D_
_x000D_
Strengths:_x000D_
ò Possible ability to predict project performance based on how the communication network evolves in terms of dealing with internal and external disruptions._x000D_
ò Organizational science and social network analysis contributions can cross-over to other research domains.  _x000D_
ò Basic broader impact plan expanded to include a greater focus on undergraduate education and outreach to under-represented groups._x000D_
_x000D_
Weakness:_x000D_
ò None_x000D_
_x000D_
_x000D_
Please evaluate the strengths and _x000D_
weaknesses of the proposal with respect to any additional solicitation-specific review criteria, if _x000D_
applicable_x000D_
_x000D_
_x000D_
_x000D_
Summary Statement_x000D_
_x000D_
PIs intend to better understand the importance of communication on the resilience of construction project teams.  Better communication leads to greater resilience and the ability for the project to overcome disturbances such as turnover of key project team members.  Their "central hypothesis is that greater resilience to changes in team composition will have a positive influence on long-term project outcomes."  They view the "formation, disruption, and recovery of communication network ties as a dynamic process" influenced by the "team composition, severity and timing of disruptive events, and contractual arrangements of the project delivery system."  The research approach involves the use of social network analysis tools involving a combination of computational modelling, empirical validation and network ethnography (study of people and cultures) to answer the research question.    Four dimensions of communication network resilience will be explored: rapidity of recovery, network robustness, redundancy, and resourcefulness of individuals.  PIs propose a conceptual framework "that considers resilience as an emergent property of what the communication network does, rather than a static property of the network."  Three key research questions will be addressed: "(1) how changes in team composition influence the effectiveness of communication networks over time, (2) how the project delivery system influences the formation and resilience of communication networks, and (3) what effect more resilient communication networks have on long-term project performance."_x000D_
This is a revision from a prior submission where there was concern about the data collection plan with recommendations to demonstrate how email data will be captured and prepared.  PIs state that they have vetted the data collection plan  and identified several "large construction firms" as partners to "reduce the risk of data collection."  Their plan is to develop the communication network notes by "mining email server logs".  Data includes: a timestamp, the sender's email address, and the receiver's email address.   PIs make it clear that "The subject and body content of emails will not be collected and studied." Email addresses will be replaced with "corresponding ID numbers" to maintain confidentiality._x000D_
_x000D_
_x000D_
</t>
  </si>
  <si>
    <t xml:space="preserve">In the context of the five review elements, please _x000D_
evaluate the strengths and weaknesses of the proposal with respect to intellectual merit._x000D_
_x000D_
[+] The research concept of the proposal is interesting and have the potential for exploration. The presentation of concepts such as churn has accentuated the potentials of the topic. However, the justification for the necessity of the research should be strengthened._x000D_
_x000D_
[+] The project team has the collective expertise and experience to conduct the study._x000D_
_x000D_
[+] Managing to integrate multiple industry collaborators will be exciting. However, it is not clear what the motivations of the industry partners and their project teams are to sustain their engagement._x000D_
_x000D_
[-] The proposal does not provide a well-organized structure, in which the problem statement, questions, and methodologies are systematically interconnected. The presentation approach is not effective. For example, the content of the Section C does not appear to be strongly connected with the objectives. It seems that the reader has to find the connection._x000D_
_x000D_
[-] Following the previous comment, the proposal seems to lack a systematic methodology that identifies the connections between different tasks. The interconnectivity between research approaches presented in sections D1-3 is not strong. The description points to holistic answers, which is an ambiguous expression in the description._x000D_
_x000D_
[-] The concept of nodes keeps a level of ambiguity throughout the description. It is towards the end, where the preliminary study reveals that nodes are people, not companies._x000D_
_x000D_
[-] The first two hypotheses do not seem to be relevant to the objectives of the study. Moreover, it seems that H3 is repeating the intent behind the design of delivery methods. _x000D_
_x000D_
[-] It seems that the computational approach is agent-based modeling. The lack of clarifying it earlier in the text affects readability. Furthermore, more details on the assumption for this simulation is necessary._x000D_
_x000D_
[-] It is not clear why the text points to refining the hypotheses on several occasions. At this stage, the hypotheses should have been finalized._x000D_
_x000D_
_x000D_
In the context of the five review elements, please _x000D_
evaluate the strengths and weaknesses of the proposal with respect to broader impacts._x000D_
_x000D_
[+] The engagement of one of the PIs in dissemination (through PACE) is interesting and unique._x000D_
_x000D_
[-] Despite the PI's description on the first page, the educational and outreach activities suffer from lack of details including the workshop on page 14._x000D_
_x000D_
[-] No details on how the research findings help WMBEs. _x000D_
_x000D_
_x000D_
_x000D_
Please evaluate the strengths and _x000D_
weaknesses of the proposal with respect to any additional solicitation-specific review criteria, if _x000D_
applicable_x000D_
_x000D_
_x000D_
_x000D_
Summary Statement_x000D_
_x000D_
The project proposes to investigate effective parameters on the resilience of communication networks between team members during the design and construction processes._x000D_
_x000D_
_x000D_
</t>
  </si>
  <si>
    <t>Multidisciplinary teams of architecture, engineering and construction (AEC) professionals are a dynamic system. The frequent addition, removal or reassignment of individuals within these teams can impair communication, making it difficult or even impossible to coordinate work on complex projects. Until recently, little consideration has been given to improving the resilience of project organizations, or how to better their ability to tolerate, cope with or adjust to these types of disruptions. Examining the patterns of contact that form communication networks is an important first step in understanding the resilience of these systems. Our central hypothesis is that greater resilience to changes in team composition will have a positive influence on long-term project outcomes. Thus, we conceptualize the formation, disruption and recovery of communication network ties as a dynamic process, influenced by the composition (e.g. demographics, formal roles) of the project team, the severity and timing of disruptive events, and the contractual arrangements of the project delivery system. As a bridge between theories of resilience in civil engineering and social sciences, we propose a conceptual framework that considers resilience as an emergent property of what the communication network does, rather than a static property of the network. By testing this framework, we will fully address three research questions: (1) how changes in team composition influence the effectiveness of communication networks over time, (2) how the project delivery system influences the formation and resilience of communication networks, and (3) what effect more resilient communication networks have on long-term project performance, including budget, delivery time and construction quality. The research will use a mixed-method approach that leverages computational modeling, longitudinal empirical validation and network ethnography to answer these questions.First, this research provides a theoretical model of the mechanisms for incorporating resilience into project organizations by examining the interplay between project delivery systems and team composition, and describing how these enable or constrain communication. This model  provides a transformative perspective on the role that forming and maintaining resilient communication networks has in the on-time and on-budget delivery of construction projects. The model itself makes several contributions and will (1) advance our understanding of how communication networks evolve in response to disruptions in inter-organizational settings, (2) provide new insights into how team compositional variables, such as diversity of knowledge, skills and abilities, contributes to resilience, and (3) improve our understanding of the short- and long- term consequences of frequent compositional changes on the delivery of construction projects. Second, the study of disruptive events and their impact on social systems can readily crossover from AEC teams into other research domains, making contributions to both organizational science and social network analysis. Our approach differentiates itself from existing work by expanding the concept of resilience beyond infrastructure systems to also assess the robustness of a social system in a project setting.A better understanding of resilience in communication networks can improve the work flow, coordination and efficiency of information exchanges on complex, construction and engineering projects. By linking patterns in team composition, communication network structure and resilience with project outcomes (e.g. budget and schedule), there are implications for predicting performance based on the how the network evolves. The predictive capacity offered by this research can make project teams more agile in responding to both internal and external disruptions. For example, we can better understand the attributes and role structures needed to replace a departing team member to maintain network functionality, or we can consider big data analysis of communication network vulnerabilities, such as the identification of overly connected team members whose departure would severely reduce project performance. With an expected increase in spending on infrastructure construction and rejuvenation projects over the next decade, these types of process improvements are crucial for delivering value and maximizing the number of projects that can completed with the available public funding.</t>
  </si>
  <si>
    <t>1762771</t>
  </si>
  <si>
    <t>Grau</t>
  </si>
  <si>
    <t xml:space="preserve">In the context of the five review elements, please _x000D_
evaluate the strengths and weaknesses of the proposal with respect to intellectual merit._x000D_
_x000D_
The PIs propose to study how dispositional behaviors affect how project managers see the world and how these behaviors affect their ability to make forecasts of time and cost.  Dispositional behaviors explain an individual's behavior as a result caused by internal characteristics that reside within the individual, as opposed to external (situational) characteristics.  The PIs have failed to document the significance of this problem and why it needs to be addressed.  The only example of a dispositional behavior was given on p.4 in relation to "fear of reprisals".  The research methods section should have elaborated on this example of dispositional behavior and take it through the Linguistic Analysis Method, the General Interview Method, the Focus Group Method, and the Subjective Probability Methods_x000D_
Since there is extensive involvement of human subjects, PIs should have obtained a provisional IRB.  _x000D_
_x000D_
The citations from the Results from Prior NSF support are missing for the GEO award._x000D_
_x000D_
_x000D_
_x000D_
In the context of the five review elements, please _x000D_
evaluate the strengths and weaknesses of the proposal with respect to broader impacts._x000D_
_x000D_
The first half of the Broader Impacts described in the Project Summary are actually Broad Impacts, which belong in the Intellectual Merit criterion.  The Broader Impacts section in the Project Description is very robust and if executed has a high potential to add value to NSF's Strategic Goals._x000D_
_x000D_
Please evaluate the strengths and _x000D_
weaknesses of the proposal with respect to any additional solicitation-specific review criteria, if _x000D_
applicable_x000D_
_x000D_
_x000D_
_x000D_
Summary Statement_x000D_
_x000D_
The Intellectual Merit of this proposal is a poorly conceived.  It fails to articulate the significance of the research and it fails to instantiate the research methodology with examples of dispositional/situational behaviors and their use during the forecasting with probability judgements._x000D_
_x000D_
</t>
  </si>
  <si>
    <t xml:space="preserve">In the context of the five review elements, please _x000D_
evaluate the strengths and weaknesses of the proposal with respect to intellectual merit._x000D_
_x000D_
Strengths_x000D_
The research objective of this proposal is to improve the prediction of project performance outcomes with linguistic analysis (of communication documents) and probabilistic judgment. The PI has sufficient resources to carry out the proposed activities, including collaborations with industry (letters provided)._x000D_
_x000D_
Weaknesses_x000D_
There are some good ideas in the proposal. But, the proposed research activities, in terms of the research questions it is trying to answer, are too broad and all over the place. There are too many research questions that are difficult to be answered from the proposed linguistic analysis. _x000D_
The PIs are planning to linguistically analyze documents such as electronic communications, cost and schedule reports, project team hierarchy, meeting minutes, etc. How would the linguistic analysis, alone, be able to address such in-depth questions without any behavioral studies? _x000D_
_x000D_
Many of those questions are even unclear, and would be even hard to answer by a human being, let alone the machine. For example, what does the following question really mean? _x000D_
"How are ambiguities and uncertainties handled within genres of written communication?" How can this be assessed/measured? _x000D_
_x000D_
Is the analysis of the semi-structured interviews and focus group transcripts conducted manually or automatically? If automatically, then why is it conducted automatically? And how is the analysis conducted?_x000D_
_x000D_
There are several vague descriptions in the proposed research plan. For example, the PI states that "these records of research induced data from the interviews and focus-groups will be used to iteratively refine the linguistic methods previously developed on retrospective and naturally occurring data." How will it refine those previously developed methods if the type of data/documents/transcripts are entirely different?_x000D_
_x000D_
The description of Task 2 is too brief (a few sentences), which makes it hard for the reviewer to assess the research plan and the intellectual merit for Task 2. The PI mostly says the following in this task: "What differentiates the project team's work in Task 2 is that our analysis will consider the factual timing of the appearance of situational events as the basis for tracing changes in team members' behaviors and attitudes due to the emergence of those situational events." This is not sufficient to describe the task. What are those situational events? How are they modeled? How are they linked to the language patterns? What are the behaviors and attitudes considered? How are they modeled and traced? And, again, how are they linked to the language patterns? _x000D_
_x000D_
In Task 3, the PI states that the aim is to develop "mathematical models that can explain and predict forecasting performance". What type of performance? And, again, how can that be predicted based on such type of communication transcripts? The PI provide some equations that are not well-explained. For example, what are the forecasting conditions? The research plan is not convincing. _x000D_
_x000D_
The details of the linguistic analysis are missing from all research tasks. What methods are used? _x000D_
_x000D_
How will the research results be validated? There is no validation plan. It is completely missing. _x000D_
_x000D_
_x000D_
In the context of the five review elements, please _x000D_
evaluate the strengths and weaknesses of the proposal with respect to broader impacts._x000D_
_x000D_
Strengths_x000D_
The PIs plan to promote teaching and learning through new curriculum content (details were not provided). The PIs plan to conduct outreach activities and broaden the participation of unrepresented groups through recruitment of underrepresented graduate and undergraduate students, and engagement of financially-disadvantaged and ethnically-diverse high school students. In conducting these outreach efforts, the PIs plan to collaborate with the local chapter of the Society of Women Engineers, the Fulton Undergraduate Research Initiative (FURI), and the Summer Engineering Experience (SEE) program at ASU. The PIs plan to disseminate the research results through open-public events, journal publications, conference publications and presentations, and a website. _x000D_
_x000D_
Weaknesses_x000D_
There is a lack of detail in explaining the planned educational activities (i.e., the new curriculum content development)._x000D_
_x000D_
_x000D_
Please evaluate the strengths and _x000D_
weaknesses of the proposal with respect to any additional solicitation-specific review criteria, if _x000D_
applicable_x000D_
_x000D_
_x000D_
_x000D_
Summary Statement_x000D_
_x000D_
The proposed activities are not well-reasoned. The proposal did not offer a convincing research plan; the proposed linguistic analysis cannot predict reliable project performance outcomes. More clarity and detail in describing the research plan is needed. No validation plans are proposed._x000D_
_x000D_
</t>
  </si>
  <si>
    <t xml:space="preserve">In the context of the five review elements, please _x000D_
evaluate the strengths and weaknesses of the proposal with respect to intellectual merit._x000D_
_x000D_
To begin, it is easy to accept the notion that improved forecasts can lead to better project management and better achievement of project goals.  It is further agreed that "theory-driven research" that "offers a rigorous interdisciplinary study at the interface of engineering and social science disciplines" is a good thing.  The question now is, how rigorous is the proposed study?  Although this assessment would seem straight forward, it is somewhat hampered by the fact that there is no clearly stated research objective.  The first sentence of the Project Description notes, "This study will investigate and explain project prediction processes..." This is not a research objective.  But this reviewer infers from the remaining description that the research is focused on improving predictability of civil infrastructure projects, although it remains unclear exactly what new information is sought._x000D_
_x000D_
Conveniently, the PIs define predictability "as the ability to generate accurate cost and schedule forecasts/predictions early in the project delivery."  It is not clear whether the PIs are seeking accurate forecasts at the project level, the sub-project level or the task level.  Nor is it clear exactly how these forecasts will be used.  Forecasts yield value when used in decision-making processes, but it would be helpful to know which decision-making processes the PIs have in mind.  This is important because the analytical approach to the determination of the forecast must be consistent with its use in a decision-making process.  For example, Kolmogorov probability and Bayesian analysis have a very rigorous mathematical basis that is entirely consistent with other mathematics, such as the number sets and arithmetic and, in particular, von Neumann-Morgenstern utility theory.  Not all predictive approaches, such as plausibility or belief theory, maintain this consistency.  While most people have a rather clear intuitive understanding of probability and its use in decision making, the same is not true of plausibility.  Plausibility is a number that has, at best, a vague interpretation in a decision-making context.  And, unlike probability, there is no rigorous framework for the use of plausibility in a decision-making process.  This is a significant weakness of the proposed work._x000D_
_x000D_
Another attack on the rigorousness of the proposed work is provided by the Dutch Book Argument (DBA), which offers a rather convincing argument that all approaches to thinking about the future other than Kolmogorov probability allow for mathematical inconsistencies._x000D_
_x000D_
This reviewer also feels that the PIs do not fully understand probability theory.  This is evident in the discussion of "frequency probability" and "uncertainty can be either random [aleatory] or epistemic."  First, frequencies are just that--frequencies.   They derive from data, and all data come from the past.  Ergo, frequencies are statements about the past.  To become a probability, i.e., a statement about the future, subjective statements must be made, for example that the frequency derives from a sample of independent and identically distributed events and that the future will be the same as the past.  These are untestable statements.  It follows that frequentists' predictions are also subjective.  Indeed, probabilities are beliefs, clearly defined by the DBA, and probability theory is a mathematical framework for thinking logically about beliefs (i.e., about the future).  Secondly, the terms aleatory and epistemic themselves infer that probability is a physical property of a system, and that there is a correct probability.  This leads the PIs to become confused about probabilities: "The actual predictability and hence validity of each forecastàcan only be established when the true project outcome values are known."  Consider the example of the toss of a fair coin.  A reasonable prediction is that the coin will land heads with probability 0.5 and tails with probability 0.5.  But the coin never lands half heads and half tails.  The outcome of the toss is heads or tails, not some of each.  Hence, knowledge of the outcome of the flip does not enable validation of the prediction.  Again, the frequentist will argue that multiple flips will validate the prediction, but again, this validation is subject to the subjective assumptions noted above._x000D_
_x000D_
Another issue is that probabilities are beliefs held by individuals (not groups), and that probability theory applies only to an analysis for an individual.  E.g., suppose Harry believes that the probability of heads on the toss of a bent (non-fair) coin is 0.6, and Mary believes that it is 0.7.  There is no mathematically rigorous procedure for the combination of these beliefs.  They simply are the independent beliefs of Harry and Mary, and any analysis must take either the view of Harry or the view of Mary, and the analysis is valid only for the person for whom it was conducted.  Do the PIs actually recognize this?  Perhaps, because they say, "we will combine belief functions and by extension of Bayesian methods..."  But it's not totally clear that they do understand that a prediction is valid only for a given decision maker nor that they understand how data, e.g., in the form of frequencies interpreted by observers other than the decision maker, might be aggregated for use by the decision maker._x000D_
_x000D_
In the end, the PIs suggest that they want a prediction that corresponds well to the actual outcome.  But this raises two issues.  First, it's not entirely clear that an accurate prediction is of the most value to the project manager.  If the prediction were precisely correct, the implication is that there is no uncertainty, ergo no need to manage.  All management would have been completed at the start of the project.  But secondly, the management process itself can influence the outcome of the project.  Hence, the outcome could be a result of the prediction (cost control, e.g.), or the prediction could be self-defeating (e.g., see the El Farol Bar problem).  Suppose that the project is broken into sub-projects, each with its own cost estimate, and suppose the project manager holds the sub-project managers to the cost estimate for their sub-project.  The tendency will be for the sub-project managers to expend all of the money they are budgeted.  But some sub-projects will run over budget.  Hence, there will be zero probability of an underrun in cost, and a high probability of an overrun.  This points to the need to put predictions into the context of a management approach--hence inferring the need to use game theory.  Indeed, it could be quite interesting to couple the task of prediction to mechanism design in order to improve the accuracy of the forecast._x000D_
_x000D_
Intellectual Merit_x000D_
_x000D_
The PIs suggest that they will posit a rigorous approach to the achievement of "predictable forecasts," and that this will constitute an interdisciplinary study at the interface of engineering and social science disciplines.  In light of the discussion above however, this reviewer does not feel that the outcome will be particularly beneficial to the advancement of construction forecasting.  Nonetheless, it is the case that a mathematically rigorous approach to construction forecasting would have considerable intellectual merit, particularly if coupled to management procedures that are not self-defeating of the forecast.  But the proposed research does not appear to reach this goal._x000D_
_x000D_
_x000D_
In the context of the five review elements, please _x000D_
evaluate the strengths and weaknesses of the proposal with respect to broader impacts._x000D_
_x000D_
The PIs claim that the proposed research could lead to substantial benefits to the construction industry up to and including saving the entire industry.  Broadening participation activities are also incorporated into the effort, but they are, to a considerable extent, already ongoing efforts at ASU._x000D_
_x000D_
_x000D_
Please evaluate the strengths and _x000D_
weaknesses of the proposal with respect to any additional solicitation-specific review criteria, if _x000D_
applicable_x000D_
_x000D_
_x000D_
_x000D_
Summary Statement_x000D_
_x000D_
On the one hand, the proposed research topic is potentially quite interesting and important.  On the other hand, however, the work is not presented in a way that is convincing to this reviewer.  Several potential weaknesses are identified above that beg improvement.  The PIs need to take a stand on rigor and stick to rigorous mathematics.  E.g., they need to consider alternatives to Kolmogorov probability in the context of the DBA, they need to place their forecasts into a decision making framework, and they need to consider management approaches in the context of the accuracy of their forecasts.  They also need to take a closer look at what it means to validate a probabilistic prediction.  This reviewer does not consider this proposal fundable given the concerns raised._x000D_
_x000D_
</t>
  </si>
  <si>
    <t xml:space="preserve">In the context of the five review elements, please _x000D_
evaluate the strengths and weaknesses of the proposal with respect to intellectual merit._x000D_
_x000D_
[+] The research concept is innovative and if successful adds a new dimension in project performance analysis and project control._x000D_
_x000D_
[+] The study's hypothesis has been well formulated and the proposal provides a well-organized discussion on the significance of the study. _x000D_
_x000D_
[+] Interesting research questions were also posed during the proposal description._x000D_
_x000D_
[+] The team has the background to conduct the study._x000D_
_x000D_
[-] The concept of applied linguistic analysis needs more elaboration. The methodologies such as triangulation does not provide sufficient details on how the linguistic analysis will be conducted. Although the text points to mixed human and computational approach, the overall methodology remains rather vague._x000D_
_x000D_
[-] The generation of subjective probability models also requires more high-level explanation. The description describes details of mathematical modeling, which does not add value to understanding the overall approach. Alternatively, providing examples on belief functions and subjective probability models will provide a better insight._x000D_
_x000D_
[-] The required analysis, described in the text, calls for access to highly sensitive data from the industry collaborators. Given the lability, associated with sharing such data, it would have been added value if some preliminary data analysis had been presented in the proposal._x000D_
_x000D_
[-] It is not clear, why it has been assumed that subjects are factoring their dispositional characteristics in writing their email communications and in the interviews._x000D_
_x000D_
[-] The proposal does not provide a validation plan for the study._x000D_
_x000D_
_x000D_
In the context of the five review elements, please _x000D_
evaluate the strengths and weaknesses of the proposal with respect to broader impacts._x000D_
_x000D_
[+] The broader impact was properly described._x000D_
_x000D_
[+] The project presents a comprehensive plan for educational and outreach activities and it appears that the PI has proven record in this aspect._x000D_
_x000D_
[-] Although novel concepts were presented for outreach activities, to be more effective, it will be better to focus on a number of these efforts rather than focusing on multiple aspects._x000D_
_x000D_
_x000D_
Please evaluate the strengths and _x000D_
weaknesses of the proposal with respect to any additional solicitation-specific review criteria, if _x000D_
applicable_x000D_
_x000D_
_x000D_
_x000D_
Summary Statement_x000D_
_x000D_
This is a  well-written proposal that seeks to investigate the effect of the dispositional behaviors (which are defined as personal or organization behavioral traits that affect the decisions during project lifecycle) on the project forecasting and control. The investigation will be conducted through linguistic analysis to account for contextual response to day to day events of the project. Although the proposal could be further improved, the proposed research is innovative._x000D_
_x000D_
_x000D_
</t>
  </si>
  <si>
    <t>This study supports improving the ability to understand prediction processes and reliably predict project outcomes at completion by stochastically aggregating the influence of individual expert behaviors. Specifically, it investigates the ability to accurately forecast cost and schedule performances early, as opposed to late, in the project delivery process. Preliminary findings in support of this study indicate that 1) project teams are unable to predict endemic deviations with state-of-the-art forecasting techniques, and 2) dispositional behaviors (e.g. values, attitudes, and beliefs) exert a critical influence on the ability to generate and report timely and accurate predictions, and hence support informed decisions. This study departs from previous research efforts constrained within the silo of cost estimating and scheduling algorithms by stochastically modeling how dynamic (i.e. time-varying), complex, and human-centered forecasting processes perform.As a departure from the current body of knowledge constrained to well-known forecasting techniques, the proposed theory-driven research articulates and applies linguistic approaches in combination with multivariate and dynamic subjective probability models to civil and construction engineering. Specifically, this study will explore probabilistic judgment elicited from a combination of cognitive and interpersonal factors and events (internal and external to a project) to ascertain project predictions. In doing so, this study will investigate the rules that should govern preference patterns among set of alternative forecasting choices so that such rules result in predictable forecasts. In addition, the investigation of dispositional behaviors through the computational and non-computational analysis of language usage and patterns, both naturally occurring and researcher-elicited, further elicits the intellectual merit of this study. The proposed study bridges this knowledge gap with a mixed and partially iterative research method that examines naturally occurring language data in context and triangulates that data with observational research and situational events. Thus, the proposed research offers a rigorous, interdisciplinary study at the interface of engineering and social science disciplines that departs from prior algorithm-centered efforts. By synergistically combining new knowledge in construction engineering, applied linguistics, and subjective probability, this research will cross pollinate novel ideas among them and eventually lead to research breakthroughs in uninvestigated fields where these disciplines can intersect.At every stage, this study requires the integration of research, education, and industry. By laying the foundation for a new paradigm in early and accurate forecasting, this study can positively impact and strengthen the sustainability of industry organizations by supporting timely and informed decisions on behalf of individual projects, portfolios of projects, and organizations. Thus, this study has the potential to contribute to the US economy and the welfare of its society. Signifying its importance, several industry organizations have already agreed to actively collaborate in this study. Also, students enrolled in ASU's civil and construction engineering programs will actively learn from the findings of this study through new curriculum material. The dissemination plan also includes outreach to the general public through open-public events and media, and the publication in prestigious peer-reviewed journals and presentations at premier conferences. In addition, a dedicated website will disseminate the findings to educators, researchers, students, engineers, and to anyone with an internet connection. Finally, inclusion efforts will be leveraged and combined with those ongoing at ASU in order to recruit, energize, and engage 1 Ph.D., 4 undergraduate, and 24 high school students into STEM and its education aspect, with a commitment to build a diverse group with women, minority, and/or economically disadvantaged students. Indeed, this project will leverage and complement the resources at the Summer Engineering Experience program at ASU in order to engage 24 financially disadvantaged and ethnically diverse high school students.</t>
  </si>
  <si>
    <t>PD 15-1631</t>
  </si>
  <si>
    <t>07030000</t>
  </si>
  <si>
    <t>UnsolFY18</t>
  </si>
  <si>
    <t>036E 1057 CVIS</t>
  </si>
  <si>
    <t>CMMI</t>
  </si>
  <si>
    <t>Yong-Woo</t>
  </si>
  <si>
    <t>G/F,F,F</t>
  </si>
  <si>
    <t>Pending, Assigned to PM</t>
  </si>
  <si>
    <t>Achieving an Economic and Reliable Supply Chain of Prefabricated Products in Construction Projects</t>
  </si>
  <si>
    <t>yongkim@u.washington.edu</t>
  </si>
  <si>
    <t>Carrie</t>
  </si>
  <si>
    <t>G,F,F</t>
  </si>
  <si>
    <t>Frequent Routine Disruption across System Networks</t>
  </si>
  <si>
    <t>cdossick@uw.edu</t>
  </si>
  <si>
    <t>NSF 17-1</t>
  </si>
  <si>
    <t>036E 1057 9150 CVIS</t>
  </si>
  <si>
    <t>Yong-Cheol</t>
  </si>
  <si>
    <t>La St U &amp; A&amp;M Coll</t>
  </si>
  <si>
    <t>F,P,P</t>
  </si>
  <si>
    <t>A Data-Driven Dynamic Optimization Framework for Modular-based Rapid Post-Flooding Reconstruction of Infrastructure Systems and Neighboring Communities</t>
  </si>
  <si>
    <t>yclee@lsu.edu</t>
  </si>
  <si>
    <t>Jee Woong</t>
  </si>
  <si>
    <t>U of Nevada Las Vegas</t>
  </si>
  <si>
    <t>Waking up a new sensory system: Body-to-brain stimulus for increased real-time perception of safety hazards and ensuing preventative measures</t>
  </si>
  <si>
    <t>jee.park@unlv.edu</t>
  </si>
  <si>
    <t>Changbum</t>
  </si>
  <si>
    <t>G,G/F,G/F</t>
  </si>
  <si>
    <t>Collaborative Research: Deciphering Individual Risk Perception from Adaptive Behavioral Measurement in the Construction Workplace</t>
  </si>
  <si>
    <t>ryanahn@tamu.edu</t>
  </si>
  <si>
    <t>1760899</t>
  </si>
  <si>
    <t>Johnson</t>
  </si>
  <si>
    <t>U of Nebraska-Lincoln</t>
  </si>
  <si>
    <t>matthew.r.johnson@unl.edu</t>
  </si>
  <si>
    <t>1761311</t>
  </si>
  <si>
    <t>Cho</t>
  </si>
  <si>
    <t>Yong</t>
  </si>
  <si>
    <t>yong.cho@ce.gatech.edu</t>
  </si>
  <si>
    <t>Fernanda</t>
  </si>
  <si>
    <t>BIM2Vec: an Automated Approach for Capturing and Retrieving Engineering Project Knowledge</t>
  </si>
  <si>
    <t>fernanda.leite@austin.utexas.edu</t>
  </si>
  <si>
    <t>Gunnar</t>
  </si>
  <si>
    <t>Catholic University</t>
  </si>
  <si>
    <t>Exploring Emergence of Flexible Universal Distribution Function from Activity Network Schedules for Delay Mitigation in Construction Project Management</t>
  </si>
  <si>
    <t>lucko@cua.edu</t>
  </si>
  <si>
    <t>Restoring Macroscopic Production Perspective for Construction Project Scheduling With Singularity Functions Inspired by Traffic Flow Theory</t>
  </si>
  <si>
    <t>Fei</t>
  </si>
  <si>
    <t>WV Univ Research Corp</t>
  </si>
  <si>
    <t>V/G,F,F</t>
  </si>
  <si>
    <t>Collaborative Research: Logistics-Entailed Contextual Risk Analysis for Progressive Safety Performance on Construction Sites</t>
  </si>
  <si>
    <t>fei.dai@mail.wvu.edu</t>
  </si>
  <si>
    <t>1761443</t>
  </si>
  <si>
    <t>Behzadan</t>
  </si>
  <si>
    <t>abehzadan@tamu.edu</t>
  </si>
  <si>
    <t>Jing</t>
  </si>
  <si>
    <t>E,G,G,G</t>
  </si>
  <si>
    <t>Internet of Tools (IoTo): Addressing High Uncertainty in Productivity Assessment Using a Spatiotemporal Network of Construction Tools</t>
  </si>
  <si>
    <t>dujing@tamu.edu</t>
  </si>
  <si>
    <t>Hubo</t>
  </si>
  <si>
    <t>F,F,F</t>
  </si>
  <si>
    <t>Spatial-Temporal Analytics to Improve Productivity and Enhance Safety in Infrastructure Construction</t>
  </si>
  <si>
    <t>hubocai@ecn.purdue.edu</t>
  </si>
  <si>
    <t>Yunfeng</t>
  </si>
  <si>
    <t>A Smartphone-Based Human-Equipment Proximity Warning System (SHE-PWS) to Enhance Construction Jobsite Safety</t>
  </si>
  <si>
    <t>ychen@georgiasouthern.edu</t>
  </si>
  <si>
    <t>Baabak</t>
  </si>
  <si>
    <t>V,G,F,F</t>
  </si>
  <si>
    <t>Collaborative Research: Establishing Links Between Building Design Process and Design Productivity</t>
  </si>
  <si>
    <t>baabak@gatech.edu</t>
  </si>
  <si>
    <t>1762413</t>
  </si>
  <si>
    <t>Shahandashti</t>
  </si>
  <si>
    <t>Seyed</t>
  </si>
  <si>
    <t>U of Texas Arlington</t>
  </si>
  <si>
    <t>mohsen@uta.edu</t>
  </si>
  <si>
    <t>Bryan</t>
  </si>
  <si>
    <t>University of Florida</t>
  </si>
  <si>
    <t>V,G/F,F,F</t>
  </si>
  <si>
    <t>Modeling Resilience in the Communication Networks of Design and Construction Teams</t>
  </si>
  <si>
    <t>bfranz@ufl.edu</t>
  </si>
  <si>
    <t>V/G,G/F,F,F/P</t>
  </si>
  <si>
    <t>Predicting Reliable Project Performance Outcomes with Linguistic Analysis and Probabilistic Judgment</t>
  </si>
  <si>
    <t>david.grau@asu.edu</t>
  </si>
  <si>
    <t>1631 CIS Unsol Proposal Review - Construction</t>
  </si>
  <si>
    <t xml:space="preserve"> G/F,F,F</t>
  </si>
  <si>
    <t>15 rated projects , 1 SC, 14 DNC</t>
  </si>
  <si>
    <t>Civil Infrastructure Systems</t>
  </si>
  <si>
    <t>Div Of Civil, Mechanical, &amp; Manufact Inn</t>
  </si>
  <si>
    <t>Y. Grace Hsuan</t>
  </si>
  <si>
    <t>ENG</t>
  </si>
  <si>
    <t>Directorate For Engineering</t>
  </si>
  <si>
    <t xml:space="preserve">yongkim@u.washington.edu      </t>
  </si>
  <si>
    <t xml:space="preserve">cdossick@uw.edu      </t>
  </si>
  <si>
    <t xml:space="preserve"> F,P,P</t>
  </si>
  <si>
    <t>Proposal &amp; Award Policies &amp; Procedures Guide - PAPPG</t>
  </si>
  <si>
    <t>Cynthia Chen</t>
  </si>
  <si>
    <t xml:space="preserve">yclee@lsu.edu      </t>
  </si>
  <si>
    <t xml:space="preserve">jee.park@unlv.edu      </t>
  </si>
  <si>
    <t xml:space="preserve"> G,G/F,G/F</t>
  </si>
  <si>
    <t xml:space="preserve">ryanahn@tamu.edu;matthew.r.johnson@unl.edu;yong.cho@ce.gatech.edu    </t>
  </si>
  <si>
    <t xml:space="preserve">fernanda.leite@austin.utexas.edu      </t>
  </si>
  <si>
    <t xml:space="preserve">lucko@cua.edu      </t>
  </si>
  <si>
    <t xml:space="preserve"> G ,F</t>
  </si>
  <si>
    <t xml:space="preserve"> V/G,F,F</t>
  </si>
  <si>
    <t xml:space="preserve">fei.dai@mail.wvu.edu;abehzadan@tamu.edu     </t>
  </si>
  <si>
    <t xml:space="preserve"> E,G,G,G</t>
  </si>
  <si>
    <t xml:space="preserve">dujing@tamu.edu      </t>
  </si>
  <si>
    <t xml:space="preserve"> F,F,F</t>
  </si>
  <si>
    <t xml:space="preserve">hubocai@ecn.purdue.edu      </t>
  </si>
  <si>
    <t xml:space="preserve">ychen@georgiasouthern.edu      </t>
  </si>
  <si>
    <t xml:space="preserve"> V,G,F,F</t>
  </si>
  <si>
    <t xml:space="preserve">baabak@gatech.edu;mohsen@uta.edu     </t>
  </si>
  <si>
    <t xml:space="preserve"> V,G/F,F,F</t>
  </si>
  <si>
    <t xml:space="preserve">bfranz@ufl.edu      </t>
  </si>
  <si>
    <t xml:space="preserve"> V/G,G/F,F,F/P</t>
  </si>
  <si>
    <t xml:space="preserve">david.grau@asu.edu      </t>
  </si>
  <si>
    <t xml:space="preserve"> 00002305</t>
  </si>
  <si>
    <t>00000092</t>
  </si>
  <si>
    <t xml:space="preserve">Hong Kong       </t>
  </si>
  <si>
    <t xml:space="preserve"> 00002258</t>
  </si>
  <si>
    <t xml:space="preserve">China       </t>
  </si>
  <si>
    <t xml:space="preserve"> 00008095</t>
  </si>
  <si>
    <t>09/15/17</t>
  </si>
  <si>
    <t>Std CAREER-CRII Decline RAt.docm</t>
  </si>
  <si>
    <t>R:\RoboRA\RAtemplates_docm</t>
  </si>
  <si>
    <t>\\ad.nsf.gov\NSF\Users\JSNOEYIN\My Documents\1724258kumar</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</si>
</sst>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4"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b/>
      <sz val="11"/>
      <color theme="3" tint="-0.249977111117893"/>
      <name val="Calibri"/>
      <family val="2"/>
      <scheme val="minor"/>
    </font>
    <font>
      <sz val="9"/>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sz val="12"/>
      <color theme="1"/>
      <name val="Calibri"/>
      <family val="2"/>
      <scheme val="minor"/>
    </font>
    <font>
      <b/>
      <sz val="11"/>
      <color theme="5" tint="-0.499984740745262"/>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3">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129">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4" fillId="0" borderId="0" xfId="0" applyFont="1"/>
    <xf numFmtId="49" fontId="14" fillId="0" borderId="0" xfId="0" quotePrefix="1" applyNumberFormat="1" applyFont="1"/>
    <xf numFmtId="49" fontId="14" fillId="0" borderId="0" xfId="0" applyNumberFormat="1" applyFont="1"/>
    <xf numFmtId="9" fontId="0" fillId="0" borderId="0" xfId="5" applyFont="1"/>
    <xf numFmtId="0" fontId="17" fillId="0" borderId="0" xfId="0" applyFont="1"/>
    <xf numFmtId="164" fontId="17" fillId="0" borderId="0" xfId="0" applyNumberFormat="1" applyFont="1"/>
    <xf numFmtId="166" fontId="17" fillId="0" borderId="0" xfId="2" applyNumberFormat="1" applyFont="1"/>
    <xf numFmtId="14" fontId="0" fillId="0" borderId="0" xfId="0" applyNumberFormat="1"/>
    <xf numFmtId="0" fontId="18" fillId="0" borderId="0" xfId="0" applyFont="1"/>
    <xf numFmtId="0" fontId="19" fillId="0" borderId="0" xfId="0" applyFont="1"/>
    <xf numFmtId="2" fontId="0" fillId="0" borderId="0" xfId="0" applyNumberFormat="1" applyBorder="1"/>
    <xf numFmtId="0" fontId="22" fillId="3" borderId="0" xfId="0" applyFont="1" applyFill="1"/>
    <xf numFmtId="0" fontId="22" fillId="3" borderId="0" xfId="0" applyFont="1" applyFill="1" applyAlignment="1">
      <alignment horizontal="left" vertical="center"/>
    </xf>
    <xf numFmtId="0" fontId="22" fillId="2" borderId="0" xfId="0" applyFont="1" applyFill="1"/>
    <xf numFmtId="0" fontId="23" fillId="2" borderId="0" xfId="0" applyFont="1" applyFill="1" applyAlignment="1">
      <alignment horizontal="center" vertical="center"/>
    </xf>
    <xf numFmtId="0" fontId="0" fillId="0" borderId="0" xfId="0" applyFont="1" applyFill="1" applyAlignment="1">
      <alignment horizontal="right" vertical="center"/>
    </xf>
    <xf numFmtId="165" fontId="25" fillId="0" borderId="2" xfId="0" applyNumberFormat="1" applyFont="1" applyFill="1" applyBorder="1" applyAlignment="1" applyProtection="1">
      <alignment horizontal="left" vertical="center"/>
    </xf>
    <xf numFmtId="49" fontId="25" fillId="0" borderId="3" xfId="0" applyNumberFormat="1" applyFont="1" applyFill="1" applyBorder="1" applyAlignment="1" applyProtection="1">
      <alignment horizontal="left" vertical="center"/>
    </xf>
    <xf numFmtId="49" fontId="25" fillId="0" borderId="4" xfId="0" applyNumberFormat="1" applyFont="1" applyFill="1" applyBorder="1" applyAlignment="1" applyProtection="1">
      <alignment horizontal="left" vertical="center"/>
    </xf>
    <xf numFmtId="49" fontId="25" fillId="0" borderId="3" xfId="0" quotePrefix="1" applyNumberFormat="1" applyFont="1" applyFill="1" applyBorder="1" applyAlignment="1" applyProtection="1">
      <alignment horizontal="left" vertical="center"/>
    </xf>
    <xf numFmtId="49" fontId="25" fillId="0" borderId="4" xfId="0" quotePrefix="1" applyNumberFormat="1" applyFont="1" applyFill="1" applyBorder="1" applyAlignment="1" applyProtection="1">
      <alignment horizontal="left" vertical="center"/>
    </xf>
    <xf numFmtId="0" fontId="19" fillId="0" borderId="0" xfId="0" applyFont="1" applyFill="1" applyAlignment="1">
      <alignment horizontal="right" vertical="center"/>
    </xf>
    <xf numFmtId="0" fontId="0" fillId="0" borderId="0" xfId="0" applyFill="1" applyProtection="1"/>
    <xf numFmtId="165" fontId="25" fillId="0" borderId="3" xfId="0" applyNumberFormat="1" applyFont="1" applyFill="1" applyBorder="1" applyAlignment="1" applyProtection="1">
      <alignment horizontal="left" vertical="center"/>
    </xf>
    <xf numFmtId="0" fontId="0" fillId="0" borderId="0" xfId="0" applyFont="1" applyFill="1"/>
    <xf numFmtId="0" fontId="27" fillId="0" borderId="0" xfId="0" applyFont="1" applyAlignment="1">
      <alignment horizontal="right"/>
    </xf>
    <xf numFmtId="0" fontId="0" fillId="0" borderId="0" xfId="0" applyProtection="1">
      <protection locked="0"/>
    </xf>
    <xf numFmtId="0" fontId="28"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8" fillId="0" borderId="0" xfId="0" applyFont="1" applyAlignment="1" applyProtection="1">
      <alignment horizontal="left" vertical="top"/>
      <protection locked="0"/>
    </xf>
    <xf numFmtId="170" fontId="28" fillId="0" borderId="0" xfId="0" applyNumberFormat="1" applyFont="1" applyAlignment="1" applyProtection="1">
      <alignment horizontal="left" vertical="top"/>
      <protection locked="0" hidden="1"/>
    </xf>
    <xf numFmtId="0" fontId="28" fillId="0" borderId="5" xfId="0" applyFont="1" applyBorder="1" applyAlignment="1">
      <alignment horizontal="left" vertical="top"/>
    </xf>
    <xf numFmtId="0" fontId="28" fillId="0" borderId="6" xfId="0" applyFont="1" applyBorder="1" applyAlignment="1">
      <alignment horizontal="left" vertical="top"/>
    </xf>
    <xf numFmtId="0" fontId="28" fillId="0" borderId="1" xfId="0" applyFont="1" applyBorder="1" applyAlignment="1">
      <alignment horizontal="left" vertical="top"/>
    </xf>
    <xf numFmtId="0" fontId="28" fillId="0" borderId="7" xfId="0" applyFont="1" applyBorder="1" applyAlignment="1">
      <alignment horizontal="left" vertical="top"/>
    </xf>
    <xf numFmtId="0" fontId="28" fillId="0" borderId="8" xfId="0" applyFont="1" applyBorder="1" applyAlignment="1">
      <alignment horizontal="left" vertical="top"/>
    </xf>
    <xf numFmtId="0" fontId="28" fillId="0" borderId="9" xfId="0" applyFont="1" applyBorder="1" applyAlignment="1">
      <alignment horizontal="left" vertical="top"/>
    </xf>
    <xf numFmtId="0" fontId="21" fillId="4" borderId="10" xfId="0" applyFont="1" applyFill="1" applyBorder="1" applyAlignment="1">
      <alignment horizontal="left" vertical="top"/>
    </xf>
    <xf numFmtId="0" fontId="21"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21"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9" fillId="0" borderId="0" xfId="0" applyFont="1" applyFill="1"/>
    <xf numFmtId="0" fontId="29" fillId="0" borderId="0" xfId="0" applyFont="1"/>
    <xf numFmtId="165" fontId="29" fillId="0" borderId="0" xfId="0" applyNumberFormat="1" applyFont="1"/>
    <xf numFmtId="0" fontId="29" fillId="0" borderId="0" xfId="0" applyFont="1" applyAlignment="1">
      <alignment horizontal="right"/>
    </xf>
    <xf numFmtId="166" fontId="29" fillId="0" borderId="0" xfId="2" applyNumberFormat="1" applyFont="1"/>
    <xf numFmtId="0" fontId="1" fillId="0" borderId="0" xfId="0" applyNumberFormat="1" applyFont="1"/>
    <xf numFmtId="0" fontId="30"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31" fillId="0" borderId="0" xfId="0" applyFont="1"/>
    <xf numFmtId="0" fontId="4" fillId="0" borderId="7" xfId="1" applyNumberFormat="1" applyBorder="1"/>
    <xf numFmtId="49" fontId="0" fillId="0" borderId="0" xfId="0" quotePrefix="1" applyNumberFormat="1" applyProtection="1">
      <protection locked="0"/>
    </xf>
    <xf numFmtId="49" fontId="0" fillId="0" borderId="0" xfId="0" applyNumberFormat="1" applyProtection="1">
      <protection locked="0"/>
    </xf>
    <xf numFmtId="0" fontId="32" fillId="0" borderId="0" xfId="0" applyFont="1" applyProtection="1">
      <protection locked="0"/>
    </xf>
    <xf numFmtId="0" fontId="25" fillId="0" borderId="0" xfId="0" applyNumberFormat="1" applyFont="1" applyFill="1" applyAlignment="1" applyProtection="1">
      <alignment horizontal="left" vertical="center"/>
    </xf>
    <xf numFmtId="0" fontId="19" fillId="0" borderId="0" xfId="0" applyFont="1" applyAlignment="1">
      <alignment vertical="top"/>
    </xf>
    <xf numFmtId="0" fontId="0" fillId="0" borderId="0" xfId="0" applyNumberFormat="1" applyAlignment="1">
      <alignment wrapText="1"/>
    </xf>
    <xf numFmtId="0" fontId="0" fillId="0" borderId="0" xfId="0" applyAlignment="1">
      <alignment horizontal="left" vertical="center"/>
    </xf>
    <xf numFmtId="0" fontId="0" fillId="0" borderId="0" xfId="0" applyAlignment="1"/>
    <xf numFmtId="0" fontId="0" fillId="0" borderId="0" xfId="0" applyNumberFormat="1" applyAlignment="1">
      <alignment textRotation="90"/>
    </xf>
    <xf numFmtId="0" fontId="0" fillId="0" borderId="0" xfId="0" applyFill="1" applyProtection="1">
      <protection locked="0"/>
    </xf>
    <xf numFmtId="0" fontId="0" fillId="0" borderId="1" xfId="0" applyNumberFormat="1" applyBorder="1"/>
    <xf numFmtId="0" fontId="0" fillId="0" borderId="1" xfId="0" applyBorder="1"/>
    <xf numFmtId="22" fontId="0" fillId="0" borderId="1" xfId="0" applyNumberFormat="1" applyBorder="1"/>
    <xf numFmtId="0" fontId="4" fillId="0" borderId="0" xfId="1" applyAlignment="1" applyProtection="1">
      <alignment horizontal="left" vertical="top"/>
      <protection locked="0"/>
    </xf>
    <xf numFmtId="0" fontId="24" fillId="3" borderId="0" xfId="0" applyFont="1" applyFill="1" applyAlignment="1">
      <alignment horizontal="center" vertical="center"/>
    </xf>
  </cellXfs>
  <cellStyles count="6">
    <cellStyle name="Currency" xfId="2" builtinId="4"/>
    <cellStyle name="Hyperlink" xfId="1" builtinId="8"/>
    <cellStyle name="Normal" xfId="0" builtinId="0"/>
    <cellStyle name="Percent" xfId="5" builtinId="5"/>
    <cellStyle name="Subtotal" xfId="4"/>
    <cellStyle name="Subtotal Label" xfId="3"/>
  </cellStyles>
  <dxfs count="294">
    <dxf>
      <fill>
        <patternFill>
          <fgColor indexed="64"/>
          <bgColor rgb="FFFBC3AF" tint="0.54997405926694543"/>
        </patternFill>
      </fill>
    </dxf>
    <dxf>
      <border>
        <top style="thin">
          <color auto="1"/>
        </top>
      </border>
    </dxf>
    <dxf>
      <fill>
        <patternFill>
          <fgColor indexed="64"/>
          <bgColor rgb="FFEBF5CD"/>
        </patternFill>
      </fil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numFmt numFmtId="27" formatCode="m/d/yyyy\ h:mm"/>
    </dxf>
    <dxf>
      <numFmt numFmtId="0" formatCode="General"/>
      <alignment horizontal="general" vertical="bottom" textRotation="0" wrapText="1" indent="0" justifyLastLine="0" shrinkToFit="0" readingOrder="0"/>
    </dxf>
    <dxf>
      <numFmt numFmtId="0" formatCode="General"/>
    </dxf>
    <dxf>
      <numFmt numFmtId="0" formatCode="General"/>
    </dxf>
    <dxf>
      <numFmt numFmtId="27" formatCode="m/d/yyyy\ h:mm"/>
      <border diagonalUp="0" diagonalDown="0">
        <left style="thin">
          <color auto="1"/>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dxf>
    <dxf>
      <numFmt numFmtId="164" formatCode="&quot;$&quot;#,##0"/>
    </dxf>
    <dxf>
      <numFmt numFmtId="164" formatCode="&quot;$&quot;#,##0"/>
    </dxf>
    <dxf>
      <numFmt numFmtId="0" formatCode="General"/>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6" formatCode="_(&quot;$&quot;* #,##0_);_(&quot;$&quot;* \(#,##0\);_(&quot;$&quot;* &quot;-&quot;??_);_(@_)"/>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27" formatCode="m/d/yyyy\ h:mm"/>
    </dxf>
    <dxf>
      <numFmt numFmtId="27" formatCode="m/d/yyyy\ h:mm"/>
    </dxf>
    <dxf>
      <numFmt numFmtId="27" formatCode="m/d/yyyy\ h:mm"/>
    </dxf>
    <dxf>
      <numFmt numFmtId="165" formatCode="mm/dd/yy;@"/>
    </dxf>
    <dxf>
      <numFmt numFmtId="165" formatCode="mm/dd/yy;@"/>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numFmt numFmtId="0" formatCode="Genera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5" formatCode="mm/dd/yy;@"/>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numFmt numFmtId="166" formatCode="_(&quot;$&quot;* #,##0_);_(&quot;$&quot;* \(#,##0\);_(&quot;$&quot;* &quot;-&quot;??_);_(@_)"/>
    </dxf>
    <dxf>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0" formatCode="General"/>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numFmt numFmtId="0" formatCode="General"/>
    </dxf>
    <dxf>
      <numFmt numFmtId="168" formatCode="mm/dd/yy\ hh:mm"/>
    </dxf>
    <dxf>
      <numFmt numFmtId="2" formatCode="0.00"/>
    </dxf>
    <dxf>
      <font>
        <b/>
        <i val="0"/>
        <strike val="0"/>
        <condense val="0"/>
        <extend val="0"/>
        <outline val="0"/>
        <shadow val="0"/>
        <u val="none"/>
        <vertAlign val="baseline"/>
        <sz val="11"/>
        <color rgb="FFFF0000"/>
        <name val="Calibri"/>
        <scheme val="minor"/>
      </font>
    </dxf>
    <dxf>
      <numFmt numFmtId="165" formatCode="mm/dd/yy;@"/>
    </dxf>
    <dxf>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numFmt numFmtId="0" formatCode="General"/>
    </dxf>
    <dxf>
      <numFmt numFmtId="0" formatCode="General"/>
    </dxf>
    <dxf>
      <numFmt numFmtId="27" formatCode="m/d/yyyy\ h:mm"/>
    </dxf>
    <dxf>
      <numFmt numFmtId="165" formatCode="mm/dd/yy;@"/>
    </dxf>
    <dxf>
      <numFmt numFmtId="165" formatCode="mm/dd/yy;@"/>
    </dxf>
    <dxf>
      <alignment horizontal="center" vertical="bottom" textRotation="0" wrapText="0" indent="0" justifyLastLine="0" shrinkToFit="0" readingOrder="0"/>
    </dxf>
    <dxf>
      <alignment horizontal="center" vertical="bottom" textRotation="0" wrapText="0" indent="0" justifyLastLine="0" shrinkToFit="0" readingOrder="0"/>
    </dxf>
    <dxf>
      <fill>
        <patternFill>
          <bgColor rgb="FFFEEFE2"/>
        </patternFill>
      </fill>
    </dxf>
    <dxf>
      <numFmt numFmtId="166" formatCode="_(&quot;$&quot;* #,##0_);_(&quot;$&quot;* \(#,##0\);_(&quot;$&quot;* &quot;-&quot;??_);_(@_)"/>
    </dxf>
    <dxf>
      <numFmt numFmtId="171" formatCode="_(&quot;$&quot;* #,##0.0_);_(&quot;$&quot;* \(#,##0.0\);_(&quot;$&quot;* &quot;-&quot;??_);_(@_)"/>
    </dxf>
    <dxf>
      <numFmt numFmtId="34" formatCode="_(&quot;$&quot;* #,##0.00_);_(&quot;$&quot;* \(#,##0.00\);_(&quot;$&quot;* &quot;-&quot;??_);_(@_)"/>
    </dxf>
    <dxf>
      <fill>
        <patternFill>
          <fgColor indexed="64"/>
          <bgColor rgb="FFFBC3AF" tint="0.54997405926694543"/>
        </patternFill>
      </fill>
    </dxf>
    <dxf>
      <fill>
        <patternFill>
          <fgColor indexed="64"/>
          <bgColor rgb="FFEBF5CD"/>
        </patternFill>
      </fill>
    </dxf>
    <dxf>
      <border>
        <top style="thin">
          <color auto="1"/>
        </top>
      </border>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strike val="0"/>
        <color theme="0" tint="-0.34998626667073579"/>
      </font>
    </dxf>
    <dxf>
      <fill>
        <patternFill>
          <bgColor theme="6" tint="0.79998168889431442"/>
        </patternFill>
      </fill>
    </dxf>
    <dxf>
      <font>
        <b val="0"/>
        <i val="0"/>
        <strike val="0"/>
        <outline val="0"/>
        <shadow val="0"/>
        <u val="none"/>
        <vertAlign val="baseline"/>
        <sz val="11"/>
        <color auto="1"/>
        <name val="Calibri"/>
        <scheme val="none"/>
      </font>
    </dxf>
    <dxf>
      <border>
        <top style="thin">
          <color auto="1"/>
        </top>
        <bottom style="thin">
          <color auto="1"/>
        </bottom>
        <vertical/>
        <horizontal/>
      </border>
    </dxf>
    <dxf>
      <fill>
        <patternFill>
          <bgColor rgb="FFFFFCF3"/>
        </patternFill>
      </fill>
    </dxf>
    <dxf>
      <fill>
        <patternFill>
          <bgColor rgb="FFFCF1C8"/>
        </patternFill>
      </fill>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5" defaultTableStyle="TableStyleMedium2" defaultPivotStyle="PivotStyleLight16">
    <tableStyle name="AddTableStyle" pivot="0" count="4">
      <tableStyleElement type="wholeTable" dxfId="293"/>
      <tableStyleElement type="headerRow" dxfId="292"/>
      <tableStyleElement type="totalRow" dxfId="291"/>
      <tableStyleElement type="firstRowStripe" dxfId="290"/>
    </tableStyle>
    <tableStyle name="OmitTableStyle" pivot="0" count="6">
      <tableStyleElement type="wholeTable" dxfId="289"/>
      <tableStyleElement type="headerRow" dxfId="288"/>
      <tableStyleElement type="totalRow" dxfId="287"/>
      <tableStyleElement type="firstColumn" dxfId="286"/>
      <tableStyleElement type="lastColumn" dxfId="285"/>
      <tableStyleElement type="firstRowStripe" dxfId="284"/>
    </tableStyle>
    <tableStyle name="TableFall" pivot="0" count="4">
      <tableStyleElement type="wholeTable" dxfId="283"/>
      <tableStyleElement type="headerRow" dxfId="282"/>
      <tableStyleElement type="totalRow" dxfId="281"/>
      <tableStyleElement type="firstRowStripe" dxfId="280"/>
    </tableStyle>
    <tableStyle name="TableStyleMedium3 2" pivot="0" count="7">
      <tableStyleElement type="wholeTable" dxfId="279"/>
      <tableStyleElement type="headerRow" dxfId="278"/>
      <tableStyleElement type="totalRow" dxfId="277"/>
      <tableStyleElement type="firstColumn" dxfId="276"/>
      <tableStyleElement type="lastColumn" dxfId="275"/>
      <tableStyleElement type="firstRowStripe" dxfId="274"/>
      <tableStyleElement type="firstColumnStripe" dxfId="273"/>
    </tableStyle>
    <tableStyle name="TableStyleMedium7 2" pivot="0" count="7">
      <tableStyleElement type="wholeTable" dxfId="272"/>
      <tableStyleElement type="headerRow" dxfId="271"/>
      <tableStyleElement type="totalRow" dxfId="270"/>
      <tableStyleElement type="firstColumn" dxfId="269"/>
      <tableStyleElement type="lastColumn" dxfId="268"/>
      <tableStyleElement type="firstRowStripe" dxfId="267"/>
      <tableStyleElement type="firstColumnStripe" dxfId="266"/>
    </tableStyle>
  </tableStyles>
  <colors>
    <mruColors>
      <color rgb="FFFFF2CA"/>
      <color rgb="FFFBC3AF"/>
      <color rgb="FFFBCEAF"/>
      <color rgb="FFE1FCC8"/>
      <color rgb="FFE0FBB3"/>
      <color rgb="FFEBF9ED"/>
      <color rgb="FFFFF3D1"/>
      <color rgb="FFFFF9E7"/>
      <color rgb="FFFFF9E5"/>
      <color rgb="FFF8DC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J3" lockText="1"/>
</file>

<file path=xl/ctrlProps/ctrlProp4.xml><?xml version="1.0" encoding="utf-8"?>
<formControlPr xmlns="http://schemas.microsoft.com/office/spreadsheetml/2009/9/main" objectType="Radio" firstButton="1" fmlaLink="J2" lockText="1"/>
</file>

<file path=xl/ctrlProps/ctrlProp5.xml><?xml version="1.0" encoding="utf-8"?>
<formControlPr xmlns="http://schemas.microsoft.com/office/spreadsheetml/2009/9/main" objectType="Radio" checked="Checked"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CheckBox"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5" dropStyle="combo" dx="35" fmlaLink="HiddenSettings!$E$6" fmlaRange="HiddenSettings!$D$7:$D$11" sel="2"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5" dropStyle="combo" dx="35" fmlaLink="HiddenSettings!$E$6" fmlaRange="HiddenSettings!$D$7:$D$11" sel="2"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1" Type="http://schemas.openxmlformats.org/officeDocument/2006/relationships/hyperlink" Target="#RoboRA!A1"/></Relationships>
</file>

<file path=xl/drawings/_rels/drawing7.xml.rels><?xml version="1.0" encoding="UTF-8" standalone="yes"?>
<Relationships xmlns="http://schemas.openxmlformats.org/package/2006/relationships"><Relationship Id="rId3" Type="http://schemas.openxmlformats.org/officeDocument/2006/relationships/hyperlink" Target="#Help!A1"/><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_rels/drawing8.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9.xml.rels><?xml version="1.0" encoding="UTF-8" standalone="yes"?>
<Relationships xmlns="http://schemas.openxmlformats.org/package/2006/relationships"><Relationship Id="rId1" Type="http://schemas.openxmlformats.org/officeDocument/2006/relationships/hyperlink" Target="#RoboRA!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200025</xdr:colOff>
          <xdr:row>5</xdr:row>
          <xdr:rowOff>19050</xdr:rowOff>
        </xdr:from>
        <xdr:to>
          <xdr:col>5</xdr:col>
          <xdr:colOff>114300</xdr:colOff>
          <xdr:row>6</xdr:row>
          <xdr:rowOff>19050</xdr:rowOff>
        </xdr:to>
        <xdr:sp macro="" textlink="">
          <xdr:nvSpPr>
            <xdr:cNvPr id="16387" name="Button 3" hidden="1">
              <a:extLst>
                <a:ext uri="{63B3BB69-23CF-44E3-9099-C40C66FF867C}">
                  <a14:compatExt spid="_x0000_s16387"/>
                </a:ext>
                <a:ext uri="{FF2B5EF4-FFF2-40B4-BE49-F238E27FC236}">
                  <a16:creationId xmlns:a16="http://schemas.microsoft.com/office/drawing/2014/main" xmlns=""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Pull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7</xdr:row>
          <xdr:rowOff>57150</xdr:rowOff>
        </xdr:from>
        <xdr:to>
          <xdr:col>5</xdr:col>
          <xdr:colOff>114300</xdr:colOff>
          <xdr:row>8</xdr:row>
          <xdr:rowOff>57150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xmlns=""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RA Drafts</a:t>
              </a:r>
            </a:p>
          </xdr:txBody>
        </xdr:sp>
        <xdr:clientData fPrintsWithSheet="0"/>
      </xdr:twoCellAnchor>
    </mc:Choice>
    <mc:Fallback/>
  </mc:AlternateContent>
  <xdr:twoCellAnchor editAs="absolute">
    <xdr:from>
      <xdr:col>7</xdr:col>
      <xdr:colOff>289832</xdr:colOff>
      <xdr:row>0</xdr:row>
      <xdr:rowOff>0</xdr:rowOff>
    </xdr:from>
    <xdr:to>
      <xdr:col>10</xdr:col>
      <xdr:colOff>370691</xdr:colOff>
      <xdr:row>8</xdr:row>
      <xdr:rowOff>226167</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xmlns="" id="{00000000-0008-0000-0000-000006000000}"/>
            </a:ext>
          </a:extLst>
        </xdr:cNvPr>
        <xdr:cNvGrpSpPr>
          <a:grpSpLocks noChangeAspect="1"/>
        </xdr:cNvGrpSpPr>
      </xdr:nvGrpSpPr>
      <xdr:grpSpPr>
        <a:xfrm>
          <a:off x="3671207" y="0"/>
          <a:ext cx="2243034" cy="2054967"/>
          <a:chOff x="3257550" y="0"/>
          <a:chExt cx="2490684" cy="2054967"/>
        </a:xfrm>
      </xdr:grpSpPr>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xmlns="" id="{00000000-0008-0000-0000-000004000000}"/>
              </a:ext>
            </a:extLst>
          </xdr:cNvPr>
          <xdr:cNvSpPr/>
        </xdr:nvSpPr>
        <xdr:spPr>
          <a:xfrm>
            <a:off x="3455614" y="0"/>
            <a:ext cx="2068886" cy="775885"/>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11</xdr:col>
          <xdr:colOff>180975</xdr:colOff>
          <xdr:row>3</xdr:row>
          <xdr:rowOff>180975</xdr:rowOff>
        </xdr:from>
        <xdr:to>
          <xdr:col>12</xdr:col>
          <xdr:colOff>1647825</xdr:colOff>
          <xdr:row>4</xdr:row>
          <xdr:rowOff>200025</xdr:rowOff>
        </xdr:to>
        <xdr:sp macro="" textlink="">
          <xdr:nvSpPr>
            <xdr:cNvPr id="16395" name="cbAutoloadAll" hidden="1">
              <a:extLst>
                <a:ext uri="{63B3BB69-23CF-44E3-9099-C40C66FF867C}">
                  <a14:compatExt spid="_x0000_s16395"/>
                </a:ext>
                <a:ext uri="{FF2B5EF4-FFF2-40B4-BE49-F238E27FC236}">
                  <a16:creationId xmlns:a16="http://schemas.microsoft.com/office/drawing/2014/main" xmlns=""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4</xdr:row>
          <xdr:rowOff>171450</xdr:rowOff>
        </xdr:from>
        <xdr:to>
          <xdr:col>13</xdr:col>
          <xdr:colOff>38100</xdr:colOff>
          <xdr:row>5</xdr:row>
          <xdr:rowOff>133350</xdr:rowOff>
        </xdr:to>
        <xdr:sp macro="" textlink="">
          <xdr:nvSpPr>
            <xdr:cNvPr id="16397" name="obtnNeverOverwrite" hidden="1">
              <a:extLst>
                <a:ext uri="{63B3BB69-23CF-44E3-9099-C40C66FF867C}">
                  <a14:compatExt spid="_x0000_s16397"/>
                </a:ext>
                <a:ext uri="{FF2B5EF4-FFF2-40B4-BE49-F238E27FC236}">
                  <a16:creationId xmlns:a16="http://schemas.microsoft.com/office/drawing/2014/main" xmlns=""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5</xdr:row>
          <xdr:rowOff>133350</xdr:rowOff>
        </xdr:from>
        <xdr:to>
          <xdr:col>13</xdr:col>
          <xdr:colOff>142875</xdr:colOff>
          <xdr:row>6</xdr:row>
          <xdr:rowOff>66675</xdr:rowOff>
        </xdr:to>
        <xdr:sp macro="" textlink="">
          <xdr:nvSpPr>
            <xdr:cNvPr id="16398" name="obtnAskOverwrite" hidden="1">
              <a:extLst>
                <a:ext uri="{63B3BB69-23CF-44E3-9099-C40C66FF867C}">
                  <a14:compatExt spid="_x0000_s16398"/>
                </a:ext>
                <a:ext uri="{FF2B5EF4-FFF2-40B4-BE49-F238E27FC236}">
                  <a16:creationId xmlns:a16="http://schemas.microsoft.com/office/drawing/2014/main" xmlns=""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6</xdr:row>
          <xdr:rowOff>57150</xdr:rowOff>
        </xdr:from>
        <xdr:to>
          <xdr:col>13</xdr:col>
          <xdr:colOff>38100</xdr:colOff>
          <xdr:row>7</xdr:row>
          <xdr:rowOff>19050</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xmlns=""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171450</xdr:colOff>
          <xdr:row>2</xdr:row>
          <xdr:rowOff>85725</xdr:rowOff>
        </xdr:from>
        <xdr:to>
          <xdr:col>13</xdr:col>
          <xdr:colOff>0</xdr:colOff>
          <xdr:row>3</xdr:row>
          <xdr:rowOff>66675</xdr:rowOff>
        </xdr:to>
        <xdr:sp macro="" textlink="">
          <xdr:nvSpPr>
            <xdr:cNvPr id="16400" name="cbConfirmActions" hidden="1">
              <a:extLst>
                <a:ext uri="{63B3BB69-23CF-44E3-9099-C40C66FF867C}">
                  <a14:compatExt spid="_x0000_s16400"/>
                </a:ext>
                <a:ext uri="{FF2B5EF4-FFF2-40B4-BE49-F238E27FC236}">
                  <a16:creationId xmlns:a16="http://schemas.microsoft.com/office/drawing/2014/main" xmlns="" id="{00000000-0008-0000-00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Request confirmation of all 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6</xdr:row>
          <xdr:rowOff>38100</xdr:rowOff>
        </xdr:from>
        <xdr:to>
          <xdr:col>5</xdr:col>
          <xdr:colOff>114300</xdr:colOff>
          <xdr:row>7</xdr:row>
          <xdr:rowOff>38100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xmlns=""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Proj docs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304800</xdr:colOff>
          <xdr:row>1</xdr:row>
          <xdr:rowOff>142875</xdr:rowOff>
        </xdr:from>
        <xdr:to>
          <xdr:col>13</xdr:col>
          <xdr:colOff>161925</xdr:colOff>
          <xdr:row>2</xdr:row>
          <xdr:rowOff>104775</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xmlns=""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17</xdr:col>
      <xdr:colOff>795796</xdr:colOff>
      <xdr:row>0</xdr:row>
      <xdr:rowOff>460976</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xmlns=""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327683</xdr:colOff>
      <xdr:row>0</xdr:row>
      <xdr:rowOff>266589</xdr:rowOff>
    </xdr:from>
    <xdr:ext cx="5392872" cy="183278"/>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28158455" y="266589"/>
          <a:ext cx="5392872" cy="1832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Latest budget</a:t>
          </a:r>
          <a:r>
            <a:rPr lang="en-US" sz="1100" b="0" baseline="0">
              <a:solidFill>
                <a:srgbClr val="002060"/>
              </a:solidFill>
              <a:latin typeface="+mn-lt"/>
              <a:ea typeface="+mn-ea"/>
              <a:cs typeface="+mn-cs"/>
            </a:rPr>
            <a:t>: total, subcontracts, foreign travel, postdoc, participant support, and months</a:t>
          </a:r>
        </a:p>
      </xdr:txBody>
    </xdr:sp>
    <xdr:clientData/>
  </xdr:oneCellAnchor>
  <xdr:oneCellAnchor>
    <xdr:from>
      <xdr:col>57</xdr:col>
      <xdr:colOff>124633</xdr:colOff>
      <xdr:row>0</xdr:row>
      <xdr:rowOff>266589</xdr:rowOff>
    </xdr:from>
    <xdr:ext cx="2924478" cy="188834"/>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xmlns=""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0</xdr:row>
      <xdr:rowOff>267144</xdr:rowOff>
    </xdr:to>
    <xdr:sp macro="" textlink="">
      <xdr:nvSpPr>
        <xdr:cNvPr id="3" name="TextBox 2">
          <a:extLst>
            <a:ext uri="{FF2B5EF4-FFF2-40B4-BE49-F238E27FC236}">
              <a16:creationId xmlns:a16="http://schemas.microsoft.com/office/drawing/2014/main" xmlns=""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human/vertibrate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xmlns=""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xmlns="" id="{00000000-0008-0000-04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66675</xdr:rowOff>
        </xdr:from>
        <xdr:to>
          <xdr:col>16</xdr:col>
          <xdr:colOff>895350</xdr:colOff>
          <xdr:row>0</xdr:row>
          <xdr:rowOff>323850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xmlns="" id="{00000000-0008-0000-0500-00000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xmlns="" id="{00000000-0008-0000-05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5</xdr:row>
          <xdr:rowOff>19050</xdr:rowOff>
        </xdr:from>
        <xdr:to>
          <xdr:col>8</xdr:col>
          <xdr:colOff>171450</xdr:colOff>
          <xdr:row>6</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xmlns="" id="{00000000-0008-0000-06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7</xdr:row>
          <xdr:rowOff>28575</xdr:rowOff>
        </xdr:from>
        <xdr:to>
          <xdr:col>8</xdr:col>
          <xdr:colOff>171450</xdr:colOff>
          <xdr:row>8</xdr:row>
          <xdr:rowOff>38100</xdr:rowOff>
        </xdr:to>
        <xdr:sp macro="" textlink="">
          <xdr:nvSpPr>
            <xdr:cNvPr id="1028" name="Button 4" hidden="1">
              <a:extLst>
                <a:ext uri="{63B3BB69-23CF-44E3-9099-C40C66FF867C}">
                  <a14:compatExt spid="_x0000_s1028"/>
                </a:ext>
                <a:ext uri="{FF2B5EF4-FFF2-40B4-BE49-F238E27FC236}">
                  <a16:creationId xmlns:a16="http://schemas.microsoft.com/office/drawing/2014/main" xmlns="" id="{00000000-0008-0000-06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a:t>
              </a:r>
            </a:p>
          </xdr:txBody>
        </xdr:sp>
        <xdr:clientData/>
      </xdr:twoCellAnchor>
    </mc:Choice>
    <mc:Fallback/>
  </mc:AlternateContent>
  <xdr:twoCellAnchor editAs="absolute">
    <xdr:from>
      <xdr:col>4</xdr:col>
      <xdr:colOff>763639</xdr:colOff>
      <xdr:row>0</xdr:row>
      <xdr:rowOff>0</xdr:rowOff>
    </xdr:from>
    <xdr:to>
      <xdr:col>7</xdr:col>
      <xdr:colOff>61231</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xmlns="" id="{00000000-0008-0000-0600-000008000000}"/>
            </a:ext>
          </a:extLst>
        </xdr:cNvPr>
        <xdr:cNvGrpSpPr>
          <a:grpSpLocks noChangeAspect="1"/>
        </xdr:cNvGrpSpPr>
      </xdr:nvGrpSpPr>
      <xdr:grpSpPr>
        <a:xfrm>
          <a:off x="3030589" y="0"/>
          <a:ext cx="2021742" cy="1654628"/>
          <a:chOff x="3257550" y="0"/>
          <a:chExt cx="2553319" cy="2054967"/>
        </a:xfrm>
      </xdr:grpSpPr>
      <xdr:pic>
        <xdr:nvPicPr>
          <xdr:cNvPr id="9" name="Picture 8">
            <a:extLst>
              <a:ext uri="{FF2B5EF4-FFF2-40B4-BE49-F238E27FC236}">
                <a16:creationId xmlns:a16="http://schemas.microsoft.com/office/drawing/2014/main" xmlns="" id="{00000000-0008-0000-06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xmlns="" id="{00000000-0008-0000-0600-00000A000000}"/>
              </a:ext>
            </a:extLst>
          </xdr:cNvPr>
          <xdr:cNvSpPr/>
        </xdr:nvSpPr>
        <xdr:spPr>
          <a:xfrm>
            <a:off x="3377633" y="0"/>
            <a:ext cx="2433236" cy="150458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5</xdr:col>
      <xdr:colOff>440063</xdr:colOff>
      <xdr:row>24</xdr:row>
      <xdr:rowOff>82276</xdr:rowOff>
    </xdr:from>
    <xdr:to>
      <xdr:col>5</xdr:col>
      <xdr:colOff>881742</xdr:colOff>
      <xdr:row>25</xdr:row>
      <xdr:rowOff>219684</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xmlns="" id="{00000000-0008-0000-06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73120" y="5655762"/>
          <a:ext cx="441679" cy="393222"/>
        </a:xfrm>
        <a:prstGeom prst="rect">
          <a:avLst/>
        </a:prstGeom>
      </xdr:spPr>
    </xdr:pic>
    <xdr:clientData/>
  </xdr:twoCellAnchor>
  <xdr:twoCellAnchor editAs="oneCell">
    <xdr:from>
      <xdr:col>4</xdr:col>
      <xdr:colOff>508472</xdr:colOff>
      <xdr:row>24</xdr:row>
      <xdr:rowOff>46421</xdr:rowOff>
    </xdr:from>
    <xdr:to>
      <xdr:col>5</xdr:col>
      <xdr:colOff>188150</xdr:colOff>
      <xdr:row>27</xdr:row>
      <xdr:rowOff>71302</xdr:rowOff>
    </xdr:to>
    <xdr:pic macro="[0]!ClearQueryParams">
      <xdr:nvPicPr>
        <xdr:cNvPr id="16" name="Picture 15">
          <a:extLst>
            <a:ext uri="{FF2B5EF4-FFF2-40B4-BE49-F238E27FC236}">
              <a16:creationId xmlns:a16="http://schemas.microsoft.com/office/drawing/2014/main" xmlns="" id="{00000000-0008-0000-06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631186" y="5619907"/>
          <a:ext cx="790021" cy="716124"/>
        </a:xfrm>
        <a:prstGeom prst="rect">
          <a:avLst/>
        </a:prstGeom>
      </xdr:spPr>
    </xdr:pic>
    <xdr:clientData/>
  </xdr:twoCellAnchor>
  <xdr:twoCellAnchor editAs="oneCell">
    <xdr:from>
      <xdr:col>2</xdr:col>
      <xdr:colOff>615834</xdr:colOff>
      <xdr:row>24</xdr:row>
      <xdr:rowOff>748</xdr:rowOff>
    </xdr:from>
    <xdr:to>
      <xdr:col>4</xdr:col>
      <xdr:colOff>302341</xdr:colOff>
      <xdr:row>28</xdr:row>
      <xdr:rowOff>108342</xdr:rowOff>
    </xdr:to>
    <xdr:pic macro="[0]!RefreshFromBlock">
      <xdr:nvPicPr>
        <xdr:cNvPr id="18" name="Picture 17">
          <a:extLst>
            <a:ext uri="{FF2B5EF4-FFF2-40B4-BE49-F238E27FC236}">
              <a16:creationId xmlns:a16="http://schemas.microsoft.com/office/drawing/2014/main" xmlns="" id="{00000000-0008-0000-06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50620" y="5574234"/>
          <a:ext cx="1074436" cy="98389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219075</xdr:colOff>
          <xdr:row>22</xdr:row>
          <xdr:rowOff>9525</xdr:rowOff>
        </xdr:from>
        <xdr:to>
          <xdr:col>6</xdr:col>
          <xdr:colOff>257175</xdr:colOff>
          <xdr:row>23</xdr:row>
          <xdr:rowOff>9525</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xmlns="" id="{00000000-0008-0000-06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4</xdr:row>
          <xdr:rowOff>200025</xdr:rowOff>
        </xdr:from>
        <xdr:to>
          <xdr:col>3</xdr:col>
          <xdr:colOff>161925</xdr:colOff>
          <xdr:row>6</xdr:row>
          <xdr:rowOff>19050</xdr:rowOff>
        </xdr:to>
        <xdr:sp macro="" textlink="">
          <xdr:nvSpPr>
            <xdr:cNvPr id="1058" name="Button 34" hidden="1">
              <a:extLst>
                <a:ext uri="{63B3BB69-23CF-44E3-9099-C40C66FF867C}">
                  <a14:compatExt spid="_x0000_s1058"/>
                </a:ext>
                <a:ext uri="{FF2B5EF4-FFF2-40B4-BE49-F238E27FC236}">
                  <a16:creationId xmlns:a16="http://schemas.microsoft.com/office/drawing/2014/main" xmlns="" id="{00000000-0008-0000-0600-00002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Proj docs to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xmlns="" id="{00000000-0008-0000-07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xmlns="" id="{00000000-0008-0000-07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xmlns="" id="{00000000-0008-0000-07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xmlns="" id="{00000000-0008-0000-07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123825</xdr:rowOff>
        </xdr:from>
        <xdr:to>
          <xdr:col>4</xdr:col>
          <xdr:colOff>9525</xdr:colOff>
          <xdr:row>0</xdr:row>
          <xdr:rowOff>400050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xmlns="" id="{00000000-0008-0000-08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xmlns="" id="{00000000-0008-0000-08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084.681611342596" createdVersion="6" refreshedVersion="5" minRefreshableVersion="3" recordCount="1">
  <cacheSource type="worksheet">
    <worksheetSource name="ckSplitsTable"/>
  </cacheSource>
  <cacheFields count="34">
    <cacheField name="dd_rcom_date" numFmtId="165">
      <sharedItems containsNonDate="0" containsString="0" containsBlank="1"/>
    </cacheField>
    <cacheField name="nsf_rcvd_date" numFmtId="165">
      <sharedItems containsNonDate="0" containsString="0" containsBlank="1"/>
    </cacheField>
    <cacheField name="cntx_stmt_id" numFmtId="0">
      <sharedItems containsNonDate="0" containsString="0" containsBlank="1"/>
    </cacheField>
    <cacheField name="pgm_annc_id" numFmtId="0">
      <sharedItems containsNonDate="0" containsString="0" containsBlank="1"/>
    </cacheField>
    <cacheField name="pObj" numFmtId="22">
      <sharedItems containsNonDate="0" containsString="0" containsBlank="1"/>
    </cacheField>
    <cacheField name="bObj" numFmtId="22">
      <sharedItems containsNonDate="0" containsString="0" containsBlank="1"/>
    </cacheField>
    <cacheField name="pOrg" numFmtId="0">
      <sharedItems containsNonDate="0" containsString="0" containsBlank="1"/>
    </cacheField>
    <cacheField name="bOrg" numFmtId="0">
      <sharedItems containsNonDate="0" containsString="0" containsBlank="1"/>
    </cacheField>
    <cacheField name="pPEC" numFmtId="0">
      <sharedItems containsNonDate="0" containsString="0" containsBlank="1"/>
    </cacheField>
    <cacheField name="bPEC" numFmtId="0">
      <sharedItems containsNonDate="0" containsBlank="1" count="7">
        <m/>
        <s v="8078" u="1"/>
        <s v="1139" u="1"/>
        <s v="7796" u="1"/>
        <s v="1253" u="1"/>
        <s v="9150" u="1"/>
        <s v="041Y" u="1"/>
      </sharedItems>
    </cacheField>
    <cacheField name="pPO" numFmtId="0">
      <sharedItems containsNonDate="0" containsString="0" containsBlank="1"/>
    </cacheField>
    <cacheField name="bPO" numFmtId="0">
      <sharedItems containsNonDate="0" containsString="0" containsBlank="1"/>
    </cacheField>
    <cacheField name="prop_stts_abbr" numFmtId="0">
      <sharedItems containsNonDate="0" containsString="0" containsBlank="1"/>
    </cacheField>
    <cacheField name="natr_rqst_abbr" numFmtId="22">
      <sharedItems containsNonDate="0" containsString="0" containsBlank="1"/>
    </cacheField>
    <cacheField name="rcom_istr_abbr" numFmtId="22">
      <sharedItems containsNonDate="0" containsString="0" containsBlank="1"/>
    </cacheField>
    <cacheField name="budg_yr" numFmtId="0">
      <sharedItems containsNonDate="0" containsString="0" containsBlank="1" containsNumber="1" containsInteger="1" minValue="2015" maxValue="2021" count="7">
        <m/>
        <n v="2018" u="1"/>
        <n v="2019" u="1"/>
        <n v="2015" u="1"/>
        <n v="2020" u="1"/>
        <n v="2021" u="1"/>
        <n v="2017" u="1"/>
      </sharedItems>
    </cacheField>
    <cacheField name="splt_id" numFmtId="22">
      <sharedItems containsNonDate="0" containsString="0" containsBlank="1"/>
    </cacheField>
    <cacheField name="budg_splt_tot_dol" numFmtId="169">
      <sharedItems containsNonDate="0" containsString="0" containsBlank="1"/>
    </cacheField>
    <cacheField name="0" numFmtId="0">
      <sharedItems containsNonDate="0" containsString="0" containsBlank="1"/>
    </cacheField>
    <cacheField name="ILN" numFmtId="22">
      <sharedItems containsNonDate="0" containsString="0" containsBlank="1"/>
    </cacheField>
    <cacheField name="lead" numFmtId="22">
      <sharedItems containsNonDate="0" containsString="0" containsBlank="1"/>
    </cacheField>
    <cacheField name="eJ" numFmtId="22">
      <sharedItems containsNonDate="0" containsString="0" containsBlank="1"/>
    </cacheField>
    <cacheField name="Div" numFmtId="22">
      <sharedItems containsNonDate="0" containsString="0" containsBlank="1"/>
    </cacheField>
    <cacheField name="prop_id" numFmtId="22">
      <sharedItems containsNonDate="0" containsBlank="1" count="24">
        <m/>
        <s v="1740776" u="1"/>
        <s v="1652257" u="1"/>
        <s v="1740796" u="1"/>
        <s v="1757781" u="1"/>
        <s v="1651838" u="1"/>
        <s v="1740822" u="1"/>
        <s v="1740850" u="1"/>
        <s v="1652303" u="1"/>
        <s v="1740833" u="1"/>
        <s v="1652491" u="1"/>
        <s v="1740741" u="1"/>
        <s v="1740751" u="1"/>
        <s v="1740761" u="1"/>
        <s v="1740855" u="1"/>
        <s v="1740762" u="1"/>
        <s v="1740707" u="1"/>
        <s v="1740735" u="1"/>
        <s v="1740858" u="1"/>
        <s v="1652862" u="1"/>
        <s v="1735569" u="1"/>
        <s v="1651861" u="1"/>
        <s v="1652218" u="1"/>
        <s v="1740551" u="1"/>
      </sharedItems>
    </cacheField>
    <cacheField name="pi_last_name" numFmtId="22">
      <sharedItems containsNonDate="0" containsBlank="1" count="23">
        <m/>
        <s v="Wright" u="1"/>
        <s v="Peikert" u="1"/>
        <s v="Scheinberg" u="1"/>
        <s v="Indyk" u="1"/>
        <s v="Weinberger" u="1"/>
        <s v="Yuan" u="1"/>
        <s v="Braverman" u="1"/>
        <s v="Dey" u="1"/>
        <s v="Orabona" u="1"/>
        <s v="Diakonikolas" u="1"/>
        <s v="Vijayaraghavan" u="1"/>
        <s v="Sheehy" u="1"/>
        <s v="Rothvoss" u="1"/>
        <s v="Liu" u="1"/>
        <s v="Mahoney" u="1"/>
        <s v="Saha" u="1"/>
        <s v="Brock" u="1"/>
        <s v="Kakade" u="1"/>
        <s v="Zhang" u="1"/>
        <s v="Getoor" u="1"/>
        <s v="Williams" u="1"/>
        <s v="Huo" u="1"/>
      </sharedItems>
    </cacheField>
    <cacheField name="pi_frst_name" numFmtId="22">
      <sharedItems containsNonDate="0" containsString="0" containsBlank="1"/>
    </cacheField>
    <cacheField name="inst" numFmtId="22">
      <sharedItems containsNonDate="0" containsString="0" containsBlank="1"/>
    </cacheField>
    <cacheField name="@ pi" numFmtId="22">
      <sharedItems containsNonDate="0" containsString="0" containsBlank="1"/>
    </cacheField>
    <cacheField name="email" numFmtId="22">
      <sharedItems containsNonDate="0" containsString="0" containsBlank="1"/>
    </cacheField>
    <cacheField name="propPRCs" numFmtId="22">
      <sharedItems containsNonDate="0" containsString="0" containsBlank="1"/>
    </cacheField>
    <cacheField name="bPRCs" numFmtId="22">
      <sharedItems containsNonDate="0" containsString="0" containsBlank="1"/>
    </cacheField>
    <cacheField name="awd_id" numFmtId="22">
      <sharedItems containsNonDate="0" containsString="0" containsBlank="1"/>
    </cacheField>
    <cacheField name="prop_stts_txt" numFmtId="22">
      <sharedItems containsNonDate="0" containsString="0" containsBlank="1"/>
    </cacheField>
    <cacheField name="prop_titl_txt"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084.698403703704" createdVersion="6" refreshedVersion="5" minRefreshableVersion="3" recordCount="16">
  <cacheSource type="worksheet">
    <worksheetSource name="RADataTable"/>
  </cacheSource>
  <cacheFields count="133">
    <cacheField name="dd_rcom_date" numFmtId="165">
      <sharedItems containsNonDate="0" containsDate="1" containsString="0" containsBlank="1" minDate="2000-01-01T00:00:00" maxDate="2000-01-02T00:00:00"/>
    </cacheField>
    <cacheField name="nsf_rcvd_date" numFmtId="168">
      <sharedItems containsSemiMixedTypes="0" containsNonDate="0" containsDate="1" containsString="0" minDate="2000-01-01T00:00:00" maxDate="2017-09-22T13:15:00"/>
    </cacheField>
    <cacheField name="pgm_annc_id" numFmtId="168">
      <sharedItems/>
    </cacheField>
    <cacheField name="org_code" numFmtId="165">
      <sharedItems/>
    </cacheField>
    <cacheField name="pgm_ele_code" numFmtId="165">
      <sharedItems/>
    </cacheField>
    <cacheField name="natr_rqst_abbr" numFmtId="165">
      <sharedItems/>
    </cacheField>
    <cacheField name="prop_stts_abbr" numFmtId="165">
      <sharedItems/>
    </cacheField>
    <cacheField name="obj_clas_code" numFmtId="0">
      <sharedItems/>
    </cacheField>
    <cacheField name="cntx_stmt_id" numFmtId="0">
      <sharedItems/>
    </cacheField>
    <cacheField name="PO" numFmtId="0">
      <sharedItems/>
    </cacheField>
    <cacheField name="RAupdate" numFmtId="168">
      <sharedItems containsNonDate="0" containsDate="1" containsString="0" containsBlank="1" minDate="2000-01-01T00:00:00" maxDate="2000-01-02T00:00:00"/>
    </cacheField>
    <cacheField name="nPanl" numFmtId="0">
      <sharedItems containsSemiMixedTypes="0" containsString="0" containsNumber="1" containsInteger="1" minValue="0" maxValue="1"/>
    </cacheField>
    <cacheField name="RecRkMin" numFmtId="2">
      <sharedItems containsSemiMixedTypes="0" containsString="0" containsNumber="1" minValue="-0.99999998999999995" maxValue="3"/>
    </cacheField>
    <cacheField name="rec0" numFmtId="0">
      <sharedItems/>
    </cacheField>
    <cacheField name="rec1" numFmtId="0">
      <sharedItems containsBlank="1"/>
    </cacheField>
    <cacheField name="rec2" numFmtId="0">
      <sharedItems containsBlank="1"/>
    </cacheField>
    <cacheField name="RAtemplate" numFmtId="49">
      <sharedItems containsBlank="1" count="10">
        <s v="zztemplateFname RAt.docx"/>
        <s v=" "/>
        <s v="Std Decline RAt.docm"/>
        <m u="1"/>
        <s v="Awd RAt.docm" u="1"/>
        <s v="Std Decline RAt.docx" u="1"/>
        <s v="Decline RAt.docx" u="1"/>
        <s v="templateFilename_RAt.docx" u="1"/>
        <s v="Awd RAt.docx" u="1"/>
        <s v="Decline RAt.docm" u="1"/>
      </sharedItems>
    </cacheField>
    <cacheField name="Radraft_filename" numFmtId="49">
      <sharedItems/>
    </cacheField>
    <cacheField name="RApre_note" numFmtId="49">
      <sharedItems containsNonDate="0" containsString="0" containsBlank="1"/>
    </cacheField>
    <cacheField name="RAps_note" numFmtId="49">
      <sharedItems containsNonDate="0" containsString="0" containsBlank="1"/>
    </cacheField>
    <cacheField name="RAsigner" numFmtId="0">
      <sharedItems/>
    </cacheField>
    <cacheField name="RAsigner2" numFmtId="49">
      <sharedItems/>
    </cacheField>
    <cacheField name="ej" numFmtId="0">
      <sharedItems/>
    </cacheField>
    <cacheField name="@PI" numFmtId="0">
      <sharedItems/>
    </cacheField>
    <cacheField name="@allPIs" numFmtId="0">
      <sharedItems/>
    </cacheField>
    <cacheField name="Div" numFmtId="0">
      <sharedItems/>
    </cacheField>
    <cacheField name="lead" numFmtId="0">
      <sharedItems/>
    </cacheField>
    <cacheField name="Nrev" numFmtId="0">
      <sharedItems containsSemiMixedTypes="0" containsString="0" containsNumber="1" containsInteger="1" minValue="0" maxValue="4"/>
    </cacheField>
    <cacheField name="Nunmkd" numFmtId="0">
      <sharedItems containsString="0" containsBlank="1" containsNumber="1" containsInteger="1" minValue="0" maxValue="0"/>
    </cacheField>
    <cacheField name="Nunrlsbl" numFmtId="0">
      <sharedItems containsString="0" containsBlank="1" containsNumber="1" containsInteger="1" minValue="0" maxValue="0"/>
    </cacheField>
    <cacheField name="divergentReviews" numFmtId="0">
      <sharedItems/>
    </cacheField>
    <cacheField name="minScore" numFmtId="0">
      <sharedItems containsSemiMixedTypes="0" containsString="0" containsNumber="1" containsInteger="1" minValue="1" maxValue="5"/>
    </cacheField>
    <cacheField name="avg_score" numFmtId="2">
      <sharedItems containsSemiMixedTypes="0" containsString="0" containsNumber="1" minValue="1.6666666666666667" maxValue="6"/>
    </cacheField>
    <cacheField name="maxScore" numFmtId="0">
      <sharedItems containsSemiMixedTypes="0" containsString="0" containsNumber="1" containsInteger="1" minValue="3" maxValue="9"/>
    </cacheField>
    <cacheField name="allReviews" numFmtId="0">
      <sharedItems/>
    </cacheField>
    <cacheField name="last_rev_date" numFmtId="165">
      <sharedItems containsSemiMixedTypes="0" containsNonDate="0" containsDate="1" containsString="0" minDate="2000-01-01T00:00:00" maxDate="2017-11-13T14:27:00"/>
    </cacheField>
    <cacheField name="rqst_tot" numFmtId="166">
      <sharedItems containsSemiMixedTypes="0" containsString="0" containsNumber="1" containsInteger="1" minValue="226763" maxValue="99999999"/>
    </cacheField>
    <cacheField name="budg_tot" numFmtId="166">
      <sharedItems containsSemiMixedTypes="0" containsString="0" containsNumber="1" containsInteger="1" minValue="226763" maxValue="99999999"/>
    </cacheField>
    <cacheField name="budRevnMax" numFmtId="0">
      <sharedItems containsSemiMixedTypes="0" containsString="0" containsNumber="1" containsInteger="1" minValue="0" maxValue="0"/>
    </cacheField>
    <cacheField name="rqst_eff_date" numFmtId="165">
      <sharedItems containsSemiMixedTypes="0" containsNonDate="0" containsDate="1" containsString="0" minDate="2000-01-01T00:00:00" maxDate="2018-06-02T00:00:00"/>
    </cacheField>
    <cacheField name="rqst_mnth_cnt" numFmtId="0">
      <sharedItems containsSemiMixedTypes="0" containsString="0" containsNumber="1" containsInteger="1" minValue="24" maxValue="36"/>
    </cacheField>
    <cacheField name="prop_titl_txt" numFmtId="0">
      <sharedItems/>
    </cacheField>
    <cacheField name="AhNrev" numFmtId="0">
      <sharedItems containsString="0" containsBlank="1" containsNumber="1" containsInteger="1" minValue="0" maxValue="1"/>
    </cacheField>
    <cacheField name="AhRevs" numFmtId="0">
      <sharedItems containsBlank="1"/>
    </cacheField>
    <cacheField name="AhLast" numFmtId="165">
      <sharedItems containsNonDate="0" containsDate="1" containsString="0" containsBlank="1" minDate="2000-01-01T00:00:00" maxDate="2017-10-30T11:38:00"/>
    </cacheField>
    <cacheField name="panl_id0" numFmtId="0">
      <sharedItems/>
    </cacheField>
    <cacheField name="RCOM_TXT0" numFmtId="0">
      <sharedItems/>
    </cacheField>
    <cacheField name="rank0" numFmtId="0">
      <sharedItems containsString="0" containsBlank="1" containsNumber="1" containsInteger="1" minValue="99" maxValue="99"/>
    </cacheField>
    <cacheField name="panl_name0" numFmtId="0">
      <sharedItems/>
    </cacheField>
    <cacheField name="panl_end0" numFmtId="165">
      <sharedItems containsSemiMixedTypes="0" containsNonDate="0" containsDate="1" containsString="0" minDate="2000-01-01T00:00:00" maxDate="2017-11-14T00:00:00"/>
    </cacheField>
    <cacheField name="revs0" numFmtId="0">
      <sharedItems/>
    </cacheField>
    <cacheField name="PanlString0" numFmtId="0">
      <sharedItems/>
    </cacheField>
    <cacheField name="pnlst0" numFmtId="0">
      <sharedItems containsSemiMixedTypes="0" containsString="0" containsNumber="1" containsInteger="1" minValue="0" maxValue="7"/>
    </cacheField>
    <cacheField name="confl0" numFmtId="0">
      <sharedItems containsString="0" containsBlank="1" containsNumber="1" containsInteger="1" minValue="0" maxValue="1"/>
    </cacheField>
    <cacheField name="panl_id1" numFmtId="0">
      <sharedItems containsBlank="1"/>
    </cacheField>
    <cacheField name="RCOM_TXT1" numFmtId="0">
      <sharedItems containsBlank="1"/>
    </cacheField>
    <cacheField name="rank1" numFmtId="0">
      <sharedItems containsString="0" containsBlank="1" containsNumber="1" containsInteger="1" minValue="99" maxValue="99"/>
    </cacheField>
    <cacheField name="panl_name1" numFmtId="0">
      <sharedItems containsBlank="1"/>
    </cacheField>
    <cacheField name="panl_end1" numFmtId="165">
      <sharedItems containsNonDate="0" containsDate="1" containsString="0" containsBlank="1" minDate="2000-01-01T00:00:00" maxDate="2000-01-02T00:00:00"/>
    </cacheField>
    <cacheField name="revs1" numFmtId="0">
      <sharedItems containsBlank="1"/>
    </cacheField>
    <cacheField name="PanlString1" numFmtId="0">
      <sharedItems containsBlank="1"/>
    </cacheField>
    <cacheField name="pnlst1" numFmtId="0">
      <sharedItems containsString="0" containsBlank="1" containsNumber="1" containsInteger="1" minValue="0" maxValue="0"/>
    </cacheField>
    <cacheField name="confl1" numFmtId="0">
      <sharedItems containsString="0" containsBlank="1" containsNumber="1" containsInteger="1" minValue="0" maxValue="0"/>
    </cacheField>
    <cacheField name="panl_id2" numFmtId="0">
      <sharedItems containsBlank="1"/>
    </cacheField>
    <cacheField name="RCOM_TXT2" numFmtId="0">
      <sharedItems containsBlank="1"/>
    </cacheField>
    <cacheField name="rank2" numFmtId="0">
      <sharedItems containsString="0" containsBlank="1" containsNumber="1" containsInteger="1" minValue="99" maxValue="99"/>
    </cacheField>
    <cacheField name="panl_name2" numFmtId="0">
      <sharedItems containsBlank="1"/>
    </cacheField>
    <cacheField name="panl_end2" numFmtId="165">
      <sharedItems containsNonDate="0" containsDate="1" containsString="0" containsBlank="1" minDate="2000-01-01T00:00:00" maxDate="2000-01-02T00:00:00"/>
    </cacheField>
    <cacheField name="revs2" numFmtId="0">
      <sharedItems containsBlank="1"/>
    </cacheField>
    <cacheField name="PanlString2" numFmtId="0">
      <sharedItems containsBlank="1"/>
    </cacheField>
    <cacheField name="pnlst2" numFmtId="0">
      <sharedItems containsString="0" containsBlank="1" containsNumber="1" containsInteger="1" minValue="0" maxValue="0"/>
    </cacheField>
    <cacheField name="confl2" numFmtId="0">
      <sharedItems containsString="0" containsBlank="1" containsNumber="1" containsInteger="1" minValue="0" maxValue="0"/>
    </cacheField>
    <cacheField name="prop_id0" numFmtId="0">
      <sharedItems/>
    </cacheField>
    <cacheField name="last0" numFmtId="0">
      <sharedItems/>
    </cacheField>
    <cacheField name="frst0" numFmtId="0">
      <sharedItems/>
    </cacheField>
    <cacheField name="inst0" numFmtId="0">
      <sharedItems/>
    </cacheField>
    <cacheField name="rqst0" numFmtId="166">
      <sharedItems containsSemiMixedTypes="0" containsString="0" containsNumber="1" containsInteger="1" minValue="210453" maxValue="99999999"/>
    </cacheField>
    <cacheField name="b0tot" numFmtId="166">
      <sharedItems containsSemiMixedTypes="0" containsString="0" containsNumber="1" containsInteger="1" minValue="210453" maxValue="99999999"/>
    </cacheField>
    <cacheField name="PRC0" numFmtId="0">
      <sharedItems/>
    </cacheField>
    <cacheField name="prop_id1" numFmtId="0">
      <sharedItems containsBlank="1"/>
    </cacheField>
    <cacheField name="last1" numFmtId="0">
      <sharedItems containsBlank="1"/>
    </cacheField>
    <cacheField name="frst1" numFmtId="0">
      <sharedItems containsBlank="1"/>
    </cacheField>
    <cacheField name="inst1" numFmtId="0">
      <sharedItems containsBlank="1"/>
    </cacheField>
    <cacheField name="rqst1" numFmtId="166">
      <sharedItems containsString="0" containsBlank="1" containsNumber="1" containsInteger="1" minValue="78072" maxValue="99999999"/>
    </cacheField>
    <cacheField name="b1tot" numFmtId="166">
      <sharedItems containsString="0" containsBlank="1" containsNumber="1" containsInteger="1" minValue="78072" maxValue="99999999"/>
    </cacheField>
    <cacheField name="PRC1" numFmtId="0">
      <sharedItems containsBlank="1"/>
    </cacheField>
    <cacheField name="prop_id2" numFmtId="0">
      <sharedItems containsBlank="1"/>
    </cacheField>
    <cacheField name="last2" numFmtId="0">
      <sharedItems containsBlank="1"/>
    </cacheField>
    <cacheField name="frst2" numFmtId="0">
      <sharedItems containsBlank="1"/>
    </cacheField>
    <cacheField name="inst2" numFmtId="0">
      <sharedItems containsBlank="1"/>
    </cacheField>
    <cacheField name="rqst2" numFmtId="166">
      <sharedItems containsString="0" containsBlank="1" containsNumber="1" containsInteger="1" minValue="150000" maxValue="99999999"/>
    </cacheField>
    <cacheField name="b2tot" numFmtId="166">
      <sharedItems containsString="0" containsBlank="1" containsNumber="1" containsInteger="1" minValue="150000" maxValue="99999999"/>
    </cacheField>
    <cacheField name="PRC2" numFmtId="0">
      <sharedItems containsBlank="1"/>
    </cacheField>
    <cacheField name="prop_id3" numFmtId="0">
      <sharedItems containsBlank="1"/>
    </cacheField>
    <cacheField name="last3" numFmtId="0">
      <sharedItems containsBlank="1"/>
    </cacheField>
    <cacheField name="frst3" numFmtId="0">
      <sharedItems containsBlank="1"/>
    </cacheField>
    <cacheField name="inst3" numFmtId="0">
      <sharedItems containsBlank="1"/>
    </cacheField>
    <cacheField name="rqst3" numFmtId="166">
      <sharedItems containsString="0" containsBlank="1" containsNumber="1" containsInteger="1" minValue="99999999" maxValue="99999999"/>
    </cacheField>
    <cacheField name="b3tot" numFmtId="166">
      <sharedItems containsString="0" containsBlank="1" containsNumber="1" containsInteger="1" minValue="99999999" maxValue="99999999"/>
    </cacheField>
    <cacheField name="PRC3" numFmtId="0">
      <sharedItems containsBlank="1"/>
    </cacheField>
    <cacheField name="prop_id4" numFmtId="0">
      <sharedItems containsBlank="1"/>
    </cacheField>
    <cacheField name="last4" numFmtId="0">
      <sharedItems containsBlank="1"/>
    </cacheField>
    <cacheField name="frst4" numFmtId="0">
      <sharedItems containsBlank="1"/>
    </cacheField>
    <cacheField name="inst4" numFmtId="0">
      <sharedItems containsBlank="1"/>
    </cacheField>
    <cacheField name="rqst4" numFmtId="166">
      <sharedItems containsString="0" containsBlank="1" containsNumber="1" containsInteger="1" minValue="99999999" maxValue="99999999"/>
    </cacheField>
    <cacheField name="b4tot" numFmtId="166">
      <sharedItems containsString="0" containsBlank="1" containsNumber="1" containsInteger="1" minValue="99999999" maxValue="99999999"/>
    </cacheField>
    <cacheField name="PRC4" numFmtId="0">
      <sharedItems containsBlank="1"/>
    </cacheField>
    <cacheField name="prop_id5" numFmtId="0">
      <sharedItems containsBlank="1"/>
    </cacheField>
    <cacheField name="last5" numFmtId="0">
      <sharedItems containsBlank="1"/>
    </cacheField>
    <cacheField name="frst5" numFmtId="0">
      <sharedItems containsBlank="1"/>
    </cacheField>
    <cacheField name="inst5" numFmtId="0">
      <sharedItems containsBlank="1"/>
    </cacheField>
    <cacheField name="rqst5" numFmtId="166">
      <sharedItems containsString="0" containsBlank="1" containsNumber="1" containsInteger="1" minValue="99999999" maxValue="99999999"/>
    </cacheField>
    <cacheField name="b5tot" numFmtId="166">
      <sharedItems containsString="0" containsBlank="1" containsNumber="1" containsInteger="1" minValue="99999999" maxValue="99999999"/>
    </cacheField>
    <cacheField name="PRC5" numFmtId="0">
      <sharedItems containsBlank="1"/>
    </cacheField>
    <cacheField name="prop_id6" numFmtId="0">
      <sharedItems containsBlank="1"/>
    </cacheField>
    <cacheField name="last6" numFmtId="0">
      <sharedItems containsBlank="1"/>
    </cacheField>
    <cacheField name="frst6" numFmtId="0">
      <sharedItems containsBlank="1"/>
    </cacheField>
    <cacheField name="inst6" numFmtId="0">
      <sharedItems containsBlank="1"/>
    </cacheField>
    <cacheField name="rqst6" numFmtId="166">
      <sharedItems containsString="0" containsBlank="1" containsNumber="1" containsInteger="1" minValue="99999999" maxValue="99999999"/>
    </cacheField>
    <cacheField name="b6tot" numFmtId="166">
      <sharedItems containsString="0" containsBlank="1" containsNumber="1" containsInteger="1" minValue="99999999" maxValue="99999999"/>
    </cacheField>
    <cacheField name="PRC6" numFmtId="0">
      <sharedItems containsBlank="1"/>
    </cacheField>
    <cacheField name="solicitation" numFmtId="0">
      <sharedItems/>
    </cacheField>
    <cacheField name="Div_name" numFmtId="0">
      <sharedItems/>
    </cacheField>
    <cacheField name="pgm_ele_name" numFmtId="0">
      <sharedItems/>
    </cacheField>
    <cacheField name="sign_blck_name" numFmtId="49">
      <sharedItems/>
    </cacheField>
    <cacheField name="prop_stts_txt" numFmtId="0">
      <sharedItems/>
    </cacheField>
    <cacheField name="natr_rqst_txt" numFmtId="0">
      <sharedItems/>
    </cacheField>
    <cacheField name="obj_clas_name" numFmtId="0">
      <sharedItems/>
    </cacheField>
    <cacheField name="Dir" numFmtId="0">
      <sharedItems/>
    </cacheField>
    <cacheField name="Dir_name" numFmtId="0">
      <sharedItems/>
    </cacheField>
    <cacheField name="pulldate" numFmtId="168">
      <sharedItems containsSemiMixedTypes="0" containsNonDate="0" containsDate="1" containsString="0" minDate="2000-01-01T00:00:00" maxDate="2017-12-15T16:21:28"/>
    </cacheField>
    <cacheField name="email" numFmtId="0">
      <sharedItems/>
    </cacheField>
    <cacheField name="allPIemail"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m/>
    <m/>
    <m/>
    <m/>
    <m/>
    <m/>
    <m/>
    <m/>
    <x v="0"/>
    <m/>
    <m/>
    <m/>
    <m/>
    <m/>
    <x v="0"/>
    <m/>
    <m/>
    <m/>
    <m/>
    <m/>
    <m/>
    <m/>
    <x v="0"/>
    <x v="0"/>
    <m/>
    <m/>
    <m/>
    <m/>
    <m/>
    <m/>
    <m/>
    <m/>
    <m/>
  </r>
</pivotCacheRecords>
</file>

<file path=xl/pivotCache/pivotCacheRecords2.xml><?xml version="1.0" encoding="utf-8"?>
<pivotCacheRecords xmlns="http://schemas.openxmlformats.org/spreadsheetml/2006/main" xmlns:r="http://schemas.openxmlformats.org/officeDocument/2006/relationships" count="16">
  <r>
    <d v="2000-01-01T00:00:00"/>
    <d v="2000-01-01T00:00:00"/>
    <s v=".first line."/>
    <s v="..please"/>
    <s v="keep"/>
    <s v="for"/>
    <s v="mail"/>
    <s v="merge"/>
    <s v="formatting."/>
    <s v="thx."/>
    <d v="2000-01-01T00:00:00"/>
    <n v="0"/>
    <n v="-0.99999998999999995"/>
    <s v="NRFP"/>
    <s v="NRFP"/>
    <s v="NRFP"/>
    <x v="0"/>
    <s v="zztemplateFname  1234567 PI last name for format."/>
    <m/>
    <m/>
    <s v="Name for PO signature"/>
    <s v="Cognizant Program Director"/>
    <s v="eJ"/>
    <s v="Email of lead PI on the project"/>
    <s v="PIs@"/>
    <s v="Divn"/>
    <s v="1234567"/>
    <n v="0"/>
    <n v="0"/>
    <n v="0"/>
    <s v="Y"/>
    <n v="1"/>
    <n v="4.5"/>
    <n v="9"/>
    <s v="E,E/V,V,V/G,G,G/F,F,F/P,P"/>
    <d v="2000-01-01T00:00:00"/>
    <n v="99999999"/>
    <n v="99999999"/>
    <n v="0"/>
    <d v="2000-01-01T00:00:00"/>
    <n v="36"/>
    <s v="This first row is needed so that mail merge formatting will be correct. Please do not remove it.  Mail merge takes its formatting from the first rows of the table............"/>
    <n v="0"/>
    <s v="E,V,G,F,P"/>
    <d v="2000-01-01T00:00:0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Solicitation name retrieved from pgm_annc. This example is for formatting; please do not remove this line............"/>
    <s v="Division or directorate name retrieved by org_code from org. This example is for formatting; please do not remove this line............"/>
    <s v="Program Element name retrieved"/>
    <s v="Name for PO signature"/>
    <s v="Proposal status details"/>
    <s v="Nature of request full name"/>
    <s v="Object Class full name"/>
    <s v="DIR"/>
    <s v="Directorate name retrieved by modified org_code from org. This example is for formatting; please do not remove this line............"/>
    <d v="2000-01-01T00:00:00"/>
    <s v="Email of lead PI on the project"/>
    <s v="list of all emails for Pis on Lead and non-lead proposals on the project.  Does not include the co-Pis. "/>
  </r>
  <r>
    <m/>
    <d v="2017-09-15T16:12:00"/>
    <s v="PD 15-1631"/>
    <s v="07030000"/>
    <s v="1631"/>
    <s v="NEW"/>
    <s v="PEND"/>
    <s v="4110"/>
    <s v="UnsolFY18"/>
    <s v="QCHEN"/>
    <m/>
    <n v="1"/>
    <n v="2"/>
    <s v="SC"/>
    <m/>
    <m/>
    <x v="1"/>
    <s v="RA 1761623 Du"/>
    <m/>
    <m/>
    <s v="Cynthia Chen"/>
    <s v="Cognizant Program Director"/>
    <s v="eJ"/>
    <s v="dujing@tamu.edu"/>
    <s v="PIs@"/>
    <s v="CMMI"/>
    <s v="1761623"/>
    <n v="4"/>
    <m/>
    <m/>
    <s v=""/>
    <n v="5"/>
    <n v="6"/>
    <n v="9"/>
    <s v="E,G,G,G"/>
    <d v="2017-11-13T10:42:00"/>
    <n v="350000"/>
    <n v="350000"/>
    <n v="0"/>
    <d v="2018-06-01T00:00:00"/>
    <n v="36"/>
    <s v="Internet of Tools (IoTo): Addressing High Uncertainty in Productivity Assessment Using a Spatiotemporal Network of Construction Tools"/>
    <m/>
    <m/>
    <m/>
    <s v="P180480"/>
    <s v="Secondary Consideration"/>
    <m/>
    <s v="1631 CIS Unsol Proposal Review - Construction"/>
    <d v="2017-11-13T00:00:00"/>
    <s v=" E,G,G,G"/>
    <s v="15 rated projects , 1 SC, 14 DNC"/>
    <n v="7"/>
    <m/>
    <m/>
    <m/>
    <m/>
    <m/>
    <m/>
    <m/>
    <m/>
    <m/>
    <m/>
    <m/>
    <m/>
    <m/>
    <m/>
    <m/>
    <m/>
    <m/>
    <m/>
    <m/>
    <s v="1761623"/>
    <s v="Du"/>
    <s v="Jing"/>
    <s v="Texas A&amp;M Main Campus"/>
    <n v="350000"/>
    <n v="350000"/>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dujing@tamu.edu"/>
    <s v="dujing@tamu.edu      "/>
  </r>
  <r>
    <m/>
    <d v="2017-09-06T15:58:00"/>
    <s v="PD 15-1631"/>
    <s v="07030000"/>
    <s v="1631"/>
    <s v="NEW"/>
    <s v="PEND"/>
    <s v="4110"/>
    <s v="UnsolFY18"/>
    <s v="YHSUAN"/>
    <m/>
    <n v="1"/>
    <n v="3"/>
    <s v="DNC"/>
    <m/>
    <m/>
    <x v="2"/>
    <s v="Std Decline  1759519 Kim"/>
    <m/>
    <m/>
    <s v="Y. Grace Hsuan"/>
    <s v="Cognizant Program Director"/>
    <s v="eJ"/>
    <s v="yongkim@u.washington.edu"/>
    <s v="PIs@"/>
    <s v="CMMI"/>
    <s v="1759519"/>
    <n v="3"/>
    <m/>
    <m/>
    <s v=""/>
    <n v="3"/>
    <n v="3.3333333333333335"/>
    <n v="4"/>
    <s v="G/F,F,F"/>
    <d v="2017-11-13T07:21:00"/>
    <n v="345646"/>
    <n v="345646"/>
    <n v="0"/>
    <d v="2018-04-01T00:00:00"/>
    <n v="33"/>
    <s v="Achieving an Economic and Reliable Supply Chain of Prefabricated Products in Construction Projects"/>
    <m/>
    <m/>
    <m/>
    <s v="P180480"/>
    <s v="Do Not Consider"/>
    <m/>
    <s v="1631 CIS Unsol Proposal Review - Construction"/>
    <d v="2017-11-13T00:00:00"/>
    <s v=" G/F,F,F"/>
    <s v="15 rated projects , 1 SC, 14 DNC"/>
    <n v="7"/>
    <m/>
    <m/>
    <m/>
    <m/>
    <m/>
    <m/>
    <m/>
    <m/>
    <m/>
    <m/>
    <m/>
    <m/>
    <m/>
    <m/>
    <m/>
    <m/>
    <m/>
    <m/>
    <m/>
    <s v="1759519"/>
    <s v="Kim"/>
    <s v="Yong-Woo"/>
    <s v="U of Washington"/>
    <n v="345646"/>
    <n v="345646"/>
    <s v="036E 1057 CVIS"/>
    <m/>
    <m/>
    <m/>
    <m/>
    <m/>
    <m/>
    <m/>
    <m/>
    <m/>
    <m/>
    <m/>
    <m/>
    <m/>
    <m/>
    <m/>
    <m/>
    <m/>
    <m/>
    <m/>
    <m/>
    <m/>
    <m/>
    <m/>
    <m/>
    <m/>
    <m/>
    <m/>
    <m/>
    <m/>
    <m/>
    <m/>
    <m/>
    <m/>
    <m/>
    <m/>
    <m/>
    <m/>
    <m/>
    <m/>
    <m/>
    <m/>
    <m/>
    <s v="Civil Infrastructure Systems"/>
    <s v="Div Of Civil, Mechanical, &amp; Manufact Inn"/>
    <s v="CIVIL INFRASTRUCTURE SYSTEMS"/>
    <s v="Y. Grace Hsuan"/>
    <s v="Pending, Assigned to PM"/>
    <s v="New Project"/>
    <s v="Research Grants-Not Elsewh Cla"/>
    <s v="ENG"/>
    <s v="Directorate For Engineering"/>
    <d v="2017-12-15T16:21:28"/>
    <s v="yongkim@u.washington.edu"/>
    <s v="yongkim@u.washington.edu      "/>
  </r>
  <r>
    <m/>
    <d v="2017-09-11T21:31:00"/>
    <s v="PD 15-1631"/>
    <s v="07030000"/>
    <s v="1631"/>
    <s v="NEW"/>
    <s v="PEND"/>
    <s v="4110"/>
    <s v="UnsolFY18"/>
    <s v="YHSUAN"/>
    <m/>
    <n v="1"/>
    <n v="3"/>
    <s v="DNC"/>
    <m/>
    <m/>
    <x v="2"/>
    <s v="Std Decline  1760110 Dossick"/>
    <m/>
    <m/>
    <s v="Y. Grace Hsuan"/>
    <s v="Cognizant Program Director"/>
    <s v="eJ"/>
    <s v="cdossick@uw.edu"/>
    <s v="PIs@"/>
    <s v="CMMI"/>
    <s v="1760110"/>
    <n v="3"/>
    <m/>
    <m/>
    <s v=""/>
    <n v="3"/>
    <n v="3.6666666666666665"/>
    <n v="5"/>
    <s v="G,F,F"/>
    <d v="2017-11-13T13:25:00"/>
    <n v="455181"/>
    <n v="455181"/>
    <n v="0"/>
    <d v="2018-03-15T00:00:00"/>
    <n v="36"/>
    <s v="Frequent Routine Disruption across System Networks"/>
    <m/>
    <m/>
    <m/>
    <s v="P180480"/>
    <s v="Do Not Consider"/>
    <m/>
    <s v="1631 CIS Unsol Proposal Review - Construction"/>
    <d v="2017-11-13T00:00:00"/>
    <s v=" G,F,F"/>
    <s v="15 rated projects , 1 SC, 14 DNC"/>
    <n v="7"/>
    <m/>
    <m/>
    <m/>
    <m/>
    <m/>
    <m/>
    <m/>
    <m/>
    <m/>
    <m/>
    <m/>
    <m/>
    <m/>
    <m/>
    <m/>
    <m/>
    <m/>
    <m/>
    <m/>
    <s v="1760110"/>
    <s v="Dossick"/>
    <s v="Carrie"/>
    <s v="U of Washington"/>
    <n v="455181"/>
    <n v="455181"/>
    <s v="036E 1057 CVIS"/>
    <m/>
    <m/>
    <m/>
    <m/>
    <m/>
    <m/>
    <m/>
    <m/>
    <m/>
    <m/>
    <m/>
    <m/>
    <m/>
    <m/>
    <m/>
    <m/>
    <m/>
    <m/>
    <m/>
    <m/>
    <m/>
    <m/>
    <m/>
    <m/>
    <m/>
    <m/>
    <m/>
    <m/>
    <m/>
    <m/>
    <m/>
    <m/>
    <m/>
    <m/>
    <m/>
    <m/>
    <m/>
    <m/>
    <m/>
    <m/>
    <m/>
    <m/>
    <s v="Civil Infrastructure Systems"/>
    <s v="Div Of Civil, Mechanical, &amp; Manufact Inn"/>
    <s v="CIVIL INFRASTRUCTURE SYSTEMS"/>
    <s v="Y. Grace Hsuan"/>
    <s v="Pending, Review Package Produced"/>
    <s v="New Project"/>
    <s v="Research Grants-Not Elsewh Cla"/>
    <s v="ENG"/>
    <s v="Directorate For Engineering"/>
    <d v="2017-12-15T16:21:28"/>
    <s v="cdossick@uw.edu"/>
    <s v="cdossick@uw.edu      "/>
  </r>
  <r>
    <m/>
    <d v="2017-09-13T16:41:00"/>
    <s v="NSF 17-1"/>
    <s v="07030000"/>
    <s v="1631"/>
    <s v="NEW"/>
    <s v="PEND"/>
    <s v="4110"/>
    <s v="UnsolFY18"/>
    <s v="QCHEN"/>
    <m/>
    <n v="1"/>
    <n v="3"/>
    <s v="DNC"/>
    <m/>
    <m/>
    <x v="2"/>
    <s v="Std Decline  1760664 Lee"/>
    <m/>
    <m/>
    <s v="Cynthia Chen"/>
    <s v="Cognizant Program Director"/>
    <s v="eJ"/>
    <s v="yclee@lsu.edu"/>
    <s v="PIs@"/>
    <s v="CMMI"/>
    <s v="1760664"/>
    <n v="3"/>
    <m/>
    <m/>
    <s v=""/>
    <n v="1"/>
    <n v="1.6666666666666667"/>
    <n v="3"/>
    <s v="F,P,P"/>
    <d v="2017-11-12T20:19:00"/>
    <n v="299932"/>
    <n v="299932"/>
    <n v="0"/>
    <d v="2018-01-01T00:00:00"/>
    <n v="24"/>
    <s v="A Data-Driven Dynamic Optimization Framework for Modular-based Rapid Post-Flooding Reconstruction of Infrastructure Systems and Neighboring Communities"/>
    <m/>
    <m/>
    <m/>
    <s v="P180480"/>
    <s v="Do Not Consider"/>
    <m/>
    <s v="1631 CIS Unsol Proposal Review - Construction"/>
    <d v="2017-11-13T00:00:00"/>
    <s v=" F,P,P"/>
    <s v="15 rated projects , 1 SC, 14 DNC"/>
    <n v="7"/>
    <m/>
    <m/>
    <m/>
    <m/>
    <m/>
    <m/>
    <m/>
    <m/>
    <m/>
    <m/>
    <m/>
    <m/>
    <m/>
    <m/>
    <m/>
    <m/>
    <m/>
    <m/>
    <m/>
    <s v="1760664"/>
    <s v="Lee"/>
    <s v="Yong-Cheol"/>
    <s v="La St U &amp; A&amp;M Coll"/>
    <n v="299932"/>
    <n v="299932"/>
    <s v="036E 1057 9150 CVIS"/>
    <m/>
    <m/>
    <m/>
    <m/>
    <m/>
    <m/>
    <m/>
    <m/>
    <m/>
    <m/>
    <m/>
    <m/>
    <m/>
    <m/>
    <m/>
    <m/>
    <m/>
    <m/>
    <m/>
    <m/>
    <m/>
    <m/>
    <m/>
    <m/>
    <m/>
    <m/>
    <m/>
    <m/>
    <m/>
    <m/>
    <m/>
    <m/>
    <m/>
    <m/>
    <m/>
    <m/>
    <m/>
    <m/>
    <m/>
    <m/>
    <m/>
    <m/>
    <s v="Proposal &amp; Award Policies &amp; Procedures Guide - PAPPG"/>
    <s v="Div Of Civil, Mechanical, &amp; Manufact Inn"/>
    <s v="CIVIL INFRASTRUCTURE SYSTEMS"/>
    <s v="Cynthia Chen"/>
    <s v="Pending, Review Package Produced"/>
    <s v="New Project"/>
    <s v="Research Grants-Not Elsewh Cla"/>
    <s v="ENG"/>
    <s v="Directorate For Engineering"/>
    <d v="2017-12-15T16:21:28"/>
    <s v="yclee@lsu.edu"/>
    <s v="yclee@lsu.edu      "/>
  </r>
  <r>
    <m/>
    <d v="2017-09-14T12:29:00"/>
    <s v="PD 15-1631"/>
    <s v="07030000"/>
    <s v="1631"/>
    <s v="NEW"/>
    <s v="PEND"/>
    <s v="4110"/>
    <s v="UnsolFY18"/>
    <s v="QCHEN"/>
    <m/>
    <n v="1"/>
    <n v="3"/>
    <s v="DNC"/>
    <m/>
    <m/>
    <x v="2"/>
    <s v="Std Decline  1760896 Park"/>
    <m/>
    <m/>
    <s v="Cynthia Chen"/>
    <s v="Cognizant Program Director"/>
    <s v="eJ"/>
    <s v="jee.park@unlv.edu"/>
    <s v="PIs@"/>
    <s v="CMMI"/>
    <s v="1760896"/>
    <n v="3"/>
    <m/>
    <m/>
    <s v=""/>
    <n v="3"/>
    <n v="3.3333333333333335"/>
    <n v="4"/>
    <s v="G/F,F,F"/>
    <d v="2017-11-12T19:06:00"/>
    <n v="411918"/>
    <n v="411918"/>
    <n v="0"/>
    <d v="2018-01-01T00:00:00"/>
    <n v="36"/>
    <s v="Waking up a new sensory system: Body-to-brain stimulus for increased real-time perception of safety hazards and ensuing preventative measures"/>
    <m/>
    <m/>
    <m/>
    <s v="P180480"/>
    <s v="Do Not Consider"/>
    <m/>
    <s v="1631 CIS Unsol Proposal Review - Construction"/>
    <d v="2017-11-13T00:00:00"/>
    <s v=" G/F,F,F"/>
    <s v="15 rated projects , 1 SC, 14 DNC"/>
    <n v="7"/>
    <m/>
    <m/>
    <m/>
    <m/>
    <m/>
    <m/>
    <m/>
    <m/>
    <m/>
    <m/>
    <m/>
    <m/>
    <m/>
    <m/>
    <m/>
    <m/>
    <m/>
    <m/>
    <m/>
    <s v="1760896"/>
    <s v="Park"/>
    <s v="Jee Woong"/>
    <s v="U of Nevada Las Vegas"/>
    <n v="411918"/>
    <n v="411918"/>
    <s v="036E 1057 9150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jee.park@unlv.edu"/>
    <s v="jee.park@unlv.edu      "/>
  </r>
  <r>
    <m/>
    <d v="2017-09-14T12:32:00"/>
    <s v="PD 15-1631"/>
    <s v="07030000"/>
    <s v="1631"/>
    <s v="NEW"/>
    <s v="PEND"/>
    <s v="4110"/>
    <s v="UnsolFY18"/>
    <s v="QCHEN"/>
    <m/>
    <n v="1"/>
    <n v="3"/>
    <s v="DNC"/>
    <m/>
    <m/>
    <x v="1"/>
    <s v="RA 1760898 Ahn"/>
    <m/>
    <m/>
    <s v="Cynthia Chen"/>
    <s v="Cognizant Program Director"/>
    <s v="eJ"/>
    <s v="ryanahn@tamu.edu"/>
    <s v="PIs@"/>
    <s v="CMMI"/>
    <s v="1760898"/>
    <n v="3"/>
    <m/>
    <m/>
    <s v=""/>
    <n v="4"/>
    <n v="4.333333333333333"/>
    <n v="5"/>
    <s v="G,G/F,G/F"/>
    <d v="2017-11-13T14:27:00"/>
    <n v="484032"/>
    <n v="484032"/>
    <n v="0"/>
    <d v="2018-05-01T00:00:00"/>
    <n v="36"/>
    <s v="Collaborative Research: Deciphering Individual Risk Perception from Adaptive Behavioral Measurement in the Construction Workplace"/>
    <m/>
    <m/>
    <m/>
    <s v="P180480"/>
    <s v="Do Not Consider"/>
    <m/>
    <s v="1631 CIS Unsol Proposal Review - Construction"/>
    <d v="2017-11-13T00:00:00"/>
    <s v=" G,G/F,G/F"/>
    <s v="15 rated projects , 1 SC, 14 DNC"/>
    <n v="7"/>
    <n v="1"/>
    <m/>
    <m/>
    <m/>
    <m/>
    <m/>
    <m/>
    <m/>
    <m/>
    <m/>
    <m/>
    <m/>
    <m/>
    <m/>
    <m/>
    <m/>
    <m/>
    <m/>
    <m/>
    <s v="1760898"/>
    <s v="Ahn"/>
    <s v="Changbum"/>
    <s v="Texas A&amp;M Main Campus"/>
    <n v="255960"/>
    <n v="255960"/>
    <s v="036E 1057 CVIS"/>
    <s v="1760899"/>
    <s v="Johnson"/>
    <s v="Matthew"/>
    <s v="U of Nebraska-Lincoln"/>
    <n v="78072"/>
    <n v="78072"/>
    <s v="036E 1057 9150 CVIS"/>
    <s v="1761311"/>
    <s v="Cho"/>
    <s v="Yong"/>
    <s v="Georgia Tech Research Corp"/>
    <n v="150000"/>
    <n v="150000"/>
    <s v="036E 1057 CVIS"/>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ryanahn@tamu.edu"/>
    <s v="ryanahn@tamu.edu;matthew.r.johnson@unl.edu;yong.cho@ce.gatech.edu    "/>
  </r>
  <r>
    <m/>
    <d v="2017-09-14T16:14:00"/>
    <s v="PD 15-1631"/>
    <s v="07030000"/>
    <s v="1631"/>
    <s v="NEW"/>
    <s v="PEND"/>
    <s v="4110"/>
    <s v="UnsolFY18"/>
    <s v="QCHEN"/>
    <m/>
    <n v="1"/>
    <n v="3"/>
    <s v="DNC"/>
    <m/>
    <m/>
    <x v="1"/>
    <s v="RA 1761160 Leite"/>
    <m/>
    <m/>
    <s v="Cynthia Chen"/>
    <s v="Cognizant Program Director"/>
    <s v="eJ"/>
    <s v="fernanda.leite@austin.utexas.edu"/>
    <s v="PIs@"/>
    <s v="CMMI"/>
    <s v="1761160"/>
    <n v="3"/>
    <m/>
    <m/>
    <s v=""/>
    <n v="3"/>
    <n v="3.6666666666666665"/>
    <n v="5"/>
    <s v="G,F,F"/>
    <d v="2017-11-12T00:30:00"/>
    <n v="446786"/>
    <n v="446786"/>
    <n v="0"/>
    <d v="2018-06-01T00:00:00"/>
    <n v="36"/>
    <s v="BIM2Vec: an Automated Approach for Capturing and Retrieving Engineering Project Knowledge"/>
    <m/>
    <m/>
    <m/>
    <s v="P180480"/>
    <s v="Do Not Consider"/>
    <m/>
    <s v="1631 CIS Unsol Proposal Review - Construction"/>
    <d v="2017-11-13T00:00:00"/>
    <s v=" G,F,F"/>
    <s v="15 rated projects , 1 SC, 14 DNC"/>
    <n v="7"/>
    <n v="1"/>
    <m/>
    <m/>
    <m/>
    <m/>
    <m/>
    <m/>
    <m/>
    <m/>
    <m/>
    <m/>
    <m/>
    <m/>
    <m/>
    <m/>
    <m/>
    <m/>
    <m/>
    <m/>
    <s v="1761160"/>
    <s v="Leite"/>
    <s v="Fernanda"/>
    <s v="U of Texas Austin"/>
    <n v="446786"/>
    <n v="446786"/>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fernanda.leite@austin.utexas.edu"/>
    <s v="fernanda.leite@austin.utexas.edu      "/>
  </r>
  <r>
    <m/>
    <d v="2017-09-15T10:45:00"/>
    <s v="PD 15-1631"/>
    <s v="07030000"/>
    <s v="1631"/>
    <s v="NEW"/>
    <s v="PEND"/>
    <s v="4110"/>
    <s v="UnsolFY18"/>
    <s v="QCHEN"/>
    <m/>
    <n v="1"/>
    <n v="3"/>
    <s v="DNC"/>
    <m/>
    <m/>
    <x v="1"/>
    <s v="RA 1761370 Lucko"/>
    <m/>
    <m/>
    <s v="Cynthia Chen"/>
    <s v="Cognizant Program Director"/>
    <s v="eJ"/>
    <s v="lucko@cua.edu"/>
    <s v="PIs@"/>
    <s v="CMMI"/>
    <s v="1761370"/>
    <n v="3"/>
    <m/>
    <m/>
    <s v=""/>
    <n v="3"/>
    <n v="4"/>
    <n v="5"/>
    <s v="G,G/F,F"/>
    <d v="2017-11-11T15:16:00"/>
    <n v="305924"/>
    <n v="305924"/>
    <n v="0"/>
    <d v="2018-05-01T00:00:00"/>
    <n v="36"/>
    <s v="Exploring Emergence of Flexible Universal Distribution Function from Activity Network Schedules for Delay Mitigation in Construction Project Management"/>
    <m/>
    <m/>
    <m/>
    <s v="P180480"/>
    <s v="Do Not Consider"/>
    <m/>
    <s v="1631 CIS Unsol Proposal Review - Construction"/>
    <d v="2017-11-13T00:00:00"/>
    <s v=" G,G/F,F"/>
    <s v="15 rated projects , 1 SC, 14 DNC"/>
    <n v="7"/>
    <n v="1"/>
    <m/>
    <m/>
    <m/>
    <m/>
    <m/>
    <m/>
    <m/>
    <m/>
    <m/>
    <m/>
    <m/>
    <m/>
    <m/>
    <m/>
    <m/>
    <m/>
    <m/>
    <m/>
    <s v="1761370"/>
    <s v="Lucko"/>
    <s v="Gunnar"/>
    <s v="Catholic University"/>
    <n v="305924"/>
    <n v="305924"/>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lucko@cua.edu"/>
    <s v="lucko@cua.edu      "/>
  </r>
  <r>
    <m/>
    <d v="2017-09-15T10:47:00"/>
    <s v="PD 15-1631"/>
    <s v="07030000"/>
    <s v="1631"/>
    <s v="NEW"/>
    <s v="PEND"/>
    <s v="4110"/>
    <s v="UnsolFY18"/>
    <s v="QCHEN"/>
    <m/>
    <n v="1"/>
    <n v="3"/>
    <s v="DNC"/>
    <m/>
    <m/>
    <x v="1"/>
    <s v="RA 1761372 Lucko"/>
    <m/>
    <m/>
    <s v="Cynthia Chen"/>
    <s v="Cognizant Program Director"/>
    <s v="eJ"/>
    <s v="lucko@cua.edu"/>
    <s v="PIs@"/>
    <s v="CMMI"/>
    <s v="1761372"/>
    <n v="3"/>
    <m/>
    <m/>
    <s v=""/>
    <n v="3"/>
    <n v="3.6666666666666665"/>
    <n v="5"/>
    <s v="G,F,F"/>
    <d v="2017-11-07T11:56:00"/>
    <n v="308306"/>
    <n v="308306"/>
    <n v="0"/>
    <d v="2018-05-01T00:00:00"/>
    <n v="36"/>
    <s v="Restoring Macroscopic Production Perspective for Construction Project Scheduling With Singularity Functions Inspired by Traffic Flow Theory"/>
    <n v="1"/>
    <s v=" F"/>
    <d v="2017-10-30T11:38:00"/>
    <s v="P180480"/>
    <s v="Do Not Consider"/>
    <m/>
    <s v="1631 CIS Unsol Proposal Review - Construction"/>
    <d v="2017-11-13T00:00:00"/>
    <s v=" G ,F"/>
    <s v="15 rated projects , 1 SC, 14 DNC"/>
    <n v="7"/>
    <n v="1"/>
    <m/>
    <m/>
    <m/>
    <m/>
    <m/>
    <m/>
    <m/>
    <m/>
    <m/>
    <m/>
    <m/>
    <m/>
    <m/>
    <m/>
    <m/>
    <m/>
    <m/>
    <m/>
    <s v="1761372"/>
    <s v="Lucko"/>
    <s v="Gunnar"/>
    <s v="Catholic University"/>
    <n v="308306"/>
    <n v="308306"/>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lucko@cua.edu"/>
    <s v="lucko@cua.edu      "/>
  </r>
  <r>
    <m/>
    <d v="2017-09-15T13:14:00"/>
    <s v="PD 15-1631"/>
    <s v="07030000"/>
    <s v="1631"/>
    <s v="NEW"/>
    <s v="PEND"/>
    <s v="4110"/>
    <s v="UnsolFY18"/>
    <s v="QCHEN"/>
    <m/>
    <n v="1"/>
    <n v="3"/>
    <s v="DNC"/>
    <m/>
    <m/>
    <x v="1"/>
    <s v="RA 1761479 Dai"/>
    <m/>
    <m/>
    <s v="Cynthia Chen"/>
    <s v="Cognizant Program Director"/>
    <s v="eJ"/>
    <s v="fei.dai@mail.wvu.edu"/>
    <s v="PIs@"/>
    <s v="CMMI"/>
    <s v="1761479"/>
    <n v="3"/>
    <m/>
    <m/>
    <s v=""/>
    <n v="3"/>
    <n v="4"/>
    <n v="6"/>
    <s v="V/G,F,F"/>
    <d v="2017-11-13T05:44:00"/>
    <n v="360453"/>
    <n v="360453"/>
    <n v="0"/>
    <d v="2018-05-01T00:00:00"/>
    <n v="36"/>
    <s v="Collaborative Research: Logistics-Entailed Contextual Risk Analysis for Progressive Safety Performance on Construction Sites"/>
    <m/>
    <m/>
    <m/>
    <s v="P180480"/>
    <s v="Do Not Consider"/>
    <m/>
    <s v="1631 CIS Unsol Proposal Review - Construction"/>
    <d v="2017-11-13T00:00:00"/>
    <s v=" V/G,F,F"/>
    <s v="15 rated projects , 1 SC, 14 DNC"/>
    <n v="7"/>
    <m/>
    <m/>
    <m/>
    <m/>
    <m/>
    <m/>
    <m/>
    <m/>
    <m/>
    <m/>
    <m/>
    <m/>
    <m/>
    <m/>
    <m/>
    <m/>
    <m/>
    <m/>
    <m/>
    <s v="1761479"/>
    <s v="Dai"/>
    <s v="Fei"/>
    <s v="WV Univ Research Corp"/>
    <n v="210453"/>
    <n v="210453"/>
    <s v="036E 1057 9150 CVIS"/>
    <s v="1761443"/>
    <s v="Behzadan"/>
    <s v="Amir"/>
    <s v="Texas A&amp;M Main Campus"/>
    <n v="150000"/>
    <n v="150000"/>
    <s v="036E 1057 CVIS"/>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fei.dai@mail.wvu.edu"/>
    <s v="fei.dai@mail.wvu.edu;abehzadan@tamu.edu     "/>
  </r>
  <r>
    <m/>
    <d v="2017-09-18T14:02:00"/>
    <s v="PD 15-1631"/>
    <s v="07030000"/>
    <s v="1631"/>
    <s v="NEW"/>
    <s v="PEND"/>
    <s v="4110"/>
    <s v="UnsolFY18"/>
    <s v="QCHEN"/>
    <m/>
    <n v="1"/>
    <n v="3"/>
    <s v="DNC"/>
    <m/>
    <m/>
    <x v="1"/>
    <s v="RA 1761829 Cai"/>
    <m/>
    <m/>
    <s v="Cynthia Chen"/>
    <s v="Cognizant Program Director"/>
    <s v="eJ"/>
    <s v="hubocai@ecn.purdue.edu"/>
    <s v="PIs@"/>
    <s v="CMMI"/>
    <s v="1761829"/>
    <n v="3"/>
    <m/>
    <m/>
    <s v=""/>
    <n v="3"/>
    <n v="3"/>
    <n v="3"/>
    <s v="F,F,F"/>
    <d v="2017-11-13T08:22:00"/>
    <n v="398918"/>
    <n v="398918"/>
    <n v="0"/>
    <d v="2018-01-08T00:00:00"/>
    <n v="36"/>
    <s v="Spatial-Temporal Analytics to Improve Productivity and Enhance Safety in Infrastructure Construction"/>
    <m/>
    <m/>
    <m/>
    <s v="P180480"/>
    <s v="Do Not Consider"/>
    <m/>
    <s v="1631 CIS Unsol Proposal Review - Construction"/>
    <d v="2017-11-13T00:00:00"/>
    <s v=" F,F,F"/>
    <s v="15 rated projects , 1 SC, 14 DNC"/>
    <n v="7"/>
    <m/>
    <m/>
    <m/>
    <m/>
    <m/>
    <m/>
    <m/>
    <m/>
    <m/>
    <m/>
    <m/>
    <m/>
    <m/>
    <m/>
    <m/>
    <m/>
    <m/>
    <m/>
    <m/>
    <s v="1761829"/>
    <s v="Cai"/>
    <s v="Hubo"/>
    <s v="Purdue University"/>
    <n v="398918"/>
    <n v="398918"/>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hubocai@ecn.purdue.edu"/>
    <s v="hubocai@ecn.purdue.edu      "/>
  </r>
  <r>
    <m/>
    <d v="2017-09-21T08:37:00"/>
    <s v="PD 15-1631"/>
    <s v="07030000"/>
    <s v="1631"/>
    <s v="NEW"/>
    <s v="PEND"/>
    <s v="4110"/>
    <s v="UnsolFY18"/>
    <s v="QCHEN"/>
    <m/>
    <n v="1"/>
    <n v="3"/>
    <s v="DNC"/>
    <m/>
    <m/>
    <x v="1"/>
    <s v="RA 1762328 Chen"/>
    <m/>
    <m/>
    <s v="Cynthia Chen"/>
    <s v="Cognizant Program Director"/>
    <s v="eJ"/>
    <s v="ychen@georgiasouthern.edu"/>
    <s v="PIs@"/>
    <s v="CMMI"/>
    <s v="1762328"/>
    <n v="3"/>
    <m/>
    <m/>
    <s v=""/>
    <n v="3"/>
    <n v="3"/>
    <n v="3"/>
    <s v="F,F,F"/>
    <d v="2017-11-13T06:13:00"/>
    <n v="226763"/>
    <n v="226763"/>
    <n v="0"/>
    <d v="2018-03-01T00:00:00"/>
    <n v="24"/>
    <s v="A Smartphone-Based Human-Equipment Proximity Warning System (SHE-PWS) to Enhance Construction Jobsite Safety"/>
    <m/>
    <m/>
    <m/>
    <s v="P180480"/>
    <s v="Do Not Consider"/>
    <m/>
    <s v="1631 CIS Unsol Proposal Review - Construction"/>
    <d v="2017-11-13T00:00:00"/>
    <s v=" F,F,F"/>
    <s v="15 rated projects , 1 SC, 14 DNC"/>
    <n v="7"/>
    <m/>
    <m/>
    <m/>
    <m/>
    <m/>
    <m/>
    <m/>
    <m/>
    <m/>
    <m/>
    <m/>
    <m/>
    <m/>
    <m/>
    <m/>
    <m/>
    <m/>
    <m/>
    <m/>
    <s v="1762328"/>
    <s v="Chen"/>
    <s v="Yunfeng"/>
    <s v="Ga. Southern Univ. R&amp;S Fdn"/>
    <n v="226763"/>
    <n v="226763"/>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ychen@georgiasouthern.edu"/>
    <s v="ychen@georgiasouthern.edu      "/>
  </r>
  <r>
    <m/>
    <d v="2017-09-21T10:44:00"/>
    <s v="PD 15-1631"/>
    <s v="07030000"/>
    <s v="1631"/>
    <s v="NEW"/>
    <s v="PEND"/>
    <s v="4110"/>
    <s v="UnsolFY18"/>
    <s v="QCHEN"/>
    <m/>
    <n v="1"/>
    <n v="3"/>
    <s v="DNC"/>
    <m/>
    <m/>
    <x v="1"/>
    <s v="RA 1762357 Ashuri"/>
    <m/>
    <m/>
    <s v="Cynthia Chen"/>
    <s v="Cognizant Program Director"/>
    <s v="eJ"/>
    <s v="baabak@gatech.edu"/>
    <s v="PIs@"/>
    <s v="CMMI"/>
    <s v="1762357"/>
    <n v="4"/>
    <m/>
    <m/>
    <s v=""/>
    <n v="3"/>
    <n v="4.5"/>
    <n v="7"/>
    <s v="V,G,F,F"/>
    <d v="2017-11-13T05:56:00"/>
    <n v="417731"/>
    <n v="417731"/>
    <n v="0"/>
    <d v="2018-01-01T00:00:00"/>
    <n v="24"/>
    <s v="Collaborative Research: Establishing Links Between Building Design Process and Design Productivity"/>
    <m/>
    <m/>
    <m/>
    <s v="P180480"/>
    <s v="Do Not Consider"/>
    <m/>
    <s v="1631 CIS Unsol Proposal Review - Construction"/>
    <d v="2017-11-13T00:00:00"/>
    <s v=" V,G,F,F"/>
    <s v="15 rated projects , 1 SC, 14 DNC"/>
    <n v="7"/>
    <n v="1"/>
    <m/>
    <m/>
    <m/>
    <m/>
    <m/>
    <m/>
    <m/>
    <m/>
    <m/>
    <m/>
    <m/>
    <m/>
    <m/>
    <m/>
    <m/>
    <m/>
    <m/>
    <m/>
    <s v="1762357"/>
    <s v="Ashuri"/>
    <s v="Baabak"/>
    <s v="Georgia Tech Research Corp"/>
    <n v="283738"/>
    <n v="283738"/>
    <s v="036E 1057 CVIS"/>
    <s v="1762413"/>
    <s v="Shahandashti"/>
    <s v="Seyed"/>
    <s v="U of Texas Arlington"/>
    <n v="133993"/>
    <n v="133993"/>
    <s v="036E 1057 CVIS"/>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baabak@gatech.edu"/>
    <s v="baabak@gatech.edu;mohsen@uta.edu     "/>
  </r>
  <r>
    <m/>
    <d v="2017-09-22T10:49:00"/>
    <s v="PD 15-1631"/>
    <s v="07030000"/>
    <s v="1631"/>
    <s v="NEW"/>
    <s v="PEND"/>
    <s v="4110"/>
    <s v="UnsolFY18"/>
    <s v="QCHEN"/>
    <m/>
    <n v="1"/>
    <n v="3"/>
    <s v="DNC"/>
    <m/>
    <m/>
    <x v="1"/>
    <s v="RA 1762649 Franz"/>
    <m/>
    <m/>
    <s v="Cynthia Chen"/>
    <s v="Cognizant Program Director"/>
    <s v="eJ"/>
    <s v="bfranz@ufl.edu"/>
    <s v="PIs@"/>
    <s v="CMMI"/>
    <s v="1762649"/>
    <n v="4"/>
    <m/>
    <m/>
    <s v=""/>
    <n v="3"/>
    <n v="4.25"/>
    <n v="7"/>
    <s v="V,G/F,F,F"/>
    <d v="2017-11-12T19:10:00"/>
    <n v="520802"/>
    <n v="520802"/>
    <n v="0"/>
    <d v="2018-05-21T00:00:00"/>
    <n v="36"/>
    <s v="Modeling Resilience in the Communication Networks of Design and Construction Teams"/>
    <m/>
    <m/>
    <m/>
    <s v="P180480"/>
    <s v="Do Not Consider"/>
    <m/>
    <s v="1631 CIS Unsol Proposal Review - Construction"/>
    <d v="2017-11-13T00:00:00"/>
    <s v=" V,G/F,F,F"/>
    <s v="15 rated projects , 1 SC, 14 DNC"/>
    <n v="7"/>
    <n v="1"/>
    <m/>
    <m/>
    <m/>
    <m/>
    <m/>
    <m/>
    <m/>
    <m/>
    <m/>
    <m/>
    <m/>
    <m/>
    <m/>
    <m/>
    <m/>
    <m/>
    <m/>
    <m/>
    <s v="1762649"/>
    <s v="Franz"/>
    <s v="Bryan"/>
    <s v="University of Florida"/>
    <n v="520802"/>
    <n v="520802"/>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bfranz@ufl.edu"/>
    <s v="bfranz@ufl.edu      "/>
  </r>
  <r>
    <m/>
    <d v="2017-09-22T13:15:00"/>
    <s v="PD 15-1631"/>
    <s v="07030000"/>
    <s v="1631"/>
    <s v="NEW"/>
    <s v="PEND"/>
    <s v="4110"/>
    <s v="UnsolFY18"/>
    <s v="QCHEN"/>
    <m/>
    <n v="1"/>
    <n v="3"/>
    <s v="DNC"/>
    <m/>
    <m/>
    <x v="1"/>
    <s v="RA 1762771 Grau"/>
    <m/>
    <m/>
    <s v="Cynthia Chen"/>
    <s v="Cognizant Program Director"/>
    <s v="eJ"/>
    <s v="david.grau@asu.edu"/>
    <s v="PIs@"/>
    <s v="CMMI"/>
    <s v="1762771"/>
    <n v="4"/>
    <m/>
    <m/>
    <s v=""/>
    <n v="2"/>
    <n v="3.75"/>
    <n v="6"/>
    <s v="V/G,G/F,F,F/P"/>
    <d v="2017-11-12T19:18:00"/>
    <n v="344462"/>
    <n v="344462"/>
    <n v="0"/>
    <d v="2018-05-15T00:00:00"/>
    <n v="36"/>
    <s v="Predicting Reliable Project Performance Outcomes with Linguistic Analysis and Probabilistic Judgment"/>
    <m/>
    <m/>
    <m/>
    <s v="P180480"/>
    <s v="Do Not Consider"/>
    <m/>
    <s v="1631 CIS Unsol Proposal Review - Construction"/>
    <d v="2017-11-13T00:00:00"/>
    <s v=" V/G,G/F,F,F/P"/>
    <s v="15 rated projects , 1 SC, 14 DNC"/>
    <n v="7"/>
    <m/>
    <m/>
    <m/>
    <m/>
    <m/>
    <m/>
    <m/>
    <m/>
    <m/>
    <m/>
    <m/>
    <m/>
    <m/>
    <m/>
    <m/>
    <m/>
    <m/>
    <m/>
    <m/>
    <s v="1762771"/>
    <s v="Grau"/>
    <s v="David"/>
    <s v="Arizona State University"/>
    <n v="344462"/>
    <n v="344462"/>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david.grau@asu.edu"/>
    <s v="david.grau@asu.edu      "/>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8">
        <item m="1" x="6"/>
        <item m="1" x="4"/>
        <item m="1" x="3"/>
        <item m="1" x="1"/>
        <item m="1" x="5"/>
        <item m="1" x="2"/>
        <item x="0"/>
        <item t="default"/>
      </items>
    </pivotField>
    <pivotField subtotalTop="0" showAll="0"/>
    <pivotField subtotalTop="0" showAll="0"/>
    <pivotField subtotalTop="0" showAll="0"/>
    <pivotField subtotalTop="0" showAll="0"/>
    <pivotField subtotalTop="0" showAll="0"/>
    <pivotField axis="axisCol" subtotalTop="0" showAll="0">
      <items count="8">
        <item m="1" x="6"/>
        <item m="1" x="1"/>
        <item m="1" x="2"/>
        <item m="1" x="4"/>
        <item m="1" x="5"/>
        <item m="1" x="3"/>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24">
        <item m="1" x="5"/>
        <item m="1" x="21"/>
        <item m="1" x="22"/>
        <item m="1" x="2"/>
        <item m="1" x="8"/>
        <item m="1" x="10"/>
        <item m="1" x="19"/>
        <item m="1" x="17"/>
        <item m="1" x="11"/>
        <item m="1" x="12"/>
        <item m="1" x="15"/>
        <item m="1" x="1"/>
        <item m="1" x="3"/>
        <item m="1" x="6"/>
        <item m="1" x="9"/>
        <item m="1" x="23"/>
        <item m="1" x="16"/>
        <item m="1" x="13"/>
        <item m="1" x="7"/>
        <item m="1" x="14"/>
        <item m="1" x="18"/>
        <item m="1" x="4"/>
        <item m="1" x="20"/>
        <item x="0"/>
      </items>
    </pivotField>
    <pivotField axis="axisRow" subtotalTop="0" showAll="0" defaultSubtotal="0">
      <items count="23">
        <item m="1" x="7"/>
        <item m="1" x="17"/>
        <item m="1" x="10"/>
        <item m="1" x="22"/>
        <item m="1" x="4"/>
        <item m="1" x="14"/>
        <item m="1" x="9"/>
        <item m="1" x="13"/>
        <item m="1" x="16"/>
        <item m="1" x="3"/>
        <item m="1" x="12"/>
        <item m="1" x="11"/>
        <item m="1" x="5"/>
        <item m="1" x="21"/>
        <item m="1" x="1"/>
        <item m="1" x="18"/>
        <item m="1" x="8"/>
        <item m="1" x="20"/>
        <item m="1" x="15"/>
        <item m="1" x="19"/>
        <item m="1" x="6"/>
        <item m="1" x="2"/>
        <item x="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v="23"/>
      <x v="22"/>
    </i>
    <i r="2">
      <x v="6"/>
    </i>
    <i t="grand">
      <x/>
    </i>
  </rowItems>
  <colFields count="1">
    <field x="15"/>
  </colFields>
  <colItems count="2">
    <i>
      <x v="6"/>
    </i>
    <i t="grand">
      <x/>
    </i>
  </colItems>
  <dataFields count="1">
    <dataField name="Sum of budg_splt_tot_dol" fld="17" baseField="0" baseItem="0" numFmtId="166"/>
  </dataFields>
  <formats count="3">
    <format dxfId="233">
      <pivotArea outline="0" collapsedLevelsAreSubtotals="1" fieldPosition="0"/>
    </format>
    <format dxfId="232">
      <pivotArea outline="0" collapsedLevelsAreSubtotals="1" fieldPosition="0"/>
    </format>
    <format dxfId="23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16"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D17:E21" firstHeaderRow="1" firstDataRow="1" firstDataCol="1"/>
  <pivotFields count="133">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11">
        <item x="1"/>
        <item m="1" x="8"/>
        <item m="1" x="6"/>
        <item m="1" x="5"/>
        <item m="1" x="7"/>
        <item x="0"/>
        <item m="1" x="3"/>
        <item m="1" x="4"/>
        <item m="1" x="9"/>
        <item x="2"/>
        <item t="default"/>
      </items>
    </pivotField>
    <pivotField subtotalTop="0" showAll="0"/>
    <pivotField subtotalTop="0" showAll="0"/>
    <pivotField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s>
  <rowFields count="1">
    <field x="16"/>
  </rowFields>
  <rowItems count="4">
    <i>
      <x/>
    </i>
    <i>
      <x v="5"/>
    </i>
    <i>
      <x v="9"/>
    </i>
    <i t="grand">
      <x/>
    </i>
  </rowItems>
  <colItems count="1">
    <i/>
  </colItems>
  <dataFields count="1">
    <dataField name="Count of lead" fld="2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64">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1" name="brevn" tableColumnId="163"/>
      <queryTableField id="42" name="rqst_tot" tableColumnId="164"/>
      <queryTableField id="43" name="budg_tot" tableColumnId="165"/>
      <queryTableField id="44" name="sub_ctr_tot" tableColumnId="166"/>
      <queryTableField id="45" name="frgn_trav_tot" tableColumnId="167"/>
      <queryTableField id="46" name="pdoc_tot" tableColumnId="168"/>
      <queryTableField id="47" name="part_tot_dol" tableColumnId="169"/>
      <queryTableField id="48" name="grad_tot_cnt" tableColumnId="170"/>
      <queryTableField id="49" name="sr_tot_cnt" tableColumnId="171"/>
      <queryTableField id="50" name="sr_sumr_mnths" tableColumnId="172"/>
      <queryTableField id="51" name="sr_acad_mnths" tableColumnId="173"/>
      <queryTableField id="52" name="sr_cal_mnths" tableColumnId="17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
      <deletedField name="RecRkMi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26">
    <queryTableFields count="50">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88" name="rqst_tot" tableColumnId="34"/>
      <queryTableField id="289" name="brevn" tableColumnId="35"/>
      <queryTableField id="290" name="budg_tot" tableColumnId="36"/>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30">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58" dataBound="0" tableColumnId="2"/>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5.xml><?xml version="1.0" encoding="utf-8"?>
<queryTable xmlns="http://schemas.openxmlformats.org/spreadsheetml/2006/main" name="Query from RPTSERVER_1" adjustColumnWidth="0" connectionId="4"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6.xml><?xml version="1.0" encoding="utf-8"?>
<queryTable xmlns="http://schemas.openxmlformats.org/spreadsheetml/2006/main" name="Query from RPTSERVER" adjustColumnWidth="0" connectionId="7" autoFormatId="16" applyNumberFormats="0" applyBorderFormats="0" applyFontFormats="0" applyPatternFormats="0" applyAlignmentFormats="0" applyWidthHeightFormats="0">
  <queryTableRefresh nextId="145">
    <queryTableFields count="133">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19" name="obj_clas_name" tableColumnId="119"/>
      <queryTableField id="120" name="Dir" tableColumnId="120"/>
      <queryTableField id="121" name="Dir_name" tableColumnId="121"/>
      <queryTableField id="122" name="pulldate" tableColumnId="122"/>
      <queryTableField id="123" name="email" tableColumnId="123"/>
      <queryTableField id="124" name="allPIemail" tableColumnId="124"/>
    </queryTableFields>
  </queryTableRefresh>
</queryTable>
</file>

<file path=xl/queryTables/queryTable7.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8.xml><?xml version="1.0" encoding="utf-8"?>
<queryTable xmlns="http://schemas.openxmlformats.org/spreadsheetml/2006/main" name="Query from RPTSERVER" backgroundRefresh="0" adjustColumnWidth="0" connectionId="6"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8" name="AwdPropTable" displayName="AwdPropTable" ref="B12:B13" insertRow="1" totalsRowShown="0" dataDxfId="265">
  <autoFilter ref="B12:B13"/>
  <tableColumns count="1">
    <tableColumn id="1" name="prop_id" dataDxfId="264"/>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E12:E13" insertRow="1" totalsRowShown="0" dataDxfId="263">
  <autoFilter ref="E12:E13"/>
  <tableColumns count="1">
    <tableColumn id="1" name="prop_id" dataDxfId="262"/>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H12:H13" insertRow="1" totalsRowShown="0" dataDxfId="261">
  <autoFilter ref="H12:H13"/>
  <tableColumns count="1">
    <tableColumn id="1" name="prop_id" dataDxfId="260"/>
  </tableColumns>
  <tableStyleInfo name="TableStyleMedium3 2" showFirstColumn="0" showLastColumn="0" showRowStripes="1" showColumnStripes="0"/>
</table>
</file>

<file path=xl/tables/table4.xml><?xml version="1.0" encoding="utf-8"?>
<table xmlns="http://schemas.openxmlformats.org/spreadsheetml/2006/main" id="3" name="ckCodingTable" displayName="ckCodingTable" ref="A1:BL20" tableType="queryTable" totalsRowShown="0">
  <autoFilter ref="A1:BL20"/>
  <tableColumns count="64">
    <tableColumn id="123" uniqueName="123" name="dd_rcom_date" queryTableFieldId="1" dataDxfId="222"/>
    <tableColumn id="124" uniqueName="124" name="nsf_rcvd_date" queryTableFieldId="2" dataDxfId="221"/>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20"/>
    <tableColumn id="131" uniqueName="131" name="bas_rsch_pct" queryTableFieldId="9" dataDxfId="219"/>
    <tableColumn id="132" uniqueName="132" name="other_pct" queryTableFieldId="10" dataDxfId="218"/>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IF(SUM(ckCodingTable[[#This Row],[NfmlPIs]:[NnonWhtAsnPIs]])&gt;0,"WMD","")</calculatedColumnFormula>
    </tableColumn>
    <tableColumn id="188" uniqueName="188" name="epscor" queryTableFieldId="67">
      <calculatedColumnFormula>_xlfn.XOR(IFERROR(MATCH(ckCodingTable[[#This Row],[st_code]],EpscorTable[],0)&gt;0,FALSE),IFERROR(FIND("9150",ckCodingTable[[#This Row],[propPRCs]])&gt;0,FALSE))</calculatedColumnFormula>
    </tableColumn>
    <tableColumn id="189" uniqueName="189" name="dmog" queryTableFieldId="66" dataDxfId="217">
      <calculatedColumnFormula>_xlfn.XOR(ckCodingTable[[#This Row],[wmd]]&lt;&gt;"",IFERROR(FIND("9102",ckCodingTable[[#This Row],[propPRCs]])&gt;0,FALSE))</calculatedColumnFormula>
    </tableColumn>
    <tableColumn id="135" uniqueName="135" name="propPRCs" queryTableFieldId="13"/>
    <tableColumn id="137" uniqueName="137" name="RAupdate" queryTableFieldId="15" dataDxfId="216"/>
    <tableColumn id="186" uniqueName="186" name="0" queryTableFieldId="65" dataDxfId="215">
      <calculatedColumnFormula>S1+(ckCodingTable[[#This Row],[ILN]]&lt;"M")</calculatedColumnFormula>
    </tableColumn>
    <tableColumn id="139" uniqueName="139" name="ILN" queryTableFieldId="17" dataDxfId="214"/>
    <tableColumn id="138" uniqueName="138" name="lead" queryTableFieldId="16"/>
    <tableColumn id="185" uniqueName="185" name="eJ" queryTableFieldId="64" dataCellStyle="Hyperlink">
      <calculatedColumnFormula>HYPERLINK("https://www.ejacket.nsf.gov/ej/showProposal.do?ID="&amp;ckCodingTable[[#This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13" dataCellStyle="Hyperlink">
      <calculatedColumnFormula>HYPERLINK("mailto:"&amp;ckCodingTable[[#This Row],[email]]&amp;"&amp;subject=Your NSF Proposal:  "&amp;ckCodingTable[[#This Row],[Div]]&amp;" "&amp;ckCodingTable[[#This Row],[prop_id]], ckCodingTable[[#This Row],[email]])</calculatedColumnFormula>
    </tableColumn>
    <tableColumn id="145" uniqueName="145" name="rqst_eff_date" queryTableFieldId="23" dataDxfId="212"/>
    <tableColumn id="146" uniqueName="146" name="rqst_mnth_cnt" queryTableFieldId="24"/>
    <tableColumn id="147" uniqueName="147" name="nPanl" queryTableFieldId="25"/>
    <tableColumn id="149" uniqueName="149" name="nPSunrls" queryTableFieldId="27"/>
    <tableColumn id="148" uniqueName="148" name="nPSunmrkd" queryTableFieldId="26" dataDxfId="211"/>
    <tableColumn id="152" uniqueName="152" name="allReviews" queryTableFieldId="30"/>
    <tableColumn id="153" uniqueName="153" name="avg_score" queryTableFieldId="31" dataDxfId="210"/>
    <tableColumn id="154" uniqueName="154" name="last_rev_date" queryTableFieldId="32" dataDxfId="209"/>
    <tableColumn id="156" uniqueName="156" name="Nconfl" queryTableFieldId="34" dataDxfId="208"/>
    <tableColumn id="151" uniqueName="151" name="nRev" queryTableFieldId="29"/>
    <tableColumn id="157" uniqueName="157" name="Nunrlsbl" queryTableFieldId="35"/>
    <tableColumn id="155" uniqueName="155" name="Nunmkd" queryTableFieldId="33" dataDxfId="207"/>
    <tableColumn id="158" uniqueName="158" name="NrlsdCDNPS" queryTableFieldId="36" dataDxfId="206"/>
    <tableColumn id="159" uniqueName="159" name="NpendSlct" queryTableFieldId="37" dataDxfId="205"/>
    <tableColumn id="160" uniqueName="160" name="NdiffFLeJ" queryTableFieldId="38" dataDxfId="204"/>
    <tableColumn id="5" uniqueName="5" name="eJ again" queryTableFieldId="81" dataCellStyle="Hyperlink">
      <calculatedColumnFormula>HYPERLINK("https://www.ejacket.nsf.gov/ej/showProposal.do?ID="&amp;ckCodingTable[[#This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IF(ckCodingTable[[#This Row],[ILN]]="N",SUBSTITUTE(AT1," ","")&lt;&gt;SUBSTITUTE(ckCodingTable[[#This Row],[prop_titl_txt]]," ",""), FALSE)</calculatedColumnFormula>
    </tableColumn>
    <tableColumn id="163" uniqueName="163" name="brevn" queryTableFieldId="41"/>
    <tableColumn id="164" uniqueName="164" name="rqst_tot" queryTableFieldId="42" dataDxfId="203" dataCellStyle="Currency"/>
    <tableColumn id="165" uniqueName="165" name="budg_tot" queryTableFieldId="43" dataDxfId="202" dataCellStyle="Currency"/>
    <tableColumn id="166" uniqueName="166" name="sub_ctr_tot" queryTableFieldId="44" dataDxfId="201" dataCellStyle="Currency"/>
    <tableColumn id="167" uniqueName="167" name="frgn_trav_tot" queryTableFieldId="45" dataDxfId="200" dataCellStyle="Currency"/>
    <tableColumn id="168" uniqueName="168" name="pdoc_tot" queryTableFieldId="46" dataDxfId="199" dataCellStyle="Currency"/>
    <tableColumn id="169" uniqueName="169" name="part_tot_dol" queryTableFieldId="47" dataDxfId="198" dataCellStyle="Currency"/>
    <tableColumn id="170" uniqueName="170" name="grad_tot_cnt" queryTableFieldId="48"/>
    <tableColumn id="171" uniqueName="171" name="sr_tot_cnt" queryTableFieldId="49"/>
    <tableColumn id="172" uniqueName="172" name="sr_sumr_mnths" queryTableFieldId="50"/>
    <tableColumn id="173" uniqueName="173" name="sr_acad_mnths" queryTableFieldId="51"/>
    <tableColumn id="174" uniqueName="174" name="sr_cal_mnths" queryTableFieldId="52"/>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5.xml><?xml version="1.0" encoding="utf-8"?>
<table xmlns="http://schemas.openxmlformats.org/spreadsheetml/2006/main" id="7" name="ckAwdTable" displayName="ckAwdTable" ref="A1:AX20" tableType="queryTable" totalsRowShown="0">
  <autoFilter ref="A1:AX20"/>
  <tableColumns count="50">
    <tableColumn id="1" uniqueName="1" name="dd_rcom_date" queryTableFieldId="214" dataDxfId="64"/>
    <tableColumn id="4" uniqueName="4" name="nsf_rcvd_date" queryTableFieldId="4" dataDxfId="63"/>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62"/>
    <tableColumn id="39" uniqueName="39" name="natr_rqst_abbr" queryTableFieldId="280" dataDxfId="61"/>
    <tableColumn id="49" uniqueName="49" name="rcom_istr_abbr" queryTableFieldId="281" dataDxfId="60"/>
    <tableColumn id="19" uniqueName="19" name="obj_clas_code" queryTableFieldId="221"/>
    <tableColumn id="11" uniqueName="11" name="cntx_stmt_id" queryTableFieldId="11"/>
    <tableColumn id="32" uniqueName="32" name="RAupdate" queryTableFieldId="254" dataDxfId="59"/>
    <tableColumn id="25" uniqueName="25" name="0" queryTableFieldId="230" dataDxfId="58">
      <calculatedColumnFormula xml:space="preserve"> M1+(ckAwdTable[ILN]&lt;"M")</calculatedColumnFormula>
    </tableColumn>
    <tableColumn id="2" uniqueName="2" name="ILN" queryTableFieldId="215"/>
    <tableColumn id="3" uniqueName="3" name="lead" queryTableFieldId="216"/>
    <tableColumn id="205" uniqueName="205" name="eJ" queryTableFieldId="213" dataDxfId="57" dataCellStyle="Hyperlink">
      <calculatedColumnFormula>HYPERLINK("https://www.ejacket.nsf.gov/ej/showProposal.do?ID="&amp;ckAwdTable[[#This Row],[prop_id]],"eJ")</calculatedColumnFormula>
    </tableColumn>
    <tableColumn id="27" uniqueName="27" name="Div" queryTableFieldId="282" dataDxfId="56"/>
    <tableColumn id="12" uniqueName="12" name="prop_id" queryTableFieldId="12"/>
    <tableColumn id="13" uniqueName="13" name="pi_last_name" queryTableFieldId="13"/>
    <tableColumn id="14" uniqueName="14" name="pi_frst_name" queryTableFieldId="14"/>
    <tableColumn id="24" uniqueName="24" name="inst" queryTableFieldId="283" dataDxfId="55"/>
    <tableColumn id="23" uniqueName="23" name="st_code" queryTableFieldId="225"/>
    <tableColumn id="206" uniqueName="206" name="@pi email" queryTableFieldId="212" dataDxfId="54" dataCellStyle="Hyperlink">
      <calculatedColumnFormula>HYPERLINK("mailto:"&amp; ckAwdTable[[#This Row],[email]]&amp;"&amp;subject=Your NSF Proposal:  "&amp;ckAwdTable[[#This Row],[prop_id]], ckAwdTable[[#This Row],[email]])</calculatedColumnFormula>
    </tableColumn>
    <tableColumn id="16" uniqueName="16" name="rqst_eff_date" queryTableFieldId="16" dataDxfId="53"/>
    <tableColumn id="17" uniqueName="17" name="rqst_mnth_cnt" queryTableFieldId="17"/>
    <tableColumn id="9" uniqueName="9" name="humn_date" queryTableFieldId="218"/>
    <tableColumn id="28" uniqueName="28" name="hum_asur" queryTableFieldId="301" dataDxfId="52"/>
    <tableColumn id="29" uniqueName="29" name="HUM_EXPT" queryTableFieldId="302" dataDxfId="51"/>
    <tableColumn id="10" uniqueName="10" name="vrtb_date" queryTableFieldId="219"/>
    <tableColumn id="37" uniqueName="37" name="vrtb_asur" queryTableFieldId="303" dataDxfId="50"/>
    <tableColumn id="30" uniqueName="30" name="Country" queryTableFieldId="250" dataDxfId="49"/>
    <tableColumn id="34" uniqueName="34" name="rqst_tot" queryTableFieldId="288" dataDxfId="48" dataCellStyle="Currency"/>
    <tableColumn id="35" uniqueName="35" name="brevn" queryTableFieldId="289" dataDxfId="47"/>
    <tableColumn id="36" uniqueName="36" name="budg_tot" queryTableFieldId="290" dataDxfId="46"/>
    <tableColumn id="40" uniqueName="40" name="sub_ctr_tot" queryTableFieldId="292" dataDxfId="45"/>
    <tableColumn id="41" uniqueName="41" name="frgn_trav_tot" queryTableFieldId="293" dataDxfId="44"/>
    <tableColumn id="42" uniqueName="42" name="pdoc_tot" queryTableFieldId="294" dataDxfId="43"/>
    <tableColumn id="43" uniqueName="43" name="part_tot_dol" queryTableFieldId="295" dataDxfId="42"/>
    <tableColumn id="44" uniqueName="44" name="grad_tot_cnt" queryTableFieldId="296" dataDxfId="41"/>
    <tableColumn id="45" uniqueName="45" name="sr_tot_cnt" queryTableFieldId="297" dataDxfId="40"/>
    <tableColumn id="46" uniqueName="46" name="sr_sumr_mnths" queryTableFieldId="298" dataDxfId="39"/>
    <tableColumn id="47" uniqueName="47" name="sr_acad_mnths" queryTableFieldId="299" dataDxfId="38"/>
    <tableColumn id="48" uniqueName="48" name="sr_cal_mnths" queryTableFieldId="300" dataDxfId="37"/>
    <tableColumn id="8" uniqueName="8" name="prop_stts_txt" queryTableFieldId="278" dataDxfId="36"/>
    <tableColumn id="54" uniqueName="54" name="OTH_AGCY_SUBM_FLAG" queryTableFieldId="287" dataDxfId="35"/>
    <tableColumn id="53" uniqueName="53" name="Abstr?marks" queryTableFieldId="320" dataDxfId="34">
      <calculatedColumnFormula>IFERROR(IF(FIND("?",ckAwdTable[abst_narr_txt]),SummarizeQuestMarks(ckAwdTable[abst_narr_txt]),""),"")</calculatedColumnFormula>
    </tableColumn>
    <tableColumn id="51" uniqueName="51" name="abst_narr_txt" queryTableFieldId="251" dataDxfId="33"/>
    <tableColumn id="83" uniqueName="83" name="prop_titl_txt" queryTableFieldId="83"/>
    <tableColumn id="52" uniqueName="52" name="titl_ck" queryTableFieldId="322">
      <calculatedColumnFormula>AND(ckAwdTable[[#This Row],[ILN]]&gt;"M", SUBSTITUTE(ckAwdTable[[#This Row],[prop_titl_txt]]," ","")&lt;&gt;SUBSTITUTE(AV1," ",""))</calculatedColumnFormula>
    </tableColumn>
    <tableColumn id="26" uniqueName="26" name="email" queryTableFieldId="284" dataDxfId="32"/>
  </tableColumns>
  <tableStyleInfo name="TableStyleLight11" showFirstColumn="0" showLastColumn="0" showRowStripes="0" showColumnStripes="0"/>
</table>
</file>

<file path=xl/tables/table6.xml><?xml version="1.0" encoding="utf-8"?>
<table xmlns="http://schemas.openxmlformats.org/spreadsheetml/2006/main" id="5" name="BudgetsTable" displayName="BudgetsTable" ref="A3:AD75" tableType="queryTable" totalsRowShown="0" dataDxfId="246">
  <autoFilter ref="A3:AD75"/>
  <tableColumns count="30">
    <tableColumn id="10" uniqueName="10" name="prop_id" queryTableFieldId="10" dataDxfId="92"/>
    <tableColumn id="9" uniqueName="9" name="ILN" queryTableFieldId="89" dataDxfId="91" dataCellStyle="Hyperlink"/>
    <tableColumn id="31" uniqueName="31" name="10" queryTableFieldId="98" dataDxfId="90" dataCellStyle="Hyperlink">
      <calculatedColumnFormula>C3+(BudgetsTable[[#This Row],[lead]]&lt;&gt;K3)</calculatedColumnFormula>
    </tableColumn>
    <tableColumn id="32" uniqueName="32" name="0" queryTableFieldId="97" dataDxfId="89" dataCellStyle="Hyperlink">
      <calculatedColumnFormula>D3*(BudgetsTable[[#This Row],[lead]]=K3)+(BudgetsTable[[#This Row],[prop_id]]&lt;&gt;A3)</calculatedColumnFormula>
    </tableColumn>
    <tableColumn id="3" uniqueName="3" name="nsf_rcvd_date" queryTableFieldId="63" dataDxfId="88" dataCellStyle="Hyperlink"/>
    <tableColumn id="4" uniqueName="4" name="pgm_annc_id" queryTableFieldId="64" dataDxfId="87" dataCellStyle="Hyperlink"/>
    <tableColumn id="5" uniqueName="5" name="org_code" queryTableFieldId="65" dataDxfId="86" dataCellStyle="Hyperlink"/>
    <tableColumn id="6" uniqueName="6" name="pgm_ele_code" queryTableFieldId="66" dataDxfId="85" dataCellStyle="Hyperlink"/>
    <tableColumn id="27" uniqueName="27" name="PO" queryTableFieldId="91" dataDxfId="84" dataCellStyle="Hyperlink"/>
    <tableColumn id="28" uniqueName="28" name="pi_email" queryTableFieldId="92" dataDxfId="83" dataCellStyle="Hyperlink"/>
    <tableColumn id="8" uniqueName="8" name="lead" queryTableFieldId="68" dataDxfId="82" dataCellStyle="Hyperlink"/>
    <tableColumn id="1" uniqueName="1" name="eJ" queryTableFieldId="55" dataCellStyle="Hyperlink">
      <calculatedColumnFormula>IF(BudgetsTable[[#This Row],[pi_last_name]]=" ","",HYPERLINK("https://www.ejacket.nsf.gov/ej/showProposal.do?Continue=Y&amp;ID="&amp;BudgetsTable[[#This Row],[prop_id]],BudgetsTable[[#This Row],[prop_id]]))</calculatedColumnFormula>
    </tableColumn>
    <tableColumn id="2" uniqueName="2" name="RA" queryTableFieldId="58" dataDxfId="81" dataCellStyle="Hyperlink">
      <calculatedColumnFormula>IF(BudgetsTable[[#This Row],[pi_last_name]]=" ","",HYPERLINK("https://www.ejacket.nsf.gov/ej/processReviewAnalysis.do?dispatch=add&amp;uniqId="&amp;BudgetsTable[[#This Row],[prop_id]]&amp;PO_id,"&gt;ra"))</calculatedColumnFormula>
    </tableColumn>
    <tableColumn id="11" uniqueName="11" name="pi_last_name" queryTableFieldId="70" dataDxfId="80" dataCellStyle="Hyperlink"/>
    <tableColumn id="30" uniqueName="30" name="@pi" queryTableFieldId="96" dataCellStyle="Hyperlink">
      <calculatedColumnFormula>IF(BudgetsTable[[#This Row],[pi_last_name]]=" ","",HYPERLINK("mailto:"&amp;BudgetsTable[[#This Row],[pi_email]]&amp;"&amp;subject=Your NSF Proposal:  "&amp;BudgetsTable[[#This Row],[prop_id]],BudgetsTable[[#This Row],[pi_email]]))</calculatedColumnFormula>
    </tableColumn>
    <tableColumn id="12" uniqueName="12" name="inst_name" queryTableFieldId="71" dataDxfId="79" dataCellStyle="Hyperlink"/>
    <tableColumn id="14" uniqueName="14" name="sr_pers_cnt" queryTableFieldId="73" dataDxfId="78" dataCellStyle="Hyperlink"/>
    <tableColumn id="15" uniqueName="15" name="sr_summ_mnth_cnt" queryTableFieldId="74" dataDxfId="77" dataCellStyle="Hyperlink"/>
    <tableColumn id="16" uniqueName="16" name="pdoc_grnt_dol" queryTableFieldId="75" dataDxfId="76" dataCellStyle="Currency"/>
    <tableColumn id="17" uniqueName="17" name="frgn_trav_dol" queryTableFieldId="76" dataDxfId="75" dataCellStyle="Currency"/>
    <tableColumn id="18" uniqueName="18" name="part_dol" queryTableFieldId="77" dataDxfId="74" dataCellStyle="Currency"/>
    <tableColumn id="19" uniqueName="19" name="budg_tot_dol" queryTableFieldId="78" dataDxfId="73" dataCellStyle="Currency"/>
    <tableColumn id="20" uniqueName="20" name="revn_num" queryTableFieldId="79" dataDxfId="72" dataCellStyle="Hyperlink"/>
    <tableColumn id="21" uniqueName="21" name="budg_seq_yr" queryTableFieldId="80" dataDxfId="71" dataCellStyle="Hyperlink"/>
    <tableColumn id="26" uniqueName="26" name="Column1" queryTableFieldId="85" dataDxfId="70" dataCellStyle="Hyperlink">
      <calculatedColumnFormula>IF(ISBLANK(BudgetsTable[[#This Row],[budg_seq_yr]]),"FY"&amp;fiscalyear,"FY"&amp;fiscalyear-1+BudgetsTable[[#This Row],[budg_seq_yr]])</calculatedColumnFormula>
    </tableColumn>
    <tableColumn id="22" uniqueName="22" name="dol" queryTableFieldId="81" dataDxfId="69" dataCellStyle="Currency"/>
    <tableColumn id="23" uniqueName="23" name="org_code2" queryTableFieldId="82" dataDxfId="68" dataCellStyle="Hyperlink"/>
    <tableColumn id="24" uniqueName="24" name="PEC" queryTableFieldId="83" dataDxfId="67" dataCellStyle="Hyperlink"/>
    <tableColumn id="7" uniqueName="7" name="Obj" queryTableFieldId="99" dataDxfId="66" dataCellStyle="Hyperlink"/>
    <tableColumn id="25" uniqueName="25" name="PRCs" queryTableFieldId="84" dataDxfId="65" dataCellStyle="Hyperlink"/>
  </tableColumns>
  <tableStyleInfo name="AddTableStyle" showFirstColumn="0" showLastColumn="0" showRowStripes="0" showColumnStripes="0"/>
</table>
</file>

<file path=xl/tables/table7.xml><?xml version="1.0" encoding="utf-8"?>
<table xmlns="http://schemas.openxmlformats.org/spreadsheetml/2006/main" id="11" name="PRCGlossaryTable" displayName="PRCGlossaryTable" ref="A2:B6" tableType="queryTable" totalsRowShown="0" headerRowCellStyle="Normal" dataCellStyle="Normal">
  <autoFilter ref="A2:B6"/>
  <tableColumns count="2">
    <tableColumn id="1" uniqueName="1" name="PRC" queryTableFieldId="278" dataDxfId="228"/>
    <tableColumn id="2" uniqueName="2" name="PRC_Description" queryTableFieldId="279"/>
  </tableColumns>
  <tableStyleInfo name="TableFall" showFirstColumn="0" showLastColumn="0" showRowStripes="1" showColumnStripes="0"/>
</table>
</file>

<file path=xl/tables/table8.xml><?xml version="1.0" encoding="utf-8"?>
<table xmlns="http://schemas.openxmlformats.org/spreadsheetml/2006/main" id="13" name="PECGlossaryTable" displayName="PECGlossaryTable" ref="D2:E3" tableType="queryTable" totalsRowShown="0" headerRowCellStyle="Normal" dataCellStyle="Normal">
  <autoFilter ref="D2:E3"/>
  <tableColumns count="2">
    <tableColumn id="1" uniqueName="1" name="PEC" queryTableFieldId="280" dataDxfId="229"/>
    <tableColumn id="2" uniqueName="2" name="PEC_Description" queryTableFieldId="281"/>
  </tableColumns>
  <tableStyleInfo name="TableFall" showFirstColumn="0" showLastColumn="0" showRowStripes="1" showColumnStripes="0"/>
</table>
</file>

<file path=xl/tables/table9.xml><?xml version="1.0" encoding="utf-8"?>
<table xmlns="http://schemas.openxmlformats.org/spreadsheetml/2006/main" id="2" name="RADataTable" displayName="RADataTable" ref="A1:EC17" tableType="queryTable" totalsRowShown="0">
  <autoFilter ref="A1:EC17">
    <filterColumn colId="12">
      <customFilters>
        <customFilter operator="greaterThan" val="0"/>
      </customFilters>
    </filterColumn>
  </autoFilter>
  <sortState ref="A3:EC17">
    <sortCondition ref="M1:M17"/>
  </sortState>
  <tableColumns count="133">
    <tableColumn id="1" uniqueName="1" name="dd_rcom_date" queryTableFieldId="1" dataDxfId="191"/>
    <tableColumn id="2" uniqueName="2" name="nsf_rcvd_date" queryTableFieldId="2" dataDxfId="190"/>
    <tableColumn id="3" uniqueName="3" name="pgm_annc_id" queryTableFieldId="3" dataDxfId="189"/>
    <tableColumn id="4" uniqueName="4" name="org_code" queryTableFieldId="4" dataDxfId="188"/>
    <tableColumn id="5" uniqueName="5" name="pgm_ele_code" queryTableFieldId="5" dataDxfId="187"/>
    <tableColumn id="6" uniqueName="6" name="natr_rqst_abbr" queryTableFieldId="6" dataDxfId="186"/>
    <tableColumn id="7" uniqueName="7" name="prop_stts_abbr" queryTableFieldId="7" dataDxfId="185"/>
    <tableColumn id="8" uniqueName="8" name="obj_clas_code" queryTableFieldId="8"/>
    <tableColumn id="9" uniqueName="9" name="cntx_stmt_id" queryTableFieldId="9"/>
    <tableColumn id="10" uniqueName="10" name="PO" queryTableFieldId="10"/>
    <tableColumn id="11" uniqueName="11" name="RAupdate" queryTableFieldId="11" dataDxfId="184"/>
    <tableColumn id="12" uniqueName="12" name="nPanl" queryTableFieldId="12"/>
    <tableColumn id="13" uniqueName="13" name="RecRkMin" queryTableFieldId="13" dataDxfId="183"/>
    <tableColumn id="14" uniqueName="14" name="rec0" queryTableFieldId="14"/>
    <tableColumn id="15" uniqueName="15" name="rec1" queryTableFieldId="15"/>
    <tableColumn id="16" uniqueName="16" name="rec2" queryTableFieldId="16"/>
    <tableColumn id="17" uniqueName="17" name="RAtemplate" queryTableFieldId="17" dataDxfId="182"/>
    <tableColumn id="133" uniqueName="133" name="Radraft_filename" queryTableFieldId="135" dataDxfId="181">
      <calculatedColumnFormula>IFERROR(MID(RADataTable[[#This Row],[RAtemplate]],1,LEN(RADataTable[[#This Row],[RAtemplate]])-8),"RA") &amp; " " &amp; RADataTable[[#This Row],[prop_id0]] &amp; " " &amp; RADataTable[[#This Row],[last0]]</calculatedColumnFormula>
    </tableColumn>
    <tableColumn id="136" uniqueName="136" name="RApre_note" queryTableFieldId="137" dataDxfId="180"/>
    <tableColumn id="137" uniqueName="137" name="RAps_note" queryTableFieldId="136" dataDxfId="179"/>
    <tableColumn id="134" uniqueName="134" name="RAsigner" queryTableFieldId="134" dataDxfId="178">
      <calculatedColumnFormula>IF(signer1="PD",IF(ISBLANK(RADataTable[[#This Row],[sign_blck_name]]),"",RADataTable[[#This Row],[sign_blck_name]]),IF(ISBLANK(signer1),"",signer1))</calculatedColumnFormula>
    </tableColumn>
    <tableColumn id="135" uniqueName="135" name="RAsigner2" queryTableFieldId="133" dataDxfId="177">
      <calculatedColumnFormula>signer2</calculatedColumnFormula>
    </tableColumn>
    <tableColumn id="138" uniqueName="138" name="ej" queryTableFieldId="142" dataDxfId="176" dataCellStyle="Hyperlink">
      <calculatedColumnFormula>HYPERLINK("https://www.ejacket.nsf.gov/ej/showProposal.do?Continue=Y&amp;ID="&amp;RADataTable[[#This Row],[prop_id0]],"eJ")</calculatedColumnFormula>
    </tableColumn>
    <tableColumn id="139" uniqueName="139" name="@PI" queryTableFieldId="141" dataDxfId="175" dataCellStyle="Hyperlink">
      <calculatedColumnFormula>HYPERLINK("mailto:"&amp;RADataTable[[#This Row],[email]]&amp;"&amp;subject=Your NSF Proposal:  "&amp;RADataTable[[#This Row],[Div]]&amp;" "&amp;RADataTable[[#This Row],[prop_id0]], RADataTable[[#This Row],[email]])</calculatedColumnFormula>
    </tableColumn>
    <tableColumn id="140" uniqueName="140" name="@allPIs" queryTableFieldId="140" dataDxfId="174" dataCellStyle="Hyperlink">
      <calculatedColumnFormula>HYPERLINK("mailto:"&amp;RADataTable[[#This Row],[allPIemail]]&amp;"&amp;subject=NSF Proposal:  "&amp;RADataTable[[#This Row],[Div]]&amp;" "&amp;RADataTable[[#This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dataDxfId="173">
      <calculatedColumnFormula>IF(RADataTable[[#This Row],[maxScore]]-RADataTable[[#This Row],[minScore]]&gt;4,"Y","")</calculatedColumnFormula>
    </tableColumn>
    <tableColumn id="22" uniqueName="22" name="minScore" queryTableFieldId="22" dataDxfId="172"/>
    <tableColumn id="23" uniqueName="23" name="avg_score" queryTableFieldId="23" dataDxfId="171"/>
    <tableColumn id="24" uniqueName="24" name="maxScore" queryTableFieldId="24"/>
    <tableColumn id="25" uniqueName="25" name="allReviews" queryTableFieldId="25"/>
    <tableColumn id="26" uniqueName="26" name="last_rev_date" queryTableFieldId="26" dataDxfId="170"/>
    <tableColumn id="28" uniqueName="28" name="rqst_tot" queryTableFieldId="28" dataDxfId="169" dataCellStyle="Currency"/>
    <tableColumn id="29" uniqueName="29" name="budg_tot" queryTableFieldId="29" dataDxfId="168" dataCellStyle="Currency"/>
    <tableColumn id="30" uniqueName="30" name="budRevnMax" queryTableFieldId="30"/>
    <tableColumn id="31" uniqueName="31" name="rqst_eff_date" queryTableFieldId="31" dataDxfId="167"/>
    <tableColumn id="32" uniqueName="32" name="rqst_mnth_cnt" queryTableFieldId="32" dataDxfId="166"/>
    <tableColumn id="33" uniqueName="33" name="prop_titl_txt" queryTableFieldId="33" dataDxfId="165"/>
    <tableColumn id="34" uniqueName="34" name="AhNrev" queryTableFieldId="34"/>
    <tableColumn id="35" uniqueName="35" name="AhRevs" queryTableFieldId="35"/>
    <tableColumn id="36" uniqueName="36" name="AhLast" queryTableFieldId="36" dataDxfId="164"/>
    <tableColumn id="37" uniqueName="37" name="panl_id0" queryTableFieldId="37"/>
    <tableColumn id="38" uniqueName="38" name="RCOM_TXT0" queryTableFieldId="38" dataDxfId="163"/>
    <tableColumn id="39" uniqueName="39" name="rank0" queryTableFieldId="39" dataDxfId="162"/>
    <tableColumn id="40" uniqueName="40" name="panl_name0" queryTableFieldId="40" dataDxfId="161"/>
    <tableColumn id="41" uniqueName="41" name="panl_end0" queryTableFieldId="41" dataDxfId="160"/>
    <tableColumn id="42" uniqueName="42" name="revs0" queryTableFieldId="42" dataDxfId="159"/>
    <tableColumn id="43" uniqueName="43" name="PanlString0" queryTableFieldId="43" dataDxfId="158"/>
    <tableColumn id="44" uniqueName="44" name="pnlst0" queryTableFieldId="44" dataDxfId="157"/>
    <tableColumn id="45" uniqueName="45" name="confl0" queryTableFieldId="45" dataDxfId="156"/>
    <tableColumn id="46" uniqueName="46" name="panl_id1" queryTableFieldId="46" dataDxfId="155"/>
    <tableColumn id="47" uniqueName="47" name="RCOM_TXT1" queryTableFieldId="47" dataDxfId="154"/>
    <tableColumn id="48" uniqueName="48" name="rank1" queryTableFieldId="48" dataDxfId="153"/>
    <tableColumn id="49" uniqueName="49" name="panl_name1" queryTableFieldId="49" dataDxfId="152"/>
    <tableColumn id="50" uniqueName="50" name="panl_end1" queryTableFieldId="50" dataDxfId="151"/>
    <tableColumn id="51" uniqueName="51" name="revs1" queryTableFieldId="51" dataDxfId="150"/>
    <tableColumn id="52" uniqueName="52" name="PanlString1" queryTableFieldId="52" dataDxfId="149"/>
    <tableColumn id="53" uniqueName="53" name="pnlst1" queryTableFieldId="53" dataDxfId="148"/>
    <tableColumn id="54" uniqueName="54" name="confl1" queryTableFieldId="54" dataDxfId="147"/>
    <tableColumn id="55" uniqueName="55" name="panl_id2" queryTableFieldId="55" dataDxfId="146"/>
    <tableColumn id="56" uniqueName="56" name="RCOM_TXT2" queryTableFieldId="56" dataDxfId="145"/>
    <tableColumn id="57" uniqueName="57" name="rank2" queryTableFieldId="57" dataDxfId="144"/>
    <tableColumn id="58" uniqueName="58" name="panl_name2" queryTableFieldId="58" dataDxfId="143"/>
    <tableColumn id="59" uniqueName="59" name="panl_end2" queryTableFieldId="59" dataDxfId="142"/>
    <tableColumn id="60" uniqueName="60" name="revs2" queryTableFieldId="60" dataDxfId="141"/>
    <tableColumn id="61" uniqueName="61" name="PanlString2" queryTableFieldId="61" dataDxfId="140"/>
    <tableColumn id="62" uniqueName="62" name="pnlst2" queryTableFieldId="62" dataDxfId="139"/>
    <tableColumn id="63" uniqueName="63" name="confl2" queryTableFieldId="63" dataDxfId="138"/>
    <tableColumn id="64" uniqueName="64" name="prop_id0" queryTableFieldId="64"/>
    <tableColumn id="65" uniqueName="65" name="last0" queryTableFieldId="65" dataDxfId="137"/>
    <tableColumn id="66" uniqueName="66" name="frst0" queryTableFieldId="66" dataDxfId="136"/>
    <tableColumn id="67" uniqueName="67" name="inst0" queryTableFieldId="67" dataDxfId="135"/>
    <tableColumn id="68" uniqueName="68" name="rqst0" queryTableFieldId="68" dataDxfId="134"/>
    <tableColumn id="69" uniqueName="69" name="b0tot" queryTableFieldId="69" dataDxfId="133"/>
    <tableColumn id="70" uniqueName="70" name="PRC0" queryTableFieldId="70"/>
    <tableColumn id="71" uniqueName="71" name="prop_id1" queryTableFieldId="71" dataDxfId="132"/>
    <tableColumn id="72" uniqueName="72" name="last1" queryTableFieldId="72" dataDxfId="131"/>
    <tableColumn id="73" uniqueName="73" name="frst1" queryTableFieldId="73" dataDxfId="130"/>
    <tableColumn id="74" uniqueName="74" name="inst1" queryTableFieldId="74" dataDxfId="129"/>
    <tableColumn id="75" uniqueName="75" name="rqst1" queryTableFieldId="75" dataDxfId="128"/>
    <tableColumn id="76" uniqueName="76" name="b1tot" queryTableFieldId="76" dataDxfId="127"/>
    <tableColumn id="77" uniqueName="77" name="PRC1" queryTableFieldId="77"/>
    <tableColumn id="78" uniqueName="78" name="prop_id2" queryTableFieldId="78" dataDxfId="126"/>
    <tableColumn id="79" uniqueName="79" name="last2" queryTableFieldId="79" dataDxfId="125"/>
    <tableColumn id="80" uniqueName="80" name="frst2" queryTableFieldId="80" dataDxfId="124"/>
    <tableColumn id="81" uniqueName="81" name="inst2" queryTableFieldId="81" dataDxfId="123"/>
    <tableColumn id="82" uniqueName="82" name="rqst2" queryTableFieldId="82" dataDxfId="122"/>
    <tableColumn id="83" uniqueName="83" name="b2tot" queryTableFieldId="83" dataDxfId="121"/>
    <tableColumn id="84" uniqueName="84" name="PRC2" queryTableFieldId="84"/>
    <tableColumn id="85" uniqueName="85" name="prop_id3" queryTableFieldId="85" dataDxfId="120"/>
    <tableColumn id="86" uniqueName="86" name="last3" queryTableFieldId="86" dataDxfId="119"/>
    <tableColumn id="87" uniqueName="87" name="frst3" queryTableFieldId="87" dataDxfId="118"/>
    <tableColumn id="88" uniqueName="88" name="inst3" queryTableFieldId="88" dataDxfId="117"/>
    <tableColumn id="89" uniqueName="89" name="rqst3" queryTableFieldId="89" dataDxfId="116"/>
    <tableColumn id="90" uniqueName="90" name="b3tot" queryTableFieldId="90" dataDxfId="115"/>
    <tableColumn id="91" uniqueName="91" name="PRC3" queryTableFieldId="91" dataDxfId="114"/>
    <tableColumn id="92" uniqueName="92" name="prop_id4" queryTableFieldId="92" dataDxfId="113"/>
    <tableColumn id="93" uniqueName="93" name="last4" queryTableFieldId="93" dataDxfId="112"/>
    <tableColumn id="94" uniqueName="94" name="frst4" queryTableFieldId="94" dataDxfId="111"/>
    <tableColumn id="95" uniqueName="95" name="inst4" queryTableFieldId="95" dataDxfId="110"/>
    <tableColumn id="96" uniqueName="96" name="rqst4" queryTableFieldId="96" dataDxfId="109"/>
    <tableColumn id="97" uniqueName="97" name="b4tot" queryTableFieldId="97" dataDxfId="108"/>
    <tableColumn id="98" uniqueName="98" name="PRC4" queryTableFieldId="98" dataDxfId="107"/>
    <tableColumn id="99" uniqueName="99" name="prop_id5" queryTableFieldId="99" dataDxfId="106"/>
    <tableColumn id="100" uniqueName="100" name="last5" queryTableFieldId="100" dataDxfId="105"/>
    <tableColumn id="101" uniqueName="101" name="frst5" queryTableFieldId="101" dataDxfId="104"/>
    <tableColumn id="102" uniqueName="102" name="inst5" queryTableFieldId="102" dataDxfId="103"/>
    <tableColumn id="103" uniqueName="103" name="rqst5" queryTableFieldId="103" dataDxfId="102"/>
    <tableColumn id="104" uniqueName="104" name="b5tot" queryTableFieldId="104" dataDxfId="101"/>
    <tableColumn id="105" uniqueName="105" name="PRC5" queryTableFieldId="105"/>
    <tableColumn id="106" uniqueName="106" name="prop_id6" queryTableFieldId="106" dataDxfId="100"/>
    <tableColumn id="107" uniqueName="107" name="last6" queryTableFieldId="107" dataDxfId="99"/>
    <tableColumn id="108" uniqueName="108" name="frst6" queryTableFieldId="108" dataDxfId="98"/>
    <tableColumn id="109" uniqueName="109" name="inst6" queryTableFieldId="109" dataDxfId="97"/>
    <tableColumn id="110" uniqueName="110" name="rqst6" queryTableFieldId="110" dataDxfId="96"/>
    <tableColumn id="111" uniqueName="111" name="b6tot" queryTableFieldId="111" dataDxfId="95"/>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94"/>
    <tableColumn id="117" uniqueName="117" name="prop_stts_txt" queryTableFieldId="117"/>
    <tableColumn id="118" uniqueName="118" name="natr_rqst_txt" queryTableFieldId="118"/>
    <tableColumn id="119" uniqueName="119" name="obj_clas_name" queryTableFieldId="119"/>
    <tableColumn id="120" uniqueName="120" name="Dir" queryTableFieldId="120"/>
    <tableColumn id="121" uniqueName="121" name="Dir_name" queryTableFieldId="121"/>
    <tableColumn id="122" uniqueName="122" name="pulldate" queryTableFieldId="122" dataDxfId="93"/>
    <tableColumn id="123" uniqueName="123" name="email" queryTableFieldId="123"/>
    <tableColumn id="124" uniqueName="124" name="allPIemail" queryTableFieldId="124"/>
  </tableColumns>
  <tableStyleInfo name="TableFall" showFirstColumn="0" showLastColumn="0" showRowStripes="1" showColumnStripes="0"/>
</table>
</file>

<file path=xl/tables/table10.xml><?xml version="1.0" encoding="utf-8"?>
<table xmlns="http://schemas.openxmlformats.org/spreadsheetml/2006/main" id="6" name="AvailableTemplates" displayName="AvailableTemplates" ref="J10:J14" totalsRowShown="0" headerRowDxfId="243" dataDxfId="242">
  <autoFilter ref="J10:J14"/>
  <tableColumns count="1">
    <tableColumn id="1" name="Available templates:" dataDxfId="241"/>
  </tableColumns>
  <tableStyleInfo name="TableStyleLight8" showFirstColumn="0" showLastColumn="0" showRowStripes="1" showColumnStripes="0"/>
</table>
</file>

<file path=xl/tables/table11.xml><?xml version="1.0" encoding="utf-8"?>
<table xmlns="http://schemas.openxmlformats.org/spreadsheetml/2006/main" id="4" name="EpscorTable" displayName="EpscorTable" ref="N2:N30" totalsRowCount="1" headerRowDxfId="240" dataDxfId="239">
  <autoFilter ref="N2:N29"/>
  <tableColumns count="1">
    <tableColumn id="1" name="Epscor" totalsRowFunction="count" dataDxfId="238" totalsRowDxfId="237"/>
  </tableColumns>
  <tableStyleInfo name="TableFall" showFirstColumn="0" showLastColumn="0" showRowStripes="1" showColumnStripes="0"/>
</table>
</file>

<file path=xl/tables/table12.xml><?xml version="1.0" encoding="utf-8"?>
<table xmlns="http://schemas.openxmlformats.org/spreadsheetml/2006/main" id="12" name="ckSplitsTable" displayName="ckSplitsTable" ref="A1:AH2" tableType="queryTable" insertRow="1" totalsRowShown="0">
  <autoFilter ref="A1:AH2"/>
  <tableColumns count="34">
    <tableColumn id="21" uniqueName="21" name="dd_rcom_date" queryTableFieldId="1" dataDxfId="27"/>
    <tableColumn id="22" uniqueName="22" name="nsf_rcvd_date" queryTableFieldId="2" dataDxfId="26"/>
    <tableColumn id="23" uniqueName="23" name="cntx_stmt_id" queryTableFieldId="3"/>
    <tableColumn id="24" uniqueName="24" name="pgm_annc_id" queryTableFieldId="4"/>
    <tableColumn id="60" uniqueName="60" name="pObj" queryTableFieldId="13" dataDxfId="25"/>
    <tableColumn id="61" uniqueName="61" name="bObj" queryTableFieldId="14" dataDxfId="24"/>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23"/>
    <tableColumn id="35" uniqueName="35" name="rcom_istr_abbr" queryTableFieldId="15" dataDxfId="22"/>
    <tableColumn id="57" uniqueName="57" name="budg_yr" queryTableFieldId="27" dataDxfId="21"/>
    <tableColumn id="58" uniqueName="58" name="splt_id" queryTableFieldId="28" dataDxfId="20"/>
    <tableColumn id="59" uniqueName="59" name="budg_splt_tot_dol" queryTableFieldId="29" dataDxfId="19"/>
    <tableColumn id="54" uniqueName="54" name="0" queryTableFieldId="35" dataDxfId="18">
      <calculatedColumnFormula>S1+(X2&lt;&gt;X1)</calculatedColumnFormula>
    </tableColumn>
    <tableColumn id="37" uniqueName="37" name="ILN" queryTableFieldId="17" dataDxfId="17"/>
    <tableColumn id="36" uniqueName="36" name="lead" queryTableFieldId="16" dataDxfId="16"/>
    <tableColumn id="55" uniqueName="55" name="eJ" queryTableFieldId="36" dataDxfId="15" dataCellStyle="Hyperlink">
      <calculatedColumnFormula>HYPERLINK("https://www.ejacket.nsf.gov/ej/showProposal.do?ID="&amp;ckSplitsTable[[#This Row],[prop_id]],"eJ")</calculatedColumnFormula>
    </tableColumn>
    <tableColumn id="38" uniqueName="38" name="Div" queryTableFieldId="18" dataDxfId="14"/>
    <tableColumn id="39" uniqueName="39" name="prop_id" queryTableFieldId="19" dataDxfId="13"/>
    <tableColumn id="40" uniqueName="40" name="pi_last_name" queryTableFieldId="20" dataDxfId="12"/>
    <tableColumn id="41" uniqueName="41" name="pi_frst_name" queryTableFieldId="21" dataDxfId="11"/>
    <tableColumn id="42" uniqueName="42" name="inst" queryTableFieldId="22" dataDxfId="10"/>
    <tableColumn id="56" uniqueName="56" name="@ pi" queryTableFieldId="37" dataDxfId="9" dataCellStyle="Hyperlink">
      <calculatedColumnFormula>HYPERLINK("mailto:"&amp;ckSplitsTable[[#This Row],[email]]&amp;"&amp;subject=Your NSF Proposal:  "&amp;ckSplitsTable[[#This Row],[prop_id]],ckSplitsTable[[#This Row],[email]])</calculatedColumnFormula>
    </tableColumn>
    <tableColumn id="43" uniqueName="43" name="email" queryTableFieldId="23" dataDxfId="8"/>
    <tableColumn id="44" uniqueName="44" name="propPRCs" queryTableFieldId="24" dataDxfId="7"/>
    <tableColumn id="45" uniqueName="45" name="bPRCs" queryTableFieldId="25" dataDxfId="6"/>
    <tableColumn id="46" uniqueName="46" name="awd_id" queryTableFieldId="26" dataDxfId="5"/>
    <tableColumn id="50" uniqueName="50" name="prop_stts_txt" queryTableFieldId="30" dataDxfId="4"/>
    <tableColumn id="51" uniqueName="51" name="prop_titl_txt" queryTableFieldId="31" dataDxfId="3"/>
  </tableColumns>
  <tableStyleInfo name="TableStyleLight11" showFirstColumn="0" showLastColumn="0" showRowStripes="0" showColumnStripes="0"/>
</table>
</file>

<file path=xl/tables/table13.xml><?xml version="1.0" encoding="utf-8"?>
<table xmlns="http://schemas.openxmlformats.org/spreadsheetml/2006/main" id="1" name="ProjTextTable" displayName="ProjTextTable" ref="A1:P96" tableType="queryTable" totalsRowCount="1">
  <autoFilter ref="A1:P95"/>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226" totalsRowDxfId="227"/>
    <tableColumn id="11" uniqueName="11" name="returned" queryTableFieldId="11" dataDxfId="225"/>
    <tableColumn id="14" uniqueName="14" name="nchars" queryTableFieldId="15" dataDxfId="224">
      <calculatedColumnFormula>LEN(ProjTextTable[[#This Row],[text]])</calculatedColumnFormula>
    </tableColumn>
    <tableColumn id="15" uniqueName="15" name="nwords" queryTableFieldId="14" dataDxfId="223">
      <calculatedColumnFormula>LEN(TRIM(CLEAN(SUBSTITUTE(ProjTextTable[[#This Row],[text]],CHAR(10)," "))))+1 - LEN(SUBSTITUTE(CLEAN(SUBSTITUTE(ProjTextTable[[#This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3.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table" Target="../tables/table9.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drawing" Target="../drawings/drawing7.xml"/><Relationship Id="rId7" Type="http://schemas.openxmlformats.org/officeDocument/2006/relationships/ctrlProp" Target="../ctrlProps/ctrlProp13.xml"/><Relationship Id="rId2" Type="http://schemas.openxmlformats.org/officeDocument/2006/relationships/printerSettings" Target="../printerSettings/printerSettings7.bin"/><Relationship Id="rId1" Type="http://schemas.openxmlformats.org/officeDocument/2006/relationships/hyperlink" Target="https://collaboration.inside.nsf.gov/Desktop/Automation/scratch/output" TargetMode="External"/><Relationship Id="rId6" Type="http://schemas.openxmlformats.org/officeDocument/2006/relationships/ctrlProp" Target="../ctrlProps/ctrlProp12.xml"/><Relationship Id="rId11" Type="http://schemas.openxmlformats.org/officeDocument/2006/relationships/comments" Target="../comments5.xml"/><Relationship Id="rId5" Type="http://schemas.openxmlformats.org/officeDocument/2006/relationships/ctrlProp" Target="../ctrlProps/ctrlProp11.xml"/><Relationship Id="rId10" Type="http://schemas.openxmlformats.org/officeDocument/2006/relationships/table" Target="../tables/table11.xml"/><Relationship Id="rId4" Type="http://schemas.openxmlformats.org/officeDocument/2006/relationships/vmlDrawing" Target="../drawings/vmlDrawing6.v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6" Type="http://schemas.openxmlformats.org/officeDocument/2006/relationships/comments" Target="../comments6.xml"/><Relationship Id="rId5" Type="http://schemas.openxmlformats.org/officeDocument/2006/relationships/table" Target="../tables/table12.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13.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collaboration.inside.nsf.gov/eng/meritreview/SiteAssets/ENG%20Tools%20Websites%20and%20Best%20Practices/RoboRA/RoboRACleanCopy.dotm" TargetMode="Externa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N62"/>
  <sheetViews>
    <sheetView showGridLines="0" tabSelected="1" workbookViewId="0"/>
  </sheetViews>
  <sheetFormatPr defaultRowHeight="15" x14ac:dyDescent="0.25"/>
  <cols>
    <col min="1" max="1" width="4.28515625" customWidth="1"/>
    <col min="2" max="2" width="12.85546875" customWidth="1"/>
    <col min="3" max="3" width="5.140625" customWidth="1"/>
    <col min="4" max="4" width="3.140625" customWidth="1"/>
    <col min="5" max="5" width="15.28515625" customWidth="1"/>
    <col min="6" max="6" width="4.85546875" customWidth="1"/>
    <col min="7" max="7" width="5.140625" customWidth="1"/>
    <col min="8" max="8" width="14" customWidth="1"/>
    <col min="10" max="10" width="9.28515625" customWidth="1"/>
    <col min="12" max="12" width="4.5703125" customWidth="1"/>
    <col min="13" max="13" width="26.7109375" customWidth="1"/>
  </cols>
  <sheetData>
    <row r="1" spans="2:14" ht="18" customHeight="1" x14ac:dyDescent="0.25">
      <c r="B1" s="36" t="s">
        <v>214</v>
      </c>
      <c r="C1" s="36"/>
      <c r="D1" s="36"/>
      <c r="E1" s="36"/>
      <c r="F1" s="36"/>
      <c r="G1" s="36"/>
      <c r="L1" s="3" t="s">
        <v>203</v>
      </c>
    </row>
    <row r="2" spans="2:14" ht="18" customHeight="1" x14ac:dyDescent="0.25">
      <c r="B2" s="36" t="s">
        <v>371</v>
      </c>
      <c r="C2" s="36"/>
      <c r="D2" s="36"/>
      <c r="E2" s="36"/>
      <c r="F2" s="36"/>
      <c r="G2" s="36"/>
      <c r="I2" s="33"/>
      <c r="J2">
        <v>2</v>
      </c>
      <c r="L2" s="118" t="s">
        <v>466</v>
      </c>
    </row>
    <row r="3" spans="2:14" ht="18" customHeight="1" x14ac:dyDescent="0.25">
      <c r="B3" s="3" t="s">
        <v>205</v>
      </c>
      <c r="C3" s="3"/>
      <c r="D3" s="37" t="s">
        <v>206</v>
      </c>
      <c r="E3" s="36" t="s">
        <v>490</v>
      </c>
      <c r="F3" s="36"/>
      <c r="I3" s="33"/>
    </row>
    <row r="4" spans="2:14" ht="18" customHeight="1" x14ac:dyDescent="0.25">
      <c r="B4" s="3"/>
      <c r="C4" s="35" t="s">
        <v>212</v>
      </c>
      <c r="D4" s="38" t="s">
        <v>207</v>
      </c>
      <c r="E4" s="36" t="s">
        <v>485</v>
      </c>
      <c r="F4" s="36"/>
      <c r="I4" s="33"/>
      <c r="J4" t="b">
        <v>0</v>
      </c>
      <c r="L4" s="3" t="s">
        <v>204</v>
      </c>
    </row>
    <row r="5" spans="2:14" ht="18" customHeight="1" x14ac:dyDescent="0.25">
      <c r="B5" s="3"/>
      <c r="C5" s="35"/>
      <c r="D5" s="38" t="s">
        <v>208</v>
      </c>
      <c r="E5" s="36" t="s">
        <v>489</v>
      </c>
      <c r="F5" s="36"/>
      <c r="I5" s="33"/>
    </row>
    <row r="6" spans="2:14" ht="18" customHeight="1" x14ac:dyDescent="0.25">
      <c r="B6" s="3"/>
      <c r="C6" s="35" t="s">
        <v>213</v>
      </c>
      <c r="D6" s="38" t="s">
        <v>209</v>
      </c>
      <c r="E6" s="36"/>
      <c r="F6" s="36"/>
    </row>
    <row r="7" spans="2:14" ht="18" customHeight="1" x14ac:dyDescent="0.25">
      <c r="B7" s="3"/>
      <c r="C7" s="35" t="s">
        <v>215</v>
      </c>
      <c r="D7" s="38" t="s">
        <v>210</v>
      </c>
      <c r="E7" s="36"/>
      <c r="F7" s="36"/>
    </row>
    <row r="8" spans="2:14" ht="18" customHeight="1" x14ac:dyDescent="0.25">
      <c r="B8" s="3"/>
      <c r="C8" s="35" t="s">
        <v>216</v>
      </c>
      <c r="D8" s="38" t="s">
        <v>211</v>
      </c>
      <c r="E8" s="36"/>
      <c r="F8" s="36"/>
      <c r="L8" s="44">
        <v>50</v>
      </c>
      <c r="M8" s="45" t="s">
        <v>224</v>
      </c>
    </row>
    <row r="9" spans="2:14" ht="18" customHeight="1" x14ac:dyDescent="0.25">
      <c r="B9" s="3"/>
      <c r="C9" s="35"/>
      <c r="D9" s="38"/>
      <c r="E9" s="36"/>
      <c r="F9" s="36"/>
    </row>
    <row r="10" spans="2:14" ht="18" customHeight="1" x14ac:dyDescent="0.25">
      <c r="B10" s="3" t="s">
        <v>202</v>
      </c>
      <c r="C10" s="3"/>
      <c r="D10" s="34"/>
      <c r="E10" s="3" t="s">
        <v>201</v>
      </c>
      <c r="F10" s="3"/>
      <c r="G10" s="3"/>
      <c r="H10" s="3" t="s">
        <v>217</v>
      </c>
      <c r="L10" s="3" t="s">
        <v>484</v>
      </c>
    </row>
    <row r="11" spans="2:14" ht="18" customHeight="1" x14ac:dyDescent="0.25">
      <c r="B11" t="s">
        <v>171</v>
      </c>
      <c r="E11" t="s">
        <v>172</v>
      </c>
      <c r="H11" t="s">
        <v>174</v>
      </c>
      <c r="L11" s="61" t="s">
        <v>256</v>
      </c>
      <c r="M11" s="29" t="s">
        <v>255</v>
      </c>
    </row>
    <row r="12" spans="2:14" ht="18" customHeight="1" x14ac:dyDescent="0.25">
      <c r="B12" t="s">
        <v>0</v>
      </c>
      <c r="E12" t="s">
        <v>0</v>
      </c>
      <c r="H12" t="s">
        <v>0</v>
      </c>
      <c r="L12" s="61" t="s">
        <v>257</v>
      </c>
      <c r="M12" s="29" t="s">
        <v>465</v>
      </c>
    </row>
    <row r="13" spans="2:14" x14ac:dyDescent="0.25">
      <c r="B13" s="25"/>
      <c r="E13" s="25"/>
      <c r="H13" s="25"/>
    </row>
    <row r="14" spans="2:14" x14ac:dyDescent="0.25">
      <c r="L14" s="3" t="s">
        <v>416</v>
      </c>
    </row>
    <row r="15" spans="2:14" x14ac:dyDescent="0.25">
      <c r="M15" s="3" t="s">
        <v>412</v>
      </c>
      <c r="N15" s="7" t="s">
        <v>414</v>
      </c>
    </row>
    <row r="16" spans="2:14" x14ac:dyDescent="0.25">
      <c r="M16" s="3" t="s">
        <v>425</v>
      </c>
      <c r="N16" s="7" t="s">
        <v>410</v>
      </c>
    </row>
    <row r="17" spans="3:14" x14ac:dyDescent="0.25">
      <c r="M17" s="3" t="s">
        <v>421</v>
      </c>
      <c r="N17" s="7" t="s">
        <v>410</v>
      </c>
    </row>
    <row r="18" spans="3:14" x14ac:dyDescent="0.25">
      <c r="M18" s="3" t="s">
        <v>411</v>
      </c>
      <c r="N18" s="7" t="s">
        <v>410</v>
      </c>
    </row>
    <row r="19" spans="3:14" x14ac:dyDescent="0.25">
      <c r="M19" s="3" t="s">
        <v>501</v>
      </c>
      <c r="N19" s="7" t="s">
        <v>410</v>
      </c>
    </row>
    <row r="20" spans="3:14" x14ac:dyDescent="0.25">
      <c r="M20" s="3" t="s">
        <v>491</v>
      </c>
      <c r="N20" s="7" t="s">
        <v>408</v>
      </c>
    </row>
    <row r="21" spans="3:14" x14ac:dyDescent="0.25">
      <c r="C21" s="43"/>
      <c r="M21" s="3" t="s">
        <v>500</v>
      </c>
      <c r="N21" s="7" t="s">
        <v>408</v>
      </c>
    </row>
    <row r="22" spans="3:14" x14ac:dyDescent="0.25">
      <c r="M22" s="3" t="s">
        <v>424</v>
      </c>
      <c r="N22" s="7" t="s">
        <v>408</v>
      </c>
    </row>
    <row r="23" spans="3:14" x14ac:dyDescent="0.25">
      <c r="M23" s="3" t="s">
        <v>449</v>
      </c>
      <c r="N23" s="7" t="s">
        <v>12</v>
      </c>
    </row>
    <row r="24" spans="3:14" x14ac:dyDescent="0.25">
      <c r="M24" s="3" t="s">
        <v>429</v>
      </c>
      <c r="N24" s="7" t="s">
        <v>418</v>
      </c>
    </row>
    <row r="25" spans="3:14" x14ac:dyDescent="0.25">
      <c r="M25" s="3" t="s">
        <v>502</v>
      </c>
      <c r="N25" s="7" t="s">
        <v>418</v>
      </c>
    </row>
    <row r="26" spans="3:14" x14ac:dyDescent="0.25">
      <c r="M26" s="3" t="s">
        <v>428</v>
      </c>
      <c r="N26" s="7" t="s">
        <v>418</v>
      </c>
    </row>
    <row r="27" spans="3:14" x14ac:dyDescent="0.25">
      <c r="M27" s="3" t="s">
        <v>446</v>
      </c>
      <c r="N27" s="7" t="s">
        <v>409</v>
      </c>
    </row>
    <row r="28" spans="3:14" x14ac:dyDescent="0.25">
      <c r="M28" s="3" t="s">
        <v>433</v>
      </c>
      <c r="N28" s="7" t="s">
        <v>432</v>
      </c>
    </row>
    <row r="29" spans="3:14" x14ac:dyDescent="0.25">
      <c r="M29" s="3" t="s">
        <v>419</v>
      </c>
      <c r="N29" s="7" t="s">
        <v>420</v>
      </c>
    </row>
    <row r="30" spans="3:14" x14ac:dyDescent="0.25">
      <c r="M30" s="3" t="s">
        <v>417</v>
      </c>
      <c r="N30" s="7" t="s">
        <v>413</v>
      </c>
    </row>
    <row r="31" spans="3:14" x14ac:dyDescent="0.25">
      <c r="M31" s="3" t="s">
        <v>423</v>
      </c>
      <c r="N31" s="7" t="s">
        <v>422</v>
      </c>
    </row>
    <row r="32" spans="3:14" x14ac:dyDescent="0.25">
      <c r="M32" s="3" t="s">
        <v>430</v>
      </c>
      <c r="N32" s="7" t="s">
        <v>431</v>
      </c>
    </row>
    <row r="35" spans="8:8" x14ac:dyDescent="0.25">
      <c r="H35" s="43"/>
    </row>
    <row r="45" spans="8:8" x14ac:dyDescent="0.25">
      <c r="H45" s="43"/>
    </row>
    <row r="46" spans="8:8" x14ac:dyDescent="0.25">
      <c r="H46" s="43"/>
    </row>
    <row r="47" spans="8:8" x14ac:dyDescent="0.25">
      <c r="H47" s="43"/>
    </row>
    <row r="48" spans="8:8" x14ac:dyDescent="0.25">
      <c r="H48" s="43"/>
    </row>
    <row r="49" spans="8:8" x14ac:dyDescent="0.25">
      <c r="H49" s="43"/>
    </row>
    <row r="50" spans="8:8" x14ac:dyDescent="0.25">
      <c r="H50" s="43"/>
    </row>
    <row r="51" spans="8:8" x14ac:dyDescent="0.25">
      <c r="H51" s="43"/>
    </row>
    <row r="52" spans="8:8" x14ac:dyDescent="0.25">
      <c r="H52" s="43"/>
    </row>
    <row r="53" spans="8:8" x14ac:dyDescent="0.25">
      <c r="H53" s="43"/>
    </row>
    <row r="54" spans="8:8" x14ac:dyDescent="0.25">
      <c r="H54" s="43"/>
    </row>
    <row r="55" spans="8:8" x14ac:dyDescent="0.25">
      <c r="H55" s="43"/>
    </row>
    <row r="56" spans="8:8" x14ac:dyDescent="0.25">
      <c r="H56" s="43"/>
    </row>
    <row r="57" spans="8:8" x14ac:dyDescent="0.25">
      <c r="H57" s="43"/>
    </row>
    <row r="58" spans="8:8" x14ac:dyDescent="0.25">
      <c r="H58" s="43"/>
    </row>
    <row r="59" spans="8:8" x14ac:dyDescent="0.25">
      <c r="H59" s="43"/>
    </row>
    <row r="60" spans="8:8" x14ac:dyDescent="0.25">
      <c r="H60" s="43"/>
    </row>
    <row r="61" spans="8:8" x14ac:dyDescent="0.25">
      <c r="H61" s="43"/>
    </row>
    <row r="62" spans="8:8" x14ac:dyDescent="0.25">
      <c r="H62" s="43"/>
    </row>
  </sheetData>
  <dataValidations count="1">
    <dataValidation type="list" allowBlank="1" showInputMessage="1" showErrorMessage="1" sqref="B11 E11 H11">
      <formula1>INDIRECT("AvailableTemplates[Available templates:]")</formula1>
    </dataValidation>
  </dataValidations>
  <hyperlinks>
    <hyperlink ref="N16" location="ckCoding!I1" display="ckCoding"/>
    <hyperlink ref="N32" location="ProjText!A1" tooltip="see step 4 above; pdf with RA drafts" display="pdf from ProjText"/>
    <hyperlink ref="N31" location="RAData!T1" tooltip="Text in RAps_note is added to RA drafts after signature without modifying the template" display="RAData, or edit template"/>
    <hyperlink ref="N30" location="RAData!R1" tooltip="to change all, set above and 'Pull Data'; set individually in RAdata, or leave blank for Word to fill in." display="above, or RAData"/>
    <hyperlink ref="N29" location="ckSplits!AM1" tooltip="Feel free to edit pivot table" display="Pivot table on ckSplits"/>
    <hyperlink ref="N27" location="Budgets!L1" tooltip="Latest budget revisions shown" display="Budgets"/>
    <hyperlink ref="N24" location="Advanced!H7" tooltip="Hit Refresh to load new ones" display="Advanced"/>
    <hyperlink ref="N25" location="Advanced!H8" tooltip="Pick either your R drive or your local drive" display="Advanced"/>
    <hyperlink ref="N26" location="Advanced!M1" tooltip="Add/remove state abbreviations here" display="Advanced"/>
    <hyperlink ref="N23" location="PRCs!A1" tooltip="Shows only those in use by projects" display="PRCs"/>
    <hyperlink ref="N21" location="ckAwd!AT1" tooltip="Shows question marks except those after a letter &amp; before a space.  Non-lead abstracts highlighted if they differ from lead." display="ckAwd"/>
    <hyperlink ref="N22" location="ckAwd!AE1" tooltip="See countries from cover and total frgn_trav bugdet" display="ckAwd"/>
    <hyperlink ref="N20" location="ckAwd!Z1" tooltip="Information from the cover pages." display="ckAwd"/>
    <hyperlink ref="N15" location="RAData!W1" display="RAData"/>
    <hyperlink ref="N28" location="ckSplits!A1" tooltip="Mostly for IAS use; compare budget and proposal codes &amp; PRCs." display="ckSplits"/>
    <hyperlink ref="N17" location="ckCoding!M1" display="ckCoding"/>
    <hyperlink ref="N18" location="ckCoding!C1" tooltip="Highlights mismatches (coding, title, ...) throughout tab" display="ckCoding"/>
    <hyperlink ref="N19" location="ckCoding!AE1" tooltip="Black numbers (of panels, conflicts, reviews, unreleasable) are information.  Red numbers (unreleased, released conflicts, received reviews marked pending) should be checked out." display="ckCoding"/>
  </hyperlink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print="0" autoFill="0" autoPict="0" macro="[0]!PullDataFromTables">
                <anchor moveWithCells="1">
                  <from>
                    <xdr:col>3</xdr:col>
                    <xdr:colOff>200025</xdr:colOff>
                    <xdr:row>5</xdr:row>
                    <xdr:rowOff>19050</xdr:rowOff>
                  </from>
                  <to>
                    <xdr:col>5</xdr:col>
                    <xdr:colOff>114300</xdr:colOff>
                    <xdr:row>6</xdr:row>
                    <xdr:rowOff>19050</xdr:rowOff>
                  </to>
                </anchor>
              </controlPr>
            </control>
          </mc:Choice>
        </mc:AlternateContent>
        <mc:AlternateContent xmlns:mc="http://schemas.openxmlformats.org/markup-compatibility/2006">
          <mc:Choice Requires="x14">
            <control shapeId="16388" r:id="rId5" name="Button 4">
              <controlPr defaultSize="0" print="0" autoFill="0" autoPict="0" macro="[0]!MakeIndicatedRAs">
                <anchor moveWithCells="1">
                  <from>
                    <xdr:col>3</xdr:col>
                    <xdr:colOff>200025</xdr:colOff>
                    <xdr:row>7</xdr:row>
                    <xdr:rowOff>57150</xdr:rowOff>
                  </from>
                  <to>
                    <xdr:col>5</xdr:col>
                    <xdr:colOff>114300</xdr:colOff>
                    <xdr:row>8</xdr:row>
                    <xdr:rowOff>57150</xdr:rowOff>
                  </to>
                </anchor>
              </controlPr>
            </control>
          </mc:Choice>
        </mc:AlternateContent>
        <mc:AlternateContent xmlns:mc="http://schemas.openxmlformats.org/markup-compatibility/2006">
          <mc:Choice Requires="x14">
            <control shapeId="16395" r:id="rId6" name="cbAutoloadAll">
              <controlPr defaultSize="0" autoFill="0" autoLine="0" autoPict="0">
                <anchor moveWithCells="1">
                  <from>
                    <xdr:col>11</xdr:col>
                    <xdr:colOff>180975</xdr:colOff>
                    <xdr:row>3</xdr:row>
                    <xdr:rowOff>180975</xdr:rowOff>
                  </from>
                  <to>
                    <xdr:col>12</xdr:col>
                    <xdr:colOff>1647825</xdr:colOff>
                    <xdr:row>4</xdr:row>
                    <xdr:rowOff>200025</xdr:rowOff>
                  </to>
                </anchor>
              </controlPr>
            </control>
          </mc:Choice>
        </mc:AlternateContent>
        <mc:AlternateContent xmlns:mc="http://schemas.openxmlformats.org/markup-compatibility/2006">
          <mc:Choice Requires="x14">
            <control shapeId="16397" r:id="rId7" name="obtnNeverOverwrite">
              <controlPr defaultSize="0" autoFill="0" autoLine="0" autoPict="0">
                <anchor moveWithCells="1">
                  <from>
                    <xdr:col>11</xdr:col>
                    <xdr:colOff>180975</xdr:colOff>
                    <xdr:row>4</xdr:row>
                    <xdr:rowOff>171450</xdr:rowOff>
                  </from>
                  <to>
                    <xdr:col>13</xdr:col>
                    <xdr:colOff>38100</xdr:colOff>
                    <xdr:row>5</xdr:row>
                    <xdr:rowOff>133350</xdr:rowOff>
                  </to>
                </anchor>
              </controlPr>
            </control>
          </mc:Choice>
        </mc:AlternateContent>
        <mc:AlternateContent xmlns:mc="http://schemas.openxmlformats.org/markup-compatibility/2006">
          <mc:Choice Requires="x14">
            <control shapeId="16398" r:id="rId8" name="obtnAskOverwrite">
              <controlPr defaultSize="0" autoFill="0" autoLine="0" autoPict="0">
                <anchor moveWithCells="1">
                  <from>
                    <xdr:col>11</xdr:col>
                    <xdr:colOff>180975</xdr:colOff>
                    <xdr:row>5</xdr:row>
                    <xdr:rowOff>133350</xdr:rowOff>
                  </from>
                  <to>
                    <xdr:col>13</xdr:col>
                    <xdr:colOff>142875</xdr:colOff>
                    <xdr:row>6</xdr:row>
                    <xdr:rowOff>66675</xdr:rowOff>
                  </to>
                </anchor>
              </controlPr>
            </control>
          </mc:Choice>
        </mc:AlternateContent>
        <mc:AlternateContent xmlns:mc="http://schemas.openxmlformats.org/markup-compatibility/2006">
          <mc:Choice Requires="x14">
            <control shapeId="16399" r:id="rId9" name="Option Button 15">
              <controlPr defaultSize="0" autoFill="0" autoLine="0" autoPict="0" macro="[0]!OptionButton_AreYouSure">
                <anchor moveWithCells="1">
                  <from>
                    <xdr:col>11</xdr:col>
                    <xdr:colOff>180975</xdr:colOff>
                    <xdr:row>6</xdr:row>
                    <xdr:rowOff>57150</xdr:rowOff>
                  </from>
                  <to>
                    <xdr:col>13</xdr:col>
                    <xdr:colOff>38100</xdr:colOff>
                    <xdr:row>7</xdr:row>
                    <xdr:rowOff>19050</xdr:rowOff>
                  </to>
                </anchor>
              </controlPr>
            </control>
          </mc:Choice>
        </mc:AlternateContent>
        <mc:AlternateContent xmlns:mc="http://schemas.openxmlformats.org/markup-compatibility/2006">
          <mc:Choice Requires="x14">
            <control shapeId="16400" r:id="rId10" name="cbConfirmActions">
              <controlPr defaultSize="0" autoFill="0" autoLine="0" autoPict="0">
                <anchor moveWithCells="1">
                  <from>
                    <xdr:col>11</xdr:col>
                    <xdr:colOff>171450</xdr:colOff>
                    <xdr:row>2</xdr:row>
                    <xdr:rowOff>85725</xdr:rowOff>
                  </from>
                  <to>
                    <xdr:col>13</xdr:col>
                    <xdr:colOff>0</xdr:colOff>
                    <xdr:row>3</xdr:row>
                    <xdr:rowOff>66675</xdr:rowOff>
                  </to>
                </anchor>
              </controlPr>
            </control>
          </mc:Choice>
        </mc:AlternateContent>
        <mc:AlternateContent xmlns:mc="http://schemas.openxmlformats.org/markup-compatibility/2006">
          <mc:Choice Requires="x14">
            <control shapeId="16402" r:id="rId11" name="Button 18">
              <controlPr defaultSize="0" print="0" autoFill="0" autoPict="0" macro="[0]!makeProjText">
                <anchor moveWithCells="1">
                  <from>
                    <xdr:col>3</xdr:col>
                    <xdr:colOff>200025</xdr:colOff>
                    <xdr:row>6</xdr:row>
                    <xdr:rowOff>38100</xdr:rowOff>
                  </from>
                  <to>
                    <xdr:col>5</xdr:col>
                    <xdr:colOff>114300</xdr:colOff>
                    <xdr:row>7</xdr:row>
                    <xdr:rowOff>38100</xdr:rowOff>
                  </to>
                </anchor>
              </controlPr>
            </control>
          </mc:Choice>
        </mc:AlternateContent>
        <mc:AlternateContent xmlns:mc="http://schemas.openxmlformats.org/markup-compatibility/2006">
          <mc:Choice Requires="x14">
            <control shapeId="16403" r:id="rId12" name="ddPropStts_RoboRA">
              <controlPr defaultSize="0" autoLine="0" autoPict="0">
                <anchor moveWithCells="1">
                  <from>
                    <xdr:col>11</xdr:col>
                    <xdr:colOff>304800</xdr:colOff>
                    <xdr:row>1</xdr:row>
                    <xdr:rowOff>142875</xdr:rowOff>
                  </from>
                  <to>
                    <xdr:col>13</xdr:col>
                    <xdr:colOff>161925</xdr:colOff>
                    <xdr:row>2</xdr:row>
                    <xdr:rowOff>104775</xdr:rowOff>
                  </to>
                </anchor>
              </controlPr>
            </control>
          </mc:Choice>
        </mc:AlternateContent>
      </controls>
    </mc:Choice>
  </mc:AlternateContent>
  <tableParts count="3">
    <tablePart r:id="rId13"/>
    <tablePart r:id="rId14"/>
    <tablePart r:id="rId1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L20"/>
  <sheetViews>
    <sheetView topLeftCell="D2" zoomScale="98" zoomScaleNormal="98" workbookViewId="0">
      <selection activeCell="I1" sqref="I1"/>
    </sheetView>
  </sheetViews>
  <sheetFormatPr defaultRowHeight="15" x14ac:dyDescent="0.25"/>
  <cols>
    <col min="1" max="1" width="8.7109375" style="17" customWidth="1"/>
    <col min="2" max="2" width="8.7109375" style="30" customWidth="1"/>
    <col min="3" max="3" width="11.28515625" customWidth="1"/>
    <col min="4" max="4" width="9.85546875" customWidth="1"/>
    <col min="5" max="5" width="5.42578125" customWidth="1"/>
    <col min="6" max="6" width="5.7109375" style="18" customWidth="1"/>
    <col min="7" max="7" width="5.5703125" style="18" customWidth="1"/>
    <col min="8" max="8" width="5.28515625" style="21" customWidth="1"/>
    <col min="9" max="9" width="5.7109375" customWidth="1"/>
    <col min="10" max="10" width="5.140625" customWidth="1"/>
    <col min="11" max="11" width="11.5703125" customWidth="1"/>
    <col min="12" max="12" width="9.28515625" bestFit="1" customWidth="1"/>
    <col min="13" max="13" width="4.28515625" customWidth="1"/>
    <col min="14" max="14" width="3.85546875" customWidth="1"/>
    <col min="15" max="15" width="5.5703125" hidden="1" customWidth="1"/>
    <col min="16" max="16" width="6.5703125" style="21" hidden="1" customWidth="1"/>
    <col min="17" max="17" width="14.140625" customWidth="1"/>
    <col min="18" max="18" width="14.28515625" style="22" customWidth="1"/>
    <col min="19" max="19" width="4.140625" style="108" customWidth="1"/>
    <col min="20" max="20" width="2.140625" style="90" customWidth="1"/>
    <col min="21" max="21" width="8.140625" style="39" customWidth="1"/>
    <col min="22" max="22" width="2.7109375" style="39" customWidth="1"/>
    <col min="23" max="23" width="3.7109375" customWidth="1"/>
    <col min="24" max="24" width="8.140625" customWidth="1"/>
    <col min="25" max="25" width="11.140625" customWidth="1"/>
    <col min="26" max="26" width="9.5703125" style="17" customWidth="1"/>
    <col min="27" max="27" width="18.42578125" customWidth="1"/>
    <col min="28" max="28" width="8.140625" style="109" customWidth="1"/>
    <col min="29" max="29" width="8.7109375" style="30" customWidth="1"/>
    <col min="30" max="30" width="3.5703125" style="18" customWidth="1"/>
    <col min="31" max="33" width="2.140625" customWidth="1"/>
    <col min="34" max="34" width="14.42578125" customWidth="1"/>
    <col min="35" max="35" width="4.5703125" customWidth="1"/>
    <col min="36" max="36" width="14.42578125" style="26" customWidth="1"/>
    <col min="37" max="37" width="2.140625" style="21" customWidth="1"/>
    <col min="38" max="44" width="2.85546875" customWidth="1"/>
    <col min="45" max="45" width="23" customWidth="1"/>
    <col min="46" max="46" width="80.5703125" bestFit="1" customWidth="1"/>
    <col min="47" max="47" width="7.85546875" hidden="1" customWidth="1"/>
    <col min="48" max="48" width="4.5703125" customWidth="1"/>
    <col min="49" max="49" width="11.7109375" customWidth="1"/>
    <col min="50" max="50" width="11.42578125" customWidth="1"/>
    <col min="51" max="51" width="10.5703125" customWidth="1"/>
    <col min="52" max="52" width="10.85546875" customWidth="1"/>
    <col min="53" max="53" width="11.140625" customWidth="1"/>
    <col min="54" max="54" width="9.85546875" customWidth="1"/>
    <col min="55" max="59" width="4.7109375" customWidth="1"/>
    <col min="60" max="63" width="4.28515625" customWidth="1"/>
    <col min="64" max="64" width="18.28515625" customWidth="1"/>
  </cols>
  <sheetData>
    <row r="1" spans="1:64" ht="53.1" customHeight="1" x14ac:dyDescent="0.25">
      <c r="A1" s="17" t="s">
        <v>87</v>
      </c>
      <c r="B1" s="30" t="s">
        <v>7</v>
      </c>
      <c r="C1" t="s">
        <v>8</v>
      </c>
      <c r="D1" t="s">
        <v>5</v>
      </c>
      <c r="E1" t="s">
        <v>4</v>
      </c>
      <c r="F1" t="s">
        <v>165</v>
      </c>
      <c r="G1" t="s">
        <v>163</v>
      </c>
      <c r="H1" s="90" t="s">
        <v>92</v>
      </c>
      <c r="I1" s="39" t="s">
        <v>125</v>
      </c>
      <c r="J1" s="39" t="s">
        <v>126</v>
      </c>
      <c r="K1" t="s">
        <v>17</v>
      </c>
      <c r="L1" t="s">
        <v>91</v>
      </c>
      <c r="M1" t="s">
        <v>93</v>
      </c>
      <c r="N1" t="s">
        <v>398</v>
      </c>
      <c r="O1" t="s">
        <v>399</v>
      </c>
      <c r="P1" s="21" t="s">
        <v>400</v>
      </c>
      <c r="Q1" t="s">
        <v>282</v>
      </c>
      <c r="R1" s="22" t="s">
        <v>16</v>
      </c>
      <c r="S1" s="108" t="s">
        <v>101</v>
      </c>
      <c r="T1" s="21" t="s">
        <v>88</v>
      </c>
      <c r="U1" t="s">
        <v>9</v>
      </c>
      <c r="V1" t="s">
        <v>1</v>
      </c>
      <c r="W1" s="14" t="s">
        <v>143</v>
      </c>
      <c r="X1" t="s">
        <v>0</v>
      </c>
      <c r="Y1" t="s">
        <v>10</v>
      </c>
      <c r="Z1" t="s">
        <v>18</v>
      </c>
      <c r="AA1" t="s">
        <v>281</v>
      </c>
      <c r="AB1" s="110" t="s">
        <v>393</v>
      </c>
      <c r="AC1" s="30" t="s">
        <v>19</v>
      </c>
      <c r="AD1" t="s">
        <v>20</v>
      </c>
      <c r="AE1" s="106" t="s">
        <v>151</v>
      </c>
      <c r="AF1" s="107" t="s">
        <v>283</v>
      </c>
      <c r="AG1" s="106" t="s">
        <v>152</v>
      </c>
      <c r="AH1" t="s">
        <v>285</v>
      </c>
      <c r="AI1" s="26" t="s">
        <v>23</v>
      </c>
      <c r="AJ1" s="22" t="s">
        <v>147</v>
      </c>
      <c r="AK1" s="122" t="s">
        <v>380</v>
      </c>
      <c r="AL1" s="106" t="s">
        <v>284</v>
      </c>
      <c r="AM1" s="106" t="s">
        <v>286</v>
      </c>
      <c r="AN1" s="106" t="s">
        <v>146</v>
      </c>
      <c r="AO1" s="106" t="s">
        <v>287</v>
      </c>
      <c r="AP1" s="106" t="s">
        <v>288</v>
      </c>
      <c r="AQ1" s="106" t="s">
        <v>289</v>
      </c>
      <c r="AR1" t="s">
        <v>453</v>
      </c>
      <c r="AS1" t="s">
        <v>166</v>
      </c>
      <c r="AT1" t="s">
        <v>36</v>
      </c>
      <c r="AU1" t="s">
        <v>401</v>
      </c>
      <c r="AV1" t="s">
        <v>290</v>
      </c>
      <c r="AW1" t="s">
        <v>21</v>
      </c>
      <c r="AX1" t="s">
        <v>22</v>
      </c>
      <c r="AY1" t="s">
        <v>291</v>
      </c>
      <c r="AZ1" t="s">
        <v>292</v>
      </c>
      <c r="BA1" t="s">
        <v>293</v>
      </c>
      <c r="BB1" t="s">
        <v>294</v>
      </c>
      <c r="BC1" t="s">
        <v>295</v>
      </c>
      <c r="BD1" t="s">
        <v>296</v>
      </c>
      <c r="BE1" t="s">
        <v>297</v>
      </c>
      <c r="BF1" t="s">
        <v>298</v>
      </c>
      <c r="BG1" t="s">
        <v>299</v>
      </c>
      <c r="BH1" t="s">
        <v>133</v>
      </c>
      <c r="BI1" t="s">
        <v>134</v>
      </c>
      <c r="BJ1" t="s">
        <v>136</v>
      </c>
      <c r="BK1" t="s">
        <v>135</v>
      </c>
      <c r="BL1" t="s">
        <v>145</v>
      </c>
    </row>
    <row r="2" spans="1:64" x14ac:dyDescent="0.25">
      <c r="A2" s="30"/>
      <c r="B2" s="30">
        <v>42984.665277777778</v>
      </c>
      <c r="C2" t="s">
        <v>666</v>
      </c>
      <c r="D2" t="s">
        <v>667</v>
      </c>
      <c r="E2" t="s">
        <v>532</v>
      </c>
      <c r="F2" t="s">
        <v>169</v>
      </c>
      <c r="G2" t="s">
        <v>167</v>
      </c>
      <c r="H2" s="21" t="s">
        <v>94</v>
      </c>
      <c r="I2" s="86">
        <v>0.8</v>
      </c>
      <c r="J2" s="86">
        <v>0.2</v>
      </c>
      <c r="K2" t="s">
        <v>668</v>
      </c>
      <c r="L2" t="s">
        <v>541</v>
      </c>
      <c r="M2" t="s">
        <v>515</v>
      </c>
      <c r="N2" t="str">
        <f>IF(SUM(ckCodingTable[[#This Row],[NfmlPIs]:[NnonWhtAsnPIs]])&gt;0,"WMD","")</f>
        <v>WMD</v>
      </c>
      <c r="O2" t="b">
        <f>_xlfn.XOR(IFERROR(MATCH(ckCodingTable[[#This Row],[st_code]],EpscorTable[],0)&gt;0,FALSE),IFERROR(FIND("9150",ckCodingTable[[#This Row],[propPRCs]])&gt;0,FALSE))</f>
        <v>0</v>
      </c>
      <c r="P2" s="21" t="b">
        <f>_xlfn.XOR(ckCodingTable[[#This Row],[wmd]]&lt;&gt;"",IFERROR(FIND("9102",ckCodingTable[[#This Row],[propPRCs]])&gt;0,FALSE))</f>
        <v>1</v>
      </c>
      <c r="Q2" t="s">
        <v>669</v>
      </c>
      <c r="S2" s="108">
        <f>S1+(ckCodingTable[[#This Row],[ILN]]&lt;"M")</f>
        <v>1</v>
      </c>
      <c r="T2" s="21" t="s">
        <v>95</v>
      </c>
      <c r="U2" t="s">
        <v>539</v>
      </c>
      <c r="V2" s="7" t="str">
        <f>HYPERLINK("https://www.ejacket.nsf.gov/ej/showProposal.do?ID="&amp;ckCodingTable[[#This Row],[prop_id]],"eJ")</f>
        <v>eJ</v>
      </c>
      <c r="W2" t="s">
        <v>670</v>
      </c>
      <c r="X2" t="s">
        <v>539</v>
      </c>
      <c r="Y2" t="s">
        <v>540</v>
      </c>
      <c r="Z2" t="s">
        <v>671</v>
      </c>
      <c r="AA2" t="s">
        <v>516</v>
      </c>
      <c r="AB2" s="111" t="str">
        <f>HYPERLINK("mailto:"&amp;ckCodingTable[[#This Row],[email]]&amp;"&amp;subject=Your NSF Proposal:  "&amp;ckCodingTable[[#This Row],[Div]]&amp;" "&amp;ckCodingTable[[#This Row],[prop_id]], ckCodingTable[[#This Row],[email]])</f>
        <v>yongkim@u.washington.edu</v>
      </c>
      <c r="AC2" s="30">
        <v>43191</v>
      </c>
      <c r="AD2">
        <v>33</v>
      </c>
      <c r="AE2">
        <v>1</v>
      </c>
      <c r="AG2" s="112"/>
      <c r="AH2" t="s">
        <v>672</v>
      </c>
      <c r="AI2" s="26">
        <v>3.3333333333333335</v>
      </c>
      <c r="AJ2" s="22">
        <v>43052.306250000001</v>
      </c>
      <c r="AL2">
        <v>3</v>
      </c>
      <c r="AN2" s="112"/>
      <c r="AO2" s="112"/>
      <c r="AP2" s="112"/>
      <c r="AQ2" s="112"/>
      <c r="AR2" s="7" t="str">
        <f>HYPERLINK("https://www.ejacket.nsf.gov/ej/showProposal.do?ID="&amp;ckCodingTable[[#This Row],[prop_id]],"eJ")</f>
        <v>eJ</v>
      </c>
      <c r="AS2" t="s">
        <v>673</v>
      </c>
      <c r="AT2" t="s">
        <v>674</v>
      </c>
      <c r="AU2" t="b">
        <f>IF(ckCodingTable[[#This Row],[ILN]]="N",SUBSTITUTE(AT1," ","")&lt;&gt;SUBSTITUTE(ckCodingTable[[#This Row],[prop_titl_txt]]," ",""), FALSE)</f>
        <v>0</v>
      </c>
      <c r="AV2">
        <v>0</v>
      </c>
      <c r="AW2" s="13">
        <v>345646</v>
      </c>
      <c r="AX2" s="13">
        <v>345646</v>
      </c>
      <c r="AY2" s="13"/>
      <c r="AZ2" s="13"/>
      <c r="BA2" s="13"/>
      <c r="BB2" s="13"/>
      <c r="BC2">
        <v>6</v>
      </c>
      <c r="BD2">
        <v>6</v>
      </c>
      <c r="BE2">
        <v>4.05</v>
      </c>
      <c r="BH2">
        <v>2</v>
      </c>
      <c r="BI2">
        <v>0</v>
      </c>
      <c r="BJ2">
        <v>0</v>
      </c>
      <c r="BK2">
        <v>0</v>
      </c>
      <c r="BL2" t="s">
        <v>675</v>
      </c>
    </row>
    <row r="3" spans="1:64" x14ac:dyDescent="0.25">
      <c r="A3" s="30"/>
      <c r="B3" s="30">
        <v>42989.896527777775</v>
      </c>
      <c r="C3" t="s">
        <v>666</v>
      </c>
      <c r="D3" t="s">
        <v>667</v>
      </c>
      <c r="E3" t="s">
        <v>532</v>
      </c>
      <c r="F3" t="s">
        <v>169</v>
      </c>
      <c r="G3" t="s">
        <v>167</v>
      </c>
      <c r="H3" s="21" t="s">
        <v>94</v>
      </c>
      <c r="I3" s="86">
        <v>0.8</v>
      </c>
      <c r="J3" s="86">
        <v>0.2</v>
      </c>
      <c r="K3" t="s">
        <v>668</v>
      </c>
      <c r="L3" t="s">
        <v>541</v>
      </c>
      <c r="M3" t="s">
        <v>515</v>
      </c>
      <c r="N3" t="str">
        <f>IF(SUM(ckCodingTable[[#This Row],[NfmlPIs]:[NnonWhtAsnPIs]])&gt;0,"WMD","")</f>
        <v>WMD</v>
      </c>
      <c r="O3" t="b">
        <f>_xlfn.XOR(IFERROR(MATCH(ckCodingTable[[#This Row],[st_code]],EpscorTable[],0)&gt;0,FALSE),IFERROR(FIND("9150",ckCodingTable[[#This Row],[propPRCs]])&gt;0,FALSE))</f>
        <v>0</v>
      </c>
      <c r="P3" s="21" t="b">
        <f>_xlfn.XOR(ckCodingTable[[#This Row],[wmd]]&lt;&gt;"",IFERROR(FIND("9102",ckCodingTable[[#This Row],[propPRCs]])&gt;0,FALSE))</f>
        <v>1</v>
      </c>
      <c r="Q3" t="s">
        <v>669</v>
      </c>
      <c r="S3" s="108">
        <f>S2+(ckCodingTable[[#This Row],[ILN]]&lt;"M")</f>
        <v>2</v>
      </c>
      <c r="T3" s="21" t="s">
        <v>95</v>
      </c>
      <c r="U3" t="s">
        <v>561</v>
      </c>
      <c r="V3" s="7" t="str">
        <f>HYPERLINK("https://www.ejacket.nsf.gov/ej/showProposal.do?ID="&amp;ckCodingTable[[#This Row],[prop_id]],"eJ")</f>
        <v>eJ</v>
      </c>
      <c r="W3" t="s">
        <v>670</v>
      </c>
      <c r="X3" t="s">
        <v>561</v>
      </c>
      <c r="Y3" t="s">
        <v>562</v>
      </c>
      <c r="Z3" t="s">
        <v>676</v>
      </c>
      <c r="AA3" t="s">
        <v>516</v>
      </c>
      <c r="AB3" s="111" t="str">
        <f>HYPERLINK("mailto:"&amp;ckCodingTable[[#This Row],[email]]&amp;"&amp;subject=Your NSF Proposal:  "&amp;ckCodingTable[[#This Row],[Div]]&amp;" "&amp;ckCodingTable[[#This Row],[prop_id]], ckCodingTable[[#This Row],[email]])</f>
        <v>cdossick@uw.edu</v>
      </c>
      <c r="AC3" s="30">
        <v>43174</v>
      </c>
      <c r="AD3">
        <v>36</v>
      </c>
      <c r="AE3">
        <v>1</v>
      </c>
      <c r="AG3" s="112"/>
      <c r="AH3" t="s">
        <v>677</v>
      </c>
      <c r="AI3" s="26">
        <v>3.6666666666666665</v>
      </c>
      <c r="AJ3" s="22">
        <v>43052.559027777781</v>
      </c>
      <c r="AL3">
        <v>3</v>
      </c>
      <c r="AN3" s="112"/>
      <c r="AO3" s="112"/>
      <c r="AP3" s="112"/>
      <c r="AQ3" s="112"/>
      <c r="AR3" s="7" t="str">
        <f>HYPERLINK("https://www.ejacket.nsf.gov/ej/showProposal.do?ID="&amp;ckCodingTable[[#This Row],[prop_id]],"eJ")</f>
        <v>eJ</v>
      </c>
      <c r="AS3" t="s">
        <v>170</v>
      </c>
      <c r="AT3" t="s">
        <v>678</v>
      </c>
      <c r="AU3" t="b">
        <f>IF(ckCodingTable[[#This Row],[ILN]]="N",SUBSTITUTE(AT2," ","")&lt;&gt;SUBSTITUTE(ckCodingTable[[#This Row],[prop_titl_txt]]," ",""), FALSE)</f>
        <v>0</v>
      </c>
      <c r="AV3">
        <v>0</v>
      </c>
      <c r="AW3" s="13">
        <v>455181</v>
      </c>
      <c r="AX3" s="13">
        <v>455181</v>
      </c>
      <c r="AY3" s="13"/>
      <c r="AZ3" s="13"/>
      <c r="BA3" s="13"/>
      <c r="BB3" s="13"/>
      <c r="BC3">
        <v>3</v>
      </c>
      <c r="BD3">
        <v>6</v>
      </c>
      <c r="BE3">
        <v>3</v>
      </c>
      <c r="BG3">
        <v>12</v>
      </c>
      <c r="BH3">
        <v>2</v>
      </c>
      <c r="BI3">
        <v>0</v>
      </c>
      <c r="BJ3">
        <v>0</v>
      </c>
      <c r="BK3">
        <v>0</v>
      </c>
      <c r="BL3" t="s">
        <v>679</v>
      </c>
    </row>
    <row r="4" spans="1:64" x14ac:dyDescent="0.25">
      <c r="A4" s="30"/>
      <c r="B4" s="30">
        <v>42991.695138888892</v>
      </c>
      <c r="C4" t="s">
        <v>680</v>
      </c>
      <c r="D4" t="s">
        <v>667</v>
      </c>
      <c r="E4" t="s">
        <v>532</v>
      </c>
      <c r="F4" t="s">
        <v>169</v>
      </c>
      <c r="G4" t="s">
        <v>167</v>
      </c>
      <c r="H4" s="21" t="s">
        <v>94</v>
      </c>
      <c r="I4" s="86">
        <v>0.8</v>
      </c>
      <c r="J4" s="86">
        <v>0.2</v>
      </c>
      <c r="K4" t="s">
        <v>668</v>
      </c>
      <c r="L4" t="s">
        <v>574</v>
      </c>
      <c r="M4" t="s">
        <v>109</v>
      </c>
      <c r="N4" t="str">
        <f>IF(SUM(ckCodingTable[[#This Row],[NfmlPIs]:[NnonWhtAsnPIs]])&gt;0,"WMD","")</f>
        <v/>
      </c>
      <c r="O4" t="b">
        <f>_xlfn.XOR(IFERROR(MATCH(ckCodingTable[[#This Row],[st_code]],EpscorTable[],0)&gt;0,FALSE),IFERROR(FIND("9150",ckCodingTable[[#This Row],[propPRCs]])&gt;0,FALSE))</f>
        <v>0</v>
      </c>
      <c r="P4" s="21" t="b">
        <f>_xlfn.XOR(ckCodingTable[[#This Row],[wmd]]&lt;&gt;"",IFERROR(FIND("9102",ckCodingTable[[#This Row],[propPRCs]])&gt;0,FALSE))</f>
        <v>0</v>
      </c>
      <c r="Q4" t="s">
        <v>681</v>
      </c>
      <c r="S4" s="108">
        <f>S3+(ckCodingTable[[#This Row],[ILN]]&lt;"M")</f>
        <v>3</v>
      </c>
      <c r="T4" s="21" t="s">
        <v>95</v>
      </c>
      <c r="U4" t="s">
        <v>573</v>
      </c>
      <c r="V4" s="7" t="str">
        <f>HYPERLINK("https://www.ejacket.nsf.gov/ej/showProposal.do?ID="&amp;ckCodingTable[[#This Row],[prop_id]],"eJ")</f>
        <v>eJ</v>
      </c>
      <c r="W4" t="s">
        <v>670</v>
      </c>
      <c r="X4" t="s">
        <v>573</v>
      </c>
      <c r="Y4" t="s">
        <v>512</v>
      </c>
      <c r="Z4" t="s">
        <v>682</v>
      </c>
      <c r="AA4" t="s">
        <v>683</v>
      </c>
      <c r="AB4" s="111" t="str">
        <f>HYPERLINK("mailto:"&amp;ckCodingTable[[#This Row],[email]]&amp;"&amp;subject=Your NSF Proposal:  "&amp;ckCodingTable[[#This Row],[Div]]&amp;" "&amp;ckCodingTable[[#This Row],[prop_id]], ckCodingTable[[#This Row],[email]])</f>
        <v>yclee@lsu.edu</v>
      </c>
      <c r="AC4" s="30">
        <v>43101</v>
      </c>
      <c r="AD4">
        <v>24</v>
      </c>
      <c r="AE4">
        <v>1</v>
      </c>
      <c r="AG4" s="112"/>
      <c r="AH4" t="s">
        <v>684</v>
      </c>
      <c r="AI4" s="26">
        <v>1.6666666666666667</v>
      </c>
      <c r="AJ4" s="22">
        <v>43051.84652777778</v>
      </c>
      <c r="AL4">
        <v>3</v>
      </c>
      <c r="AN4" s="112"/>
      <c r="AO4" s="112"/>
      <c r="AP4" s="112"/>
      <c r="AQ4" s="112"/>
      <c r="AR4" s="7" t="str">
        <f>HYPERLINK("https://www.ejacket.nsf.gov/ej/showProposal.do?ID="&amp;ckCodingTable[[#This Row],[prop_id]],"eJ")</f>
        <v>eJ</v>
      </c>
      <c r="AS4" t="s">
        <v>170</v>
      </c>
      <c r="AT4" t="s">
        <v>685</v>
      </c>
      <c r="AU4" t="b">
        <f>IF(ckCodingTable[[#This Row],[ILN]]="N",SUBSTITUTE(AT3," ","")&lt;&gt;SUBSTITUTE(ckCodingTable[[#This Row],[prop_titl_txt]]," ",""), FALSE)</f>
        <v>0</v>
      </c>
      <c r="AV4">
        <v>0</v>
      </c>
      <c r="AW4" s="13">
        <v>299932</v>
      </c>
      <c r="AX4" s="13">
        <v>299932</v>
      </c>
      <c r="AY4" s="13">
        <v>179832</v>
      </c>
      <c r="AZ4" s="13"/>
      <c r="BA4" s="13"/>
      <c r="BB4" s="13"/>
      <c r="BC4">
        <v>2</v>
      </c>
      <c r="BD4">
        <v>2</v>
      </c>
      <c r="BE4">
        <v>2</v>
      </c>
      <c r="BH4">
        <v>0</v>
      </c>
      <c r="BI4">
        <v>0</v>
      </c>
      <c r="BJ4">
        <v>0</v>
      </c>
      <c r="BK4">
        <v>0</v>
      </c>
      <c r="BL4" t="s">
        <v>686</v>
      </c>
    </row>
    <row r="5" spans="1:64" x14ac:dyDescent="0.25">
      <c r="A5" s="30"/>
      <c r="B5" s="30">
        <v>42992.520138888889</v>
      </c>
      <c r="C5" t="s">
        <v>666</v>
      </c>
      <c r="D5" t="s">
        <v>667</v>
      </c>
      <c r="E5" t="s">
        <v>532</v>
      </c>
      <c r="F5" t="s">
        <v>169</v>
      </c>
      <c r="G5" t="s">
        <v>167</v>
      </c>
      <c r="H5" s="21" t="s">
        <v>94</v>
      </c>
      <c r="I5" s="86">
        <v>0.8</v>
      </c>
      <c r="J5" s="86">
        <v>0.2</v>
      </c>
      <c r="K5" t="s">
        <v>668</v>
      </c>
      <c r="L5" t="s">
        <v>574</v>
      </c>
      <c r="M5" t="s">
        <v>113</v>
      </c>
      <c r="N5" t="str">
        <f>IF(SUM(ckCodingTable[[#This Row],[NfmlPIs]:[NnonWhtAsnPIs]])&gt;0,"WMD","")</f>
        <v/>
      </c>
      <c r="O5" t="b">
        <f>_xlfn.XOR(IFERROR(MATCH(ckCodingTable[[#This Row],[st_code]],EpscorTable[],0)&gt;0,FALSE),IFERROR(FIND("9150",ckCodingTable[[#This Row],[propPRCs]])&gt;0,FALSE))</f>
        <v>0</v>
      </c>
      <c r="P5" s="21" t="b">
        <f>_xlfn.XOR(ckCodingTable[[#This Row],[wmd]]&lt;&gt;"",IFERROR(FIND("9102",ckCodingTable[[#This Row],[propPRCs]])&gt;0,FALSE))</f>
        <v>0</v>
      </c>
      <c r="Q5" t="s">
        <v>681</v>
      </c>
      <c r="S5" s="108">
        <f>S4+(ckCodingTable[[#This Row],[ILN]]&lt;"M")</f>
        <v>4</v>
      </c>
      <c r="T5" s="21" t="s">
        <v>95</v>
      </c>
      <c r="U5" t="s">
        <v>582</v>
      </c>
      <c r="V5" s="7" t="str">
        <f>HYPERLINK("https://www.ejacket.nsf.gov/ej/showProposal.do?ID="&amp;ckCodingTable[[#This Row],[prop_id]],"eJ")</f>
        <v>eJ</v>
      </c>
      <c r="W5" t="s">
        <v>670</v>
      </c>
      <c r="X5" t="s">
        <v>582</v>
      </c>
      <c r="Y5" t="s">
        <v>514</v>
      </c>
      <c r="Z5" t="s">
        <v>687</v>
      </c>
      <c r="AA5" t="s">
        <v>688</v>
      </c>
      <c r="AB5" s="111" t="str">
        <f>HYPERLINK("mailto:"&amp;ckCodingTable[[#This Row],[email]]&amp;"&amp;subject=Your NSF Proposal:  "&amp;ckCodingTable[[#This Row],[Div]]&amp;" "&amp;ckCodingTable[[#This Row],[prop_id]], ckCodingTable[[#This Row],[email]])</f>
        <v>jee.park@unlv.edu</v>
      </c>
      <c r="AC5" s="30">
        <v>43101</v>
      </c>
      <c r="AD5">
        <v>36</v>
      </c>
      <c r="AE5">
        <v>1</v>
      </c>
      <c r="AG5" s="112"/>
      <c r="AH5" t="s">
        <v>672</v>
      </c>
      <c r="AI5" s="26">
        <v>3.3333333333333335</v>
      </c>
      <c r="AJ5" s="22">
        <v>43051.79583333333</v>
      </c>
      <c r="AL5">
        <v>3</v>
      </c>
      <c r="AN5" s="112"/>
      <c r="AO5" s="112"/>
      <c r="AP5" s="112"/>
      <c r="AQ5" s="112"/>
      <c r="AR5" s="7" t="str">
        <f>HYPERLINK("https://www.ejacket.nsf.gov/ej/showProposal.do?ID="&amp;ckCodingTable[[#This Row],[prop_id]],"eJ")</f>
        <v>eJ</v>
      </c>
      <c r="AS5" t="s">
        <v>170</v>
      </c>
      <c r="AT5" t="s">
        <v>689</v>
      </c>
      <c r="AU5" t="b">
        <f>IF(ckCodingTable[[#This Row],[ILN]]="N",SUBSTITUTE(AT4," ","")&lt;&gt;SUBSTITUTE(ckCodingTable[[#This Row],[prop_titl_txt]]," ",""), FALSE)</f>
        <v>0</v>
      </c>
      <c r="AV5">
        <v>0</v>
      </c>
      <c r="AW5" s="13">
        <v>411918</v>
      </c>
      <c r="AX5" s="13">
        <v>411918</v>
      </c>
      <c r="AY5" s="13"/>
      <c r="AZ5" s="13"/>
      <c r="BA5" s="13">
        <v>71050</v>
      </c>
      <c r="BB5" s="13"/>
      <c r="BC5">
        <v>4</v>
      </c>
      <c r="BD5">
        <v>3</v>
      </c>
      <c r="BE5">
        <v>3</v>
      </c>
      <c r="BH5">
        <v>0</v>
      </c>
      <c r="BI5">
        <v>0</v>
      </c>
      <c r="BJ5">
        <v>0</v>
      </c>
      <c r="BK5">
        <v>0</v>
      </c>
      <c r="BL5" t="s">
        <v>690</v>
      </c>
    </row>
    <row r="6" spans="1:64" x14ac:dyDescent="0.25">
      <c r="A6" s="30"/>
      <c r="B6" s="30">
        <v>42992.522222222222</v>
      </c>
      <c r="C6" t="s">
        <v>666</v>
      </c>
      <c r="D6" t="s">
        <v>667</v>
      </c>
      <c r="E6" t="s">
        <v>532</v>
      </c>
      <c r="F6" t="s">
        <v>169</v>
      </c>
      <c r="G6" t="s">
        <v>167</v>
      </c>
      <c r="H6" s="21" t="s">
        <v>94</v>
      </c>
      <c r="I6" s="86">
        <v>0.8</v>
      </c>
      <c r="J6" s="86">
        <v>0.2</v>
      </c>
      <c r="K6" t="s">
        <v>668</v>
      </c>
      <c r="L6" t="s">
        <v>574</v>
      </c>
      <c r="M6" t="s">
        <v>300</v>
      </c>
      <c r="N6" t="str">
        <f>IF(SUM(ckCodingTable[[#This Row],[NfmlPIs]:[NnonWhtAsnPIs]])&gt;0,"WMD","")</f>
        <v/>
      </c>
      <c r="O6" t="b">
        <f>_xlfn.XOR(IFERROR(MATCH(ckCodingTable[[#This Row],[st_code]],EpscorTable[],0)&gt;0,FALSE),IFERROR(FIND("9150",ckCodingTable[[#This Row],[propPRCs]])&gt;0,FALSE))</f>
        <v>0</v>
      </c>
      <c r="P6" s="21" t="b">
        <f>_xlfn.XOR(ckCodingTable[[#This Row],[wmd]]&lt;&gt;"",IFERROR(FIND("9102",ckCodingTable[[#This Row],[propPRCs]])&gt;0,FALSE))</f>
        <v>0</v>
      </c>
      <c r="Q6" t="s">
        <v>669</v>
      </c>
      <c r="S6" s="108">
        <f>S5+(ckCodingTable[[#This Row],[ILN]]&lt;"M")</f>
        <v>5</v>
      </c>
      <c r="T6" s="21" t="s">
        <v>475</v>
      </c>
      <c r="U6" t="s">
        <v>590</v>
      </c>
      <c r="V6" s="7" t="str">
        <f>HYPERLINK("https://www.ejacket.nsf.gov/ej/showProposal.do?ID="&amp;ckCodingTable[[#This Row],[prop_id]],"eJ")</f>
        <v>eJ</v>
      </c>
      <c r="W6" t="s">
        <v>670</v>
      </c>
      <c r="X6" t="s">
        <v>590</v>
      </c>
      <c r="Y6" t="s">
        <v>591</v>
      </c>
      <c r="Z6" t="s">
        <v>691</v>
      </c>
      <c r="AA6" t="s">
        <v>525</v>
      </c>
      <c r="AB6" s="111" t="str">
        <f>HYPERLINK("mailto:"&amp;ckCodingTable[[#This Row],[email]]&amp;"&amp;subject=Your NSF Proposal:  "&amp;ckCodingTable[[#This Row],[Div]]&amp;" "&amp;ckCodingTable[[#This Row],[prop_id]], ckCodingTable[[#This Row],[email]])</f>
        <v>ryanahn@tamu.edu</v>
      </c>
      <c r="AC6" s="30">
        <v>43221</v>
      </c>
      <c r="AD6">
        <v>36</v>
      </c>
      <c r="AE6">
        <v>1</v>
      </c>
      <c r="AG6" s="112"/>
      <c r="AH6" t="s">
        <v>692</v>
      </c>
      <c r="AI6" s="26">
        <v>4.333333333333333</v>
      </c>
      <c r="AJ6" s="22">
        <v>43052.602083333331</v>
      </c>
      <c r="AK6" s="21">
        <v>1</v>
      </c>
      <c r="AL6">
        <v>3</v>
      </c>
      <c r="AN6" s="112"/>
      <c r="AO6" s="112">
        <v>1</v>
      </c>
      <c r="AP6" s="112"/>
      <c r="AQ6" s="112"/>
      <c r="AR6" s="7" t="str">
        <f>HYPERLINK("https://www.ejacket.nsf.gov/ej/showProposal.do?ID="&amp;ckCodingTable[[#This Row],[prop_id]],"eJ")</f>
        <v>eJ</v>
      </c>
      <c r="AS6" t="s">
        <v>170</v>
      </c>
      <c r="AT6" t="s">
        <v>693</v>
      </c>
      <c r="AU6" t="b">
        <f>IF(ckCodingTable[[#This Row],[ILN]]="N",SUBSTITUTE(AT5," ","")&lt;&gt;SUBSTITUTE(ckCodingTable[[#This Row],[prop_titl_txt]]," ",""), FALSE)</f>
        <v>0</v>
      </c>
      <c r="AV6">
        <v>0</v>
      </c>
      <c r="AW6" s="13">
        <v>255960</v>
      </c>
      <c r="AX6" s="13">
        <v>255960</v>
      </c>
      <c r="AY6" s="13"/>
      <c r="AZ6" s="13">
        <v>4000</v>
      </c>
      <c r="BA6" s="13"/>
      <c r="BB6" s="13"/>
      <c r="BC6">
        <v>3</v>
      </c>
      <c r="BD6">
        <v>3</v>
      </c>
      <c r="BF6">
        <v>3</v>
      </c>
      <c r="BH6">
        <v>0</v>
      </c>
      <c r="BI6">
        <v>0</v>
      </c>
      <c r="BJ6">
        <v>0</v>
      </c>
      <c r="BK6">
        <v>0</v>
      </c>
      <c r="BL6" t="s">
        <v>694</v>
      </c>
    </row>
    <row r="7" spans="1:64" x14ac:dyDescent="0.25">
      <c r="A7" s="30"/>
      <c r="B7" s="30">
        <v>42992.522916666669</v>
      </c>
      <c r="C7" t="s">
        <v>666</v>
      </c>
      <c r="D7" t="s">
        <v>667</v>
      </c>
      <c r="E7" t="s">
        <v>532</v>
      </c>
      <c r="F7" t="s">
        <v>169</v>
      </c>
      <c r="G7" t="s">
        <v>167</v>
      </c>
      <c r="H7" s="21" t="s">
        <v>94</v>
      </c>
      <c r="I7" s="86">
        <v>0.8</v>
      </c>
      <c r="J7" s="86">
        <v>0.2</v>
      </c>
      <c r="K7" t="s">
        <v>668</v>
      </c>
      <c r="L7" t="s">
        <v>574</v>
      </c>
      <c r="M7" t="s">
        <v>112</v>
      </c>
      <c r="N7" t="str">
        <f>IF(SUM(ckCodingTable[[#This Row],[NfmlPIs]:[NnonWhtAsnPIs]])&gt;0,"WMD","")</f>
        <v/>
      </c>
      <c r="O7" t="b">
        <f>_xlfn.XOR(IFERROR(MATCH(ckCodingTable[[#This Row],[st_code]],EpscorTable[],0)&gt;0,FALSE),IFERROR(FIND("9150",ckCodingTable[[#This Row],[propPRCs]])&gt;0,FALSE))</f>
        <v>0</v>
      </c>
      <c r="P7" s="21" t="b">
        <f>_xlfn.XOR(ckCodingTable[[#This Row],[wmd]]&lt;&gt;"",IFERROR(FIND("9102",ckCodingTable[[#This Row],[propPRCs]])&gt;0,FALSE))</f>
        <v>0</v>
      </c>
      <c r="Q7" t="s">
        <v>681</v>
      </c>
      <c r="S7" s="108">
        <f>S6+(ckCodingTable[[#This Row],[ILN]]&lt;"M")</f>
        <v>5</v>
      </c>
      <c r="T7" s="21" t="s">
        <v>477</v>
      </c>
      <c r="U7" t="s">
        <v>590</v>
      </c>
      <c r="V7" s="7" t="str">
        <f>HYPERLINK("https://www.ejacket.nsf.gov/ej/showProposal.do?ID="&amp;ckCodingTable[[#This Row],[prop_id]],"eJ")</f>
        <v>eJ</v>
      </c>
      <c r="W7" t="s">
        <v>670</v>
      </c>
      <c r="X7" t="s">
        <v>695</v>
      </c>
      <c r="Y7" t="s">
        <v>696</v>
      </c>
      <c r="Z7" t="s">
        <v>518</v>
      </c>
      <c r="AA7" t="s">
        <v>697</v>
      </c>
      <c r="AB7" s="111" t="str">
        <f>HYPERLINK("mailto:"&amp;ckCodingTable[[#This Row],[email]]&amp;"&amp;subject=Your NSF Proposal:  "&amp;ckCodingTable[[#This Row],[Div]]&amp;" "&amp;ckCodingTable[[#This Row],[prop_id]], ckCodingTable[[#This Row],[email]])</f>
        <v>matthew.r.johnson@unl.edu</v>
      </c>
      <c r="AC7" s="30">
        <v>43221</v>
      </c>
      <c r="AD7">
        <v>36</v>
      </c>
      <c r="AG7" s="112"/>
      <c r="AI7" s="26"/>
      <c r="AJ7" s="22"/>
      <c r="AN7" s="112"/>
      <c r="AO7" s="112"/>
      <c r="AP7" s="112"/>
      <c r="AQ7" s="112"/>
      <c r="AR7" s="7" t="str">
        <f>HYPERLINK("https://www.ejacket.nsf.gov/ej/showProposal.do?ID="&amp;ckCodingTable[[#This Row],[prop_id]],"eJ")</f>
        <v>eJ</v>
      </c>
      <c r="AS7" t="s">
        <v>170</v>
      </c>
      <c r="AT7" t="s">
        <v>693</v>
      </c>
      <c r="AU7" t="b">
        <f>IF(ckCodingTable[[#This Row],[ILN]]="N",SUBSTITUTE(AT6," ","")&lt;&gt;SUBSTITUTE(ckCodingTable[[#This Row],[prop_titl_txt]]," ",""), FALSE)</f>
        <v>0</v>
      </c>
      <c r="AV7">
        <v>0</v>
      </c>
      <c r="AW7" s="13">
        <v>78072</v>
      </c>
      <c r="AX7" s="13">
        <v>78072</v>
      </c>
      <c r="AY7" s="13"/>
      <c r="AZ7" s="13"/>
      <c r="BA7" s="13">
        <v>11591</v>
      </c>
      <c r="BB7" s="13"/>
      <c r="BD7">
        <v>3</v>
      </c>
      <c r="BE7">
        <v>3</v>
      </c>
      <c r="BH7">
        <v>0</v>
      </c>
      <c r="BI7">
        <v>0</v>
      </c>
      <c r="BJ7">
        <v>0</v>
      </c>
      <c r="BK7">
        <v>0</v>
      </c>
      <c r="BL7" t="s">
        <v>698</v>
      </c>
    </row>
    <row r="8" spans="1:64" x14ac:dyDescent="0.25">
      <c r="A8" s="30"/>
      <c r="B8" s="30">
        <v>42993.367361111108</v>
      </c>
      <c r="C8" t="s">
        <v>666</v>
      </c>
      <c r="D8" t="s">
        <v>667</v>
      </c>
      <c r="E8" t="s">
        <v>532</v>
      </c>
      <c r="F8" t="s">
        <v>169</v>
      </c>
      <c r="G8" t="s">
        <v>167</v>
      </c>
      <c r="H8" s="21" t="s">
        <v>94</v>
      </c>
      <c r="I8" s="86">
        <v>0.8</v>
      </c>
      <c r="J8" s="86">
        <v>0.2</v>
      </c>
      <c r="K8" t="s">
        <v>668</v>
      </c>
      <c r="L8" t="s">
        <v>574</v>
      </c>
      <c r="M8" t="s">
        <v>520</v>
      </c>
      <c r="N8" t="str">
        <f>IF(SUM(ckCodingTable[[#This Row],[NfmlPIs]:[NnonWhtAsnPIs]])&gt;0,"WMD","")</f>
        <v/>
      </c>
      <c r="O8" t="b">
        <f>_xlfn.XOR(IFERROR(MATCH(ckCodingTable[[#This Row],[st_code]],EpscorTable[],0)&gt;0,FALSE),IFERROR(FIND("9150",ckCodingTable[[#This Row],[propPRCs]])&gt;0,FALSE))</f>
        <v>0</v>
      </c>
      <c r="P8" s="21" t="b">
        <f>_xlfn.XOR(ckCodingTable[[#This Row],[wmd]]&lt;&gt;"",IFERROR(FIND("9102",ckCodingTable[[#This Row],[propPRCs]])&gt;0,FALSE))</f>
        <v>0</v>
      </c>
      <c r="Q8" t="s">
        <v>669</v>
      </c>
      <c r="S8" s="108">
        <f>S7+(ckCodingTable[[#This Row],[ILN]]&lt;"M")</f>
        <v>5</v>
      </c>
      <c r="T8" s="21" t="s">
        <v>477</v>
      </c>
      <c r="U8" t="s">
        <v>590</v>
      </c>
      <c r="V8" s="7" t="str">
        <f>HYPERLINK("https://www.ejacket.nsf.gov/ej/showProposal.do?ID="&amp;ckCodingTable[[#This Row],[prop_id]],"eJ")</f>
        <v>eJ</v>
      </c>
      <c r="W8" t="s">
        <v>670</v>
      </c>
      <c r="X8" t="s">
        <v>699</v>
      </c>
      <c r="Y8" t="s">
        <v>700</v>
      </c>
      <c r="Z8" t="s">
        <v>701</v>
      </c>
      <c r="AA8" t="s">
        <v>523</v>
      </c>
      <c r="AB8" s="111" t="str">
        <f>HYPERLINK("mailto:"&amp;ckCodingTable[[#This Row],[email]]&amp;"&amp;subject=Your NSF Proposal:  "&amp;ckCodingTable[[#This Row],[Div]]&amp;" "&amp;ckCodingTable[[#This Row],[prop_id]], ckCodingTable[[#This Row],[email]])</f>
        <v>yong.cho@ce.gatech.edu</v>
      </c>
      <c r="AC8" s="30">
        <v>43221</v>
      </c>
      <c r="AD8">
        <v>36</v>
      </c>
      <c r="AG8" s="112"/>
      <c r="AI8" s="26"/>
      <c r="AJ8" s="22"/>
      <c r="AN8" s="112"/>
      <c r="AO8" s="112"/>
      <c r="AP8" s="112"/>
      <c r="AQ8" s="112"/>
      <c r="AR8" s="7" t="str">
        <f>HYPERLINK("https://www.ejacket.nsf.gov/ej/showProposal.do?ID="&amp;ckCodingTable[[#This Row],[prop_id]],"eJ")</f>
        <v>eJ</v>
      </c>
      <c r="AS8" t="s">
        <v>170</v>
      </c>
      <c r="AT8" t="s">
        <v>693</v>
      </c>
      <c r="AU8" t="b">
        <f>IF(ckCodingTable[[#This Row],[ILN]]="N",SUBSTITUTE(AT7," ","")&lt;&gt;SUBSTITUTE(ckCodingTable[[#This Row],[prop_titl_txt]]," ",""), FALSE)</f>
        <v>0</v>
      </c>
      <c r="AV8">
        <v>0</v>
      </c>
      <c r="AW8" s="13">
        <v>150000</v>
      </c>
      <c r="AX8" s="13">
        <v>150000</v>
      </c>
      <c r="AY8" s="13"/>
      <c r="AZ8" s="13"/>
      <c r="BA8" s="13"/>
      <c r="BB8" s="13"/>
      <c r="BC8">
        <v>2</v>
      </c>
      <c r="BD8">
        <v>3</v>
      </c>
      <c r="BE8">
        <v>1.5</v>
      </c>
      <c r="BH8">
        <v>0</v>
      </c>
      <c r="BI8">
        <v>0</v>
      </c>
      <c r="BJ8">
        <v>0</v>
      </c>
      <c r="BK8">
        <v>0</v>
      </c>
      <c r="BL8" t="s">
        <v>702</v>
      </c>
    </row>
    <row r="9" spans="1:64" x14ac:dyDescent="0.25">
      <c r="A9" s="30"/>
      <c r="B9" s="30">
        <v>42992.676388888889</v>
      </c>
      <c r="C9" t="s">
        <v>666</v>
      </c>
      <c r="D9" t="s">
        <v>667</v>
      </c>
      <c r="E9" t="s">
        <v>532</v>
      </c>
      <c r="F9" t="s">
        <v>169</v>
      </c>
      <c r="G9" t="s">
        <v>167</v>
      </c>
      <c r="H9" s="21" t="s">
        <v>94</v>
      </c>
      <c r="I9" s="86">
        <v>0.8</v>
      </c>
      <c r="J9" s="86">
        <v>0.2</v>
      </c>
      <c r="K9" t="s">
        <v>668</v>
      </c>
      <c r="L9" t="s">
        <v>574</v>
      </c>
      <c r="M9" t="s">
        <v>300</v>
      </c>
      <c r="N9" t="str">
        <f>IF(SUM(ckCodingTable[[#This Row],[NfmlPIs]:[NnonWhtAsnPIs]])&gt;0,"WMD","")</f>
        <v>WMD</v>
      </c>
      <c r="O9" t="b">
        <f>_xlfn.XOR(IFERROR(MATCH(ckCodingTable[[#This Row],[st_code]],EpscorTable[],0)&gt;0,FALSE),IFERROR(FIND("9150",ckCodingTable[[#This Row],[propPRCs]])&gt;0,FALSE))</f>
        <v>0</v>
      </c>
      <c r="P9" s="21" t="b">
        <f>_xlfn.XOR(ckCodingTable[[#This Row],[wmd]]&lt;&gt;"",IFERROR(FIND("9102",ckCodingTable[[#This Row],[propPRCs]])&gt;0,FALSE))</f>
        <v>1</v>
      </c>
      <c r="Q9" t="s">
        <v>669</v>
      </c>
      <c r="S9" s="108">
        <f>S8+(ckCodingTable[[#This Row],[ILN]]&lt;"M")</f>
        <v>6</v>
      </c>
      <c r="T9" s="21" t="s">
        <v>95</v>
      </c>
      <c r="U9" t="s">
        <v>598</v>
      </c>
      <c r="V9" s="7" t="str">
        <f>HYPERLINK("https://www.ejacket.nsf.gov/ej/showProposal.do?ID="&amp;ckCodingTable[[#This Row],[prop_id]],"eJ")</f>
        <v>eJ</v>
      </c>
      <c r="W9" t="s">
        <v>670</v>
      </c>
      <c r="X9" t="s">
        <v>598</v>
      </c>
      <c r="Y9" t="s">
        <v>599</v>
      </c>
      <c r="Z9" t="s">
        <v>703</v>
      </c>
      <c r="AA9" t="s">
        <v>503</v>
      </c>
      <c r="AB9" s="111" t="str">
        <f>HYPERLINK("mailto:"&amp;ckCodingTable[[#This Row],[email]]&amp;"&amp;subject=Your NSF Proposal:  "&amp;ckCodingTable[[#This Row],[Div]]&amp;" "&amp;ckCodingTable[[#This Row],[prop_id]], ckCodingTable[[#This Row],[email]])</f>
        <v>fernanda.leite@austin.utexas.edu</v>
      </c>
      <c r="AC9" s="30">
        <v>43252</v>
      </c>
      <c r="AD9">
        <v>36</v>
      </c>
      <c r="AE9">
        <v>1</v>
      </c>
      <c r="AG9" s="112"/>
      <c r="AH9" t="s">
        <v>677</v>
      </c>
      <c r="AI9" s="26">
        <v>3.6666666666666665</v>
      </c>
      <c r="AJ9" s="22">
        <v>43051.020833333336</v>
      </c>
      <c r="AK9" s="21">
        <v>1</v>
      </c>
      <c r="AL9">
        <v>3</v>
      </c>
      <c r="AN9" s="112"/>
      <c r="AO9" s="112"/>
      <c r="AP9" s="112"/>
      <c r="AQ9" s="112"/>
      <c r="AR9" s="7" t="str">
        <f>HYPERLINK("https://www.ejacket.nsf.gov/ej/showProposal.do?ID="&amp;ckCodingTable[[#This Row],[prop_id]],"eJ")</f>
        <v>eJ</v>
      </c>
      <c r="AS9" t="s">
        <v>170</v>
      </c>
      <c r="AT9" t="s">
        <v>704</v>
      </c>
      <c r="AU9" t="b">
        <f>IF(ckCodingTable[[#This Row],[ILN]]="N",SUBSTITUTE(AT8," ","")&lt;&gt;SUBSTITUTE(ckCodingTable[[#This Row],[prop_titl_txt]]," ",""), FALSE)</f>
        <v>0</v>
      </c>
      <c r="AV9">
        <v>0</v>
      </c>
      <c r="AW9" s="13">
        <v>446786</v>
      </c>
      <c r="AX9" s="13">
        <v>446786</v>
      </c>
      <c r="AY9" s="13"/>
      <c r="AZ9" s="13"/>
      <c r="BA9" s="13"/>
      <c r="BB9" s="13">
        <v>3000</v>
      </c>
      <c r="BC9">
        <v>5</v>
      </c>
      <c r="BD9">
        <v>6</v>
      </c>
      <c r="BE9">
        <v>4.5</v>
      </c>
      <c r="BH9">
        <v>2</v>
      </c>
      <c r="BI9">
        <v>2</v>
      </c>
      <c r="BJ9">
        <v>0</v>
      </c>
      <c r="BK9">
        <v>0</v>
      </c>
      <c r="BL9" t="s">
        <v>705</v>
      </c>
    </row>
    <row r="10" spans="1:64" x14ac:dyDescent="0.25">
      <c r="A10" s="30"/>
      <c r="B10" s="30">
        <v>42993.447916666664</v>
      </c>
      <c r="C10" t="s">
        <v>666</v>
      </c>
      <c r="D10" t="s">
        <v>667</v>
      </c>
      <c r="E10" t="s">
        <v>532</v>
      </c>
      <c r="F10" t="s">
        <v>169</v>
      </c>
      <c r="G10" t="s">
        <v>167</v>
      </c>
      <c r="H10" s="21" t="s">
        <v>94</v>
      </c>
      <c r="I10" s="86">
        <v>0.8</v>
      </c>
      <c r="J10" s="86">
        <v>0.2</v>
      </c>
      <c r="K10" t="s">
        <v>668</v>
      </c>
      <c r="L10" t="s">
        <v>574</v>
      </c>
      <c r="M10" t="s">
        <v>517</v>
      </c>
      <c r="N10" t="str">
        <f>IF(SUM(ckCodingTable[[#This Row],[NfmlPIs]:[NnonWhtAsnPIs]])&gt;0,"WMD","")</f>
        <v/>
      </c>
      <c r="O10" t="b">
        <f>_xlfn.XOR(IFERROR(MATCH(ckCodingTable[[#This Row],[st_code]],EpscorTable[],0)&gt;0,FALSE),IFERROR(FIND("9150",ckCodingTable[[#This Row],[propPRCs]])&gt;0,FALSE))</f>
        <v>0</v>
      </c>
      <c r="P10" s="21" t="b">
        <f>_xlfn.XOR(ckCodingTable[[#This Row],[wmd]]&lt;&gt;"",IFERROR(FIND("9102",ckCodingTable[[#This Row],[propPRCs]])&gt;0,FALSE))</f>
        <v>0</v>
      </c>
      <c r="Q10" t="s">
        <v>669</v>
      </c>
      <c r="S10" s="108">
        <f>S9+(ckCodingTable[[#This Row],[ILN]]&lt;"M")</f>
        <v>7</v>
      </c>
      <c r="T10" s="21" t="s">
        <v>95</v>
      </c>
      <c r="U10" t="s">
        <v>604</v>
      </c>
      <c r="V10" s="7" t="str">
        <f>HYPERLINK("https://www.ejacket.nsf.gov/ej/showProposal.do?ID="&amp;ckCodingTable[[#This Row],[prop_id]],"eJ")</f>
        <v>eJ</v>
      </c>
      <c r="W10" t="s">
        <v>670</v>
      </c>
      <c r="X10" t="s">
        <v>604</v>
      </c>
      <c r="Y10" t="s">
        <v>605</v>
      </c>
      <c r="Z10" t="s">
        <v>706</v>
      </c>
      <c r="AA10" t="s">
        <v>707</v>
      </c>
      <c r="AB10" s="111" t="str">
        <f>HYPERLINK("mailto:"&amp;ckCodingTable[[#This Row],[email]]&amp;"&amp;subject=Your NSF Proposal:  "&amp;ckCodingTable[[#This Row],[Div]]&amp;" "&amp;ckCodingTable[[#This Row],[prop_id]], ckCodingTable[[#This Row],[email]])</f>
        <v>lucko@cua.edu</v>
      </c>
      <c r="AC10" s="30">
        <v>43221</v>
      </c>
      <c r="AD10">
        <v>36</v>
      </c>
      <c r="AE10">
        <v>1</v>
      </c>
      <c r="AG10" s="112"/>
      <c r="AH10" t="s">
        <v>522</v>
      </c>
      <c r="AI10" s="26">
        <v>4</v>
      </c>
      <c r="AJ10" s="22">
        <v>43050.636111111111</v>
      </c>
      <c r="AK10" s="21">
        <v>1</v>
      </c>
      <c r="AL10">
        <v>3</v>
      </c>
      <c r="AN10" s="112"/>
      <c r="AO10" s="112"/>
      <c r="AP10" s="112"/>
      <c r="AQ10" s="112"/>
      <c r="AR10" s="7" t="str">
        <f>HYPERLINK("https://www.ejacket.nsf.gov/ej/showProposal.do?ID="&amp;ckCodingTable[[#This Row],[prop_id]],"eJ")</f>
        <v>eJ</v>
      </c>
      <c r="AS10" t="s">
        <v>170</v>
      </c>
      <c r="AT10" t="s">
        <v>708</v>
      </c>
      <c r="AU10" t="b">
        <f>IF(ckCodingTable[[#This Row],[ILN]]="N",SUBSTITUTE(AT9," ","")&lt;&gt;SUBSTITUTE(ckCodingTable[[#This Row],[prop_titl_txt]]," ",""), FALSE)</f>
        <v>0</v>
      </c>
      <c r="AV10">
        <v>0</v>
      </c>
      <c r="AW10" s="13">
        <v>305924</v>
      </c>
      <c r="AX10" s="13">
        <v>305924</v>
      </c>
      <c r="AY10" s="13"/>
      <c r="AZ10" s="13">
        <v>2500</v>
      </c>
      <c r="BA10" s="13">
        <v>63050</v>
      </c>
      <c r="BB10" s="13">
        <v>300</v>
      </c>
      <c r="BC10">
        <v>2</v>
      </c>
      <c r="BD10">
        <v>3</v>
      </c>
      <c r="BE10">
        <v>3</v>
      </c>
      <c r="BH10">
        <v>0</v>
      </c>
      <c r="BI10">
        <v>0</v>
      </c>
      <c r="BJ10">
        <v>0</v>
      </c>
      <c r="BK10">
        <v>0</v>
      </c>
      <c r="BL10" t="s">
        <v>709</v>
      </c>
    </row>
    <row r="11" spans="1:64" x14ac:dyDescent="0.25">
      <c r="A11" s="30"/>
      <c r="B11" s="30">
        <v>42993.449305555558</v>
      </c>
      <c r="C11" t="s">
        <v>666</v>
      </c>
      <c r="D11" t="s">
        <v>667</v>
      </c>
      <c r="E11" t="s">
        <v>532</v>
      </c>
      <c r="F11" t="s">
        <v>169</v>
      </c>
      <c r="G11" t="s">
        <v>167</v>
      </c>
      <c r="H11" s="21" t="s">
        <v>94</v>
      </c>
      <c r="I11" s="86">
        <v>0.8</v>
      </c>
      <c r="J11" s="86">
        <v>0.2</v>
      </c>
      <c r="K11" t="s">
        <v>668</v>
      </c>
      <c r="L11" t="s">
        <v>574</v>
      </c>
      <c r="M11" t="s">
        <v>517</v>
      </c>
      <c r="N11" t="str">
        <f>IF(SUM(ckCodingTable[[#This Row],[NfmlPIs]:[NnonWhtAsnPIs]])&gt;0,"WMD","")</f>
        <v/>
      </c>
      <c r="O11" t="b">
        <f>_xlfn.XOR(IFERROR(MATCH(ckCodingTable[[#This Row],[st_code]],EpscorTable[],0)&gt;0,FALSE),IFERROR(FIND("9150",ckCodingTable[[#This Row],[propPRCs]])&gt;0,FALSE))</f>
        <v>0</v>
      </c>
      <c r="P11" s="21" t="b">
        <f>_xlfn.XOR(ckCodingTable[[#This Row],[wmd]]&lt;&gt;"",IFERROR(FIND("9102",ckCodingTable[[#This Row],[propPRCs]])&gt;0,FALSE))</f>
        <v>0</v>
      </c>
      <c r="Q11" t="s">
        <v>669</v>
      </c>
      <c r="S11" s="108">
        <f>S10+(ckCodingTable[[#This Row],[ILN]]&lt;"M")</f>
        <v>8</v>
      </c>
      <c r="T11" s="21" t="s">
        <v>95</v>
      </c>
      <c r="U11" t="s">
        <v>609</v>
      </c>
      <c r="V11" s="7" t="str">
        <f>HYPERLINK("https://www.ejacket.nsf.gov/ej/showProposal.do?ID="&amp;ckCodingTable[[#This Row],[prop_id]],"eJ")</f>
        <v>eJ</v>
      </c>
      <c r="W11" t="s">
        <v>670</v>
      </c>
      <c r="X11" t="s">
        <v>609</v>
      </c>
      <c r="Y11" t="s">
        <v>605</v>
      </c>
      <c r="Z11" t="s">
        <v>706</v>
      </c>
      <c r="AA11" t="s">
        <v>707</v>
      </c>
      <c r="AB11" s="111" t="str">
        <f>HYPERLINK("mailto:"&amp;ckCodingTable[[#This Row],[email]]&amp;"&amp;subject=Your NSF Proposal:  "&amp;ckCodingTable[[#This Row],[Div]]&amp;" "&amp;ckCodingTable[[#This Row],[prop_id]], ckCodingTable[[#This Row],[email]])</f>
        <v>lucko@cua.edu</v>
      </c>
      <c r="AC11" s="30">
        <v>43221</v>
      </c>
      <c r="AD11">
        <v>36</v>
      </c>
      <c r="AE11">
        <v>1</v>
      </c>
      <c r="AG11" s="112"/>
      <c r="AH11" t="s">
        <v>677</v>
      </c>
      <c r="AI11" s="26">
        <v>3.6666666666666665</v>
      </c>
      <c r="AJ11" s="22">
        <v>43046.49722222222</v>
      </c>
      <c r="AK11" s="21">
        <v>1</v>
      </c>
      <c r="AL11">
        <v>3</v>
      </c>
      <c r="AN11" s="112"/>
      <c r="AO11" s="112"/>
      <c r="AP11" s="112"/>
      <c r="AQ11" s="112"/>
      <c r="AR11" s="7" t="str">
        <f>HYPERLINK("https://www.ejacket.nsf.gov/ej/showProposal.do?ID="&amp;ckCodingTable[[#This Row],[prop_id]],"eJ")</f>
        <v>eJ</v>
      </c>
      <c r="AS11" t="s">
        <v>170</v>
      </c>
      <c r="AT11" t="s">
        <v>710</v>
      </c>
      <c r="AU11" t="b">
        <f>IF(ckCodingTable[[#This Row],[ILN]]="N",SUBSTITUTE(AT10," ","")&lt;&gt;SUBSTITUTE(ckCodingTable[[#This Row],[prop_titl_txt]]," ",""), FALSE)</f>
        <v>0</v>
      </c>
      <c r="AV11">
        <v>0</v>
      </c>
      <c r="AW11" s="13">
        <v>308306</v>
      </c>
      <c r="AX11" s="13">
        <v>308306</v>
      </c>
      <c r="AY11" s="13"/>
      <c r="AZ11" s="13">
        <v>2500</v>
      </c>
      <c r="BA11" s="13">
        <v>63050</v>
      </c>
      <c r="BB11" s="13">
        <v>300</v>
      </c>
      <c r="BC11">
        <v>2</v>
      </c>
      <c r="BD11">
        <v>5</v>
      </c>
      <c r="BE11">
        <v>4</v>
      </c>
      <c r="BH11">
        <v>0</v>
      </c>
      <c r="BI11">
        <v>0</v>
      </c>
      <c r="BJ11">
        <v>0</v>
      </c>
      <c r="BK11">
        <v>0</v>
      </c>
      <c r="BL11" t="s">
        <v>709</v>
      </c>
    </row>
    <row r="12" spans="1:64" x14ac:dyDescent="0.25">
      <c r="A12" s="30"/>
      <c r="B12" s="30">
        <v>42993.551388888889</v>
      </c>
      <c r="C12" t="s">
        <v>666</v>
      </c>
      <c r="D12" t="s">
        <v>667</v>
      </c>
      <c r="E12" t="s">
        <v>532</v>
      </c>
      <c r="F12" t="s">
        <v>169</v>
      </c>
      <c r="G12" t="s">
        <v>167</v>
      </c>
      <c r="H12" s="21" t="s">
        <v>94</v>
      </c>
      <c r="I12" s="86">
        <v>0.8</v>
      </c>
      <c r="J12" s="86">
        <v>0.2</v>
      </c>
      <c r="K12" t="s">
        <v>668</v>
      </c>
      <c r="L12" t="s">
        <v>574</v>
      </c>
      <c r="M12" t="s">
        <v>123</v>
      </c>
      <c r="N12" t="str">
        <f>IF(SUM(ckCodingTable[[#This Row],[NfmlPIs]:[NnonWhtAsnPIs]])&gt;0,"WMD","")</f>
        <v/>
      </c>
      <c r="O12" t="b">
        <f>_xlfn.XOR(IFERROR(MATCH(ckCodingTable[[#This Row],[st_code]],EpscorTable[],0)&gt;0,FALSE),IFERROR(FIND("9150",ckCodingTable[[#This Row],[propPRCs]])&gt;0,FALSE))</f>
        <v>0</v>
      </c>
      <c r="P12" s="21" t="b">
        <f>_xlfn.XOR(ckCodingTable[[#This Row],[wmd]]&lt;&gt;"",IFERROR(FIND("9102",ckCodingTable[[#This Row],[propPRCs]])&gt;0,FALSE))</f>
        <v>0</v>
      </c>
      <c r="Q12" t="s">
        <v>681</v>
      </c>
      <c r="S12" s="108">
        <f>S11+(ckCodingTable[[#This Row],[ILN]]&lt;"M")</f>
        <v>9</v>
      </c>
      <c r="T12" s="21" t="s">
        <v>475</v>
      </c>
      <c r="U12" t="s">
        <v>616</v>
      </c>
      <c r="V12" s="7" t="str">
        <f>HYPERLINK("https://www.ejacket.nsf.gov/ej/showProposal.do?ID="&amp;ckCodingTable[[#This Row],[prop_id]],"eJ")</f>
        <v>eJ</v>
      </c>
      <c r="W12" t="s">
        <v>670</v>
      </c>
      <c r="X12" t="s">
        <v>616</v>
      </c>
      <c r="Y12" t="s">
        <v>617</v>
      </c>
      <c r="Z12" t="s">
        <v>711</v>
      </c>
      <c r="AA12" t="s">
        <v>712</v>
      </c>
      <c r="AB12" s="111" t="str">
        <f>HYPERLINK("mailto:"&amp;ckCodingTable[[#This Row],[email]]&amp;"&amp;subject=Your NSF Proposal:  "&amp;ckCodingTable[[#This Row],[Div]]&amp;" "&amp;ckCodingTable[[#This Row],[prop_id]], ckCodingTable[[#This Row],[email]])</f>
        <v>fei.dai@mail.wvu.edu</v>
      </c>
      <c r="AC12" s="30">
        <v>43221</v>
      </c>
      <c r="AD12">
        <v>36</v>
      </c>
      <c r="AE12">
        <v>1</v>
      </c>
      <c r="AG12" s="112"/>
      <c r="AH12" t="s">
        <v>713</v>
      </c>
      <c r="AI12" s="26">
        <v>4</v>
      </c>
      <c r="AJ12" s="22">
        <v>43052.238888888889</v>
      </c>
      <c r="AL12">
        <v>3</v>
      </c>
      <c r="AN12" s="112"/>
      <c r="AO12" s="112"/>
      <c r="AP12" s="112"/>
      <c r="AQ12" s="112"/>
      <c r="AR12" s="7" t="str">
        <f>HYPERLINK("https://www.ejacket.nsf.gov/ej/showProposal.do?ID="&amp;ckCodingTable[[#This Row],[prop_id]],"eJ")</f>
        <v>eJ</v>
      </c>
      <c r="AS12" t="s">
        <v>170</v>
      </c>
      <c r="AT12" t="s">
        <v>714</v>
      </c>
      <c r="AU12" t="b">
        <f>IF(ckCodingTable[[#This Row],[ILN]]="N",SUBSTITUTE(AT11," ","")&lt;&gt;SUBSTITUTE(ckCodingTable[[#This Row],[prop_titl_txt]]," ",""), FALSE)</f>
        <v>0</v>
      </c>
      <c r="AV12">
        <v>0</v>
      </c>
      <c r="AW12" s="13">
        <v>210453</v>
      </c>
      <c r="AX12" s="13">
        <v>210453</v>
      </c>
      <c r="AY12" s="13"/>
      <c r="AZ12" s="13">
        <v>10560</v>
      </c>
      <c r="BA12" s="13"/>
      <c r="BB12" s="13"/>
      <c r="BC12">
        <v>3</v>
      </c>
      <c r="BD12">
        <v>6</v>
      </c>
      <c r="BE12">
        <v>3</v>
      </c>
      <c r="BH12">
        <v>0</v>
      </c>
      <c r="BI12">
        <v>0</v>
      </c>
      <c r="BJ12">
        <v>0</v>
      </c>
      <c r="BK12">
        <v>0</v>
      </c>
      <c r="BL12" t="s">
        <v>715</v>
      </c>
    </row>
    <row r="13" spans="1:64" x14ac:dyDescent="0.25">
      <c r="A13" s="30"/>
      <c r="B13" s="30">
        <v>42993.511805555558</v>
      </c>
      <c r="C13" t="s">
        <v>666</v>
      </c>
      <c r="D13" t="s">
        <v>667</v>
      </c>
      <c r="E13" t="s">
        <v>532</v>
      </c>
      <c r="F13" t="s">
        <v>169</v>
      </c>
      <c r="G13" t="s">
        <v>167</v>
      </c>
      <c r="H13" s="21" t="s">
        <v>94</v>
      </c>
      <c r="I13" s="86">
        <v>0.8</v>
      </c>
      <c r="J13" s="86">
        <v>0.2</v>
      </c>
      <c r="K13" t="s">
        <v>668</v>
      </c>
      <c r="L13" t="s">
        <v>574</v>
      </c>
      <c r="M13" t="s">
        <v>300</v>
      </c>
      <c r="N13" t="str">
        <f>IF(SUM(ckCodingTable[[#This Row],[NfmlPIs]:[NnonWhtAsnPIs]])&gt;0,"WMD","")</f>
        <v/>
      </c>
      <c r="O13" t="b">
        <f>_xlfn.XOR(IFERROR(MATCH(ckCodingTable[[#This Row],[st_code]],EpscorTable[],0)&gt;0,FALSE),IFERROR(FIND("9150",ckCodingTable[[#This Row],[propPRCs]])&gt;0,FALSE))</f>
        <v>0</v>
      </c>
      <c r="P13" s="21" t="b">
        <f>_xlfn.XOR(ckCodingTable[[#This Row],[wmd]]&lt;&gt;"",IFERROR(FIND("9102",ckCodingTable[[#This Row],[propPRCs]])&gt;0,FALSE))</f>
        <v>0</v>
      </c>
      <c r="Q13" t="s">
        <v>669</v>
      </c>
      <c r="S13" s="108">
        <f>S12+(ckCodingTable[[#This Row],[ILN]]&lt;"M")</f>
        <v>9</v>
      </c>
      <c r="T13" s="21" t="s">
        <v>477</v>
      </c>
      <c r="U13" t="s">
        <v>616</v>
      </c>
      <c r="V13" s="7" t="str">
        <f>HYPERLINK("https://www.ejacket.nsf.gov/ej/showProposal.do?ID="&amp;ckCodingTable[[#This Row],[prop_id]],"eJ")</f>
        <v>eJ</v>
      </c>
      <c r="W13" t="s">
        <v>670</v>
      </c>
      <c r="X13" t="s">
        <v>716</v>
      </c>
      <c r="Y13" t="s">
        <v>717</v>
      </c>
      <c r="Z13" t="s">
        <v>519</v>
      </c>
      <c r="AA13" t="s">
        <v>525</v>
      </c>
      <c r="AB13" s="111" t="str">
        <f>HYPERLINK("mailto:"&amp;ckCodingTable[[#This Row],[email]]&amp;"&amp;subject=Your NSF Proposal:  "&amp;ckCodingTable[[#This Row],[Div]]&amp;" "&amp;ckCodingTable[[#This Row],[prop_id]], ckCodingTable[[#This Row],[email]])</f>
        <v>abehzadan@tamu.edu</v>
      </c>
      <c r="AC13" s="30">
        <v>43221</v>
      </c>
      <c r="AD13">
        <v>36</v>
      </c>
      <c r="AG13" s="112"/>
      <c r="AI13" s="26"/>
      <c r="AJ13" s="22"/>
      <c r="AN13" s="112"/>
      <c r="AO13" s="112"/>
      <c r="AP13" s="112"/>
      <c r="AQ13" s="112"/>
      <c r="AR13" s="7" t="str">
        <f>HYPERLINK("https://www.ejacket.nsf.gov/ej/showProposal.do?ID="&amp;ckCodingTable[[#This Row],[prop_id]],"eJ")</f>
        <v>eJ</v>
      </c>
      <c r="AS13" t="s">
        <v>170</v>
      </c>
      <c r="AT13" t="s">
        <v>714</v>
      </c>
      <c r="AU13" t="b">
        <f>IF(ckCodingTable[[#This Row],[ILN]]="N",SUBSTITUTE(AT12," ","")&lt;&gt;SUBSTITUTE(ckCodingTable[[#This Row],[prop_titl_txt]]," ",""), FALSE)</f>
        <v>0</v>
      </c>
      <c r="AV13">
        <v>0</v>
      </c>
      <c r="AW13" s="13">
        <v>150000</v>
      </c>
      <c r="AX13" s="13">
        <v>150000</v>
      </c>
      <c r="AY13" s="13"/>
      <c r="AZ13" s="13"/>
      <c r="BA13" s="13">
        <v>57855</v>
      </c>
      <c r="BB13" s="13"/>
      <c r="BD13">
        <v>3</v>
      </c>
      <c r="BG13">
        <v>1.2</v>
      </c>
      <c r="BH13">
        <v>0</v>
      </c>
      <c r="BI13">
        <v>0</v>
      </c>
      <c r="BJ13">
        <v>0</v>
      </c>
      <c r="BK13">
        <v>0</v>
      </c>
      <c r="BL13" t="s">
        <v>718</v>
      </c>
    </row>
    <row r="14" spans="1:64" x14ac:dyDescent="0.25">
      <c r="A14" s="30"/>
      <c r="B14" s="30">
        <v>42993.675000000003</v>
      </c>
      <c r="C14" t="s">
        <v>666</v>
      </c>
      <c r="D14" t="s">
        <v>667</v>
      </c>
      <c r="E14" t="s">
        <v>532</v>
      </c>
      <c r="F14" t="s">
        <v>169</v>
      </c>
      <c r="G14" t="s">
        <v>167</v>
      </c>
      <c r="H14" s="21" t="s">
        <v>94</v>
      </c>
      <c r="I14" s="86">
        <v>0.8</v>
      </c>
      <c r="J14" s="86">
        <v>0.2</v>
      </c>
      <c r="K14" t="s">
        <v>668</v>
      </c>
      <c r="L14" t="s">
        <v>574</v>
      </c>
      <c r="M14" t="s">
        <v>300</v>
      </c>
      <c r="N14" t="str">
        <f>IF(SUM(ckCodingTable[[#This Row],[NfmlPIs]:[NnonWhtAsnPIs]])&gt;0,"WMD","")</f>
        <v/>
      </c>
      <c r="O14" t="b">
        <f>_xlfn.XOR(IFERROR(MATCH(ckCodingTable[[#This Row],[st_code]],EpscorTable[],0)&gt;0,FALSE),IFERROR(FIND("9150",ckCodingTable[[#This Row],[propPRCs]])&gt;0,FALSE))</f>
        <v>0</v>
      </c>
      <c r="P14" s="21" t="b">
        <f>_xlfn.XOR(ckCodingTable[[#This Row],[wmd]]&lt;&gt;"",IFERROR(FIND("9102",ckCodingTable[[#This Row],[propPRCs]])&gt;0,FALSE))</f>
        <v>0</v>
      </c>
      <c r="Q14" t="s">
        <v>669</v>
      </c>
      <c r="S14" s="108">
        <f>S13+(ckCodingTable[[#This Row],[ILN]]&lt;"M")</f>
        <v>10</v>
      </c>
      <c r="T14" s="21" t="s">
        <v>95</v>
      </c>
      <c r="U14" t="s">
        <v>622</v>
      </c>
      <c r="V14" s="7" t="str">
        <f>HYPERLINK("https://www.ejacket.nsf.gov/ej/showProposal.do?ID="&amp;ckCodingTable[[#This Row],[prop_id]],"eJ")</f>
        <v>eJ</v>
      </c>
      <c r="W14" t="s">
        <v>670</v>
      </c>
      <c r="X14" t="s">
        <v>622</v>
      </c>
      <c r="Y14" t="s">
        <v>623</v>
      </c>
      <c r="Z14" t="s">
        <v>719</v>
      </c>
      <c r="AA14" t="s">
        <v>525</v>
      </c>
      <c r="AB14" s="111" t="str">
        <f>HYPERLINK("mailto:"&amp;ckCodingTable[[#This Row],[email]]&amp;"&amp;subject=Your NSF Proposal:  "&amp;ckCodingTable[[#This Row],[Div]]&amp;" "&amp;ckCodingTable[[#This Row],[prop_id]], ckCodingTable[[#This Row],[email]])</f>
        <v>dujing@tamu.edu</v>
      </c>
      <c r="AC14" s="30">
        <v>43252</v>
      </c>
      <c r="AD14">
        <v>36</v>
      </c>
      <c r="AE14">
        <v>1</v>
      </c>
      <c r="AG14" s="112"/>
      <c r="AH14" t="s">
        <v>720</v>
      </c>
      <c r="AI14" s="26">
        <v>6</v>
      </c>
      <c r="AJ14" s="22">
        <v>43052.445833333331</v>
      </c>
      <c r="AL14">
        <v>4</v>
      </c>
      <c r="AN14" s="112"/>
      <c r="AO14" s="112"/>
      <c r="AP14" s="112"/>
      <c r="AQ14" s="112"/>
      <c r="AR14" s="7" t="str">
        <f>HYPERLINK("https://www.ejacket.nsf.gov/ej/showProposal.do?ID="&amp;ckCodingTable[[#This Row],[prop_id]],"eJ")</f>
        <v>eJ</v>
      </c>
      <c r="AS14" t="s">
        <v>170</v>
      </c>
      <c r="AT14" t="s">
        <v>721</v>
      </c>
      <c r="AU14" t="b">
        <f>IF(ckCodingTable[[#This Row],[ILN]]="N",SUBSTITUTE(AT13," ","")&lt;&gt;SUBSTITUTE(ckCodingTable[[#This Row],[prop_titl_txt]]," ",""), FALSE)</f>
        <v>0</v>
      </c>
      <c r="AV14">
        <v>0</v>
      </c>
      <c r="AW14" s="13">
        <v>350000</v>
      </c>
      <c r="AX14" s="13">
        <v>350000</v>
      </c>
      <c r="AY14" s="13"/>
      <c r="AZ14" s="13"/>
      <c r="BA14" s="13"/>
      <c r="BB14" s="13">
        <v>6000</v>
      </c>
      <c r="BC14">
        <v>5</v>
      </c>
      <c r="BD14">
        <v>7</v>
      </c>
      <c r="BG14">
        <v>5.45</v>
      </c>
      <c r="BH14">
        <v>0</v>
      </c>
      <c r="BI14">
        <v>0</v>
      </c>
      <c r="BJ14">
        <v>0</v>
      </c>
      <c r="BK14">
        <v>0</v>
      </c>
      <c r="BL14" t="s">
        <v>722</v>
      </c>
    </row>
    <row r="15" spans="1:64" x14ac:dyDescent="0.25">
      <c r="A15" s="30"/>
      <c r="B15" s="30">
        <v>42996.584722222222</v>
      </c>
      <c r="C15" t="s">
        <v>666</v>
      </c>
      <c r="D15" t="s">
        <v>667</v>
      </c>
      <c r="E15" t="s">
        <v>532</v>
      </c>
      <c r="F15" t="s">
        <v>169</v>
      </c>
      <c r="G15" t="s">
        <v>167</v>
      </c>
      <c r="H15" s="21" t="s">
        <v>94</v>
      </c>
      <c r="I15" s="86">
        <v>0.8</v>
      </c>
      <c r="J15" s="86">
        <v>0.2</v>
      </c>
      <c r="K15" t="s">
        <v>668</v>
      </c>
      <c r="L15" t="s">
        <v>574</v>
      </c>
      <c r="M15" t="s">
        <v>478</v>
      </c>
      <c r="N15" t="str">
        <f>IF(SUM(ckCodingTable[[#This Row],[NfmlPIs]:[NnonWhtAsnPIs]])&gt;0,"WMD","")</f>
        <v>WMD</v>
      </c>
      <c r="O15" t="b">
        <f>_xlfn.XOR(IFERROR(MATCH(ckCodingTable[[#This Row],[st_code]],EpscorTable[],0)&gt;0,FALSE),IFERROR(FIND("9150",ckCodingTable[[#This Row],[propPRCs]])&gt;0,FALSE))</f>
        <v>0</v>
      </c>
      <c r="P15" s="21" t="b">
        <f>_xlfn.XOR(ckCodingTable[[#This Row],[wmd]]&lt;&gt;"",IFERROR(FIND("9102",ckCodingTable[[#This Row],[propPRCs]])&gt;0,FALSE))</f>
        <v>1</v>
      </c>
      <c r="Q15" t="s">
        <v>669</v>
      </c>
      <c r="S15" s="108">
        <f>S14+(ckCodingTable[[#This Row],[ILN]]&lt;"M")</f>
        <v>11</v>
      </c>
      <c r="T15" s="21" t="s">
        <v>95</v>
      </c>
      <c r="U15" t="s">
        <v>631</v>
      </c>
      <c r="V15" s="7" t="str">
        <f>HYPERLINK("https://www.ejacket.nsf.gov/ej/showProposal.do?ID="&amp;ckCodingTable[[#This Row],[prop_id]],"eJ")</f>
        <v>eJ</v>
      </c>
      <c r="W15" t="s">
        <v>670</v>
      </c>
      <c r="X15" t="s">
        <v>631</v>
      </c>
      <c r="Y15" t="s">
        <v>632</v>
      </c>
      <c r="Z15" t="s">
        <v>723</v>
      </c>
      <c r="AA15" t="s">
        <v>479</v>
      </c>
      <c r="AB15" s="111" t="str">
        <f>HYPERLINK("mailto:"&amp;ckCodingTable[[#This Row],[email]]&amp;"&amp;subject=Your NSF Proposal:  "&amp;ckCodingTable[[#This Row],[Div]]&amp;" "&amp;ckCodingTable[[#This Row],[prop_id]], ckCodingTable[[#This Row],[email]])</f>
        <v>hubocai@ecn.purdue.edu</v>
      </c>
      <c r="AC15" s="30">
        <v>43108</v>
      </c>
      <c r="AD15">
        <v>36</v>
      </c>
      <c r="AE15">
        <v>1</v>
      </c>
      <c r="AG15" s="112"/>
      <c r="AH15" t="s">
        <v>724</v>
      </c>
      <c r="AI15" s="26">
        <v>3</v>
      </c>
      <c r="AJ15" s="22">
        <v>43052.348611111112</v>
      </c>
      <c r="AL15">
        <v>3</v>
      </c>
      <c r="AN15" s="112"/>
      <c r="AO15" s="112"/>
      <c r="AP15" s="112"/>
      <c r="AQ15" s="112"/>
      <c r="AR15" s="7" t="str">
        <f>HYPERLINK("https://www.ejacket.nsf.gov/ej/showProposal.do?ID="&amp;ckCodingTable[[#This Row],[prop_id]],"eJ")</f>
        <v>eJ</v>
      </c>
      <c r="AS15" t="s">
        <v>170</v>
      </c>
      <c r="AT15" t="s">
        <v>725</v>
      </c>
      <c r="AU15" t="b">
        <f>IF(ckCodingTable[[#This Row],[ILN]]="N",SUBSTITUTE(AT14," ","")&lt;&gt;SUBSTITUTE(ckCodingTable[[#This Row],[prop_titl_txt]]," ",""), FALSE)</f>
        <v>0</v>
      </c>
      <c r="AV15">
        <v>0</v>
      </c>
      <c r="AW15" s="13">
        <v>398918</v>
      </c>
      <c r="AX15" s="13">
        <v>398918</v>
      </c>
      <c r="AY15" s="13"/>
      <c r="AZ15" s="13"/>
      <c r="BA15" s="13"/>
      <c r="BB15" s="13"/>
      <c r="BC15">
        <v>6</v>
      </c>
      <c r="BD15">
        <v>6</v>
      </c>
      <c r="BE15">
        <v>3.64</v>
      </c>
      <c r="BH15">
        <v>0</v>
      </c>
      <c r="BI15">
        <v>0</v>
      </c>
      <c r="BJ15">
        <v>1</v>
      </c>
      <c r="BK15">
        <v>0</v>
      </c>
      <c r="BL15" t="s">
        <v>726</v>
      </c>
    </row>
    <row r="16" spans="1:64" x14ac:dyDescent="0.25">
      <c r="A16" s="30"/>
      <c r="B16" s="30">
        <v>42999.359027777777</v>
      </c>
      <c r="C16" t="s">
        <v>666</v>
      </c>
      <c r="D16" t="s">
        <v>667</v>
      </c>
      <c r="E16" t="s">
        <v>532</v>
      </c>
      <c r="F16" t="s">
        <v>169</v>
      </c>
      <c r="G16" t="s">
        <v>167</v>
      </c>
      <c r="H16" s="21" t="s">
        <v>94</v>
      </c>
      <c r="I16" s="86">
        <v>0.8</v>
      </c>
      <c r="J16" s="86">
        <v>0.2</v>
      </c>
      <c r="K16" t="s">
        <v>668</v>
      </c>
      <c r="L16" t="s">
        <v>574</v>
      </c>
      <c r="M16" t="s">
        <v>520</v>
      </c>
      <c r="N16" t="str">
        <f>IF(SUM(ckCodingTable[[#This Row],[NfmlPIs]:[NnonWhtAsnPIs]])&gt;0,"WMD","")</f>
        <v>WMD</v>
      </c>
      <c r="O16" t="b">
        <f>_xlfn.XOR(IFERROR(MATCH(ckCodingTable[[#This Row],[st_code]],EpscorTable[],0)&gt;0,FALSE),IFERROR(FIND("9150",ckCodingTable[[#This Row],[propPRCs]])&gt;0,FALSE))</f>
        <v>0</v>
      </c>
      <c r="P16" s="21" t="b">
        <f>_xlfn.XOR(ckCodingTable[[#This Row],[wmd]]&lt;&gt;"",IFERROR(FIND("9102",ckCodingTable[[#This Row],[propPRCs]])&gt;0,FALSE))</f>
        <v>1</v>
      </c>
      <c r="Q16" t="s">
        <v>669</v>
      </c>
      <c r="S16" s="108">
        <f>S15+(ckCodingTable[[#This Row],[ILN]]&lt;"M")</f>
        <v>12</v>
      </c>
      <c r="T16" s="21" t="s">
        <v>95</v>
      </c>
      <c r="U16" t="s">
        <v>637</v>
      </c>
      <c r="V16" s="7" t="str">
        <f>HYPERLINK("https://www.ejacket.nsf.gov/ej/showProposal.do?ID="&amp;ckCodingTable[[#This Row],[prop_id]],"eJ")</f>
        <v>eJ</v>
      </c>
      <c r="W16" t="s">
        <v>670</v>
      </c>
      <c r="X16" t="s">
        <v>637</v>
      </c>
      <c r="Y16" t="s">
        <v>513</v>
      </c>
      <c r="Z16" t="s">
        <v>727</v>
      </c>
      <c r="AA16" t="s">
        <v>521</v>
      </c>
      <c r="AB16" s="111" t="str">
        <f>HYPERLINK("mailto:"&amp;ckCodingTable[[#This Row],[email]]&amp;"&amp;subject=Your NSF Proposal:  "&amp;ckCodingTable[[#This Row],[Div]]&amp;" "&amp;ckCodingTable[[#This Row],[prop_id]], ckCodingTable[[#This Row],[email]])</f>
        <v>ychen@georgiasouthern.edu</v>
      </c>
      <c r="AC16" s="30">
        <v>43160</v>
      </c>
      <c r="AD16">
        <v>24</v>
      </c>
      <c r="AE16">
        <v>1</v>
      </c>
      <c r="AG16" s="112"/>
      <c r="AH16" t="s">
        <v>724</v>
      </c>
      <c r="AI16" s="26">
        <v>3</v>
      </c>
      <c r="AJ16" s="22">
        <v>43052.259027777778</v>
      </c>
      <c r="AL16">
        <v>3</v>
      </c>
      <c r="AN16" s="112"/>
      <c r="AO16" s="112"/>
      <c r="AP16" s="112"/>
      <c r="AQ16" s="112"/>
      <c r="AR16" s="7" t="str">
        <f>HYPERLINK("https://www.ejacket.nsf.gov/ej/showProposal.do?ID="&amp;ckCodingTable[[#This Row],[prop_id]],"eJ")</f>
        <v>eJ</v>
      </c>
      <c r="AS16" t="s">
        <v>170</v>
      </c>
      <c r="AT16" t="s">
        <v>728</v>
      </c>
      <c r="AU16" t="b">
        <f>IF(ckCodingTable[[#This Row],[ILN]]="N",SUBSTITUTE(AT15," ","")&lt;&gt;SUBSTITUTE(ckCodingTable[[#This Row],[prop_titl_txt]]," ",""), FALSE)</f>
        <v>0</v>
      </c>
      <c r="AV16">
        <v>0</v>
      </c>
      <c r="AW16" s="13">
        <v>226763</v>
      </c>
      <c r="AX16" s="13">
        <v>226763</v>
      </c>
      <c r="AY16" s="13"/>
      <c r="AZ16" s="13"/>
      <c r="BA16" s="13"/>
      <c r="BB16" s="13"/>
      <c r="BC16">
        <v>4</v>
      </c>
      <c r="BD16">
        <v>4</v>
      </c>
      <c r="BE16">
        <v>4</v>
      </c>
      <c r="BH16">
        <v>2</v>
      </c>
      <c r="BI16">
        <v>0</v>
      </c>
      <c r="BJ16">
        <v>0</v>
      </c>
      <c r="BK16">
        <v>0</v>
      </c>
      <c r="BL16" t="s">
        <v>729</v>
      </c>
    </row>
    <row r="17" spans="1:64" x14ac:dyDescent="0.25">
      <c r="A17" s="30"/>
      <c r="B17" s="30">
        <v>42999.447222222225</v>
      </c>
      <c r="C17" t="s">
        <v>666</v>
      </c>
      <c r="D17" t="s">
        <v>667</v>
      </c>
      <c r="E17" t="s">
        <v>532</v>
      </c>
      <c r="F17" t="s">
        <v>169</v>
      </c>
      <c r="G17" t="s">
        <v>167</v>
      </c>
      <c r="H17" s="21" t="s">
        <v>94</v>
      </c>
      <c r="I17" s="86">
        <v>0.8</v>
      </c>
      <c r="J17" s="86">
        <v>0.2</v>
      </c>
      <c r="K17" t="s">
        <v>668</v>
      </c>
      <c r="L17" t="s">
        <v>574</v>
      </c>
      <c r="M17" t="s">
        <v>520</v>
      </c>
      <c r="N17" t="str">
        <f>IF(SUM(ckCodingTable[[#This Row],[NfmlPIs]:[NnonWhtAsnPIs]])&gt;0,"WMD","")</f>
        <v/>
      </c>
      <c r="O17" t="b">
        <f>_xlfn.XOR(IFERROR(MATCH(ckCodingTable[[#This Row],[st_code]],EpscorTable[],0)&gt;0,FALSE),IFERROR(FIND("9150",ckCodingTable[[#This Row],[propPRCs]])&gt;0,FALSE))</f>
        <v>0</v>
      </c>
      <c r="P17" s="21" t="b">
        <f>_xlfn.XOR(ckCodingTable[[#This Row],[wmd]]&lt;&gt;"",IFERROR(FIND("9102",ckCodingTable[[#This Row],[propPRCs]])&gt;0,FALSE))</f>
        <v>0</v>
      </c>
      <c r="Q17" t="s">
        <v>669</v>
      </c>
      <c r="S17" s="108">
        <f>S16+(ckCodingTable[[#This Row],[ILN]]&lt;"M")</f>
        <v>13</v>
      </c>
      <c r="T17" s="21" t="s">
        <v>475</v>
      </c>
      <c r="U17" t="s">
        <v>642</v>
      </c>
      <c r="V17" s="7" t="str">
        <f>HYPERLINK("https://www.ejacket.nsf.gov/ej/showProposal.do?ID="&amp;ckCodingTable[[#This Row],[prop_id]],"eJ")</f>
        <v>eJ</v>
      </c>
      <c r="W17" t="s">
        <v>670</v>
      </c>
      <c r="X17" t="s">
        <v>642</v>
      </c>
      <c r="Y17" t="s">
        <v>643</v>
      </c>
      <c r="Z17" t="s">
        <v>730</v>
      </c>
      <c r="AA17" t="s">
        <v>523</v>
      </c>
      <c r="AB17" s="111" t="str">
        <f>HYPERLINK("mailto:"&amp;ckCodingTable[[#This Row],[email]]&amp;"&amp;subject=Your NSF Proposal:  "&amp;ckCodingTable[[#This Row],[Div]]&amp;" "&amp;ckCodingTable[[#This Row],[prop_id]], ckCodingTable[[#This Row],[email]])</f>
        <v>baabak@gatech.edu</v>
      </c>
      <c r="AC17" s="30">
        <v>43101</v>
      </c>
      <c r="AD17">
        <v>24</v>
      </c>
      <c r="AE17">
        <v>1</v>
      </c>
      <c r="AG17" s="112"/>
      <c r="AH17" t="s">
        <v>731</v>
      </c>
      <c r="AI17" s="26">
        <v>4.5</v>
      </c>
      <c r="AJ17" s="22">
        <v>43052.24722222222</v>
      </c>
      <c r="AK17" s="21">
        <v>1</v>
      </c>
      <c r="AL17">
        <v>4</v>
      </c>
      <c r="AN17" s="112"/>
      <c r="AO17" s="112">
        <v>1</v>
      </c>
      <c r="AP17" s="112"/>
      <c r="AQ17" s="112"/>
      <c r="AR17" s="7" t="str">
        <f>HYPERLINK("https://www.ejacket.nsf.gov/ej/showProposal.do?ID="&amp;ckCodingTable[[#This Row],[prop_id]],"eJ")</f>
        <v>eJ</v>
      </c>
      <c r="AS17" t="s">
        <v>170</v>
      </c>
      <c r="AT17" t="s">
        <v>732</v>
      </c>
      <c r="AU17" t="b">
        <f>IF(ckCodingTable[[#This Row],[ILN]]="N",SUBSTITUTE(AT16," ","")&lt;&gt;SUBSTITUTE(ckCodingTable[[#This Row],[prop_titl_txt]]," ",""), FALSE)</f>
        <v>0</v>
      </c>
      <c r="AV17">
        <v>0</v>
      </c>
      <c r="AW17" s="13">
        <v>283738</v>
      </c>
      <c r="AX17" s="13">
        <v>283738</v>
      </c>
      <c r="AY17" s="13"/>
      <c r="AZ17" s="13"/>
      <c r="BA17" s="13"/>
      <c r="BB17" s="13"/>
      <c r="BC17">
        <v>4</v>
      </c>
      <c r="BD17">
        <v>6</v>
      </c>
      <c r="BE17">
        <v>3.2</v>
      </c>
      <c r="BH17">
        <v>0</v>
      </c>
      <c r="BI17">
        <v>0</v>
      </c>
      <c r="BJ17">
        <v>0</v>
      </c>
      <c r="BK17">
        <v>0</v>
      </c>
      <c r="BL17" t="s">
        <v>733</v>
      </c>
    </row>
    <row r="18" spans="1:64" x14ac:dyDescent="0.25">
      <c r="A18" s="30"/>
      <c r="B18" s="30">
        <v>42999.552777777775</v>
      </c>
      <c r="C18" t="s">
        <v>666</v>
      </c>
      <c r="D18" t="s">
        <v>667</v>
      </c>
      <c r="E18" t="s">
        <v>532</v>
      </c>
      <c r="F18" t="s">
        <v>169</v>
      </c>
      <c r="G18" t="s">
        <v>167</v>
      </c>
      <c r="H18" s="21" t="s">
        <v>94</v>
      </c>
      <c r="I18" s="86">
        <v>0</v>
      </c>
      <c r="J18" s="86">
        <v>0</v>
      </c>
      <c r="K18" t="s">
        <v>668</v>
      </c>
      <c r="L18" t="s">
        <v>574</v>
      </c>
      <c r="M18" t="s">
        <v>300</v>
      </c>
      <c r="N18" t="str">
        <f>IF(SUM(ckCodingTable[[#This Row],[NfmlPIs]:[NnonWhtAsnPIs]])&gt;0,"WMD","")</f>
        <v/>
      </c>
      <c r="O18" t="b">
        <f>_xlfn.XOR(IFERROR(MATCH(ckCodingTable[[#This Row],[st_code]],EpscorTable[],0)&gt;0,FALSE),IFERROR(FIND("9150",ckCodingTable[[#This Row],[propPRCs]])&gt;0,FALSE))</f>
        <v>0</v>
      </c>
      <c r="P18" s="21" t="b">
        <f>_xlfn.XOR(ckCodingTable[[#This Row],[wmd]]&lt;&gt;"",IFERROR(FIND("9102",ckCodingTable[[#This Row],[propPRCs]])&gt;0,FALSE))</f>
        <v>0</v>
      </c>
      <c r="Q18" t="s">
        <v>669</v>
      </c>
      <c r="S18" s="108">
        <f>S17+(ckCodingTable[[#This Row],[ILN]]&lt;"M")</f>
        <v>13</v>
      </c>
      <c r="T18" s="21" t="s">
        <v>477</v>
      </c>
      <c r="U18" t="s">
        <v>642</v>
      </c>
      <c r="V18" s="7" t="str">
        <f>HYPERLINK("https://www.ejacket.nsf.gov/ej/showProposal.do?ID="&amp;ckCodingTable[[#This Row],[prop_id]],"eJ")</f>
        <v>eJ</v>
      </c>
      <c r="W18" t="s">
        <v>670</v>
      </c>
      <c r="X18" t="s">
        <v>734</v>
      </c>
      <c r="Y18" t="s">
        <v>735</v>
      </c>
      <c r="Z18" t="s">
        <v>736</v>
      </c>
      <c r="AA18" t="s">
        <v>737</v>
      </c>
      <c r="AB18" s="111" t="str">
        <f>HYPERLINK("mailto:"&amp;ckCodingTable[[#This Row],[email]]&amp;"&amp;subject=Your NSF Proposal:  "&amp;ckCodingTable[[#This Row],[Div]]&amp;" "&amp;ckCodingTable[[#This Row],[prop_id]], ckCodingTable[[#This Row],[email]])</f>
        <v>mohsen@uta.edu</v>
      </c>
      <c r="AC18" s="30">
        <v>43101</v>
      </c>
      <c r="AD18">
        <v>24</v>
      </c>
      <c r="AG18" s="112"/>
      <c r="AI18" s="26"/>
      <c r="AJ18" s="22"/>
      <c r="AN18" s="112"/>
      <c r="AO18" s="112"/>
      <c r="AP18" s="112"/>
      <c r="AQ18" s="112"/>
      <c r="AR18" s="7" t="str">
        <f>HYPERLINK("https://www.ejacket.nsf.gov/ej/showProposal.do?ID="&amp;ckCodingTable[[#This Row],[prop_id]],"eJ")</f>
        <v>eJ</v>
      </c>
      <c r="AS18" t="s">
        <v>170</v>
      </c>
      <c r="AT18" t="s">
        <v>732</v>
      </c>
      <c r="AU18" t="b">
        <f>IF(ckCodingTable[[#This Row],[ILN]]="N",SUBSTITUTE(AT17," ","")&lt;&gt;SUBSTITUTE(ckCodingTable[[#This Row],[prop_titl_txt]]," ",""), FALSE)</f>
        <v>0</v>
      </c>
      <c r="AV18">
        <v>0</v>
      </c>
      <c r="AW18" s="13">
        <v>133993</v>
      </c>
      <c r="AX18" s="13">
        <v>133993</v>
      </c>
      <c r="AY18" s="13"/>
      <c r="AZ18" s="13"/>
      <c r="BA18" s="13"/>
      <c r="BB18" s="13"/>
      <c r="BC18">
        <v>2</v>
      </c>
      <c r="BD18">
        <v>2</v>
      </c>
      <c r="BE18">
        <v>2</v>
      </c>
      <c r="BH18">
        <v>0</v>
      </c>
      <c r="BI18">
        <v>0</v>
      </c>
      <c r="BJ18">
        <v>0</v>
      </c>
      <c r="BK18">
        <v>0</v>
      </c>
      <c r="BL18" t="s">
        <v>738</v>
      </c>
    </row>
    <row r="19" spans="1:64" x14ac:dyDescent="0.25">
      <c r="A19" s="30"/>
      <c r="B19" s="30">
        <v>43000.450694444444</v>
      </c>
      <c r="C19" t="s">
        <v>666</v>
      </c>
      <c r="D19" t="s">
        <v>667</v>
      </c>
      <c r="E19" t="s">
        <v>532</v>
      </c>
      <c r="F19" t="s">
        <v>169</v>
      </c>
      <c r="G19" t="s">
        <v>167</v>
      </c>
      <c r="H19" s="21" t="s">
        <v>94</v>
      </c>
      <c r="I19" s="86">
        <v>0.8</v>
      </c>
      <c r="J19" s="86">
        <v>0.2</v>
      </c>
      <c r="K19" t="s">
        <v>668</v>
      </c>
      <c r="L19" t="s">
        <v>574</v>
      </c>
      <c r="M19" t="s">
        <v>504</v>
      </c>
      <c r="N19" t="str">
        <f>IF(SUM(ckCodingTable[[#This Row],[NfmlPIs]:[NnonWhtAsnPIs]])&gt;0,"WMD","")</f>
        <v/>
      </c>
      <c r="O19" t="b">
        <f>_xlfn.XOR(IFERROR(MATCH(ckCodingTable[[#This Row],[st_code]],EpscorTable[],0)&gt;0,FALSE),IFERROR(FIND("9150",ckCodingTable[[#This Row],[propPRCs]])&gt;0,FALSE))</f>
        <v>0</v>
      </c>
      <c r="P19" s="21" t="b">
        <f>_xlfn.XOR(ckCodingTable[[#This Row],[wmd]]&lt;&gt;"",IFERROR(FIND("9102",ckCodingTable[[#This Row],[propPRCs]])&gt;0,FALSE))</f>
        <v>0</v>
      </c>
      <c r="Q19" t="s">
        <v>669</v>
      </c>
      <c r="S19" s="108">
        <f>S18+(ckCodingTable[[#This Row],[ILN]]&lt;"M")</f>
        <v>14</v>
      </c>
      <c r="T19" s="21" t="s">
        <v>95</v>
      </c>
      <c r="U19" t="s">
        <v>651</v>
      </c>
      <c r="V19" s="7" t="str">
        <f>HYPERLINK("https://www.ejacket.nsf.gov/ej/showProposal.do?ID="&amp;ckCodingTable[[#This Row],[prop_id]],"eJ")</f>
        <v>eJ</v>
      </c>
      <c r="W19" t="s">
        <v>670</v>
      </c>
      <c r="X19" t="s">
        <v>651</v>
      </c>
      <c r="Y19" t="s">
        <v>652</v>
      </c>
      <c r="Z19" t="s">
        <v>739</v>
      </c>
      <c r="AA19" t="s">
        <v>740</v>
      </c>
      <c r="AB19" s="111" t="str">
        <f>HYPERLINK("mailto:"&amp;ckCodingTable[[#This Row],[email]]&amp;"&amp;subject=Your NSF Proposal:  "&amp;ckCodingTable[[#This Row],[Div]]&amp;" "&amp;ckCodingTable[[#This Row],[prop_id]], ckCodingTable[[#This Row],[email]])</f>
        <v>bfranz@ufl.edu</v>
      </c>
      <c r="AC19" s="30">
        <v>43241</v>
      </c>
      <c r="AD19">
        <v>36</v>
      </c>
      <c r="AE19">
        <v>1</v>
      </c>
      <c r="AG19" s="112"/>
      <c r="AH19" t="s">
        <v>741</v>
      </c>
      <c r="AI19" s="26">
        <v>4.25</v>
      </c>
      <c r="AJ19" s="22">
        <v>43051.798611111109</v>
      </c>
      <c r="AK19" s="21">
        <v>1</v>
      </c>
      <c r="AL19">
        <v>4</v>
      </c>
      <c r="AN19" s="112"/>
      <c r="AO19" s="112"/>
      <c r="AP19" s="112"/>
      <c r="AQ19" s="112"/>
      <c r="AR19" s="7" t="str">
        <f>HYPERLINK("https://www.ejacket.nsf.gov/ej/showProposal.do?ID="&amp;ckCodingTable[[#This Row],[prop_id]],"eJ")</f>
        <v>eJ</v>
      </c>
      <c r="AS19" t="s">
        <v>170</v>
      </c>
      <c r="AT19" t="s">
        <v>742</v>
      </c>
      <c r="AU19" t="b">
        <f>IF(ckCodingTable[[#This Row],[ILN]]="N",SUBSTITUTE(AT18," ","")&lt;&gt;SUBSTITUTE(ckCodingTable[[#This Row],[prop_titl_txt]]," ",""), FALSE)</f>
        <v>0</v>
      </c>
      <c r="AV19">
        <v>0</v>
      </c>
      <c r="AW19" s="13">
        <v>520802</v>
      </c>
      <c r="AX19" s="13">
        <v>520802</v>
      </c>
      <c r="AY19" s="13">
        <v>216457</v>
      </c>
      <c r="AZ19" s="13"/>
      <c r="BA19" s="13"/>
      <c r="BB19" s="13">
        <v>20000</v>
      </c>
      <c r="BC19">
        <v>1</v>
      </c>
      <c r="BD19">
        <v>9</v>
      </c>
      <c r="BE19">
        <v>5.25</v>
      </c>
      <c r="BH19">
        <v>0</v>
      </c>
      <c r="BI19">
        <v>0</v>
      </c>
      <c r="BJ19">
        <v>0</v>
      </c>
      <c r="BK19">
        <v>0</v>
      </c>
      <c r="BL19" t="s">
        <v>743</v>
      </c>
    </row>
    <row r="20" spans="1:64" x14ac:dyDescent="0.25">
      <c r="A20" s="30"/>
      <c r="B20" s="30">
        <v>43000.552083333336</v>
      </c>
      <c r="C20" t="s">
        <v>666</v>
      </c>
      <c r="D20" t="s">
        <v>667</v>
      </c>
      <c r="E20" t="s">
        <v>532</v>
      </c>
      <c r="F20" t="s">
        <v>169</v>
      </c>
      <c r="G20" t="s">
        <v>167</v>
      </c>
      <c r="H20" s="21" t="s">
        <v>94</v>
      </c>
      <c r="I20" s="86">
        <v>0.8</v>
      </c>
      <c r="J20" s="86">
        <v>0.2</v>
      </c>
      <c r="K20" t="s">
        <v>668</v>
      </c>
      <c r="L20" t="s">
        <v>574</v>
      </c>
      <c r="M20" t="s">
        <v>505</v>
      </c>
      <c r="N20" t="str">
        <f>IF(SUM(ckCodingTable[[#This Row],[NfmlPIs]:[NnonWhtAsnPIs]])&gt;0,"WMD","")</f>
        <v>WMD</v>
      </c>
      <c r="O20" t="b">
        <f>_xlfn.XOR(IFERROR(MATCH(ckCodingTable[[#This Row],[st_code]],EpscorTable[],0)&gt;0,FALSE),IFERROR(FIND("9150",ckCodingTable[[#This Row],[propPRCs]])&gt;0,FALSE))</f>
        <v>0</v>
      </c>
      <c r="P20" s="21" t="b">
        <f>_xlfn.XOR(ckCodingTable[[#This Row],[wmd]]&lt;&gt;"",IFERROR(FIND("9102",ckCodingTable[[#This Row],[propPRCs]])&gt;0,FALSE))</f>
        <v>1</v>
      </c>
      <c r="Q20" t="s">
        <v>669</v>
      </c>
      <c r="S20" s="108">
        <f>S19+(ckCodingTable[[#This Row],[ILN]]&lt;"M")</f>
        <v>15</v>
      </c>
      <c r="T20" s="21" t="s">
        <v>95</v>
      </c>
      <c r="U20" t="s">
        <v>659</v>
      </c>
      <c r="V20" s="7" t="str">
        <f>HYPERLINK("https://www.ejacket.nsf.gov/ej/showProposal.do?ID="&amp;ckCodingTable[[#This Row],[prop_id]],"eJ")</f>
        <v>eJ</v>
      </c>
      <c r="W20" t="s">
        <v>670</v>
      </c>
      <c r="X20" t="s">
        <v>659</v>
      </c>
      <c r="Y20" t="s">
        <v>660</v>
      </c>
      <c r="Z20" t="s">
        <v>494</v>
      </c>
      <c r="AA20" t="s">
        <v>524</v>
      </c>
      <c r="AB20" s="111" t="str">
        <f>HYPERLINK("mailto:"&amp;ckCodingTable[[#This Row],[email]]&amp;"&amp;subject=Your NSF Proposal:  "&amp;ckCodingTable[[#This Row],[Div]]&amp;" "&amp;ckCodingTable[[#This Row],[prop_id]], ckCodingTable[[#This Row],[email]])</f>
        <v>david.grau@asu.edu</v>
      </c>
      <c r="AC20" s="30">
        <v>43235</v>
      </c>
      <c r="AD20">
        <v>36</v>
      </c>
      <c r="AE20">
        <v>1</v>
      </c>
      <c r="AG20" s="112"/>
      <c r="AH20" t="s">
        <v>744</v>
      </c>
      <c r="AI20" s="26">
        <v>3.75</v>
      </c>
      <c r="AJ20" s="22">
        <v>43051.804166666669</v>
      </c>
      <c r="AL20">
        <v>4</v>
      </c>
      <c r="AN20" s="112"/>
      <c r="AO20" s="112"/>
      <c r="AP20" s="112"/>
      <c r="AQ20" s="112"/>
      <c r="AR20" s="7" t="str">
        <f>HYPERLINK("https://www.ejacket.nsf.gov/ej/showProposal.do?ID="&amp;ckCodingTable[[#This Row],[prop_id]],"eJ")</f>
        <v>eJ</v>
      </c>
      <c r="AS20" t="s">
        <v>170</v>
      </c>
      <c r="AT20" t="s">
        <v>745</v>
      </c>
      <c r="AU20" t="b">
        <f>IF(ckCodingTable[[#This Row],[ILN]]="N",SUBSTITUTE(AT19," ","")&lt;&gt;SUBSTITUTE(ckCodingTable[[#This Row],[prop_titl_txt]]," ",""), FALSE)</f>
        <v>0</v>
      </c>
      <c r="AV20">
        <v>0</v>
      </c>
      <c r="AW20" s="13">
        <v>344462</v>
      </c>
      <c r="AX20" s="13">
        <v>344462</v>
      </c>
      <c r="AY20" s="13"/>
      <c r="AZ20" s="13"/>
      <c r="BA20" s="13"/>
      <c r="BB20" s="13">
        <v>6000</v>
      </c>
      <c r="BC20">
        <v>3</v>
      </c>
      <c r="BD20">
        <v>6</v>
      </c>
      <c r="BE20">
        <v>6</v>
      </c>
      <c r="BH20">
        <v>0</v>
      </c>
      <c r="BI20">
        <v>1</v>
      </c>
      <c r="BJ20">
        <v>0</v>
      </c>
      <c r="BK20">
        <v>0</v>
      </c>
      <c r="BL20" t="s">
        <v>746</v>
      </c>
    </row>
  </sheetData>
  <conditionalFormatting sqref="A2:BL20">
    <cfRule type="expression" dxfId="197" priority="6">
      <formula>MOD($S2,2)</formula>
    </cfRule>
  </conditionalFormatting>
  <conditionalFormatting sqref="AL2:AM20">
    <cfRule type="expression" dxfId="196" priority="5">
      <formula>AND($T2&lt;"M",$AL2&lt;$AM2+3)</formula>
    </cfRule>
  </conditionalFormatting>
  <conditionalFormatting sqref="C2:L20">
    <cfRule type="expression" dxfId="195" priority="4">
      <formula>AND($T2="N", C2&lt;&gt;C1)</formula>
    </cfRule>
  </conditionalFormatting>
  <conditionalFormatting sqref="AT2:AT20">
    <cfRule type="expression" dxfId="194" priority="3">
      <formula>$AU2</formula>
    </cfRule>
  </conditionalFormatting>
  <conditionalFormatting sqref="I2:J20">
    <cfRule type="expression" dxfId="193" priority="2">
      <formula>($J2+$I2)&lt;&gt;1</formula>
    </cfRule>
  </conditionalFormatting>
  <conditionalFormatting sqref="M2:N20">
    <cfRule type="expression" dxfId="192" priority="1">
      <formula>O2</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U20"/>
  <sheetViews>
    <sheetView topLeftCell="AN25" zoomScale="98" workbookViewId="0">
      <selection activeCell="AT51" sqref="AT51"/>
    </sheetView>
  </sheetViews>
  <sheetFormatPr defaultRowHeight="15" x14ac:dyDescent="0.25"/>
  <cols>
    <col min="1" max="1" width="8.7109375" style="30" customWidth="1"/>
    <col min="2" max="2" width="8.5703125" customWidth="1"/>
    <col min="3" max="3" width="10.42578125" customWidth="1"/>
    <col min="4" max="4" width="8.85546875" customWidth="1"/>
    <col min="5" max="5" width="5.5703125" customWidth="1"/>
    <col min="6" max="6" width="7.7109375" style="30" customWidth="1"/>
    <col min="7" max="9" width="5.85546875" style="30" customWidth="1"/>
    <col min="10" max="10" width="5.28515625" style="30" customWidth="1"/>
    <col min="11" max="11" width="8.5703125" customWidth="1"/>
    <col min="12" max="12" width="14.28515625" customWidth="1"/>
    <col min="13" max="13" width="4.42578125" style="109" customWidth="1"/>
    <col min="14" max="14" width="1.85546875" customWidth="1"/>
    <col min="15" max="15" width="8.42578125" style="22" customWidth="1"/>
    <col min="16" max="16" width="2.85546875" style="39" customWidth="1"/>
    <col min="17" max="17" width="3.5703125" style="39" customWidth="1"/>
    <col min="18" max="18" width="8.42578125" style="39" customWidth="1"/>
    <col min="19" max="19" width="10.85546875" customWidth="1"/>
    <col min="20" max="20" width="10.28515625" customWidth="1"/>
    <col min="21" max="21" width="13.7109375" customWidth="1"/>
    <col min="22" max="22" width="3.7109375" style="30" customWidth="1"/>
    <col min="23" max="23" width="9.5703125" style="109" customWidth="1"/>
    <col min="24" max="24" width="9.28515625" style="30"/>
    <col min="25" max="25" width="4.28515625" style="30" customWidth="1"/>
    <col min="26" max="26" width="9" customWidth="1"/>
    <col min="27" max="27" width="10" customWidth="1"/>
    <col min="28" max="28" width="8.85546875" style="82" customWidth="1"/>
    <col min="29" max="30" width="8.85546875" style="21" customWidth="1"/>
    <col min="31" max="31" width="17.42578125" style="21" customWidth="1"/>
    <col min="32" max="32" width="11.7109375" customWidth="1"/>
    <col min="33" max="33" width="3.5703125" style="125" customWidth="1"/>
    <col min="34" max="34" width="10.7109375" customWidth="1"/>
    <col min="35" max="35" width="11.42578125" style="13" customWidth="1"/>
    <col min="36" max="36" width="7.5703125" customWidth="1"/>
    <col min="37" max="38" width="10.42578125" style="1" customWidth="1"/>
    <col min="39" max="41" width="4.85546875" style="1" customWidth="1"/>
    <col min="42" max="43" width="4.85546875" style="82" customWidth="1"/>
    <col min="44" max="44" width="22.140625" style="125" customWidth="1"/>
    <col min="45" max="45" width="3.5703125" customWidth="1"/>
    <col min="46" max="46" width="18.5703125" customWidth="1"/>
    <col min="47" max="47" width="5.28515625" customWidth="1"/>
    <col min="48" max="48" width="90" customWidth="1"/>
    <col min="49" max="49" width="7.28515625" hidden="1" customWidth="1"/>
    <col min="50" max="50" width="29.42578125" hidden="1" customWidth="1"/>
    <col min="51" max="51" width="10.140625" style="21" customWidth="1"/>
    <col min="52" max="52" width="58.85546875" style="21" customWidth="1"/>
    <col min="53" max="53" width="21.28515625" style="21" customWidth="1"/>
    <col min="54" max="56" width="5.5703125" style="21" customWidth="1"/>
    <col min="57" max="57" width="4.42578125" customWidth="1"/>
    <col min="58" max="63" width="3" customWidth="1"/>
    <col min="64" max="64" width="9.28515625" style="1"/>
    <col min="66" max="66" width="85.5703125" customWidth="1"/>
    <col min="67" max="67" width="10.42578125" customWidth="1"/>
    <col min="68" max="68" width="9.5703125" style="13" customWidth="1"/>
    <col min="69" max="69" width="10.42578125" customWidth="1"/>
    <col min="70" max="70" width="15.42578125" customWidth="1"/>
    <col min="71" max="71" width="11.7109375" customWidth="1"/>
    <col min="72" max="72" width="9.28515625" hidden="1" customWidth="1"/>
    <col min="73" max="73" width="11" hidden="1" customWidth="1"/>
    <col min="74" max="77" width="4.28515625" customWidth="1"/>
  </cols>
  <sheetData>
    <row r="1" spans="1:68" ht="37.35" customHeight="1" x14ac:dyDescent="0.25">
      <c r="A1" s="30" t="s">
        <v>87</v>
      </c>
      <c r="B1" s="30" t="s">
        <v>7</v>
      </c>
      <c r="C1" t="s">
        <v>8</v>
      </c>
      <c r="D1" t="s">
        <v>5</v>
      </c>
      <c r="E1" t="s">
        <v>4</v>
      </c>
      <c r="F1" t="s">
        <v>91</v>
      </c>
      <c r="G1" t="s">
        <v>165</v>
      </c>
      <c r="H1" t="s">
        <v>163</v>
      </c>
      <c r="I1" t="s">
        <v>363</v>
      </c>
      <c r="J1" t="s">
        <v>92</v>
      </c>
      <c r="K1" t="s">
        <v>17</v>
      </c>
      <c r="L1" s="22" t="s">
        <v>16</v>
      </c>
      <c r="M1" s="110" t="s">
        <v>101</v>
      </c>
      <c r="N1" t="s">
        <v>88</v>
      </c>
      <c r="O1" t="s">
        <v>9</v>
      </c>
      <c r="P1" t="s">
        <v>1</v>
      </c>
      <c r="Q1" t="s">
        <v>143</v>
      </c>
      <c r="R1" t="s">
        <v>0</v>
      </c>
      <c r="S1" t="s">
        <v>10</v>
      </c>
      <c r="T1" t="s">
        <v>18</v>
      </c>
      <c r="U1" t="s">
        <v>281</v>
      </c>
      <c r="V1" t="s">
        <v>93</v>
      </c>
      <c r="W1" s="110" t="s">
        <v>130</v>
      </c>
      <c r="X1" s="30" t="s">
        <v>19</v>
      </c>
      <c r="Y1" t="s">
        <v>20</v>
      </c>
      <c r="Z1" t="s">
        <v>89</v>
      </c>
      <c r="AA1" s="21" t="s">
        <v>387</v>
      </c>
      <c r="AB1" s="21" t="s">
        <v>388</v>
      </c>
      <c r="AC1" t="s">
        <v>90</v>
      </c>
      <c r="AD1" s="21" t="s">
        <v>389</v>
      </c>
      <c r="AE1" s="21" t="s">
        <v>131</v>
      </c>
      <c r="AF1" s="13" t="s">
        <v>21</v>
      </c>
      <c r="AG1" s="124" t="s">
        <v>290</v>
      </c>
      <c r="AH1" s="1" t="s">
        <v>22</v>
      </c>
      <c r="AI1" s="1" t="s">
        <v>291</v>
      </c>
      <c r="AJ1" s="1" t="s">
        <v>292</v>
      </c>
      <c r="AK1" s="1" t="s">
        <v>293</v>
      </c>
      <c r="AL1" s="1" t="s">
        <v>294</v>
      </c>
      <c r="AM1" s="21" t="s">
        <v>295</v>
      </c>
      <c r="AN1" s="21" t="s">
        <v>296</v>
      </c>
      <c r="AO1" s="21" t="s">
        <v>297</v>
      </c>
      <c r="AP1" s="21" t="s">
        <v>298</v>
      </c>
      <c r="AQ1" s="21" t="s">
        <v>299</v>
      </c>
      <c r="AR1" s="125" t="s">
        <v>166</v>
      </c>
      <c r="AS1" s="21" t="s">
        <v>370</v>
      </c>
      <c r="AT1" s="21" t="s">
        <v>415</v>
      </c>
      <c r="AU1" s="21" t="s">
        <v>132</v>
      </c>
      <c r="AV1" t="s">
        <v>36</v>
      </c>
      <c r="AW1" t="s">
        <v>401</v>
      </c>
      <c r="AX1" t="s">
        <v>145</v>
      </c>
      <c r="AY1"/>
      <c r="AZ1"/>
      <c r="BA1"/>
      <c r="BB1"/>
      <c r="BC1"/>
      <c r="BD1"/>
      <c r="BL1"/>
      <c r="BP1"/>
    </row>
    <row r="2" spans="1:68" ht="14.65" customHeight="1" x14ac:dyDescent="0.25">
      <c r="B2" s="30">
        <v>42984.665277777778</v>
      </c>
      <c r="C2" t="s">
        <v>666</v>
      </c>
      <c r="D2" t="s">
        <v>667</v>
      </c>
      <c r="E2" t="s">
        <v>532</v>
      </c>
      <c r="F2" t="s">
        <v>541</v>
      </c>
      <c r="G2" s="8" t="s">
        <v>169</v>
      </c>
      <c r="H2" s="8" t="s">
        <v>167</v>
      </c>
      <c r="I2" s="8" t="s">
        <v>480</v>
      </c>
      <c r="J2" t="s">
        <v>94</v>
      </c>
      <c r="K2" t="s">
        <v>668</v>
      </c>
      <c r="L2" s="22"/>
      <c r="M2" s="109">
        <f xml:space="preserve"> M1+(ckAwdTable[ILN]&lt;"M")</f>
        <v>1</v>
      </c>
      <c r="N2" t="s">
        <v>95</v>
      </c>
      <c r="O2" t="s">
        <v>539</v>
      </c>
      <c r="P2" s="15" t="str">
        <f>HYPERLINK("https://www.ejacket.nsf.gov/ej/showProposal.do?ID="&amp;ckAwdTable[[#This Row],[prop_id]],"eJ")</f>
        <v>eJ</v>
      </c>
      <c r="Q2" s="8" t="s">
        <v>670</v>
      </c>
      <c r="R2" t="s">
        <v>539</v>
      </c>
      <c r="S2" t="s">
        <v>540</v>
      </c>
      <c r="T2" t="s">
        <v>671</v>
      </c>
      <c r="U2" s="8" t="s">
        <v>516</v>
      </c>
      <c r="V2" t="s">
        <v>515</v>
      </c>
      <c r="W2" s="113" t="str">
        <f>HYPERLINK("mailto:"&amp; ckAwdTable[[#This Row],[email]]&amp;"&amp;subject=Your NSF Proposal:  "&amp;ckAwdTable[[#This Row],[prop_id]], ckAwdTable[[#This Row],[email]])</f>
        <v>yongkim@u.washington.edu</v>
      </c>
      <c r="X2" s="30">
        <v>43191</v>
      </c>
      <c r="Y2">
        <v>33</v>
      </c>
      <c r="AA2" s="21" t="s">
        <v>13</v>
      </c>
      <c r="AB2" s="21" t="s">
        <v>372</v>
      </c>
      <c r="AC2"/>
      <c r="AD2" s="21" t="s">
        <v>13</v>
      </c>
      <c r="AF2" s="13">
        <v>345646</v>
      </c>
      <c r="AG2" s="124">
        <v>0</v>
      </c>
      <c r="AH2" s="1">
        <v>345646</v>
      </c>
      <c r="AI2" s="1"/>
      <c r="AJ2" s="1"/>
      <c r="AM2" s="21">
        <v>6</v>
      </c>
      <c r="AN2" s="21">
        <v>6</v>
      </c>
      <c r="AO2" s="21">
        <v>4.05</v>
      </c>
      <c r="AP2" s="21"/>
      <c r="AQ2" s="21"/>
      <c r="AR2" s="126" t="s">
        <v>673</v>
      </c>
      <c r="AS2" s="21" t="s">
        <v>477</v>
      </c>
      <c r="AT2" s="21" t="str">
        <f>IFERROR(IF(FIND("?",ckAwdTable[abst_narr_txt]),SummarizeQuestMarks(ckAwdTable[abst_narr_txt]),""),"")</f>
        <v/>
      </c>
      <c r="AU2" s="119"/>
      <c r="AV2" t="s">
        <v>674</v>
      </c>
      <c r="AW2" t="b">
        <f>AND(ckAwdTable[[#This Row],[ILN]]&gt;"M", SUBSTITUTE(ckAwdTable[[#This Row],[prop_titl_txt]]," ","")&lt;&gt;SUBSTITUTE(AV1," ",""))</f>
        <v>0</v>
      </c>
      <c r="AX2" s="8" t="s">
        <v>675</v>
      </c>
      <c r="AY2"/>
      <c r="AZ2"/>
      <c r="BA2"/>
      <c r="BB2"/>
      <c r="BC2"/>
      <c r="BD2"/>
      <c r="BL2"/>
      <c r="BP2"/>
    </row>
    <row r="3" spans="1:68" x14ac:dyDescent="0.25">
      <c r="B3" s="30">
        <v>42989.896527777775</v>
      </c>
      <c r="C3" t="s">
        <v>666</v>
      </c>
      <c r="D3" t="s">
        <v>667</v>
      </c>
      <c r="E3" t="s">
        <v>532</v>
      </c>
      <c r="F3" t="s">
        <v>541</v>
      </c>
      <c r="G3" s="8" t="s">
        <v>169</v>
      </c>
      <c r="H3" s="8" t="s">
        <v>167</v>
      </c>
      <c r="I3" s="8" t="s">
        <v>480</v>
      </c>
      <c r="J3" t="s">
        <v>94</v>
      </c>
      <c r="K3" t="s">
        <v>668</v>
      </c>
      <c r="L3" s="22"/>
      <c r="M3" s="109">
        <f xml:space="preserve"> M2+(ckAwdTable[ILN]&lt;"M")</f>
        <v>2</v>
      </c>
      <c r="N3" t="s">
        <v>95</v>
      </c>
      <c r="O3" t="s">
        <v>561</v>
      </c>
      <c r="P3" s="15" t="str">
        <f>HYPERLINK("https://www.ejacket.nsf.gov/ej/showProposal.do?ID="&amp;ckAwdTable[[#This Row],[prop_id]],"eJ")</f>
        <v>eJ</v>
      </c>
      <c r="Q3" s="8" t="s">
        <v>670</v>
      </c>
      <c r="R3" t="s">
        <v>561</v>
      </c>
      <c r="S3" t="s">
        <v>562</v>
      </c>
      <c r="T3" t="s">
        <v>676</v>
      </c>
      <c r="U3" s="8" t="s">
        <v>516</v>
      </c>
      <c r="V3" t="s">
        <v>515</v>
      </c>
      <c r="W3" s="113" t="str">
        <f>HYPERLINK("mailto:"&amp; ckAwdTable[[#This Row],[email]]&amp;"&amp;subject=Your NSF Proposal:  "&amp;ckAwdTable[[#This Row],[prop_id]], ckAwdTable[[#This Row],[email]])</f>
        <v>cdossick@uw.edu</v>
      </c>
      <c r="X3" s="30">
        <v>43174</v>
      </c>
      <c r="Y3">
        <v>36</v>
      </c>
      <c r="Z3" t="s">
        <v>528</v>
      </c>
      <c r="AA3" s="21" t="s">
        <v>13</v>
      </c>
      <c r="AB3" s="21" t="s">
        <v>372</v>
      </c>
      <c r="AC3"/>
      <c r="AD3" s="21" t="s">
        <v>13</v>
      </c>
      <c r="AF3" s="13">
        <v>455181</v>
      </c>
      <c r="AG3" s="124">
        <v>0</v>
      </c>
      <c r="AH3" s="1">
        <v>455181</v>
      </c>
      <c r="AI3" s="1"/>
      <c r="AJ3" s="1"/>
      <c r="AM3" s="21">
        <v>3</v>
      </c>
      <c r="AN3" s="21">
        <v>6</v>
      </c>
      <c r="AO3" s="21">
        <v>3</v>
      </c>
      <c r="AP3" s="21"/>
      <c r="AQ3" s="21">
        <v>12</v>
      </c>
      <c r="AR3" s="126" t="s">
        <v>170</v>
      </c>
      <c r="AS3" s="21" t="s">
        <v>477</v>
      </c>
      <c r="AT3" s="21" t="str">
        <f>IFERROR(IF(FIND("?",ckAwdTable[abst_narr_txt]),SummarizeQuestMarks(ckAwdTable[abst_narr_txt]),""),"")</f>
        <v/>
      </c>
      <c r="AU3" s="119"/>
      <c r="AV3" t="s">
        <v>678</v>
      </c>
      <c r="AW3" t="b">
        <f>AND(ckAwdTable[[#This Row],[ILN]]&gt;"M", SUBSTITUTE(ckAwdTable[[#This Row],[prop_titl_txt]]," ","")&lt;&gt;SUBSTITUTE(AV2," ",""))</f>
        <v>0</v>
      </c>
      <c r="AX3" s="8" t="s">
        <v>679</v>
      </c>
      <c r="AY3"/>
      <c r="AZ3"/>
      <c r="BA3"/>
      <c r="BB3"/>
      <c r="BC3"/>
      <c r="BD3"/>
      <c r="BL3"/>
      <c r="BP3"/>
    </row>
    <row r="4" spans="1:68" x14ac:dyDescent="0.25">
      <c r="B4" s="30">
        <v>42991.695138888892</v>
      </c>
      <c r="C4" t="s">
        <v>680</v>
      </c>
      <c r="D4" t="s">
        <v>667</v>
      </c>
      <c r="E4" t="s">
        <v>532</v>
      </c>
      <c r="F4" t="s">
        <v>574</v>
      </c>
      <c r="G4" s="8" t="s">
        <v>169</v>
      </c>
      <c r="H4" s="8" t="s">
        <v>167</v>
      </c>
      <c r="I4" s="8" t="s">
        <v>480</v>
      </c>
      <c r="J4" t="s">
        <v>94</v>
      </c>
      <c r="K4" t="s">
        <v>668</v>
      </c>
      <c r="L4" s="22"/>
      <c r="M4" s="109">
        <f xml:space="preserve"> M3+(ckAwdTable[ILN]&lt;"M")</f>
        <v>3</v>
      </c>
      <c r="N4" t="s">
        <v>95</v>
      </c>
      <c r="O4" t="s">
        <v>573</v>
      </c>
      <c r="P4" s="15" t="str">
        <f>HYPERLINK("https://www.ejacket.nsf.gov/ej/showProposal.do?ID="&amp;ckAwdTable[[#This Row],[prop_id]],"eJ")</f>
        <v>eJ</v>
      </c>
      <c r="Q4" s="8" t="s">
        <v>670</v>
      </c>
      <c r="R4" t="s">
        <v>573</v>
      </c>
      <c r="S4" t="s">
        <v>512</v>
      </c>
      <c r="T4" t="s">
        <v>682</v>
      </c>
      <c r="U4" s="8" t="s">
        <v>683</v>
      </c>
      <c r="V4" t="s">
        <v>109</v>
      </c>
      <c r="W4" s="113" t="str">
        <f>HYPERLINK("mailto:"&amp; ckAwdTable[[#This Row],[email]]&amp;"&amp;subject=Your NSF Proposal:  "&amp;ckAwdTable[[#This Row],[prop_id]], ckAwdTable[[#This Row],[email]])</f>
        <v>yclee@lsu.edu</v>
      </c>
      <c r="X4" s="30">
        <v>43101</v>
      </c>
      <c r="Y4">
        <v>24</v>
      </c>
      <c r="AA4" s="21" t="s">
        <v>13</v>
      </c>
      <c r="AB4" s="21" t="s">
        <v>372</v>
      </c>
      <c r="AC4"/>
      <c r="AD4" s="21" t="s">
        <v>13</v>
      </c>
      <c r="AF4" s="13">
        <v>299932</v>
      </c>
      <c r="AG4" s="124">
        <v>0</v>
      </c>
      <c r="AH4" s="1">
        <v>299932</v>
      </c>
      <c r="AI4" s="1">
        <v>179832</v>
      </c>
      <c r="AJ4" s="1"/>
      <c r="AM4" s="21">
        <v>2</v>
      </c>
      <c r="AN4" s="21">
        <v>2</v>
      </c>
      <c r="AO4" s="21">
        <v>2</v>
      </c>
      <c r="AP4" s="21"/>
      <c r="AQ4" s="21"/>
      <c r="AR4" s="126" t="s">
        <v>170</v>
      </c>
      <c r="AS4" s="21" t="s">
        <v>477</v>
      </c>
      <c r="AT4" s="21" t="str">
        <f>IFERROR(IF(FIND("?",ckAwdTable[abst_narr_txt]),SummarizeQuestMarks(ckAwdTable[abst_narr_txt]),""),"")</f>
        <v/>
      </c>
      <c r="AU4" s="119"/>
      <c r="AV4" t="s">
        <v>685</v>
      </c>
      <c r="AW4" t="b">
        <f>AND(ckAwdTable[[#This Row],[ILN]]&gt;"M", SUBSTITUTE(ckAwdTable[[#This Row],[prop_titl_txt]]," ","")&lt;&gt;SUBSTITUTE(AV3," ",""))</f>
        <v>0</v>
      </c>
      <c r="AX4" s="8" t="s">
        <v>686</v>
      </c>
      <c r="AY4"/>
      <c r="AZ4"/>
      <c r="BA4"/>
      <c r="BB4"/>
      <c r="BC4"/>
      <c r="BD4"/>
      <c r="BL4"/>
      <c r="BP4"/>
    </row>
    <row r="5" spans="1:68" x14ac:dyDescent="0.25">
      <c r="B5" s="30">
        <v>42992.520138888889</v>
      </c>
      <c r="C5" t="s">
        <v>666</v>
      </c>
      <c r="D5" t="s">
        <v>667</v>
      </c>
      <c r="E5" t="s">
        <v>532</v>
      </c>
      <c r="F5" t="s">
        <v>574</v>
      </c>
      <c r="G5" s="8" t="s">
        <v>169</v>
      </c>
      <c r="H5" s="8" t="s">
        <v>167</v>
      </c>
      <c r="I5" s="8" t="s">
        <v>480</v>
      </c>
      <c r="J5" t="s">
        <v>94</v>
      </c>
      <c r="K5" t="s">
        <v>668</v>
      </c>
      <c r="L5" s="22"/>
      <c r="M5" s="109">
        <f xml:space="preserve"> M4+(ckAwdTable[ILN]&lt;"M")</f>
        <v>4</v>
      </c>
      <c r="N5" t="s">
        <v>95</v>
      </c>
      <c r="O5" t="s">
        <v>582</v>
      </c>
      <c r="P5" s="15" t="str">
        <f>HYPERLINK("https://www.ejacket.nsf.gov/ej/showProposal.do?ID="&amp;ckAwdTable[[#This Row],[prop_id]],"eJ")</f>
        <v>eJ</v>
      </c>
      <c r="Q5" s="8" t="s">
        <v>670</v>
      </c>
      <c r="R5" t="s">
        <v>582</v>
      </c>
      <c r="S5" t="s">
        <v>514</v>
      </c>
      <c r="T5" t="s">
        <v>687</v>
      </c>
      <c r="U5" s="8" t="s">
        <v>688</v>
      </c>
      <c r="V5" t="s">
        <v>113</v>
      </c>
      <c r="W5" s="113" t="str">
        <f>HYPERLINK("mailto:"&amp; ckAwdTable[[#This Row],[email]]&amp;"&amp;subject=Your NSF Proposal:  "&amp;ckAwdTable[[#This Row],[prop_id]], ckAwdTable[[#This Row],[email]])</f>
        <v>jee.park@unlv.edu</v>
      </c>
      <c r="X5" s="30">
        <v>43101</v>
      </c>
      <c r="Y5">
        <v>36</v>
      </c>
      <c r="Z5" t="s">
        <v>528</v>
      </c>
      <c r="AA5" s="21" t="s">
        <v>780</v>
      </c>
      <c r="AB5" s="21" t="s">
        <v>372</v>
      </c>
      <c r="AC5"/>
      <c r="AD5" s="21" t="s">
        <v>13</v>
      </c>
      <c r="AF5" s="13">
        <v>411918</v>
      </c>
      <c r="AG5" s="124">
        <v>0</v>
      </c>
      <c r="AH5" s="1">
        <v>411918</v>
      </c>
      <c r="AI5" s="1"/>
      <c r="AJ5" s="1"/>
      <c r="AK5" s="1">
        <v>71050</v>
      </c>
      <c r="AM5" s="21">
        <v>4</v>
      </c>
      <c r="AN5" s="21">
        <v>3</v>
      </c>
      <c r="AO5" s="21">
        <v>3</v>
      </c>
      <c r="AP5" s="21"/>
      <c r="AQ5" s="21"/>
      <c r="AR5" s="126" t="s">
        <v>170</v>
      </c>
      <c r="AS5" s="21" t="s">
        <v>477</v>
      </c>
      <c r="AT5" s="21" t="str">
        <f>IFERROR(IF(FIND("?",ckAwdTable[abst_narr_txt]),SummarizeQuestMarks(ckAwdTable[abst_narr_txt]),""),"")</f>
        <v/>
      </c>
      <c r="AU5" s="119"/>
      <c r="AV5" t="s">
        <v>689</v>
      </c>
      <c r="AW5" t="b">
        <f>AND(ckAwdTable[[#This Row],[ILN]]&gt;"M", SUBSTITUTE(ckAwdTable[[#This Row],[prop_titl_txt]]," ","")&lt;&gt;SUBSTITUTE(AV4," ",""))</f>
        <v>0</v>
      </c>
      <c r="AX5" s="8" t="s">
        <v>690</v>
      </c>
      <c r="AY5"/>
      <c r="AZ5"/>
      <c r="BA5"/>
      <c r="BB5"/>
      <c r="BC5"/>
      <c r="BD5"/>
      <c r="BL5"/>
      <c r="BP5"/>
    </row>
    <row r="6" spans="1:68" x14ac:dyDescent="0.25">
      <c r="B6" s="30">
        <v>42992.522222222222</v>
      </c>
      <c r="C6" t="s">
        <v>666</v>
      </c>
      <c r="D6" t="s">
        <v>667</v>
      </c>
      <c r="E6" t="s">
        <v>532</v>
      </c>
      <c r="F6" t="s">
        <v>574</v>
      </c>
      <c r="G6" s="8" t="s">
        <v>169</v>
      </c>
      <c r="H6" s="8" t="s">
        <v>167</v>
      </c>
      <c r="I6" s="8" t="s">
        <v>480</v>
      </c>
      <c r="J6" t="s">
        <v>94</v>
      </c>
      <c r="K6" t="s">
        <v>668</v>
      </c>
      <c r="L6" s="22"/>
      <c r="M6" s="109">
        <f xml:space="preserve"> M5+(ckAwdTable[ILN]&lt;"M")</f>
        <v>5</v>
      </c>
      <c r="N6" t="s">
        <v>475</v>
      </c>
      <c r="O6" t="s">
        <v>590</v>
      </c>
      <c r="P6" s="15" t="str">
        <f>HYPERLINK("https://www.ejacket.nsf.gov/ej/showProposal.do?ID="&amp;ckAwdTable[[#This Row],[prop_id]],"eJ")</f>
        <v>eJ</v>
      </c>
      <c r="Q6" s="8" t="s">
        <v>670</v>
      </c>
      <c r="R6" t="s">
        <v>590</v>
      </c>
      <c r="S6" t="s">
        <v>591</v>
      </c>
      <c r="T6" t="s">
        <v>691</v>
      </c>
      <c r="U6" s="8" t="s">
        <v>525</v>
      </c>
      <c r="V6" t="s">
        <v>300</v>
      </c>
      <c r="W6" s="113" t="str">
        <f>HYPERLINK("mailto:"&amp; ckAwdTable[[#This Row],[email]]&amp;"&amp;subject=Your NSF Proposal:  "&amp;ckAwdTable[[#This Row],[prop_id]], ckAwdTable[[#This Row],[email]])</f>
        <v>ryanahn@tamu.edu</v>
      </c>
      <c r="X6" s="30">
        <v>43221</v>
      </c>
      <c r="Y6">
        <v>36</v>
      </c>
      <c r="Z6" t="s">
        <v>528</v>
      </c>
      <c r="AA6" s="21" t="s">
        <v>781</v>
      </c>
      <c r="AB6" s="21" t="s">
        <v>372</v>
      </c>
      <c r="AC6"/>
      <c r="AD6" s="21" t="s">
        <v>13</v>
      </c>
      <c r="AE6" s="21" t="s">
        <v>782</v>
      </c>
      <c r="AF6" s="13">
        <v>255960</v>
      </c>
      <c r="AG6" s="124">
        <v>0</v>
      </c>
      <c r="AH6" s="1">
        <v>255960</v>
      </c>
      <c r="AI6" s="1"/>
      <c r="AJ6" s="1">
        <v>4000</v>
      </c>
      <c r="AM6" s="21">
        <v>3</v>
      </c>
      <c r="AN6" s="21">
        <v>3</v>
      </c>
      <c r="AO6" s="21"/>
      <c r="AP6" s="21">
        <v>3</v>
      </c>
      <c r="AQ6" s="21"/>
      <c r="AR6" s="126" t="s">
        <v>170</v>
      </c>
      <c r="AS6" s="21" t="s">
        <v>477</v>
      </c>
      <c r="AT6" s="21" t="str">
        <f>IFERROR(IF(FIND("?",ckAwdTable[abst_narr_txt]),SummarizeQuestMarks(ckAwdTable[abst_narr_txt]),""),"")</f>
        <v/>
      </c>
      <c r="AU6" s="119"/>
      <c r="AV6" t="s">
        <v>693</v>
      </c>
      <c r="AW6" t="b">
        <f>AND(ckAwdTable[[#This Row],[ILN]]&gt;"M", SUBSTITUTE(ckAwdTable[[#This Row],[prop_titl_txt]]," ","")&lt;&gt;SUBSTITUTE(AV5," ",""))</f>
        <v>0</v>
      </c>
      <c r="AX6" s="8" t="s">
        <v>694</v>
      </c>
      <c r="AY6"/>
      <c r="AZ6"/>
      <c r="BA6"/>
      <c r="BB6"/>
      <c r="BC6"/>
      <c r="BD6"/>
      <c r="BL6"/>
      <c r="BP6"/>
    </row>
    <row r="7" spans="1:68" x14ac:dyDescent="0.25">
      <c r="B7" s="30">
        <v>42992.522916666669</v>
      </c>
      <c r="C7" t="s">
        <v>666</v>
      </c>
      <c r="D7" t="s">
        <v>667</v>
      </c>
      <c r="E7" t="s">
        <v>532</v>
      </c>
      <c r="F7" t="s">
        <v>574</v>
      </c>
      <c r="G7" s="8" t="s">
        <v>169</v>
      </c>
      <c r="H7" s="8" t="s">
        <v>167</v>
      </c>
      <c r="I7" s="8" t="s">
        <v>480</v>
      </c>
      <c r="J7" t="s">
        <v>94</v>
      </c>
      <c r="K7" t="s">
        <v>668</v>
      </c>
      <c r="L7" s="22"/>
      <c r="M7" s="109">
        <f xml:space="preserve"> M6+(ckAwdTable[ILN]&lt;"M")</f>
        <v>5</v>
      </c>
      <c r="N7" t="s">
        <v>477</v>
      </c>
      <c r="O7" t="s">
        <v>590</v>
      </c>
      <c r="P7" s="15" t="str">
        <f>HYPERLINK("https://www.ejacket.nsf.gov/ej/showProposal.do?ID="&amp;ckAwdTable[[#This Row],[prop_id]],"eJ")</f>
        <v>eJ</v>
      </c>
      <c r="Q7" s="8" t="s">
        <v>670</v>
      </c>
      <c r="R7" t="s">
        <v>695</v>
      </c>
      <c r="S7" t="s">
        <v>696</v>
      </c>
      <c r="T7" t="s">
        <v>518</v>
      </c>
      <c r="U7" s="8" t="s">
        <v>697</v>
      </c>
      <c r="V7" t="s">
        <v>112</v>
      </c>
      <c r="W7" s="113" t="str">
        <f>HYPERLINK("mailto:"&amp; ckAwdTable[[#This Row],[email]]&amp;"&amp;subject=Your NSF Proposal:  "&amp;ckAwdTable[[#This Row],[prop_id]], ckAwdTable[[#This Row],[email]])</f>
        <v>matthew.r.johnson@unl.edu</v>
      </c>
      <c r="X7" s="30">
        <v>43221</v>
      </c>
      <c r="Y7">
        <v>36</v>
      </c>
      <c r="Z7" t="s">
        <v>528</v>
      </c>
      <c r="AA7" s="21" t="s">
        <v>783</v>
      </c>
      <c r="AB7" s="21" t="s">
        <v>372</v>
      </c>
      <c r="AC7"/>
      <c r="AD7" s="21" t="s">
        <v>13</v>
      </c>
      <c r="AF7" s="13">
        <v>78072</v>
      </c>
      <c r="AG7" s="124">
        <v>0</v>
      </c>
      <c r="AH7" s="1">
        <v>78072</v>
      </c>
      <c r="AI7" s="1"/>
      <c r="AJ7" s="1"/>
      <c r="AK7" s="1">
        <v>11591</v>
      </c>
      <c r="AM7" s="21"/>
      <c r="AN7" s="21">
        <v>3</v>
      </c>
      <c r="AO7" s="21">
        <v>3</v>
      </c>
      <c r="AP7" s="21"/>
      <c r="AQ7" s="21"/>
      <c r="AR7" s="126" t="s">
        <v>170</v>
      </c>
      <c r="AS7" s="21" t="s">
        <v>477</v>
      </c>
      <c r="AT7" s="21" t="str">
        <f>IFERROR(IF(FIND("?",ckAwdTable[abst_narr_txt]),SummarizeQuestMarks(ckAwdTable[abst_narr_txt]),""),"")</f>
        <v/>
      </c>
      <c r="AU7" s="119"/>
      <c r="AV7" t="s">
        <v>693</v>
      </c>
      <c r="AW7" t="b">
        <f>AND(ckAwdTable[[#This Row],[ILN]]&gt;"M", SUBSTITUTE(ckAwdTable[[#This Row],[prop_titl_txt]]," ","")&lt;&gt;SUBSTITUTE(AV6," ",""))</f>
        <v>0</v>
      </c>
      <c r="AX7" s="8" t="s">
        <v>698</v>
      </c>
    </row>
    <row r="8" spans="1:68" x14ac:dyDescent="0.25">
      <c r="B8" s="30">
        <v>42993.367361111108</v>
      </c>
      <c r="C8" t="s">
        <v>666</v>
      </c>
      <c r="D8" t="s">
        <v>667</v>
      </c>
      <c r="E8" t="s">
        <v>532</v>
      </c>
      <c r="F8" t="s">
        <v>574</v>
      </c>
      <c r="G8" s="8" t="s">
        <v>169</v>
      </c>
      <c r="H8" s="8" t="s">
        <v>167</v>
      </c>
      <c r="I8" s="8" t="s">
        <v>480</v>
      </c>
      <c r="J8" t="s">
        <v>94</v>
      </c>
      <c r="K8" t="s">
        <v>668</v>
      </c>
      <c r="L8" s="22"/>
      <c r="M8" s="109">
        <f xml:space="preserve"> M7+(ckAwdTable[ILN]&lt;"M")</f>
        <v>5</v>
      </c>
      <c r="N8" t="s">
        <v>477</v>
      </c>
      <c r="O8" t="s">
        <v>590</v>
      </c>
      <c r="P8" s="15" t="str">
        <f>HYPERLINK("https://www.ejacket.nsf.gov/ej/showProposal.do?ID="&amp;ckAwdTable[[#This Row],[prop_id]],"eJ")</f>
        <v>eJ</v>
      </c>
      <c r="Q8" s="8" t="s">
        <v>670</v>
      </c>
      <c r="R8" t="s">
        <v>699</v>
      </c>
      <c r="S8" t="s">
        <v>700</v>
      </c>
      <c r="T8" t="s">
        <v>701</v>
      </c>
      <c r="U8" s="8" t="s">
        <v>523</v>
      </c>
      <c r="V8" t="s">
        <v>520</v>
      </c>
      <c r="W8" s="113" t="str">
        <f>HYPERLINK("mailto:"&amp; ckAwdTable[[#This Row],[email]]&amp;"&amp;subject=Your NSF Proposal:  "&amp;ckAwdTable[[#This Row],[prop_id]], ckAwdTable[[#This Row],[email]])</f>
        <v>yong.cho@ce.gatech.edu</v>
      </c>
      <c r="X8" s="30">
        <v>43221</v>
      </c>
      <c r="Y8">
        <v>36</v>
      </c>
      <c r="Z8" t="s">
        <v>528</v>
      </c>
      <c r="AA8" s="21" t="s">
        <v>13</v>
      </c>
      <c r="AB8" s="21" t="s">
        <v>372</v>
      </c>
      <c r="AC8"/>
      <c r="AD8" s="21" t="s">
        <v>13</v>
      </c>
      <c r="AF8" s="13">
        <v>150000</v>
      </c>
      <c r="AG8" s="124">
        <v>0</v>
      </c>
      <c r="AH8" s="1">
        <v>150000</v>
      </c>
      <c r="AI8" s="1"/>
      <c r="AJ8" s="1"/>
      <c r="AM8" s="21">
        <v>2</v>
      </c>
      <c r="AN8" s="21">
        <v>3</v>
      </c>
      <c r="AO8" s="21">
        <v>1.5</v>
      </c>
      <c r="AP8" s="21"/>
      <c r="AQ8" s="21"/>
      <c r="AR8" s="126" t="s">
        <v>170</v>
      </c>
      <c r="AS8" s="21" t="s">
        <v>477</v>
      </c>
      <c r="AT8" s="21" t="str">
        <f>IFERROR(IF(FIND("?",ckAwdTable[abst_narr_txt]),SummarizeQuestMarks(ckAwdTable[abst_narr_txt]),""),"")</f>
        <v/>
      </c>
      <c r="AU8" s="119"/>
      <c r="AV8" t="s">
        <v>693</v>
      </c>
      <c r="AW8" t="b">
        <f>AND(ckAwdTable[[#This Row],[ILN]]&gt;"M", SUBSTITUTE(ckAwdTable[[#This Row],[prop_titl_txt]]," ","")&lt;&gt;SUBSTITUTE(AV7," ",""))</f>
        <v>0</v>
      </c>
      <c r="AX8" s="8" t="s">
        <v>702</v>
      </c>
    </row>
    <row r="9" spans="1:68" x14ac:dyDescent="0.25">
      <c r="B9" s="30">
        <v>42992.676388888889</v>
      </c>
      <c r="C9" t="s">
        <v>666</v>
      </c>
      <c r="D9" t="s">
        <v>667</v>
      </c>
      <c r="E9" t="s">
        <v>532</v>
      </c>
      <c r="F9" t="s">
        <v>574</v>
      </c>
      <c r="G9" s="8" t="s">
        <v>169</v>
      </c>
      <c r="H9" s="8" t="s">
        <v>167</v>
      </c>
      <c r="I9" s="8" t="s">
        <v>480</v>
      </c>
      <c r="J9" t="s">
        <v>94</v>
      </c>
      <c r="K9" t="s">
        <v>668</v>
      </c>
      <c r="L9" s="22"/>
      <c r="M9" s="109">
        <f xml:space="preserve"> M8+(ckAwdTable[ILN]&lt;"M")</f>
        <v>6</v>
      </c>
      <c r="N9" t="s">
        <v>95</v>
      </c>
      <c r="O9" t="s">
        <v>598</v>
      </c>
      <c r="P9" s="15" t="str">
        <f>HYPERLINK("https://www.ejacket.nsf.gov/ej/showProposal.do?ID="&amp;ckAwdTable[[#This Row],[prop_id]],"eJ")</f>
        <v>eJ</v>
      </c>
      <c r="Q9" s="8" t="s">
        <v>670</v>
      </c>
      <c r="R9" t="s">
        <v>598</v>
      </c>
      <c r="S9" t="s">
        <v>599</v>
      </c>
      <c r="T9" t="s">
        <v>703</v>
      </c>
      <c r="U9" s="8" t="s">
        <v>503</v>
      </c>
      <c r="V9" t="s">
        <v>300</v>
      </c>
      <c r="W9" s="113" t="str">
        <f>HYPERLINK("mailto:"&amp; ckAwdTable[[#This Row],[email]]&amp;"&amp;subject=Your NSF Proposal:  "&amp;ckAwdTable[[#This Row],[prop_id]], ckAwdTable[[#This Row],[email]])</f>
        <v>fernanda.leite@austin.utexas.edu</v>
      </c>
      <c r="X9" s="30">
        <v>43252</v>
      </c>
      <c r="Y9">
        <v>36</v>
      </c>
      <c r="AA9" s="21" t="s">
        <v>13</v>
      </c>
      <c r="AB9" s="21" t="s">
        <v>372</v>
      </c>
      <c r="AC9"/>
      <c r="AD9" s="21" t="s">
        <v>13</v>
      </c>
      <c r="AF9" s="13">
        <v>446786</v>
      </c>
      <c r="AG9" s="124">
        <v>0</v>
      </c>
      <c r="AH9" s="1">
        <v>446786</v>
      </c>
      <c r="AI9" s="1"/>
      <c r="AJ9" s="1"/>
      <c r="AL9" s="1">
        <v>3000</v>
      </c>
      <c r="AM9" s="21">
        <v>5</v>
      </c>
      <c r="AN9" s="21">
        <v>6</v>
      </c>
      <c r="AO9" s="21">
        <v>4.5</v>
      </c>
      <c r="AP9" s="21"/>
      <c r="AQ9" s="21"/>
      <c r="AR9" s="126" t="s">
        <v>170</v>
      </c>
      <c r="AS9" s="21" t="s">
        <v>477</v>
      </c>
      <c r="AT9" s="21" t="str">
        <f>IFERROR(IF(FIND("?",ckAwdTable[abst_narr_txt]),SummarizeQuestMarks(ckAwdTable[abst_narr_txt]),""),"")</f>
        <v/>
      </c>
      <c r="AU9" s="119"/>
      <c r="AV9" t="s">
        <v>704</v>
      </c>
      <c r="AW9" t="b">
        <f>AND(ckAwdTable[[#This Row],[ILN]]&gt;"M", SUBSTITUTE(ckAwdTable[[#This Row],[prop_titl_txt]]," ","")&lt;&gt;SUBSTITUTE(AV8," ",""))</f>
        <v>0</v>
      </c>
      <c r="AX9" s="8" t="s">
        <v>705</v>
      </c>
    </row>
    <row r="10" spans="1:68" x14ac:dyDescent="0.25">
      <c r="B10" s="30">
        <v>42993.447916666664</v>
      </c>
      <c r="C10" t="s">
        <v>666</v>
      </c>
      <c r="D10" t="s">
        <v>667</v>
      </c>
      <c r="E10" t="s">
        <v>532</v>
      </c>
      <c r="F10" t="s">
        <v>574</v>
      </c>
      <c r="G10" s="8" t="s">
        <v>169</v>
      </c>
      <c r="H10" s="8" t="s">
        <v>167</v>
      </c>
      <c r="I10" s="8" t="s">
        <v>480</v>
      </c>
      <c r="J10" t="s">
        <v>94</v>
      </c>
      <c r="K10" t="s">
        <v>668</v>
      </c>
      <c r="L10" s="22"/>
      <c r="M10" s="109">
        <f xml:space="preserve"> M9+(ckAwdTable[ILN]&lt;"M")</f>
        <v>7</v>
      </c>
      <c r="N10" t="s">
        <v>95</v>
      </c>
      <c r="O10" t="s">
        <v>604</v>
      </c>
      <c r="P10" s="15" t="str">
        <f>HYPERLINK("https://www.ejacket.nsf.gov/ej/showProposal.do?ID="&amp;ckAwdTable[[#This Row],[prop_id]],"eJ")</f>
        <v>eJ</v>
      </c>
      <c r="Q10" s="8" t="s">
        <v>670</v>
      </c>
      <c r="R10" t="s">
        <v>604</v>
      </c>
      <c r="S10" t="s">
        <v>605</v>
      </c>
      <c r="T10" t="s">
        <v>706</v>
      </c>
      <c r="U10" s="8" t="s">
        <v>707</v>
      </c>
      <c r="V10" t="s">
        <v>517</v>
      </c>
      <c r="W10" s="113" t="str">
        <f>HYPERLINK("mailto:"&amp; ckAwdTable[[#This Row],[email]]&amp;"&amp;subject=Your NSF Proposal:  "&amp;ckAwdTable[[#This Row],[prop_id]], ckAwdTable[[#This Row],[email]])</f>
        <v>lucko@cua.edu</v>
      </c>
      <c r="X10" s="30">
        <v>43221</v>
      </c>
      <c r="Y10">
        <v>36</v>
      </c>
      <c r="AA10" s="21" t="s">
        <v>13</v>
      </c>
      <c r="AB10" s="21" t="s">
        <v>372</v>
      </c>
      <c r="AC10"/>
      <c r="AD10" s="21" t="s">
        <v>13</v>
      </c>
      <c r="AE10" s="21" t="s">
        <v>481</v>
      </c>
      <c r="AF10" s="13">
        <v>305924</v>
      </c>
      <c r="AG10" s="124">
        <v>0</v>
      </c>
      <c r="AH10" s="1">
        <v>305924</v>
      </c>
      <c r="AI10" s="1"/>
      <c r="AJ10" s="1">
        <v>2500</v>
      </c>
      <c r="AK10" s="1">
        <v>63050</v>
      </c>
      <c r="AL10" s="1">
        <v>300</v>
      </c>
      <c r="AM10" s="21">
        <v>2</v>
      </c>
      <c r="AN10" s="21">
        <v>3</v>
      </c>
      <c r="AO10" s="21">
        <v>3</v>
      </c>
      <c r="AP10" s="21"/>
      <c r="AQ10" s="21"/>
      <c r="AR10" s="126" t="s">
        <v>170</v>
      </c>
      <c r="AS10" s="21" t="s">
        <v>477</v>
      </c>
      <c r="AT10" s="21" t="str">
        <f>IFERROR(IF(FIND("?",ckAwdTable[abst_narr_txt]),SummarizeQuestMarks(ckAwdTable[abst_narr_txt]),""),"")</f>
        <v/>
      </c>
      <c r="AU10" s="119"/>
      <c r="AV10" t="s">
        <v>708</v>
      </c>
      <c r="AW10" t="b">
        <f>AND(ckAwdTable[[#This Row],[ILN]]&gt;"M", SUBSTITUTE(ckAwdTable[[#This Row],[prop_titl_txt]]," ","")&lt;&gt;SUBSTITUTE(AV9," ",""))</f>
        <v>0</v>
      </c>
      <c r="AX10" s="8" t="s">
        <v>709</v>
      </c>
    </row>
    <row r="11" spans="1:68" x14ac:dyDescent="0.25">
      <c r="B11" s="30">
        <v>42993.449305555558</v>
      </c>
      <c r="C11" t="s">
        <v>666</v>
      </c>
      <c r="D11" t="s">
        <v>667</v>
      </c>
      <c r="E11" t="s">
        <v>532</v>
      </c>
      <c r="F11" t="s">
        <v>574</v>
      </c>
      <c r="G11" s="8" t="s">
        <v>169</v>
      </c>
      <c r="H11" s="8" t="s">
        <v>167</v>
      </c>
      <c r="I11" s="8" t="s">
        <v>480</v>
      </c>
      <c r="J11" t="s">
        <v>94</v>
      </c>
      <c r="K11" t="s">
        <v>668</v>
      </c>
      <c r="L11" s="22"/>
      <c r="M11" s="109">
        <f xml:space="preserve"> M10+(ckAwdTable[ILN]&lt;"M")</f>
        <v>8</v>
      </c>
      <c r="N11" t="s">
        <v>95</v>
      </c>
      <c r="O11" t="s">
        <v>609</v>
      </c>
      <c r="P11" s="15" t="str">
        <f>HYPERLINK("https://www.ejacket.nsf.gov/ej/showProposal.do?ID="&amp;ckAwdTable[[#This Row],[prop_id]],"eJ")</f>
        <v>eJ</v>
      </c>
      <c r="Q11" s="8" t="s">
        <v>670</v>
      </c>
      <c r="R11" t="s">
        <v>609</v>
      </c>
      <c r="S11" t="s">
        <v>605</v>
      </c>
      <c r="T11" t="s">
        <v>706</v>
      </c>
      <c r="U11" s="8" t="s">
        <v>707</v>
      </c>
      <c r="V11" t="s">
        <v>517</v>
      </c>
      <c r="W11" s="113" t="str">
        <f>HYPERLINK("mailto:"&amp; ckAwdTable[[#This Row],[email]]&amp;"&amp;subject=Your NSF Proposal:  "&amp;ckAwdTable[[#This Row],[prop_id]], ckAwdTable[[#This Row],[email]])</f>
        <v>lucko@cua.edu</v>
      </c>
      <c r="X11" s="30">
        <v>43221</v>
      </c>
      <c r="Y11">
        <v>36</v>
      </c>
      <c r="AA11" s="21" t="s">
        <v>13</v>
      </c>
      <c r="AB11" s="21" t="s">
        <v>372</v>
      </c>
      <c r="AC11"/>
      <c r="AD11" s="21" t="s">
        <v>13</v>
      </c>
      <c r="AE11" s="21" t="s">
        <v>481</v>
      </c>
      <c r="AF11" s="13">
        <v>308306</v>
      </c>
      <c r="AG11" s="124">
        <v>0</v>
      </c>
      <c r="AH11" s="1">
        <v>308306</v>
      </c>
      <c r="AI11" s="1"/>
      <c r="AJ11" s="1">
        <v>2500</v>
      </c>
      <c r="AK11" s="1">
        <v>63050</v>
      </c>
      <c r="AL11" s="1">
        <v>300</v>
      </c>
      <c r="AM11" s="21">
        <v>2</v>
      </c>
      <c r="AN11" s="21">
        <v>5</v>
      </c>
      <c r="AO11" s="21">
        <v>4</v>
      </c>
      <c r="AP11" s="21"/>
      <c r="AQ11" s="21"/>
      <c r="AR11" s="126" t="s">
        <v>170</v>
      </c>
      <c r="AS11" s="21" t="s">
        <v>477</v>
      </c>
      <c r="AT11" s="21" t="str">
        <f>IFERROR(IF(FIND("?",ckAwdTable[abst_narr_txt]),SummarizeQuestMarks(ckAwdTable[abst_narr_txt]),""),"")</f>
        <v/>
      </c>
      <c r="AU11" s="119"/>
      <c r="AV11" t="s">
        <v>710</v>
      </c>
      <c r="AW11" t="b">
        <f>AND(ckAwdTable[[#This Row],[ILN]]&gt;"M", SUBSTITUTE(ckAwdTable[[#This Row],[prop_titl_txt]]," ","")&lt;&gt;SUBSTITUTE(AV10," ",""))</f>
        <v>0</v>
      </c>
      <c r="AX11" s="8" t="s">
        <v>709</v>
      </c>
    </row>
    <row r="12" spans="1:68" x14ac:dyDescent="0.25">
      <c r="B12" s="30">
        <v>42993.551388888889</v>
      </c>
      <c r="C12" t="s">
        <v>666</v>
      </c>
      <c r="D12" t="s">
        <v>667</v>
      </c>
      <c r="E12" t="s">
        <v>532</v>
      </c>
      <c r="F12" t="s">
        <v>574</v>
      </c>
      <c r="G12" s="8" t="s">
        <v>169</v>
      </c>
      <c r="H12" s="8" t="s">
        <v>167</v>
      </c>
      <c r="I12" s="8" t="s">
        <v>480</v>
      </c>
      <c r="J12" t="s">
        <v>94</v>
      </c>
      <c r="K12" t="s">
        <v>668</v>
      </c>
      <c r="L12" s="22"/>
      <c r="M12" s="109">
        <f xml:space="preserve"> M11+(ckAwdTable[ILN]&lt;"M")</f>
        <v>9</v>
      </c>
      <c r="N12" t="s">
        <v>475</v>
      </c>
      <c r="O12" t="s">
        <v>616</v>
      </c>
      <c r="P12" s="15" t="str">
        <f>HYPERLINK("https://www.ejacket.nsf.gov/ej/showProposal.do?ID="&amp;ckAwdTable[[#This Row],[prop_id]],"eJ")</f>
        <v>eJ</v>
      </c>
      <c r="Q12" s="8" t="s">
        <v>670</v>
      </c>
      <c r="R12" t="s">
        <v>616</v>
      </c>
      <c r="S12" t="s">
        <v>617</v>
      </c>
      <c r="T12" t="s">
        <v>711</v>
      </c>
      <c r="U12" s="8" t="s">
        <v>712</v>
      </c>
      <c r="V12" t="s">
        <v>123</v>
      </c>
      <c r="W12" s="113" t="str">
        <f>HYPERLINK("mailto:"&amp; ckAwdTable[[#This Row],[email]]&amp;"&amp;subject=Your NSF Proposal:  "&amp;ckAwdTable[[#This Row],[prop_id]], ckAwdTable[[#This Row],[email]])</f>
        <v>fei.dai@mail.wvu.edu</v>
      </c>
      <c r="X12" s="30">
        <v>43221</v>
      </c>
      <c r="Y12">
        <v>36</v>
      </c>
      <c r="Z12" t="s">
        <v>528</v>
      </c>
      <c r="AA12" s="21" t="s">
        <v>13</v>
      </c>
      <c r="AB12" s="21" t="s">
        <v>372</v>
      </c>
      <c r="AC12"/>
      <c r="AD12" s="21" t="s">
        <v>13</v>
      </c>
      <c r="AE12" s="21" t="s">
        <v>784</v>
      </c>
      <c r="AF12" s="13">
        <v>210453</v>
      </c>
      <c r="AG12" s="124">
        <v>0</v>
      </c>
      <c r="AH12" s="1">
        <v>210453</v>
      </c>
      <c r="AI12" s="1"/>
      <c r="AJ12" s="1">
        <v>10560</v>
      </c>
      <c r="AM12" s="21">
        <v>3</v>
      </c>
      <c r="AN12" s="21">
        <v>6</v>
      </c>
      <c r="AO12" s="21">
        <v>3</v>
      </c>
      <c r="AP12" s="21"/>
      <c r="AQ12" s="21"/>
      <c r="AR12" s="126" t="s">
        <v>170</v>
      </c>
      <c r="AS12" s="21" t="s">
        <v>477</v>
      </c>
      <c r="AT12" s="21" t="str">
        <f>IFERROR(IF(FIND("?",ckAwdTable[abst_narr_txt]),SummarizeQuestMarks(ckAwdTable[abst_narr_txt]),""),"")</f>
        <v/>
      </c>
      <c r="AU12" s="119"/>
      <c r="AV12" t="s">
        <v>714</v>
      </c>
      <c r="AW12" t="b">
        <f>AND(ckAwdTable[[#This Row],[ILN]]&gt;"M", SUBSTITUTE(ckAwdTable[[#This Row],[prop_titl_txt]]," ","")&lt;&gt;SUBSTITUTE(AV11," ",""))</f>
        <v>0</v>
      </c>
      <c r="AX12" s="8" t="s">
        <v>715</v>
      </c>
    </row>
    <row r="13" spans="1:68" x14ac:dyDescent="0.25">
      <c r="B13" s="30">
        <v>42993.511805555558</v>
      </c>
      <c r="C13" t="s">
        <v>666</v>
      </c>
      <c r="D13" t="s">
        <v>667</v>
      </c>
      <c r="E13" t="s">
        <v>532</v>
      </c>
      <c r="F13" t="s">
        <v>574</v>
      </c>
      <c r="G13" s="8" t="s">
        <v>169</v>
      </c>
      <c r="H13" s="8" t="s">
        <v>167</v>
      </c>
      <c r="I13" s="8" t="s">
        <v>480</v>
      </c>
      <c r="J13" t="s">
        <v>94</v>
      </c>
      <c r="K13" t="s">
        <v>668</v>
      </c>
      <c r="L13" s="22"/>
      <c r="M13" s="109">
        <f xml:space="preserve"> M12+(ckAwdTable[ILN]&lt;"M")</f>
        <v>9</v>
      </c>
      <c r="N13" t="s">
        <v>477</v>
      </c>
      <c r="O13" t="s">
        <v>616</v>
      </c>
      <c r="P13" s="15" t="str">
        <f>HYPERLINK("https://www.ejacket.nsf.gov/ej/showProposal.do?ID="&amp;ckAwdTable[[#This Row],[prop_id]],"eJ")</f>
        <v>eJ</v>
      </c>
      <c r="Q13" s="8" t="s">
        <v>670</v>
      </c>
      <c r="R13" t="s">
        <v>716</v>
      </c>
      <c r="S13" t="s">
        <v>717</v>
      </c>
      <c r="T13" t="s">
        <v>519</v>
      </c>
      <c r="U13" s="8" t="s">
        <v>525</v>
      </c>
      <c r="V13" t="s">
        <v>300</v>
      </c>
      <c r="W13" s="113" t="str">
        <f>HYPERLINK("mailto:"&amp; ckAwdTable[[#This Row],[email]]&amp;"&amp;subject=Your NSF Proposal:  "&amp;ckAwdTable[[#This Row],[prop_id]], ckAwdTable[[#This Row],[email]])</f>
        <v>abehzadan@tamu.edu</v>
      </c>
      <c r="X13" s="30">
        <v>43221</v>
      </c>
      <c r="Y13">
        <v>36</v>
      </c>
      <c r="Z13" t="s">
        <v>528</v>
      </c>
      <c r="AA13" s="21" t="s">
        <v>13</v>
      </c>
      <c r="AB13" s="21" t="s">
        <v>372</v>
      </c>
      <c r="AC13"/>
      <c r="AD13" s="21" t="s">
        <v>13</v>
      </c>
      <c r="AF13" s="13">
        <v>150000</v>
      </c>
      <c r="AG13" s="124">
        <v>0</v>
      </c>
      <c r="AH13" s="1">
        <v>150000</v>
      </c>
      <c r="AI13" s="1"/>
      <c r="AJ13" s="1"/>
      <c r="AK13" s="1">
        <v>57855</v>
      </c>
      <c r="AM13" s="21"/>
      <c r="AN13" s="21">
        <v>3</v>
      </c>
      <c r="AO13" s="21"/>
      <c r="AP13" s="21"/>
      <c r="AQ13" s="21">
        <v>1.2</v>
      </c>
      <c r="AR13" s="126" t="s">
        <v>170</v>
      </c>
      <c r="AS13" s="21" t="s">
        <v>477</v>
      </c>
      <c r="AT13" s="21" t="str">
        <f>IFERROR(IF(FIND("?",ckAwdTable[abst_narr_txt]),SummarizeQuestMarks(ckAwdTable[abst_narr_txt]),""),"")</f>
        <v/>
      </c>
      <c r="AU13" s="119"/>
      <c r="AV13" t="s">
        <v>714</v>
      </c>
      <c r="AW13" t="b">
        <f>AND(ckAwdTable[[#This Row],[ILN]]&gt;"M", SUBSTITUTE(ckAwdTable[[#This Row],[prop_titl_txt]]," ","")&lt;&gt;SUBSTITUTE(AV12," ",""))</f>
        <v>0</v>
      </c>
      <c r="AX13" s="8" t="s">
        <v>718</v>
      </c>
    </row>
    <row r="14" spans="1:68" x14ac:dyDescent="0.25">
      <c r="B14" s="30">
        <v>42993.675000000003</v>
      </c>
      <c r="C14" t="s">
        <v>666</v>
      </c>
      <c r="D14" t="s">
        <v>667</v>
      </c>
      <c r="E14" t="s">
        <v>532</v>
      </c>
      <c r="F14" t="s">
        <v>574</v>
      </c>
      <c r="G14" s="8" t="s">
        <v>169</v>
      </c>
      <c r="H14" s="8" t="s">
        <v>167</v>
      </c>
      <c r="I14" s="8" t="s">
        <v>480</v>
      </c>
      <c r="J14" t="s">
        <v>94</v>
      </c>
      <c r="K14" t="s">
        <v>668</v>
      </c>
      <c r="L14" s="22"/>
      <c r="M14" s="109">
        <f xml:space="preserve"> M13+(ckAwdTable[ILN]&lt;"M")</f>
        <v>10</v>
      </c>
      <c r="N14" t="s">
        <v>95</v>
      </c>
      <c r="O14" t="s">
        <v>622</v>
      </c>
      <c r="P14" s="15" t="str">
        <f>HYPERLINK("https://www.ejacket.nsf.gov/ej/showProposal.do?ID="&amp;ckAwdTable[[#This Row],[prop_id]],"eJ")</f>
        <v>eJ</v>
      </c>
      <c r="Q14" s="8" t="s">
        <v>670</v>
      </c>
      <c r="R14" t="s">
        <v>622</v>
      </c>
      <c r="S14" t="s">
        <v>623</v>
      </c>
      <c r="T14" t="s">
        <v>719</v>
      </c>
      <c r="U14" s="8" t="s">
        <v>525</v>
      </c>
      <c r="V14" t="s">
        <v>300</v>
      </c>
      <c r="W14" s="113" t="str">
        <f>HYPERLINK("mailto:"&amp; ckAwdTable[[#This Row],[email]]&amp;"&amp;subject=Your NSF Proposal:  "&amp;ckAwdTable[[#This Row],[prop_id]], ckAwdTable[[#This Row],[email]])</f>
        <v>dujing@tamu.edu</v>
      </c>
      <c r="X14" s="30">
        <v>43252</v>
      </c>
      <c r="Y14">
        <v>36</v>
      </c>
      <c r="AA14" s="21" t="s">
        <v>13</v>
      </c>
      <c r="AB14" s="21" t="s">
        <v>372</v>
      </c>
      <c r="AC14"/>
      <c r="AD14" s="21" t="s">
        <v>13</v>
      </c>
      <c r="AF14" s="13">
        <v>350000</v>
      </c>
      <c r="AG14" s="124">
        <v>0</v>
      </c>
      <c r="AH14" s="1">
        <v>350000</v>
      </c>
      <c r="AI14" s="1"/>
      <c r="AJ14" s="1"/>
      <c r="AL14" s="1">
        <v>6000</v>
      </c>
      <c r="AM14" s="21">
        <v>5</v>
      </c>
      <c r="AN14" s="21">
        <v>7</v>
      </c>
      <c r="AO14" s="21"/>
      <c r="AP14" s="21"/>
      <c r="AQ14" s="21">
        <v>5.45</v>
      </c>
      <c r="AR14" s="126" t="s">
        <v>170</v>
      </c>
      <c r="AS14" s="21" t="s">
        <v>477</v>
      </c>
      <c r="AT14" s="21" t="str">
        <f>IFERROR(IF(FIND("?",ckAwdTable[abst_narr_txt]),SummarizeQuestMarks(ckAwdTable[abst_narr_txt]),""),"")</f>
        <v/>
      </c>
      <c r="AU14" s="119"/>
      <c r="AV14" t="s">
        <v>721</v>
      </c>
      <c r="AW14" t="b">
        <f>AND(ckAwdTable[[#This Row],[ILN]]&gt;"M", SUBSTITUTE(ckAwdTable[[#This Row],[prop_titl_txt]]," ","")&lt;&gt;SUBSTITUTE(AV13," ",""))</f>
        <v>0</v>
      </c>
      <c r="AX14" s="8" t="s">
        <v>722</v>
      </c>
    </row>
    <row r="15" spans="1:68" x14ac:dyDescent="0.25">
      <c r="B15" s="30">
        <v>42996.584722222222</v>
      </c>
      <c r="C15" t="s">
        <v>666</v>
      </c>
      <c r="D15" t="s">
        <v>667</v>
      </c>
      <c r="E15" t="s">
        <v>532</v>
      </c>
      <c r="F15" t="s">
        <v>574</v>
      </c>
      <c r="G15" s="8" t="s">
        <v>169</v>
      </c>
      <c r="H15" s="8" t="s">
        <v>167</v>
      </c>
      <c r="I15" s="8" t="s">
        <v>480</v>
      </c>
      <c r="J15" t="s">
        <v>94</v>
      </c>
      <c r="K15" t="s">
        <v>668</v>
      </c>
      <c r="L15" s="22"/>
      <c r="M15" s="109">
        <f xml:space="preserve"> M14+(ckAwdTable[ILN]&lt;"M")</f>
        <v>11</v>
      </c>
      <c r="N15" t="s">
        <v>95</v>
      </c>
      <c r="O15" t="s">
        <v>631</v>
      </c>
      <c r="P15" s="15" t="str">
        <f>HYPERLINK("https://www.ejacket.nsf.gov/ej/showProposal.do?ID="&amp;ckAwdTable[[#This Row],[prop_id]],"eJ")</f>
        <v>eJ</v>
      </c>
      <c r="Q15" s="8" t="s">
        <v>670</v>
      </c>
      <c r="R15" t="s">
        <v>631</v>
      </c>
      <c r="S15" t="s">
        <v>632</v>
      </c>
      <c r="T15" t="s">
        <v>723</v>
      </c>
      <c r="U15" s="8" t="s">
        <v>479</v>
      </c>
      <c r="V15" t="s">
        <v>478</v>
      </c>
      <c r="W15" s="113" t="str">
        <f>HYPERLINK("mailto:"&amp; ckAwdTable[[#This Row],[email]]&amp;"&amp;subject=Your NSF Proposal:  "&amp;ckAwdTable[[#This Row],[prop_id]], ckAwdTable[[#This Row],[email]])</f>
        <v>hubocai@ecn.purdue.edu</v>
      </c>
      <c r="X15" s="30">
        <v>43108</v>
      </c>
      <c r="Y15">
        <v>36</v>
      </c>
      <c r="AA15" s="21" t="s">
        <v>13</v>
      </c>
      <c r="AB15" s="21" t="s">
        <v>372</v>
      </c>
      <c r="AC15"/>
      <c r="AD15" s="21" t="s">
        <v>13</v>
      </c>
      <c r="AF15" s="13">
        <v>398918</v>
      </c>
      <c r="AG15" s="124">
        <v>0</v>
      </c>
      <c r="AH15" s="1">
        <v>398918</v>
      </c>
      <c r="AI15" s="1"/>
      <c r="AJ15" s="1"/>
      <c r="AM15" s="21">
        <v>6</v>
      </c>
      <c r="AN15" s="21">
        <v>6</v>
      </c>
      <c r="AO15" s="21">
        <v>3.64</v>
      </c>
      <c r="AP15" s="21"/>
      <c r="AQ15" s="21"/>
      <c r="AR15" s="126" t="s">
        <v>170</v>
      </c>
      <c r="AS15" s="21" t="s">
        <v>477</v>
      </c>
      <c r="AT15" s="21" t="str">
        <f>IFERROR(IF(FIND("?",ckAwdTable[abst_narr_txt]),SummarizeQuestMarks(ckAwdTable[abst_narr_txt]),""),"")</f>
        <v/>
      </c>
      <c r="AU15" s="119"/>
      <c r="AV15" t="s">
        <v>725</v>
      </c>
      <c r="AW15" t="b">
        <f>AND(ckAwdTable[[#This Row],[ILN]]&gt;"M", SUBSTITUTE(ckAwdTable[[#This Row],[prop_titl_txt]]," ","")&lt;&gt;SUBSTITUTE(AV14," ",""))</f>
        <v>0</v>
      </c>
      <c r="AX15" s="8" t="s">
        <v>726</v>
      </c>
    </row>
    <row r="16" spans="1:68" x14ac:dyDescent="0.25">
      <c r="B16" s="30">
        <v>42999.359027777777</v>
      </c>
      <c r="C16" t="s">
        <v>666</v>
      </c>
      <c r="D16" t="s">
        <v>667</v>
      </c>
      <c r="E16" t="s">
        <v>532</v>
      </c>
      <c r="F16" t="s">
        <v>574</v>
      </c>
      <c r="G16" s="8" t="s">
        <v>169</v>
      </c>
      <c r="H16" s="8" t="s">
        <v>167</v>
      </c>
      <c r="I16" s="8" t="s">
        <v>480</v>
      </c>
      <c r="J16" t="s">
        <v>94</v>
      </c>
      <c r="K16" t="s">
        <v>668</v>
      </c>
      <c r="L16" s="22"/>
      <c r="M16" s="109">
        <f xml:space="preserve"> M15+(ckAwdTable[ILN]&lt;"M")</f>
        <v>12</v>
      </c>
      <c r="N16" t="s">
        <v>95</v>
      </c>
      <c r="O16" t="s">
        <v>637</v>
      </c>
      <c r="P16" s="15" t="str">
        <f>HYPERLINK("https://www.ejacket.nsf.gov/ej/showProposal.do?ID="&amp;ckAwdTable[[#This Row],[prop_id]],"eJ")</f>
        <v>eJ</v>
      </c>
      <c r="Q16" s="8" t="s">
        <v>670</v>
      </c>
      <c r="R16" t="s">
        <v>637</v>
      </c>
      <c r="S16" t="s">
        <v>513</v>
      </c>
      <c r="T16" t="s">
        <v>727</v>
      </c>
      <c r="U16" s="8" t="s">
        <v>521</v>
      </c>
      <c r="V16" t="s">
        <v>520</v>
      </c>
      <c r="W16" s="113" t="str">
        <f>HYPERLINK("mailto:"&amp; ckAwdTable[[#This Row],[email]]&amp;"&amp;subject=Your NSF Proposal:  "&amp;ckAwdTable[[#This Row],[prop_id]], ckAwdTable[[#This Row],[email]])</f>
        <v>ychen@georgiasouthern.edu</v>
      </c>
      <c r="X16" s="30">
        <v>43160</v>
      </c>
      <c r="Y16">
        <v>24</v>
      </c>
      <c r="Z16" t="s">
        <v>528</v>
      </c>
      <c r="AA16" s="21" t="s">
        <v>785</v>
      </c>
      <c r="AB16" s="21" t="s">
        <v>372</v>
      </c>
      <c r="AC16"/>
      <c r="AD16" s="21" t="s">
        <v>13</v>
      </c>
      <c r="AF16" s="13">
        <v>226763</v>
      </c>
      <c r="AG16" s="124">
        <v>0</v>
      </c>
      <c r="AH16" s="1">
        <v>226763</v>
      </c>
      <c r="AI16" s="1"/>
      <c r="AJ16" s="1"/>
      <c r="AM16" s="21">
        <v>4</v>
      </c>
      <c r="AN16" s="21">
        <v>4</v>
      </c>
      <c r="AO16" s="21">
        <v>4</v>
      </c>
      <c r="AP16" s="21"/>
      <c r="AQ16" s="21"/>
      <c r="AR16" s="126" t="s">
        <v>170</v>
      </c>
      <c r="AS16" s="21" t="s">
        <v>477</v>
      </c>
      <c r="AT16" s="21" t="str">
        <f>IFERROR(IF(FIND("?",ckAwdTable[abst_narr_txt]),SummarizeQuestMarks(ckAwdTable[abst_narr_txt]),""),"")</f>
        <v/>
      </c>
      <c r="AU16" s="119"/>
      <c r="AV16" t="s">
        <v>728</v>
      </c>
      <c r="AW16" t="b">
        <f>AND(ckAwdTable[[#This Row],[ILN]]&gt;"M", SUBSTITUTE(ckAwdTable[[#This Row],[prop_titl_txt]]," ","")&lt;&gt;SUBSTITUTE(AV15," ",""))</f>
        <v>0</v>
      </c>
      <c r="AX16" s="8" t="s">
        <v>729</v>
      </c>
    </row>
    <row r="17" spans="2:50" x14ac:dyDescent="0.25">
      <c r="B17" s="30">
        <v>42999.447222222225</v>
      </c>
      <c r="C17" t="s">
        <v>666</v>
      </c>
      <c r="D17" t="s">
        <v>667</v>
      </c>
      <c r="E17" t="s">
        <v>532</v>
      </c>
      <c r="F17" t="s">
        <v>574</v>
      </c>
      <c r="G17" s="8" t="s">
        <v>169</v>
      </c>
      <c r="H17" s="8" t="s">
        <v>167</v>
      </c>
      <c r="I17" s="8" t="s">
        <v>480</v>
      </c>
      <c r="J17" t="s">
        <v>94</v>
      </c>
      <c r="K17" t="s">
        <v>668</v>
      </c>
      <c r="L17" s="22"/>
      <c r="M17" s="109">
        <f xml:space="preserve"> M16+(ckAwdTable[ILN]&lt;"M")</f>
        <v>13</v>
      </c>
      <c r="N17" t="s">
        <v>475</v>
      </c>
      <c r="O17" t="s">
        <v>642</v>
      </c>
      <c r="P17" s="15" t="str">
        <f>HYPERLINK("https://www.ejacket.nsf.gov/ej/showProposal.do?ID="&amp;ckAwdTable[[#This Row],[prop_id]],"eJ")</f>
        <v>eJ</v>
      </c>
      <c r="Q17" s="8" t="s">
        <v>670</v>
      </c>
      <c r="R17" t="s">
        <v>642</v>
      </c>
      <c r="S17" t="s">
        <v>643</v>
      </c>
      <c r="T17" t="s">
        <v>730</v>
      </c>
      <c r="U17" s="8" t="s">
        <v>523</v>
      </c>
      <c r="V17" t="s">
        <v>520</v>
      </c>
      <c r="W17" s="113" t="str">
        <f>HYPERLINK("mailto:"&amp; ckAwdTable[[#This Row],[email]]&amp;"&amp;subject=Your NSF Proposal:  "&amp;ckAwdTable[[#This Row],[prop_id]], ckAwdTable[[#This Row],[email]])</f>
        <v>baabak@gatech.edu</v>
      </c>
      <c r="X17" s="30">
        <v>43101</v>
      </c>
      <c r="Y17">
        <v>24</v>
      </c>
      <c r="AA17" s="21" t="s">
        <v>13</v>
      </c>
      <c r="AB17" s="21" t="s">
        <v>372</v>
      </c>
      <c r="AC17"/>
      <c r="AD17" s="21" t="s">
        <v>13</v>
      </c>
      <c r="AF17" s="13">
        <v>283738</v>
      </c>
      <c r="AG17" s="124">
        <v>0</v>
      </c>
      <c r="AH17" s="1">
        <v>283738</v>
      </c>
      <c r="AI17" s="1"/>
      <c r="AJ17" s="1"/>
      <c r="AM17" s="21">
        <v>4</v>
      </c>
      <c r="AN17" s="21">
        <v>6</v>
      </c>
      <c r="AO17" s="21">
        <v>3.2</v>
      </c>
      <c r="AP17" s="21"/>
      <c r="AQ17" s="21"/>
      <c r="AR17" s="126" t="s">
        <v>170</v>
      </c>
      <c r="AS17" s="21" t="s">
        <v>477</v>
      </c>
      <c r="AT17" s="21" t="str">
        <f>IFERROR(IF(FIND("?",ckAwdTable[abst_narr_txt]),SummarizeQuestMarks(ckAwdTable[abst_narr_txt]),""),"")</f>
        <v/>
      </c>
      <c r="AU17" s="119"/>
      <c r="AV17" t="s">
        <v>732</v>
      </c>
      <c r="AW17" t="b">
        <f>AND(ckAwdTable[[#This Row],[ILN]]&gt;"M", SUBSTITUTE(ckAwdTable[[#This Row],[prop_titl_txt]]," ","")&lt;&gt;SUBSTITUTE(AV16," ",""))</f>
        <v>0</v>
      </c>
      <c r="AX17" s="8" t="s">
        <v>733</v>
      </c>
    </row>
    <row r="18" spans="2:50" x14ac:dyDescent="0.25">
      <c r="B18" s="30">
        <v>42999.552777777775</v>
      </c>
      <c r="C18" t="s">
        <v>666</v>
      </c>
      <c r="D18" t="s">
        <v>667</v>
      </c>
      <c r="E18" t="s">
        <v>532</v>
      </c>
      <c r="F18" t="s">
        <v>574</v>
      </c>
      <c r="G18" s="8" t="s">
        <v>169</v>
      </c>
      <c r="H18" s="8" t="s">
        <v>167</v>
      </c>
      <c r="I18" s="8" t="s">
        <v>480</v>
      </c>
      <c r="J18" t="s">
        <v>94</v>
      </c>
      <c r="K18" t="s">
        <v>668</v>
      </c>
      <c r="L18" s="22"/>
      <c r="M18" s="109">
        <f xml:space="preserve"> M17+(ckAwdTable[ILN]&lt;"M")</f>
        <v>13</v>
      </c>
      <c r="N18" t="s">
        <v>477</v>
      </c>
      <c r="O18" t="s">
        <v>642</v>
      </c>
      <c r="P18" s="15" t="str">
        <f>HYPERLINK("https://www.ejacket.nsf.gov/ej/showProposal.do?ID="&amp;ckAwdTable[[#This Row],[prop_id]],"eJ")</f>
        <v>eJ</v>
      </c>
      <c r="Q18" s="8" t="s">
        <v>670</v>
      </c>
      <c r="R18" t="s">
        <v>734</v>
      </c>
      <c r="S18" t="s">
        <v>735</v>
      </c>
      <c r="T18" t="s">
        <v>736</v>
      </c>
      <c r="U18" s="8" t="s">
        <v>737</v>
      </c>
      <c r="V18" t="s">
        <v>300</v>
      </c>
      <c r="W18" s="113" t="str">
        <f>HYPERLINK("mailto:"&amp; ckAwdTable[[#This Row],[email]]&amp;"&amp;subject=Your NSF Proposal:  "&amp;ckAwdTable[[#This Row],[prop_id]], ckAwdTable[[#This Row],[email]])</f>
        <v>mohsen@uta.edu</v>
      </c>
      <c r="X18" s="30">
        <v>43101</v>
      </c>
      <c r="Y18">
        <v>24</v>
      </c>
      <c r="AA18" s="21" t="s">
        <v>13</v>
      </c>
      <c r="AB18" s="21" t="s">
        <v>372</v>
      </c>
      <c r="AC18"/>
      <c r="AD18" s="21" t="s">
        <v>13</v>
      </c>
      <c r="AF18" s="13">
        <v>133993</v>
      </c>
      <c r="AG18" s="124">
        <v>0</v>
      </c>
      <c r="AH18" s="1">
        <v>133993</v>
      </c>
      <c r="AI18" s="1"/>
      <c r="AJ18" s="1"/>
      <c r="AM18" s="21">
        <v>2</v>
      </c>
      <c r="AN18" s="21">
        <v>2</v>
      </c>
      <c r="AO18" s="21">
        <v>2</v>
      </c>
      <c r="AP18" s="21"/>
      <c r="AQ18" s="21"/>
      <c r="AR18" s="126" t="s">
        <v>170</v>
      </c>
      <c r="AS18" s="21" t="s">
        <v>477</v>
      </c>
      <c r="AT18" s="21" t="str">
        <f>IFERROR(IF(FIND("?",ckAwdTable[abst_narr_txt]),SummarizeQuestMarks(ckAwdTable[abst_narr_txt]),""),"")</f>
        <v/>
      </c>
      <c r="AU18" s="119"/>
      <c r="AV18" t="s">
        <v>732</v>
      </c>
      <c r="AW18" t="b">
        <f>AND(ckAwdTable[[#This Row],[ILN]]&gt;"M", SUBSTITUTE(ckAwdTable[[#This Row],[prop_titl_txt]]," ","")&lt;&gt;SUBSTITUTE(AV17," ",""))</f>
        <v>0</v>
      </c>
      <c r="AX18" s="8" t="s">
        <v>738</v>
      </c>
    </row>
    <row r="19" spans="2:50" x14ac:dyDescent="0.25">
      <c r="B19" s="30">
        <v>43000.450694444444</v>
      </c>
      <c r="C19" t="s">
        <v>666</v>
      </c>
      <c r="D19" t="s">
        <v>667</v>
      </c>
      <c r="E19" t="s">
        <v>532</v>
      </c>
      <c r="F19" t="s">
        <v>574</v>
      </c>
      <c r="G19" s="8" t="s">
        <v>169</v>
      </c>
      <c r="H19" s="8" t="s">
        <v>167</v>
      </c>
      <c r="I19" s="8" t="s">
        <v>480</v>
      </c>
      <c r="J19" t="s">
        <v>94</v>
      </c>
      <c r="K19" t="s">
        <v>668</v>
      </c>
      <c r="L19" s="22"/>
      <c r="M19" s="109">
        <f xml:space="preserve"> M18+(ckAwdTable[ILN]&lt;"M")</f>
        <v>14</v>
      </c>
      <c r="N19" t="s">
        <v>95</v>
      </c>
      <c r="O19" t="s">
        <v>651</v>
      </c>
      <c r="P19" s="15" t="str">
        <f>HYPERLINK("https://www.ejacket.nsf.gov/ej/showProposal.do?ID="&amp;ckAwdTable[[#This Row],[prop_id]],"eJ")</f>
        <v>eJ</v>
      </c>
      <c r="Q19" s="8" t="s">
        <v>670</v>
      </c>
      <c r="R19" t="s">
        <v>651</v>
      </c>
      <c r="S19" t="s">
        <v>652</v>
      </c>
      <c r="T19" t="s">
        <v>739</v>
      </c>
      <c r="U19" s="8" t="s">
        <v>740</v>
      </c>
      <c r="V19" t="s">
        <v>504</v>
      </c>
      <c r="W19" s="113" t="str">
        <f>HYPERLINK("mailto:"&amp; ckAwdTable[[#This Row],[email]]&amp;"&amp;subject=Your NSF Proposal:  "&amp;ckAwdTable[[#This Row],[prop_id]], ckAwdTable[[#This Row],[email]])</f>
        <v>bfranz@ufl.edu</v>
      </c>
      <c r="X19" s="30">
        <v>43241</v>
      </c>
      <c r="Y19">
        <v>36</v>
      </c>
      <c r="Z19" t="s">
        <v>786</v>
      </c>
      <c r="AA19" s="21" t="s">
        <v>13</v>
      </c>
      <c r="AB19" s="21" t="s">
        <v>372</v>
      </c>
      <c r="AC19"/>
      <c r="AD19" s="21" t="s">
        <v>13</v>
      </c>
      <c r="AF19" s="13">
        <v>520802</v>
      </c>
      <c r="AG19" s="124">
        <v>0</v>
      </c>
      <c r="AH19" s="1">
        <v>520802</v>
      </c>
      <c r="AI19" s="1">
        <v>216457</v>
      </c>
      <c r="AJ19" s="1"/>
      <c r="AL19" s="1">
        <v>20000</v>
      </c>
      <c r="AM19" s="21">
        <v>1</v>
      </c>
      <c r="AN19" s="21">
        <v>9</v>
      </c>
      <c r="AO19" s="21">
        <v>5.25</v>
      </c>
      <c r="AP19" s="21"/>
      <c r="AQ19" s="21"/>
      <c r="AR19" s="126" t="s">
        <v>170</v>
      </c>
      <c r="AS19" s="21" t="s">
        <v>477</v>
      </c>
      <c r="AT19" s="21" t="str">
        <f>IFERROR(IF(FIND("?",ckAwdTable[abst_narr_txt]),SummarizeQuestMarks(ckAwdTable[abst_narr_txt]),""),"")</f>
        <v/>
      </c>
      <c r="AU19" s="119"/>
      <c r="AV19" t="s">
        <v>742</v>
      </c>
      <c r="AW19" t="b">
        <f>AND(ckAwdTable[[#This Row],[ILN]]&gt;"M", SUBSTITUTE(ckAwdTable[[#This Row],[prop_titl_txt]]," ","")&lt;&gt;SUBSTITUTE(AV18," ",""))</f>
        <v>0</v>
      </c>
      <c r="AX19" s="8" t="s">
        <v>743</v>
      </c>
    </row>
    <row r="20" spans="2:50" x14ac:dyDescent="0.25">
      <c r="B20" s="30">
        <v>43000.552083333336</v>
      </c>
      <c r="C20" t="s">
        <v>666</v>
      </c>
      <c r="D20" t="s">
        <v>667</v>
      </c>
      <c r="E20" t="s">
        <v>532</v>
      </c>
      <c r="F20" t="s">
        <v>574</v>
      </c>
      <c r="G20" s="8" t="s">
        <v>169</v>
      </c>
      <c r="H20" s="8" t="s">
        <v>167</v>
      </c>
      <c r="I20" s="8" t="s">
        <v>480</v>
      </c>
      <c r="J20" t="s">
        <v>94</v>
      </c>
      <c r="K20" t="s">
        <v>668</v>
      </c>
      <c r="L20" s="22"/>
      <c r="M20" s="109">
        <f xml:space="preserve"> M19+(ckAwdTable[ILN]&lt;"M")</f>
        <v>15</v>
      </c>
      <c r="N20" t="s">
        <v>95</v>
      </c>
      <c r="O20" t="s">
        <v>659</v>
      </c>
      <c r="P20" s="15" t="str">
        <f>HYPERLINK("https://www.ejacket.nsf.gov/ej/showProposal.do?ID="&amp;ckAwdTable[[#This Row],[prop_id]],"eJ")</f>
        <v>eJ</v>
      </c>
      <c r="Q20" s="8" t="s">
        <v>670</v>
      </c>
      <c r="R20" t="s">
        <v>659</v>
      </c>
      <c r="S20" t="s">
        <v>660</v>
      </c>
      <c r="T20" t="s">
        <v>494</v>
      </c>
      <c r="U20" s="8" t="s">
        <v>524</v>
      </c>
      <c r="V20" t="s">
        <v>505</v>
      </c>
      <c r="W20" s="113" t="str">
        <f>HYPERLINK("mailto:"&amp; ckAwdTable[[#This Row],[email]]&amp;"&amp;subject=Your NSF Proposal:  "&amp;ckAwdTable[[#This Row],[prop_id]], ckAwdTable[[#This Row],[email]])</f>
        <v>david.grau@asu.edu</v>
      </c>
      <c r="X20" s="30">
        <v>43235</v>
      </c>
      <c r="Y20">
        <v>36</v>
      </c>
      <c r="AA20" s="21" t="s">
        <v>13</v>
      </c>
      <c r="AB20" s="21" t="s">
        <v>372</v>
      </c>
      <c r="AC20"/>
      <c r="AD20" s="21" t="s">
        <v>13</v>
      </c>
      <c r="AF20" s="13">
        <v>344462</v>
      </c>
      <c r="AG20" s="124">
        <v>0</v>
      </c>
      <c r="AH20" s="1">
        <v>344462</v>
      </c>
      <c r="AI20" s="1"/>
      <c r="AJ20" s="1"/>
      <c r="AL20" s="1">
        <v>6000</v>
      </c>
      <c r="AM20" s="21">
        <v>3</v>
      </c>
      <c r="AN20" s="21">
        <v>6</v>
      </c>
      <c r="AO20" s="21">
        <v>6</v>
      </c>
      <c r="AP20" s="21"/>
      <c r="AQ20" s="21"/>
      <c r="AR20" s="126" t="s">
        <v>170</v>
      </c>
      <c r="AS20" s="21" t="s">
        <v>477</v>
      </c>
      <c r="AT20" s="21" t="str">
        <f>IFERROR(IF(FIND("?",ckAwdTable[abst_narr_txt]),SummarizeQuestMarks(ckAwdTable[abst_narr_txt]),""),"")</f>
        <v/>
      </c>
      <c r="AU20" s="119"/>
      <c r="AV20" t="s">
        <v>745</v>
      </c>
      <c r="AW20" t="b">
        <f>AND(ckAwdTable[[#This Row],[ILN]]&gt;"M", SUBSTITUTE(ckAwdTable[[#This Row],[prop_titl_txt]]," ","")&lt;&gt;SUBSTITUTE(AV19," ",""))</f>
        <v>0</v>
      </c>
      <c r="AX20" s="8" t="s">
        <v>746</v>
      </c>
    </row>
  </sheetData>
  <conditionalFormatting sqref="A2:AX20">
    <cfRule type="expression" dxfId="31" priority="4">
      <formula>MOD($M2,2)</formula>
    </cfRule>
  </conditionalFormatting>
  <conditionalFormatting sqref="C2:K20">
    <cfRule type="expression" dxfId="30" priority="3">
      <formula>AND($N2="N",C2&lt;&gt;C1)</formula>
    </cfRule>
  </conditionalFormatting>
  <conditionalFormatting sqref="X2:AE20">
    <cfRule type="expression" dxfId="29" priority="2">
      <formula>AND($N2="N",TRIM(X2)&lt;&gt;TRIM(X1))</formula>
    </cfRule>
  </conditionalFormatting>
  <conditionalFormatting sqref="AV2:AV20">
    <cfRule type="expression" dxfId="28" priority="1">
      <formula>$AW2</formula>
    </cfRule>
  </conditionalFormatting>
  <pageMargins left="0.25" right="0.25" top="0.75" bottom="0.75" header="0.3" footer="0.3"/>
  <pageSetup paperSize="5" scale="4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D75"/>
  <sheetViews>
    <sheetView topLeftCell="T3" workbookViewId="0">
      <selection activeCell="AD5" sqref="AD5"/>
    </sheetView>
  </sheetViews>
  <sheetFormatPr defaultRowHeight="15" x14ac:dyDescent="0.25"/>
  <cols>
    <col min="1" max="1" width="6.42578125" style="6" hidden="1" customWidth="1"/>
    <col min="2" max="2" width="1.7109375" hidden="1" customWidth="1"/>
    <col min="3" max="3" width="2.85546875" hidden="1" customWidth="1"/>
    <col min="4" max="4" width="2.140625" hidden="1" customWidth="1"/>
    <col min="5" max="5" width="9.28515625" customWidth="1"/>
    <col min="6" max="6" width="11.85546875" customWidth="1"/>
    <col min="7" max="7" width="9" style="30" customWidth="1"/>
    <col min="8" max="9" width="5.85546875" customWidth="1"/>
    <col min="10" max="10" width="5.85546875" hidden="1" customWidth="1"/>
    <col min="11" max="11" width="8.42578125" customWidth="1"/>
    <col min="12" max="12" width="8.7109375" customWidth="1"/>
    <col min="13" max="13" width="3.5703125" style="21" customWidth="1"/>
    <col min="14" max="14" width="7.85546875" customWidth="1"/>
    <col min="15" max="15" width="7.28515625" customWidth="1"/>
    <col min="16" max="16" width="4.7109375" customWidth="1"/>
    <col min="17" max="17" width="3.28515625" customWidth="1"/>
    <col min="18" max="18" width="2.42578125" customWidth="1"/>
    <col min="19" max="19" width="10.28515625" style="13" customWidth="1"/>
    <col min="20" max="21" width="10.28515625" customWidth="1"/>
    <col min="22" max="22" width="10.5703125" customWidth="1"/>
    <col min="23" max="23" width="3.7109375" customWidth="1"/>
    <col min="24" max="24" width="3.7109375" style="6" customWidth="1"/>
    <col min="25" max="25" width="4.28515625" customWidth="1"/>
    <col min="26" max="26" width="11.140625" customWidth="1"/>
    <col min="27" max="27" width="9.140625" customWidth="1"/>
    <col min="28" max="28" width="6.140625" customWidth="1"/>
    <col min="29" max="29" width="6.42578125" customWidth="1"/>
    <col min="30" max="30" width="19.5703125" customWidth="1"/>
  </cols>
  <sheetData>
    <row r="1" spans="1:30" x14ac:dyDescent="0.25">
      <c r="A1" s="6" t="s">
        <v>129</v>
      </c>
      <c r="Q1" s="3"/>
    </row>
    <row r="2" spans="1:30" s="99" customFormat="1" x14ac:dyDescent="0.25">
      <c r="A2" s="98"/>
      <c r="F2" s="100" t="s">
        <v>15</v>
      </c>
      <c r="G2" s="100"/>
      <c r="I2" s="101" t="s">
        <v>426</v>
      </c>
      <c r="K2" s="12" t="e">
        <f>LOWER(#REF!)</f>
        <v>#REF!</v>
      </c>
      <c r="L2" s="101" t="s">
        <v>14</v>
      </c>
      <c r="M2" s="103">
        <f ca="1">YEAR(NOW())+(MONTH(NOW())&gt;9)-2000</f>
        <v>18</v>
      </c>
      <c r="Q2" s="100" t="s">
        <v>127</v>
      </c>
      <c r="R2" s="100"/>
      <c r="S2" s="102"/>
      <c r="U2" s="99" t="s">
        <v>128</v>
      </c>
      <c r="Y2" s="99" t="s">
        <v>427</v>
      </c>
    </row>
    <row r="3" spans="1:30" ht="33" customHeight="1" x14ac:dyDescent="0.25">
      <c r="A3" s="6" t="s">
        <v>0</v>
      </c>
      <c r="B3" t="s">
        <v>88</v>
      </c>
      <c r="C3" t="s">
        <v>345</v>
      </c>
      <c r="D3" t="s">
        <v>101</v>
      </c>
      <c r="E3" s="30" t="s">
        <v>7</v>
      </c>
      <c r="F3" t="s">
        <v>8</v>
      </c>
      <c r="G3" t="s">
        <v>5</v>
      </c>
      <c r="H3" t="s">
        <v>4</v>
      </c>
      <c r="I3" t="s">
        <v>91</v>
      </c>
      <c r="J3" t="s">
        <v>369</v>
      </c>
      <c r="K3" t="s">
        <v>9</v>
      </c>
      <c r="L3" t="s">
        <v>1</v>
      </c>
      <c r="M3" s="21" t="s">
        <v>2</v>
      </c>
      <c r="N3" t="s">
        <v>10</v>
      </c>
      <c r="O3" s="14" t="s">
        <v>406</v>
      </c>
      <c r="P3" t="s">
        <v>11</v>
      </c>
      <c r="Q3" t="s">
        <v>346</v>
      </c>
      <c r="R3" t="s">
        <v>347</v>
      </c>
      <c r="S3" s="13" t="s">
        <v>348</v>
      </c>
      <c r="T3" t="s">
        <v>349</v>
      </c>
      <c r="U3" t="s">
        <v>350</v>
      </c>
      <c r="V3" s="6" t="s">
        <v>351</v>
      </c>
      <c r="W3" t="s">
        <v>352</v>
      </c>
      <c r="X3" t="s">
        <v>353</v>
      </c>
      <c r="Y3" t="s">
        <v>6</v>
      </c>
      <c r="Z3" t="s">
        <v>354</v>
      </c>
      <c r="AA3" t="s">
        <v>355</v>
      </c>
      <c r="AB3" t="s">
        <v>356</v>
      </c>
      <c r="AC3" t="s">
        <v>443</v>
      </c>
      <c r="AD3" t="s">
        <v>12</v>
      </c>
    </row>
    <row r="4" spans="1:30" x14ac:dyDescent="0.25">
      <c r="A4" s="10" t="s">
        <v>539</v>
      </c>
      <c r="B4" s="77" t="s">
        <v>95</v>
      </c>
      <c r="C4" s="77">
        <f>C3+(BudgetsTable[[#This Row],[lead]]&lt;&gt;K3)</f>
        <v>11</v>
      </c>
      <c r="D4" s="77">
        <f>D3*(BudgetsTable[[#This Row],[lead]]=K3)+(BudgetsTable[[#This Row],[prop_id]]&lt;&gt;A3)</f>
        <v>1</v>
      </c>
      <c r="E4" s="78">
        <v>42984.665277777778</v>
      </c>
      <c r="F4" s="79" t="s">
        <v>666</v>
      </c>
      <c r="G4" s="79" t="s">
        <v>667</v>
      </c>
      <c r="H4" s="79" t="s">
        <v>532</v>
      </c>
      <c r="I4" s="77" t="s">
        <v>541</v>
      </c>
      <c r="J4" s="77" t="s">
        <v>675</v>
      </c>
      <c r="K4" s="79" t="s">
        <v>539</v>
      </c>
      <c r="L4" s="7" t="str">
        <f>IF(BudgetsTable[[#This Row],[pi_last_name]]=" ","",HYPERLINK("https://www.ejacket.nsf.gov/ej/showProposal.do?Continue=Y&amp;ID="&amp;BudgetsTable[[#This Row],[prop_id]],BudgetsTable[[#This Row],[prop_id]]))</f>
        <v>1759519</v>
      </c>
      <c r="M4" s="15" t="e">
        <f>IF(BudgetsTable[[#This Row],[pi_last_name]]=" ","",HYPERLINK("https://www.ejacket.nsf.gov/ej/processReviewAnalysis.do?dispatch=add&amp;uniqId="&amp;BudgetsTable[[#This Row],[prop_id]]&amp;PO_id,"&gt;ra"))</f>
        <v>#REF!</v>
      </c>
      <c r="N4" s="79" t="s">
        <v>540</v>
      </c>
      <c r="O4" s="7" t="str">
        <f>IF(BudgetsTable[[#This Row],[pi_last_name]]=" ","",HYPERLINK("mailto:"&amp;BudgetsTable[[#This Row],[pi_email]]&amp;"&amp;subject=Your NSF Proposal:  "&amp;BudgetsTable[[#This Row],[prop_id]],BudgetsTable[[#This Row],[pi_email]]))</f>
        <v>yongkim@u.washington.edu</v>
      </c>
      <c r="P4" s="79" t="s">
        <v>516</v>
      </c>
      <c r="Q4" s="79"/>
      <c r="R4" s="79"/>
      <c r="S4" s="80"/>
      <c r="T4" s="80"/>
      <c r="U4" s="80"/>
      <c r="V4" s="81"/>
      <c r="W4" s="79">
        <v>0</v>
      </c>
      <c r="X4" s="79"/>
      <c r="Y4" s="11" t="str">
        <f ca="1">IF(ISBLANK(BudgetsTable[[#This Row],[budg_seq_yr]]),"FY"&amp;fiscalyear,"FY"&amp;fiscalyear-1+BudgetsTable[[#This Row],[budg_seq_yr]])</f>
        <v>FY18</v>
      </c>
      <c r="Z4" s="80">
        <v>345646</v>
      </c>
      <c r="AA4" s="79" t="s">
        <v>667</v>
      </c>
      <c r="AB4" s="79" t="s">
        <v>532</v>
      </c>
      <c r="AC4" s="104" t="s">
        <v>94</v>
      </c>
      <c r="AD4" s="79" t="s">
        <v>669</v>
      </c>
    </row>
    <row r="5" spans="1:30" x14ac:dyDescent="0.25">
      <c r="A5" s="10" t="s">
        <v>539</v>
      </c>
      <c r="B5" s="77" t="s">
        <v>95</v>
      </c>
      <c r="C5" s="77">
        <f>C4+(BudgetsTable[[#This Row],[lead]]&lt;&gt;K4)</f>
        <v>11</v>
      </c>
      <c r="D5" s="77">
        <f>D4*(BudgetsTable[[#This Row],[lead]]=K4)+(BudgetsTable[[#This Row],[prop_id]]&lt;&gt;A4)</f>
        <v>1</v>
      </c>
      <c r="E5" s="78">
        <v>42984.665277777778</v>
      </c>
      <c r="F5" s="79" t="s">
        <v>666</v>
      </c>
      <c r="G5" s="79" t="s">
        <v>667</v>
      </c>
      <c r="H5" s="79" t="s">
        <v>532</v>
      </c>
      <c r="I5" s="77" t="s">
        <v>541</v>
      </c>
      <c r="J5" s="77" t="s">
        <v>13</v>
      </c>
      <c r="K5" s="79" t="s">
        <v>539</v>
      </c>
      <c r="L5" s="7" t="str">
        <f>IF(BudgetsTable[[#This Row],[pi_last_name]]=" ","",HYPERLINK("https://www.ejacket.nsf.gov/ej/showProposal.do?Continue=Y&amp;ID="&amp;BudgetsTable[[#This Row],[prop_id]],BudgetsTable[[#This Row],[prop_id]]))</f>
        <v/>
      </c>
      <c r="M5" s="15" t="str">
        <f>IF(BudgetsTable[[#This Row],[pi_last_name]]=" ","",HYPERLINK("https://www.ejacket.nsf.gov/ej/processReviewAnalysis.do?dispatch=add&amp;uniqId="&amp;BudgetsTable[[#This Row],[prop_id]]&amp;PO_id,"&gt;ra"))</f>
        <v/>
      </c>
      <c r="N5" s="79" t="s">
        <v>13</v>
      </c>
      <c r="O5" s="7" t="str">
        <f>IF(BudgetsTable[[#This Row],[pi_last_name]]=" ","",HYPERLINK("mailto:"&amp;BudgetsTable[[#This Row],[pi_email]]&amp;"&amp;subject=Your NSF Proposal:  "&amp;BudgetsTable[[#This Row],[prop_id]],BudgetsTable[[#This Row],[pi_email]]))</f>
        <v/>
      </c>
      <c r="P5" s="79" t="s">
        <v>13</v>
      </c>
      <c r="Q5" s="79">
        <v>2</v>
      </c>
      <c r="R5" s="79">
        <v>1.35</v>
      </c>
      <c r="S5" s="80">
        <v>0</v>
      </c>
      <c r="T5" s="80">
        <v>0</v>
      </c>
      <c r="U5" s="80">
        <v>0</v>
      </c>
      <c r="V5" s="81">
        <v>115254</v>
      </c>
      <c r="W5" s="79">
        <v>0</v>
      </c>
      <c r="X5" s="79">
        <v>1</v>
      </c>
      <c r="Y5" s="11" t="str">
        <f ca="1">IF(ISBLANK(BudgetsTable[[#This Row],[budg_seq_yr]]),"FY"&amp;fiscalyear,"FY"&amp;fiscalyear-1+BudgetsTable[[#This Row],[budg_seq_yr]])</f>
        <v>FY18</v>
      </c>
      <c r="Z5" s="80">
        <v>115254</v>
      </c>
      <c r="AA5" s="79" t="s">
        <v>667</v>
      </c>
      <c r="AB5" s="79" t="s">
        <v>532</v>
      </c>
      <c r="AC5" s="77" t="s">
        <v>94</v>
      </c>
      <c r="AD5" s="79" t="s">
        <v>669</v>
      </c>
    </row>
    <row r="6" spans="1:30" x14ac:dyDescent="0.25">
      <c r="A6" s="10" t="s">
        <v>539</v>
      </c>
      <c r="B6" s="77" t="s">
        <v>95</v>
      </c>
      <c r="C6" s="77">
        <f>C5+(BudgetsTable[[#This Row],[lead]]&lt;&gt;K5)</f>
        <v>11</v>
      </c>
      <c r="D6" s="77">
        <f>D5*(BudgetsTable[[#This Row],[lead]]=K5)+(BudgetsTable[[#This Row],[prop_id]]&lt;&gt;A5)</f>
        <v>1</v>
      </c>
      <c r="E6" s="78">
        <v>42984.665277777778</v>
      </c>
      <c r="F6" s="79" t="s">
        <v>666</v>
      </c>
      <c r="G6" s="79" t="s">
        <v>667</v>
      </c>
      <c r="H6" s="79" t="s">
        <v>532</v>
      </c>
      <c r="I6" s="77" t="s">
        <v>541</v>
      </c>
      <c r="J6" s="77" t="s">
        <v>13</v>
      </c>
      <c r="K6" s="79" t="s">
        <v>539</v>
      </c>
      <c r="L6" s="7" t="str">
        <f>IF(BudgetsTable[[#This Row],[pi_last_name]]=" ","",HYPERLINK("https://www.ejacket.nsf.gov/ej/showProposal.do?Continue=Y&amp;ID="&amp;BudgetsTable[[#This Row],[prop_id]],BudgetsTable[[#This Row],[prop_id]]))</f>
        <v/>
      </c>
      <c r="M6" s="15" t="str">
        <f>IF(BudgetsTable[[#This Row],[pi_last_name]]=" ","",HYPERLINK("https://www.ejacket.nsf.gov/ej/processReviewAnalysis.do?dispatch=add&amp;uniqId="&amp;BudgetsTable[[#This Row],[prop_id]]&amp;PO_id,"&gt;ra"))</f>
        <v/>
      </c>
      <c r="N6" s="79" t="s">
        <v>13</v>
      </c>
      <c r="O6" s="7" t="str">
        <f>IF(BudgetsTable[[#This Row],[pi_last_name]]=" ","",HYPERLINK("mailto:"&amp;BudgetsTable[[#This Row],[pi_email]]&amp;"&amp;subject=Your NSF Proposal:  "&amp;BudgetsTable[[#This Row],[prop_id]],BudgetsTable[[#This Row],[pi_email]]))</f>
        <v/>
      </c>
      <c r="P6" s="79" t="s">
        <v>13</v>
      </c>
      <c r="Q6" s="79">
        <v>2</v>
      </c>
      <c r="R6" s="79">
        <v>1.35</v>
      </c>
      <c r="S6" s="80">
        <v>0</v>
      </c>
      <c r="T6" s="80">
        <v>0</v>
      </c>
      <c r="U6" s="80">
        <v>0</v>
      </c>
      <c r="V6" s="81">
        <v>122684</v>
      </c>
      <c r="W6" s="79">
        <v>0</v>
      </c>
      <c r="X6" s="79">
        <v>2</v>
      </c>
      <c r="Y6" s="11" t="str">
        <f ca="1">IF(ISBLANK(BudgetsTable[[#This Row],[budg_seq_yr]]),"FY"&amp;fiscalyear,"FY"&amp;fiscalyear-1+BudgetsTable[[#This Row],[budg_seq_yr]])</f>
        <v>FY19</v>
      </c>
      <c r="Z6" s="80">
        <v>122684</v>
      </c>
      <c r="AA6" s="79" t="s">
        <v>667</v>
      </c>
      <c r="AB6" s="79" t="s">
        <v>532</v>
      </c>
      <c r="AC6" s="77" t="s">
        <v>94</v>
      </c>
      <c r="AD6" s="79" t="s">
        <v>669</v>
      </c>
    </row>
    <row r="7" spans="1:30" x14ac:dyDescent="0.25">
      <c r="A7" s="10" t="s">
        <v>539</v>
      </c>
      <c r="B7" s="77" t="s">
        <v>95</v>
      </c>
      <c r="C7" s="77">
        <f>C6+(BudgetsTable[[#This Row],[lead]]&lt;&gt;K6)</f>
        <v>11</v>
      </c>
      <c r="D7" s="77">
        <f>D6*(BudgetsTable[[#This Row],[lead]]=K6)+(BudgetsTable[[#This Row],[prop_id]]&lt;&gt;A6)</f>
        <v>1</v>
      </c>
      <c r="E7" s="78">
        <v>42984.665277777778</v>
      </c>
      <c r="F7" s="79" t="s">
        <v>666</v>
      </c>
      <c r="G7" s="79" t="s">
        <v>667</v>
      </c>
      <c r="H7" s="79" t="s">
        <v>532</v>
      </c>
      <c r="I7" s="77" t="s">
        <v>541</v>
      </c>
      <c r="J7" s="77" t="s">
        <v>13</v>
      </c>
      <c r="K7" s="79" t="s">
        <v>539</v>
      </c>
      <c r="L7" s="7" t="str">
        <f>IF(BudgetsTable[[#This Row],[pi_last_name]]=" ","",HYPERLINK("https://www.ejacket.nsf.gov/ej/showProposal.do?Continue=Y&amp;ID="&amp;BudgetsTable[[#This Row],[prop_id]],BudgetsTable[[#This Row],[prop_id]]))</f>
        <v/>
      </c>
      <c r="M7" s="15" t="str">
        <f>IF(BudgetsTable[[#This Row],[pi_last_name]]=" ","",HYPERLINK("https://www.ejacket.nsf.gov/ej/processReviewAnalysis.do?dispatch=add&amp;uniqId="&amp;BudgetsTable[[#This Row],[prop_id]]&amp;PO_id,"&gt;ra"))</f>
        <v/>
      </c>
      <c r="N7" s="79" t="s">
        <v>13</v>
      </c>
      <c r="O7" s="7" t="str">
        <f>IF(BudgetsTable[[#This Row],[pi_last_name]]=" ","",HYPERLINK("mailto:"&amp;BudgetsTable[[#This Row],[pi_email]]&amp;"&amp;subject=Your NSF Proposal:  "&amp;BudgetsTable[[#This Row],[prop_id]],BudgetsTable[[#This Row],[pi_email]]))</f>
        <v/>
      </c>
      <c r="P7" s="79" t="s">
        <v>13</v>
      </c>
      <c r="Q7" s="79">
        <v>2</v>
      </c>
      <c r="R7" s="79">
        <v>1.35</v>
      </c>
      <c r="S7" s="80">
        <v>0</v>
      </c>
      <c r="T7" s="80">
        <v>0</v>
      </c>
      <c r="U7" s="80">
        <v>0</v>
      </c>
      <c r="V7" s="81">
        <v>107708</v>
      </c>
      <c r="W7" s="79">
        <v>0</v>
      </c>
      <c r="X7" s="79">
        <v>3</v>
      </c>
      <c r="Y7" s="11" t="str">
        <f ca="1">IF(ISBLANK(BudgetsTable[[#This Row],[budg_seq_yr]]),"FY"&amp;fiscalyear,"FY"&amp;fiscalyear-1+BudgetsTable[[#This Row],[budg_seq_yr]])</f>
        <v>FY20</v>
      </c>
      <c r="Z7" s="80">
        <v>107708</v>
      </c>
      <c r="AA7" s="79" t="s">
        <v>667</v>
      </c>
      <c r="AB7" s="79" t="s">
        <v>532</v>
      </c>
      <c r="AC7" s="77" t="s">
        <v>94</v>
      </c>
      <c r="AD7" s="79" t="s">
        <v>669</v>
      </c>
    </row>
    <row r="8" spans="1:30" x14ac:dyDescent="0.25">
      <c r="A8" s="10" t="s">
        <v>561</v>
      </c>
      <c r="B8" s="77" t="s">
        <v>95</v>
      </c>
      <c r="C8" s="77">
        <f>C7+(BudgetsTable[[#This Row],[lead]]&lt;&gt;K7)</f>
        <v>12</v>
      </c>
      <c r="D8" s="77">
        <f>D7*(BudgetsTable[[#This Row],[lead]]=K7)+(BudgetsTable[[#This Row],[prop_id]]&lt;&gt;A7)</f>
        <v>1</v>
      </c>
      <c r="E8" s="78">
        <v>42989.896527777775</v>
      </c>
      <c r="F8" s="79" t="s">
        <v>666</v>
      </c>
      <c r="G8" s="79" t="s">
        <v>667</v>
      </c>
      <c r="H8" s="79" t="s">
        <v>532</v>
      </c>
      <c r="I8" s="77" t="s">
        <v>541</v>
      </c>
      <c r="J8" s="77" t="s">
        <v>679</v>
      </c>
      <c r="K8" s="79" t="s">
        <v>561</v>
      </c>
      <c r="L8" s="7" t="str">
        <f>IF(BudgetsTable[[#This Row],[pi_last_name]]=" ","",HYPERLINK("https://www.ejacket.nsf.gov/ej/showProposal.do?Continue=Y&amp;ID="&amp;BudgetsTable[[#This Row],[prop_id]],BudgetsTable[[#This Row],[prop_id]]))</f>
        <v>1760110</v>
      </c>
      <c r="M8" s="15" t="e">
        <f>IF(BudgetsTable[[#This Row],[pi_last_name]]=" ","",HYPERLINK("https://www.ejacket.nsf.gov/ej/processReviewAnalysis.do?dispatch=add&amp;uniqId="&amp;BudgetsTable[[#This Row],[prop_id]]&amp;PO_id,"&gt;ra"))</f>
        <v>#REF!</v>
      </c>
      <c r="N8" s="79" t="s">
        <v>562</v>
      </c>
      <c r="O8" s="7" t="str">
        <f>IF(BudgetsTable[[#This Row],[pi_last_name]]=" ","",HYPERLINK("mailto:"&amp;BudgetsTable[[#This Row],[pi_email]]&amp;"&amp;subject=Your NSF Proposal:  "&amp;BudgetsTable[[#This Row],[prop_id]],BudgetsTable[[#This Row],[pi_email]]))</f>
        <v>cdossick@uw.edu</v>
      </c>
      <c r="P8" s="79" t="s">
        <v>516</v>
      </c>
      <c r="Q8" s="79"/>
      <c r="R8" s="79"/>
      <c r="S8" s="80"/>
      <c r="T8" s="80"/>
      <c r="U8" s="80"/>
      <c r="V8" s="81"/>
      <c r="W8" s="79">
        <v>0</v>
      </c>
      <c r="X8" s="79"/>
      <c r="Y8" s="11" t="str">
        <f ca="1">IF(ISBLANK(BudgetsTable[[#This Row],[budg_seq_yr]]),"FY"&amp;fiscalyear,"FY"&amp;fiscalyear-1+BudgetsTable[[#This Row],[budg_seq_yr]])</f>
        <v>FY18</v>
      </c>
      <c r="Z8" s="80">
        <v>455181</v>
      </c>
      <c r="AA8" s="79" t="s">
        <v>667</v>
      </c>
      <c r="AB8" s="79" t="s">
        <v>532</v>
      </c>
      <c r="AC8" s="77" t="s">
        <v>94</v>
      </c>
      <c r="AD8" s="79" t="s">
        <v>669</v>
      </c>
    </row>
    <row r="9" spans="1:30" x14ac:dyDescent="0.25">
      <c r="A9" s="10" t="s">
        <v>561</v>
      </c>
      <c r="B9" s="77" t="s">
        <v>95</v>
      </c>
      <c r="C9" s="77">
        <f>C8+(BudgetsTable[[#This Row],[lead]]&lt;&gt;K8)</f>
        <v>12</v>
      </c>
      <c r="D9" s="77">
        <f>D8*(BudgetsTable[[#This Row],[lead]]=K8)+(BudgetsTable[[#This Row],[prop_id]]&lt;&gt;A8)</f>
        <v>1</v>
      </c>
      <c r="E9" s="78">
        <v>42989.896527777775</v>
      </c>
      <c r="F9" s="79" t="s">
        <v>666</v>
      </c>
      <c r="G9" s="79" t="s">
        <v>667</v>
      </c>
      <c r="H9" s="79" t="s">
        <v>532</v>
      </c>
      <c r="I9" s="77" t="s">
        <v>541</v>
      </c>
      <c r="J9" s="77" t="s">
        <v>13</v>
      </c>
      <c r="K9" s="79" t="s">
        <v>561</v>
      </c>
      <c r="L9" s="7" t="str">
        <f>IF(BudgetsTable[[#This Row],[pi_last_name]]=" ","",HYPERLINK("https://www.ejacket.nsf.gov/ej/showProposal.do?Continue=Y&amp;ID="&amp;BudgetsTable[[#This Row],[prop_id]],BudgetsTable[[#This Row],[prop_id]]))</f>
        <v/>
      </c>
      <c r="M9" s="15" t="str">
        <f>IF(BudgetsTable[[#This Row],[pi_last_name]]=" ","",HYPERLINK("https://www.ejacket.nsf.gov/ej/processReviewAnalysis.do?dispatch=add&amp;uniqId="&amp;BudgetsTable[[#This Row],[prop_id]]&amp;PO_id,"&gt;ra"))</f>
        <v/>
      </c>
      <c r="N9" s="79" t="s">
        <v>13</v>
      </c>
      <c r="O9" s="7" t="str">
        <f>IF(BudgetsTable[[#This Row],[pi_last_name]]=" ","",HYPERLINK("mailto:"&amp;BudgetsTable[[#This Row],[pi_email]]&amp;"&amp;subject=Your NSF Proposal:  "&amp;BudgetsTable[[#This Row],[prop_id]],BudgetsTable[[#This Row],[pi_email]]))</f>
        <v/>
      </c>
      <c r="P9" s="79" t="s">
        <v>13</v>
      </c>
      <c r="Q9" s="79">
        <v>2</v>
      </c>
      <c r="R9" s="79">
        <v>1</v>
      </c>
      <c r="S9" s="80">
        <v>0</v>
      </c>
      <c r="T9" s="80">
        <v>0</v>
      </c>
      <c r="U9" s="80">
        <v>0</v>
      </c>
      <c r="V9" s="81">
        <v>152411</v>
      </c>
      <c r="W9" s="79">
        <v>0</v>
      </c>
      <c r="X9" s="79">
        <v>1</v>
      </c>
      <c r="Y9" s="11" t="str">
        <f ca="1">IF(ISBLANK(BudgetsTable[[#This Row],[budg_seq_yr]]),"FY"&amp;fiscalyear,"FY"&amp;fiscalyear-1+BudgetsTable[[#This Row],[budg_seq_yr]])</f>
        <v>FY18</v>
      </c>
      <c r="Z9" s="80">
        <v>152411</v>
      </c>
      <c r="AA9" s="79" t="s">
        <v>667</v>
      </c>
      <c r="AB9" s="79" t="s">
        <v>532</v>
      </c>
      <c r="AC9" s="77" t="s">
        <v>94</v>
      </c>
      <c r="AD9" s="79" t="s">
        <v>669</v>
      </c>
    </row>
    <row r="10" spans="1:30" x14ac:dyDescent="0.25">
      <c r="A10" s="10" t="s">
        <v>561</v>
      </c>
      <c r="B10" s="77" t="s">
        <v>95</v>
      </c>
      <c r="C10" s="77">
        <f>C9+(BudgetsTable[[#This Row],[lead]]&lt;&gt;K9)</f>
        <v>12</v>
      </c>
      <c r="D10" s="77">
        <f>D9*(BudgetsTable[[#This Row],[lead]]=K9)+(BudgetsTable[[#This Row],[prop_id]]&lt;&gt;A9)</f>
        <v>1</v>
      </c>
      <c r="E10" s="78">
        <v>42989.896527777775</v>
      </c>
      <c r="F10" s="79" t="s">
        <v>666</v>
      </c>
      <c r="G10" s="79" t="s">
        <v>667</v>
      </c>
      <c r="H10" s="79" t="s">
        <v>532</v>
      </c>
      <c r="I10" s="77" t="s">
        <v>541</v>
      </c>
      <c r="J10" s="77" t="s">
        <v>13</v>
      </c>
      <c r="K10" s="79" t="s">
        <v>561</v>
      </c>
      <c r="L10" s="7" t="str">
        <f>IF(BudgetsTable[[#This Row],[pi_last_name]]=" ","",HYPERLINK("https://www.ejacket.nsf.gov/ej/showProposal.do?Continue=Y&amp;ID="&amp;BudgetsTable[[#This Row],[prop_id]],BudgetsTable[[#This Row],[prop_id]]))</f>
        <v/>
      </c>
      <c r="M10" s="15" t="str">
        <f>IF(BudgetsTable[[#This Row],[pi_last_name]]=" ","",HYPERLINK("https://www.ejacket.nsf.gov/ej/processReviewAnalysis.do?dispatch=add&amp;uniqId="&amp;BudgetsTable[[#This Row],[prop_id]]&amp;PO_id,"&gt;ra"))</f>
        <v/>
      </c>
      <c r="N10" s="79" t="s">
        <v>13</v>
      </c>
      <c r="O10" s="7" t="str">
        <f>IF(BudgetsTable[[#This Row],[pi_last_name]]=" ","",HYPERLINK("mailto:"&amp;BudgetsTable[[#This Row],[pi_email]]&amp;"&amp;subject=Your NSF Proposal:  "&amp;BudgetsTable[[#This Row],[prop_id]],BudgetsTable[[#This Row],[pi_email]]))</f>
        <v/>
      </c>
      <c r="P10" s="79" t="s">
        <v>13</v>
      </c>
      <c r="Q10" s="79">
        <v>2</v>
      </c>
      <c r="R10" s="79">
        <v>1</v>
      </c>
      <c r="S10" s="80">
        <v>0</v>
      </c>
      <c r="T10" s="80">
        <v>0</v>
      </c>
      <c r="U10" s="80">
        <v>0</v>
      </c>
      <c r="V10" s="81">
        <v>161328</v>
      </c>
      <c r="W10" s="79">
        <v>0</v>
      </c>
      <c r="X10" s="79">
        <v>2</v>
      </c>
      <c r="Y10" s="11" t="str">
        <f ca="1">IF(ISBLANK(BudgetsTable[[#This Row],[budg_seq_yr]]),"FY"&amp;fiscalyear,"FY"&amp;fiscalyear-1+BudgetsTable[[#This Row],[budg_seq_yr]])</f>
        <v>FY19</v>
      </c>
      <c r="Z10" s="80">
        <v>161328</v>
      </c>
      <c r="AA10" s="79" t="s">
        <v>667</v>
      </c>
      <c r="AB10" s="79" t="s">
        <v>532</v>
      </c>
      <c r="AC10" s="77" t="s">
        <v>94</v>
      </c>
      <c r="AD10" s="79" t="s">
        <v>669</v>
      </c>
    </row>
    <row r="11" spans="1:30" x14ac:dyDescent="0.25">
      <c r="A11" s="10" t="s">
        <v>561</v>
      </c>
      <c r="B11" s="77" t="s">
        <v>95</v>
      </c>
      <c r="C11" s="77">
        <f>C10+(BudgetsTable[[#This Row],[lead]]&lt;&gt;K10)</f>
        <v>12</v>
      </c>
      <c r="D11" s="77">
        <f>D10*(BudgetsTable[[#This Row],[lead]]=K10)+(BudgetsTable[[#This Row],[prop_id]]&lt;&gt;A10)</f>
        <v>1</v>
      </c>
      <c r="E11" s="78">
        <v>42989.896527777775</v>
      </c>
      <c r="F11" s="79" t="s">
        <v>666</v>
      </c>
      <c r="G11" s="79" t="s">
        <v>667</v>
      </c>
      <c r="H11" s="79" t="s">
        <v>532</v>
      </c>
      <c r="I11" s="77" t="s">
        <v>541</v>
      </c>
      <c r="J11" s="77" t="s">
        <v>13</v>
      </c>
      <c r="K11" s="79" t="s">
        <v>561</v>
      </c>
      <c r="L11" s="7" t="str">
        <f>IF(BudgetsTable[[#This Row],[pi_last_name]]=" ","",HYPERLINK("https://www.ejacket.nsf.gov/ej/showProposal.do?Continue=Y&amp;ID="&amp;BudgetsTable[[#This Row],[prop_id]],BudgetsTable[[#This Row],[prop_id]]))</f>
        <v/>
      </c>
      <c r="M11" s="15" t="str">
        <f>IF(BudgetsTable[[#This Row],[pi_last_name]]=" ","",HYPERLINK("https://www.ejacket.nsf.gov/ej/processReviewAnalysis.do?dispatch=add&amp;uniqId="&amp;BudgetsTable[[#This Row],[prop_id]]&amp;PO_id,"&gt;ra"))</f>
        <v/>
      </c>
      <c r="N11" s="79" t="s">
        <v>13</v>
      </c>
      <c r="O11" s="7" t="str">
        <f>IF(BudgetsTable[[#This Row],[pi_last_name]]=" ","",HYPERLINK("mailto:"&amp;BudgetsTable[[#This Row],[pi_email]]&amp;"&amp;subject=Your NSF Proposal:  "&amp;BudgetsTable[[#This Row],[prop_id]],BudgetsTable[[#This Row],[pi_email]]))</f>
        <v/>
      </c>
      <c r="P11" s="79" t="s">
        <v>13</v>
      </c>
      <c r="Q11" s="79">
        <v>2</v>
      </c>
      <c r="R11" s="79">
        <v>1</v>
      </c>
      <c r="S11" s="80">
        <v>0</v>
      </c>
      <c r="T11" s="80">
        <v>0</v>
      </c>
      <c r="U11" s="80">
        <v>0</v>
      </c>
      <c r="V11" s="81">
        <v>141442</v>
      </c>
      <c r="W11" s="79">
        <v>0</v>
      </c>
      <c r="X11" s="79">
        <v>3</v>
      </c>
      <c r="Y11" s="11" t="str">
        <f ca="1">IF(ISBLANK(BudgetsTable[[#This Row],[budg_seq_yr]]),"FY"&amp;fiscalyear,"FY"&amp;fiscalyear-1+BudgetsTable[[#This Row],[budg_seq_yr]])</f>
        <v>FY20</v>
      </c>
      <c r="Z11" s="80">
        <v>141442</v>
      </c>
      <c r="AA11" s="79" t="s">
        <v>667</v>
      </c>
      <c r="AB11" s="79" t="s">
        <v>532</v>
      </c>
      <c r="AC11" s="77" t="s">
        <v>94</v>
      </c>
      <c r="AD11" s="79" t="s">
        <v>669</v>
      </c>
    </row>
    <row r="12" spans="1:30" x14ac:dyDescent="0.25">
      <c r="A12" s="10" t="s">
        <v>573</v>
      </c>
      <c r="B12" s="77" t="s">
        <v>95</v>
      </c>
      <c r="C12" s="77">
        <f>C11+(BudgetsTable[[#This Row],[lead]]&lt;&gt;K11)</f>
        <v>13</v>
      </c>
      <c r="D12" s="77">
        <f>D11*(BudgetsTable[[#This Row],[lead]]=K11)+(BudgetsTable[[#This Row],[prop_id]]&lt;&gt;A11)</f>
        <v>1</v>
      </c>
      <c r="E12" s="78">
        <v>42991.695138888892</v>
      </c>
      <c r="F12" s="79" t="s">
        <v>680</v>
      </c>
      <c r="G12" s="79" t="s">
        <v>667</v>
      </c>
      <c r="H12" s="79" t="s">
        <v>532</v>
      </c>
      <c r="I12" s="77" t="s">
        <v>574</v>
      </c>
      <c r="J12" s="77" t="s">
        <v>686</v>
      </c>
      <c r="K12" s="79" t="s">
        <v>573</v>
      </c>
      <c r="L12" s="7" t="str">
        <f>IF(BudgetsTable[[#This Row],[pi_last_name]]=" ","",HYPERLINK("https://www.ejacket.nsf.gov/ej/showProposal.do?Continue=Y&amp;ID="&amp;BudgetsTable[[#This Row],[prop_id]],BudgetsTable[[#This Row],[prop_id]]))</f>
        <v>1760664</v>
      </c>
      <c r="M12" s="15" t="e">
        <f>IF(BudgetsTable[[#This Row],[pi_last_name]]=" ","",HYPERLINK("https://www.ejacket.nsf.gov/ej/processReviewAnalysis.do?dispatch=add&amp;uniqId="&amp;BudgetsTable[[#This Row],[prop_id]]&amp;PO_id,"&gt;ra"))</f>
        <v>#REF!</v>
      </c>
      <c r="N12" s="79" t="s">
        <v>512</v>
      </c>
      <c r="O12" s="7" t="str">
        <f>IF(BudgetsTable[[#This Row],[pi_last_name]]=" ","",HYPERLINK("mailto:"&amp;BudgetsTable[[#This Row],[pi_email]]&amp;"&amp;subject=Your NSF Proposal:  "&amp;BudgetsTable[[#This Row],[prop_id]],BudgetsTable[[#This Row],[pi_email]]))</f>
        <v>yclee@lsu.edu</v>
      </c>
      <c r="P12" s="79" t="s">
        <v>683</v>
      </c>
      <c r="Q12" s="79"/>
      <c r="R12" s="79"/>
      <c r="S12" s="80"/>
      <c r="T12" s="80"/>
      <c r="U12" s="80"/>
      <c r="V12" s="81"/>
      <c r="W12" s="79">
        <v>0</v>
      </c>
      <c r="X12" s="79"/>
      <c r="Y12" s="11" t="str">
        <f ca="1">IF(ISBLANK(BudgetsTable[[#This Row],[budg_seq_yr]]),"FY"&amp;fiscalyear,"FY"&amp;fiscalyear-1+BudgetsTable[[#This Row],[budg_seq_yr]])</f>
        <v>FY18</v>
      </c>
      <c r="Z12" s="80">
        <v>299932</v>
      </c>
      <c r="AA12" s="79" t="s">
        <v>667</v>
      </c>
      <c r="AB12" s="79" t="s">
        <v>532</v>
      </c>
      <c r="AC12" s="77" t="s">
        <v>94</v>
      </c>
      <c r="AD12" s="79" t="s">
        <v>681</v>
      </c>
    </row>
    <row r="13" spans="1:30" x14ac:dyDescent="0.25">
      <c r="A13" s="10" t="s">
        <v>573</v>
      </c>
      <c r="B13" s="77" t="s">
        <v>95</v>
      </c>
      <c r="C13" s="77">
        <f>C12+(BudgetsTable[[#This Row],[lead]]&lt;&gt;K12)</f>
        <v>13</v>
      </c>
      <c r="D13" s="77">
        <f>D12*(BudgetsTable[[#This Row],[lead]]=K12)+(BudgetsTable[[#This Row],[prop_id]]&lt;&gt;A12)</f>
        <v>1</v>
      </c>
      <c r="E13" s="78">
        <v>42991.695138888892</v>
      </c>
      <c r="F13" s="79" t="s">
        <v>680</v>
      </c>
      <c r="G13" s="79" t="s">
        <v>667</v>
      </c>
      <c r="H13" s="79" t="s">
        <v>532</v>
      </c>
      <c r="I13" s="77" t="s">
        <v>574</v>
      </c>
      <c r="J13" s="77" t="s">
        <v>13</v>
      </c>
      <c r="K13" s="79" t="s">
        <v>573</v>
      </c>
      <c r="L13" s="7" t="str">
        <f>IF(BudgetsTable[[#This Row],[pi_last_name]]=" ","",HYPERLINK("https://www.ejacket.nsf.gov/ej/showProposal.do?Continue=Y&amp;ID="&amp;BudgetsTable[[#This Row],[prop_id]],BudgetsTable[[#This Row],[prop_id]]))</f>
        <v/>
      </c>
      <c r="M13" s="15" t="str">
        <f>IF(BudgetsTable[[#This Row],[pi_last_name]]=" ","",HYPERLINK("https://www.ejacket.nsf.gov/ej/processReviewAnalysis.do?dispatch=add&amp;uniqId="&amp;BudgetsTable[[#This Row],[prop_id]]&amp;PO_id,"&gt;ra"))</f>
        <v/>
      </c>
      <c r="N13" s="79" t="s">
        <v>13</v>
      </c>
      <c r="O13" s="7" t="str">
        <f>IF(BudgetsTable[[#This Row],[pi_last_name]]=" ","",HYPERLINK("mailto:"&amp;BudgetsTable[[#This Row],[pi_email]]&amp;"&amp;subject=Your NSF Proposal:  "&amp;BudgetsTable[[#This Row],[prop_id]],BudgetsTable[[#This Row],[pi_email]]))</f>
        <v/>
      </c>
      <c r="P13" s="79" t="s">
        <v>13</v>
      </c>
      <c r="Q13" s="79">
        <v>1</v>
      </c>
      <c r="R13" s="79">
        <v>1</v>
      </c>
      <c r="S13" s="80">
        <v>0</v>
      </c>
      <c r="T13" s="80">
        <v>0</v>
      </c>
      <c r="U13" s="80">
        <v>0</v>
      </c>
      <c r="V13" s="81">
        <v>159976</v>
      </c>
      <c r="W13" s="79">
        <v>0</v>
      </c>
      <c r="X13" s="79">
        <v>1</v>
      </c>
      <c r="Y13" s="11" t="str">
        <f ca="1">IF(ISBLANK(BudgetsTable[[#This Row],[budg_seq_yr]]),"FY"&amp;fiscalyear,"FY"&amp;fiscalyear-1+BudgetsTable[[#This Row],[budg_seq_yr]])</f>
        <v>FY18</v>
      </c>
      <c r="Z13" s="80">
        <v>159976</v>
      </c>
      <c r="AA13" s="79" t="s">
        <v>667</v>
      </c>
      <c r="AB13" s="79" t="s">
        <v>532</v>
      </c>
      <c r="AC13" s="77" t="s">
        <v>94</v>
      </c>
      <c r="AD13" s="79" t="s">
        <v>681</v>
      </c>
    </row>
    <row r="14" spans="1:30" x14ac:dyDescent="0.25">
      <c r="A14" s="10" t="s">
        <v>573</v>
      </c>
      <c r="B14" s="77" t="s">
        <v>95</v>
      </c>
      <c r="C14" s="77">
        <f>C13+(BudgetsTable[[#This Row],[lead]]&lt;&gt;K13)</f>
        <v>13</v>
      </c>
      <c r="D14" s="77">
        <f>D13*(BudgetsTable[[#This Row],[lead]]=K13)+(BudgetsTable[[#This Row],[prop_id]]&lt;&gt;A13)</f>
        <v>1</v>
      </c>
      <c r="E14" s="78">
        <v>42991.695138888892</v>
      </c>
      <c r="F14" s="79" t="s">
        <v>680</v>
      </c>
      <c r="G14" s="79" t="s">
        <v>667</v>
      </c>
      <c r="H14" s="79" t="s">
        <v>532</v>
      </c>
      <c r="I14" s="77" t="s">
        <v>574</v>
      </c>
      <c r="J14" s="77" t="s">
        <v>13</v>
      </c>
      <c r="K14" s="79" t="s">
        <v>573</v>
      </c>
      <c r="L14" s="7" t="str">
        <f>IF(BudgetsTable[[#This Row],[pi_last_name]]=" ","",HYPERLINK("https://www.ejacket.nsf.gov/ej/showProposal.do?Continue=Y&amp;ID="&amp;BudgetsTable[[#This Row],[prop_id]],BudgetsTable[[#This Row],[prop_id]]))</f>
        <v/>
      </c>
      <c r="M14" s="15" t="str">
        <f>IF(BudgetsTable[[#This Row],[pi_last_name]]=" ","",HYPERLINK("https://www.ejacket.nsf.gov/ej/processReviewAnalysis.do?dispatch=add&amp;uniqId="&amp;BudgetsTable[[#This Row],[prop_id]]&amp;PO_id,"&gt;ra"))</f>
        <v/>
      </c>
      <c r="N14" s="79" t="s">
        <v>13</v>
      </c>
      <c r="O14" s="7" t="str">
        <f>IF(BudgetsTable[[#This Row],[pi_last_name]]=" ","",HYPERLINK("mailto:"&amp;BudgetsTable[[#This Row],[pi_email]]&amp;"&amp;subject=Your NSF Proposal:  "&amp;BudgetsTable[[#This Row],[prop_id]],BudgetsTable[[#This Row],[pi_email]]))</f>
        <v/>
      </c>
      <c r="P14" s="79" t="s">
        <v>13</v>
      </c>
      <c r="Q14" s="79">
        <v>1</v>
      </c>
      <c r="R14" s="79">
        <v>1</v>
      </c>
      <c r="S14" s="80">
        <v>0</v>
      </c>
      <c r="T14" s="80">
        <v>0</v>
      </c>
      <c r="U14" s="80">
        <v>0</v>
      </c>
      <c r="V14" s="81">
        <v>139956</v>
      </c>
      <c r="W14" s="79">
        <v>0</v>
      </c>
      <c r="X14" s="79">
        <v>2</v>
      </c>
      <c r="Y14" s="11" t="str">
        <f ca="1">IF(ISBLANK(BudgetsTable[[#This Row],[budg_seq_yr]]),"FY"&amp;fiscalyear,"FY"&amp;fiscalyear-1+BudgetsTable[[#This Row],[budg_seq_yr]])</f>
        <v>FY19</v>
      </c>
      <c r="Z14" s="80">
        <v>139956</v>
      </c>
      <c r="AA14" s="79" t="s">
        <v>667</v>
      </c>
      <c r="AB14" s="79" t="s">
        <v>532</v>
      </c>
      <c r="AC14" s="77" t="s">
        <v>94</v>
      </c>
      <c r="AD14" s="79" t="s">
        <v>681</v>
      </c>
    </row>
    <row r="15" spans="1:30" x14ac:dyDescent="0.25">
      <c r="A15" s="10" t="s">
        <v>582</v>
      </c>
      <c r="B15" s="77" t="s">
        <v>95</v>
      </c>
      <c r="C15" s="77">
        <f>C14+(BudgetsTable[[#This Row],[lead]]&lt;&gt;K14)</f>
        <v>14</v>
      </c>
      <c r="D15" s="77">
        <f>D14*(BudgetsTable[[#This Row],[lead]]=K14)+(BudgetsTable[[#This Row],[prop_id]]&lt;&gt;A14)</f>
        <v>1</v>
      </c>
      <c r="E15" s="78">
        <v>42992.520138888889</v>
      </c>
      <c r="F15" s="79" t="s">
        <v>666</v>
      </c>
      <c r="G15" s="79" t="s">
        <v>667</v>
      </c>
      <c r="H15" s="79" t="s">
        <v>532</v>
      </c>
      <c r="I15" s="77" t="s">
        <v>574</v>
      </c>
      <c r="J15" s="77" t="s">
        <v>690</v>
      </c>
      <c r="K15" s="79" t="s">
        <v>582</v>
      </c>
      <c r="L15" s="7" t="str">
        <f>IF(BudgetsTable[[#This Row],[pi_last_name]]=" ","",HYPERLINK("https://www.ejacket.nsf.gov/ej/showProposal.do?Continue=Y&amp;ID="&amp;BudgetsTable[[#This Row],[prop_id]],BudgetsTable[[#This Row],[prop_id]]))</f>
        <v>1760896</v>
      </c>
      <c r="M15" s="15" t="e">
        <f>IF(BudgetsTable[[#This Row],[pi_last_name]]=" ","",HYPERLINK("https://www.ejacket.nsf.gov/ej/processReviewAnalysis.do?dispatch=add&amp;uniqId="&amp;BudgetsTable[[#This Row],[prop_id]]&amp;PO_id,"&gt;ra"))</f>
        <v>#REF!</v>
      </c>
      <c r="N15" s="79" t="s">
        <v>514</v>
      </c>
      <c r="O15" s="7" t="str">
        <f>IF(BudgetsTable[[#This Row],[pi_last_name]]=" ","",HYPERLINK("mailto:"&amp;BudgetsTable[[#This Row],[pi_email]]&amp;"&amp;subject=Your NSF Proposal:  "&amp;BudgetsTable[[#This Row],[prop_id]],BudgetsTable[[#This Row],[pi_email]]))</f>
        <v>jee.park@unlv.edu</v>
      </c>
      <c r="P15" s="79" t="s">
        <v>688</v>
      </c>
      <c r="Q15" s="79"/>
      <c r="R15" s="79"/>
      <c r="S15" s="80"/>
      <c r="T15" s="80"/>
      <c r="U15" s="80"/>
      <c r="V15" s="81"/>
      <c r="W15" s="79">
        <v>0</v>
      </c>
      <c r="X15" s="79"/>
      <c r="Y15" s="11" t="str">
        <f ca="1">IF(ISBLANK(BudgetsTable[[#This Row],[budg_seq_yr]]),"FY"&amp;fiscalyear,"FY"&amp;fiscalyear-1+BudgetsTable[[#This Row],[budg_seq_yr]])</f>
        <v>FY18</v>
      </c>
      <c r="Z15" s="80">
        <v>411918</v>
      </c>
      <c r="AA15" s="79" t="s">
        <v>667</v>
      </c>
      <c r="AB15" s="79" t="s">
        <v>532</v>
      </c>
      <c r="AC15" s="77" t="s">
        <v>94</v>
      </c>
      <c r="AD15" s="79" t="s">
        <v>681</v>
      </c>
    </row>
    <row r="16" spans="1:30" x14ac:dyDescent="0.25">
      <c r="A16" s="10" t="s">
        <v>582</v>
      </c>
      <c r="B16" s="77" t="s">
        <v>95</v>
      </c>
      <c r="C16" s="77">
        <f>C15+(BudgetsTable[[#This Row],[lead]]&lt;&gt;K15)</f>
        <v>14</v>
      </c>
      <c r="D16" s="77">
        <f>D15*(BudgetsTable[[#This Row],[lead]]=K15)+(BudgetsTable[[#This Row],[prop_id]]&lt;&gt;A15)</f>
        <v>1</v>
      </c>
      <c r="E16" s="78">
        <v>42992.520138888889</v>
      </c>
      <c r="F16" s="79" t="s">
        <v>666</v>
      </c>
      <c r="G16" s="79" t="s">
        <v>667</v>
      </c>
      <c r="H16" s="79" t="s">
        <v>532</v>
      </c>
      <c r="I16" s="77" t="s">
        <v>574</v>
      </c>
      <c r="J16" s="77" t="s">
        <v>13</v>
      </c>
      <c r="K16" s="79" t="s">
        <v>582</v>
      </c>
      <c r="L16" s="7" t="str">
        <f>IF(BudgetsTable[[#This Row],[pi_last_name]]=" ","",HYPERLINK("https://www.ejacket.nsf.gov/ej/showProposal.do?Continue=Y&amp;ID="&amp;BudgetsTable[[#This Row],[prop_id]],BudgetsTable[[#This Row],[prop_id]]))</f>
        <v/>
      </c>
      <c r="M16" s="15" t="str">
        <f>IF(BudgetsTable[[#This Row],[pi_last_name]]=" ","",HYPERLINK("https://www.ejacket.nsf.gov/ej/processReviewAnalysis.do?dispatch=add&amp;uniqId="&amp;BudgetsTable[[#This Row],[prop_id]]&amp;PO_id,"&gt;ra"))</f>
        <v/>
      </c>
      <c r="N16" s="79" t="s">
        <v>13</v>
      </c>
      <c r="O16" s="7" t="str">
        <f>IF(BudgetsTable[[#This Row],[pi_last_name]]=" ","",HYPERLINK("mailto:"&amp;BudgetsTable[[#This Row],[pi_email]]&amp;"&amp;subject=Your NSF Proposal:  "&amp;BudgetsTable[[#This Row],[prop_id]],BudgetsTable[[#This Row],[pi_email]]))</f>
        <v/>
      </c>
      <c r="P16" s="79" t="s">
        <v>13</v>
      </c>
      <c r="Q16" s="79">
        <v>1</v>
      </c>
      <c r="R16" s="79">
        <v>1</v>
      </c>
      <c r="S16" s="80">
        <v>35000</v>
      </c>
      <c r="T16" s="80">
        <v>0</v>
      </c>
      <c r="U16" s="80">
        <v>0</v>
      </c>
      <c r="V16" s="81">
        <v>164861</v>
      </c>
      <c r="W16" s="79">
        <v>0</v>
      </c>
      <c r="X16" s="79">
        <v>1</v>
      </c>
      <c r="Y16" s="11" t="str">
        <f ca="1">IF(ISBLANK(BudgetsTable[[#This Row],[budg_seq_yr]]),"FY"&amp;fiscalyear,"FY"&amp;fiscalyear-1+BudgetsTable[[#This Row],[budg_seq_yr]])</f>
        <v>FY18</v>
      </c>
      <c r="Z16" s="80">
        <v>164861</v>
      </c>
      <c r="AA16" s="79" t="s">
        <v>667</v>
      </c>
      <c r="AB16" s="79" t="s">
        <v>532</v>
      </c>
      <c r="AC16" s="77" t="s">
        <v>94</v>
      </c>
      <c r="AD16" s="79" t="s">
        <v>681</v>
      </c>
    </row>
    <row r="17" spans="1:30" x14ac:dyDescent="0.25">
      <c r="A17" s="10" t="s">
        <v>582</v>
      </c>
      <c r="B17" s="77" t="s">
        <v>95</v>
      </c>
      <c r="C17" s="77">
        <f>C16+(BudgetsTable[[#This Row],[lead]]&lt;&gt;K16)</f>
        <v>14</v>
      </c>
      <c r="D17" s="77">
        <f>D16*(BudgetsTable[[#This Row],[lead]]=K16)+(BudgetsTable[[#This Row],[prop_id]]&lt;&gt;A16)</f>
        <v>1</v>
      </c>
      <c r="E17" s="78">
        <v>42992.520138888889</v>
      </c>
      <c r="F17" s="79" t="s">
        <v>666</v>
      </c>
      <c r="G17" s="79" t="s">
        <v>667</v>
      </c>
      <c r="H17" s="79" t="s">
        <v>532</v>
      </c>
      <c r="I17" s="77" t="s">
        <v>574</v>
      </c>
      <c r="J17" s="77" t="s">
        <v>13</v>
      </c>
      <c r="K17" s="79" t="s">
        <v>582</v>
      </c>
      <c r="L17" s="7" t="str">
        <f>IF(BudgetsTable[[#This Row],[pi_last_name]]=" ","",HYPERLINK("https://www.ejacket.nsf.gov/ej/showProposal.do?Continue=Y&amp;ID="&amp;BudgetsTable[[#This Row],[prop_id]],BudgetsTable[[#This Row],[prop_id]]))</f>
        <v/>
      </c>
      <c r="M17" s="15" t="str">
        <f>IF(BudgetsTable[[#This Row],[pi_last_name]]=" ","",HYPERLINK("https://www.ejacket.nsf.gov/ej/processReviewAnalysis.do?dispatch=add&amp;uniqId="&amp;BudgetsTable[[#This Row],[prop_id]]&amp;PO_id,"&gt;ra"))</f>
        <v/>
      </c>
      <c r="N17" s="79" t="s">
        <v>13</v>
      </c>
      <c r="O17" s="7" t="str">
        <f>IF(BudgetsTable[[#This Row],[pi_last_name]]=" ","",HYPERLINK("mailto:"&amp;BudgetsTable[[#This Row],[pi_email]]&amp;"&amp;subject=Your NSF Proposal:  "&amp;BudgetsTable[[#This Row],[prop_id]],BudgetsTable[[#This Row],[pi_email]]))</f>
        <v/>
      </c>
      <c r="P17" s="79" t="s">
        <v>13</v>
      </c>
      <c r="Q17" s="79">
        <v>1</v>
      </c>
      <c r="R17" s="79">
        <v>1</v>
      </c>
      <c r="S17" s="80">
        <v>36050</v>
      </c>
      <c r="T17" s="80">
        <v>0</v>
      </c>
      <c r="U17" s="80">
        <v>0</v>
      </c>
      <c r="V17" s="81">
        <v>166785</v>
      </c>
      <c r="W17" s="79">
        <v>0</v>
      </c>
      <c r="X17" s="79">
        <v>2</v>
      </c>
      <c r="Y17" s="11" t="str">
        <f ca="1">IF(ISBLANK(BudgetsTable[[#This Row],[budg_seq_yr]]),"FY"&amp;fiscalyear,"FY"&amp;fiscalyear-1+BudgetsTable[[#This Row],[budg_seq_yr]])</f>
        <v>FY19</v>
      </c>
      <c r="Z17" s="80">
        <v>166785</v>
      </c>
      <c r="AA17" s="79" t="s">
        <v>667</v>
      </c>
      <c r="AB17" s="79" t="s">
        <v>532</v>
      </c>
      <c r="AC17" s="77" t="s">
        <v>94</v>
      </c>
      <c r="AD17" s="79" t="s">
        <v>681</v>
      </c>
    </row>
    <row r="18" spans="1:30" x14ac:dyDescent="0.25">
      <c r="A18" s="10" t="s">
        <v>582</v>
      </c>
      <c r="B18" s="77" t="s">
        <v>95</v>
      </c>
      <c r="C18" s="77">
        <f>C17+(BudgetsTable[[#This Row],[lead]]&lt;&gt;K17)</f>
        <v>14</v>
      </c>
      <c r="D18" s="77">
        <f>D17*(BudgetsTable[[#This Row],[lead]]=K17)+(BudgetsTable[[#This Row],[prop_id]]&lt;&gt;A17)</f>
        <v>1</v>
      </c>
      <c r="E18" s="78">
        <v>42992.520138888889</v>
      </c>
      <c r="F18" s="79" t="s">
        <v>666</v>
      </c>
      <c r="G18" s="79" t="s">
        <v>667</v>
      </c>
      <c r="H18" s="79" t="s">
        <v>532</v>
      </c>
      <c r="I18" s="77" t="s">
        <v>574</v>
      </c>
      <c r="J18" s="77" t="s">
        <v>13</v>
      </c>
      <c r="K18" s="79" t="s">
        <v>582</v>
      </c>
      <c r="L18" s="7" t="str">
        <f>IF(BudgetsTable[[#This Row],[pi_last_name]]=" ","",HYPERLINK("https://www.ejacket.nsf.gov/ej/showProposal.do?Continue=Y&amp;ID="&amp;BudgetsTable[[#This Row],[prop_id]],BudgetsTable[[#This Row],[prop_id]]))</f>
        <v/>
      </c>
      <c r="M18" s="15" t="str">
        <f>IF(BudgetsTable[[#This Row],[pi_last_name]]=" ","",HYPERLINK("https://www.ejacket.nsf.gov/ej/processReviewAnalysis.do?dispatch=add&amp;uniqId="&amp;BudgetsTable[[#This Row],[prop_id]]&amp;PO_id,"&gt;ra"))</f>
        <v/>
      </c>
      <c r="N18" s="79" t="s">
        <v>13</v>
      </c>
      <c r="O18" s="7" t="str">
        <f>IF(BudgetsTable[[#This Row],[pi_last_name]]=" ","",HYPERLINK("mailto:"&amp;BudgetsTable[[#This Row],[pi_email]]&amp;"&amp;subject=Your NSF Proposal:  "&amp;BudgetsTable[[#This Row],[prop_id]],BudgetsTable[[#This Row],[pi_email]]))</f>
        <v/>
      </c>
      <c r="P18" s="79" t="s">
        <v>13</v>
      </c>
      <c r="Q18" s="79">
        <v>1</v>
      </c>
      <c r="R18" s="79">
        <v>1</v>
      </c>
      <c r="S18" s="80">
        <v>0</v>
      </c>
      <c r="T18" s="80">
        <v>0</v>
      </c>
      <c r="U18" s="80">
        <v>0</v>
      </c>
      <c r="V18" s="81">
        <v>80272</v>
      </c>
      <c r="W18" s="79">
        <v>0</v>
      </c>
      <c r="X18" s="79">
        <v>3</v>
      </c>
      <c r="Y18" s="11" t="str">
        <f ca="1">IF(ISBLANK(BudgetsTable[[#This Row],[budg_seq_yr]]),"FY"&amp;fiscalyear,"FY"&amp;fiscalyear-1+BudgetsTable[[#This Row],[budg_seq_yr]])</f>
        <v>FY20</v>
      </c>
      <c r="Z18" s="80">
        <v>80272</v>
      </c>
      <c r="AA18" s="79" t="s">
        <v>667</v>
      </c>
      <c r="AB18" s="79" t="s">
        <v>532</v>
      </c>
      <c r="AC18" s="77" t="s">
        <v>94</v>
      </c>
      <c r="AD18" s="79" t="s">
        <v>681</v>
      </c>
    </row>
    <row r="19" spans="1:30" x14ac:dyDescent="0.25">
      <c r="A19" s="10" t="s">
        <v>590</v>
      </c>
      <c r="B19" s="77" t="s">
        <v>475</v>
      </c>
      <c r="C19" s="77">
        <f>C18+(BudgetsTable[[#This Row],[lead]]&lt;&gt;K18)</f>
        <v>15</v>
      </c>
      <c r="D19" s="77">
        <f>D18*(BudgetsTable[[#This Row],[lead]]=K18)+(BudgetsTable[[#This Row],[prop_id]]&lt;&gt;A18)</f>
        <v>1</v>
      </c>
      <c r="E19" s="78">
        <v>42992.522222222222</v>
      </c>
      <c r="F19" s="79" t="s">
        <v>666</v>
      </c>
      <c r="G19" s="79" t="s">
        <v>667</v>
      </c>
      <c r="H19" s="79" t="s">
        <v>532</v>
      </c>
      <c r="I19" s="77" t="s">
        <v>574</v>
      </c>
      <c r="J19" s="77" t="s">
        <v>694</v>
      </c>
      <c r="K19" s="79" t="s">
        <v>590</v>
      </c>
      <c r="L19" s="7" t="str">
        <f>IF(BudgetsTable[[#This Row],[pi_last_name]]=" ","",HYPERLINK("https://www.ejacket.nsf.gov/ej/showProposal.do?Continue=Y&amp;ID="&amp;BudgetsTable[[#This Row],[prop_id]],BudgetsTable[[#This Row],[prop_id]]))</f>
        <v>1760898</v>
      </c>
      <c r="M19" s="15" t="e">
        <f>IF(BudgetsTable[[#This Row],[pi_last_name]]=" ","",HYPERLINK("https://www.ejacket.nsf.gov/ej/processReviewAnalysis.do?dispatch=add&amp;uniqId="&amp;BudgetsTable[[#This Row],[prop_id]]&amp;PO_id,"&gt;ra"))</f>
        <v>#REF!</v>
      </c>
      <c r="N19" s="79" t="s">
        <v>591</v>
      </c>
      <c r="O19" s="7" t="str">
        <f>IF(BudgetsTable[[#This Row],[pi_last_name]]=" ","",HYPERLINK("mailto:"&amp;BudgetsTable[[#This Row],[pi_email]]&amp;"&amp;subject=Your NSF Proposal:  "&amp;BudgetsTable[[#This Row],[prop_id]],BudgetsTable[[#This Row],[pi_email]]))</f>
        <v>ryanahn@tamu.edu</v>
      </c>
      <c r="P19" s="79" t="s">
        <v>525</v>
      </c>
      <c r="Q19" s="79"/>
      <c r="R19" s="79"/>
      <c r="S19" s="80"/>
      <c r="T19" s="80"/>
      <c r="U19" s="80"/>
      <c r="V19" s="81"/>
      <c r="W19" s="79">
        <v>0</v>
      </c>
      <c r="X19" s="79"/>
      <c r="Y19" s="11" t="str">
        <f ca="1">IF(ISBLANK(BudgetsTable[[#This Row],[budg_seq_yr]]),"FY"&amp;fiscalyear,"FY"&amp;fiscalyear-1+BudgetsTable[[#This Row],[budg_seq_yr]])</f>
        <v>FY18</v>
      </c>
      <c r="Z19" s="80">
        <v>255960</v>
      </c>
      <c r="AA19" s="79" t="s">
        <v>667</v>
      </c>
      <c r="AB19" s="79" t="s">
        <v>532</v>
      </c>
      <c r="AC19" s="77" t="s">
        <v>94</v>
      </c>
      <c r="AD19" s="79" t="s">
        <v>669</v>
      </c>
    </row>
    <row r="20" spans="1:30" x14ac:dyDescent="0.25">
      <c r="A20" s="10" t="s">
        <v>590</v>
      </c>
      <c r="B20" s="77" t="s">
        <v>475</v>
      </c>
      <c r="C20" s="77">
        <f>C19+(BudgetsTable[[#This Row],[lead]]&lt;&gt;K19)</f>
        <v>15</v>
      </c>
      <c r="D20" s="77">
        <f>D19*(BudgetsTable[[#This Row],[lead]]=K19)+(BudgetsTable[[#This Row],[prop_id]]&lt;&gt;A19)</f>
        <v>1</v>
      </c>
      <c r="E20" s="78">
        <v>42992.522222222222</v>
      </c>
      <c r="F20" s="79" t="s">
        <v>666</v>
      </c>
      <c r="G20" s="79" t="s">
        <v>667</v>
      </c>
      <c r="H20" s="79" t="s">
        <v>532</v>
      </c>
      <c r="I20" s="77" t="s">
        <v>574</v>
      </c>
      <c r="J20" s="77" t="s">
        <v>13</v>
      </c>
      <c r="K20" s="79" t="s">
        <v>590</v>
      </c>
      <c r="L20" s="7" t="str">
        <f>IF(BudgetsTable[[#This Row],[pi_last_name]]=" ","",HYPERLINK("https://www.ejacket.nsf.gov/ej/showProposal.do?Continue=Y&amp;ID="&amp;BudgetsTable[[#This Row],[prop_id]],BudgetsTable[[#This Row],[prop_id]]))</f>
        <v/>
      </c>
      <c r="M20" s="15" t="str">
        <f>IF(BudgetsTable[[#This Row],[pi_last_name]]=" ","",HYPERLINK("https://www.ejacket.nsf.gov/ej/processReviewAnalysis.do?dispatch=add&amp;uniqId="&amp;BudgetsTable[[#This Row],[prop_id]]&amp;PO_id,"&gt;ra"))</f>
        <v/>
      </c>
      <c r="N20" s="79" t="s">
        <v>13</v>
      </c>
      <c r="O20" s="7" t="str">
        <f>IF(BudgetsTable[[#This Row],[pi_last_name]]=" ","",HYPERLINK("mailto:"&amp;BudgetsTable[[#This Row],[pi_email]]&amp;"&amp;subject=Your NSF Proposal:  "&amp;BudgetsTable[[#This Row],[prop_id]],BudgetsTable[[#This Row],[pi_email]]))</f>
        <v/>
      </c>
      <c r="P20" s="79" t="s">
        <v>13</v>
      </c>
      <c r="Q20" s="79">
        <v>1</v>
      </c>
      <c r="R20" s="79">
        <v>0</v>
      </c>
      <c r="S20" s="80">
        <v>0</v>
      </c>
      <c r="T20" s="80">
        <v>2000</v>
      </c>
      <c r="U20" s="80">
        <v>0</v>
      </c>
      <c r="V20" s="81">
        <v>93198</v>
      </c>
      <c r="W20" s="79">
        <v>0</v>
      </c>
      <c r="X20" s="79">
        <v>1</v>
      </c>
      <c r="Y20" s="11" t="str">
        <f ca="1">IF(ISBLANK(BudgetsTable[[#This Row],[budg_seq_yr]]),"FY"&amp;fiscalyear,"FY"&amp;fiscalyear-1+BudgetsTable[[#This Row],[budg_seq_yr]])</f>
        <v>FY18</v>
      </c>
      <c r="Z20" s="80">
        <v>93198</v>
      </c>
      <c r="AA20" s="79" t="s">
        <v>667</v>
      </c>
      <c r="AB20" s="79" t="s">
        <v>532</v>
      </c>
      <c r="AC20" s="77" t="s">
        <v>94</v>
      </c>
      <c r="AD20" s="79" t="s">
        <v>669</v>
      </c>
    </row>
    <row r="21" spans="1:30" x14ac:dyDescent="0.25">
      <c r="A21" s="10" t="s">
        <v>590</v>
      </c>
      <c r="B21" s="77" t="s">
        <v>475</v>
      </c>
      <c r="C21" s="77">
        <f>C20+(BudgetsTable[[#This Row],[lead]]&lt;&gt;K20)</f>
        <v>15</v>
      </c>
      <c r="D21" s="77">
        <f>D20*(BudgetsTable[[#This Row],[lead]]=K20)+(BudgetsTable[[#This Row],[prop_id]]&lt;&gt;A20)</f>
        <v>1</v>
      </c>
      <c r="E21" s="78">
        <v>42992.522222222222</v>
      </c>
      <c r="F21" s="79" t="s">
        <v>666</v>
      </c>
      <c r="G21" s="79" t="s">
        <v>667</v>
      </c>
      <c r="H21" s="79" t="s">
        <v>532</v>
      </c>
      <c r="I21" s="77" t="s">
        <v>574</v>
      </c>
      <c r="J21" s="77" t="s">
        <v>13</v>
      </c>
      <c r="K21" s="79" t="s">
        <v>590</v>
      </c>
      <c r="L21" s="7" t="str">
        <f>IF(BudgetsTable[[#This Row],[pi_last_name]]=" ","",HYPERLINK("https://www.ejacket.nsf.gov/ej/showProposal.do?Continue=Y&amp;ID="&amp;BudgetsTable[[#This Row],[prop_id]],BudgetsTable[[#This Row],[prop_id]]))</f>
        <v/>
      </c>
      <c r="M21" s="15" t="str">
        <f>IF(BudgetsTable[[#This Row],[pi_last_name]]=" ","",HYPERLINK("https://www.ejacket.nsf.gov/ej/processReviewAnalysis.do?dispatch=add&amp;uniqId="&amp;BudgetsTable[[#This Row],[prop_id]]&amp;PO_id,"&gt;ra"))</f>
        <v/>
      </c>
      <c r="N21" s="79" t="s">
        <v>13</v>
      </c>
      <c r="O21" s="7" t="str">
        <f>IF(BudgetsTable[[#This Row],[pi_last_name]]=" ","",HYPERLINK("mailto:"&amp;BudgetsTable[[#This Row],[pi_email]]&amp;"&amp;subject=Your NSF Proposal:  "&amp;BudgetsTable[[#This Row],[prop_id]],BudgetsTable[[#This Row],[pi_email]]))</f>
        <v/>
      </c>
      <c r="P21" s="79" t="s">
        <v>13</v>
      </c>
      <c r="Q21" s="79">
        <v>1</v>
      </c>
      <c r="R21" s="79">
        <v>0</v>
      </c>
      <c r="S21" s="80">
        <v>0</v>
      </c>
      <c r="T21" s="80">
        <v>2000</v>
      </c>
      <c r="U21" s="80">
        <v>0</v>
      </c>
      <c r="V21" s="81">
        <v>82876</v>
      </c>
      <c r="W21" s="79">
        <v>0</v>
      </c>
      <c r="X21" s="79">
        <v>2</v>
      </c>
      <c r="Y21" s="11" t="str">
        <f ca="1">IF(ISBLANK(BudgetsTable[[#This Row],[budg_seq_yr]]),"FY"&amp;fiscalyear,"FY"&amp;fiscalyear-1+BudgetsTable[[#This Row],[budg_seq_yr]])</f>
        <v>FY19</v>
      </c>
      <c r="Z21" s="80">
        <v>82876</v>
      </c>
      <c r="AA21" s="79" t="s">
        <v>667</v>
      </c>
      <c r="AB21" s="79" t="s">
        <v>532</v>
      </c>
      <c r="AC21" s="77" t="s">
        <v>94</v>
      </c>
      <c r="AD21" s="79" t="s">
        <v>669</v>
      </c>
    </row>
    <row r="22" spans="1:30" x14ac:dyDescent="0.25">
      <c r="A22" s="10" t="s">
        <v>590</v>
      </c>
      <c r="B22" s="77" t="s">
        <v>475</v>
      </c>
      <c r="C22" s="77">
        <f>C21+(BudgetsTable[[#This Row],[lead]]&lt;&gt;K21)</f>
        <v>15</v>
      </c>
      <c r="D22" s="77">
        <f>D21*(BudgetsTable[[#This Row],[lead]]=K21)+(BudgetsTable[[#This Row],[prop_id]]&lt;&gt;A21)</f>
        <v>1</v>
      </c>
      <c r="E22" s="78">
        <v>42992.522222222222</v>
      </c>
      <c r="F22" s="79" t="s">
        <v>666</v>
      </c>
      <c r="G22" s="79" t="s">
        <v>667</v>
      </c>
      <c r="H22" s="79" t="s">
        <v>532</v>
      </c>
      <c r="I22" s="77" t="s">
        <v>574</v>
      </c>
      <c r="J22" s="77" t="s">
        <v>13</v>
      </c>
      <c r="K22" s="79" t="s">
        <v>590</v>
      </c>
      <c r="L22" s="7" t="str">
        <f>IF(BudgetsTable[[#This Row],[pi_last_name]]=" ","",HYPERLINK("https://www.ejacket.nsf.gov/ej/showProposal.do?Continue=Y&amp;ID="&amp;BudgetsTable[[#This Row],[prop_id]],BudgetsTable[[#This Row],[prop_id]]))</f>
        <v/>
      </c>
      <c r="M22" s="15" t="str">
        <f>IF(BudgetsTable[[#This Row],[pi_last_name]]=" ","",HYPERLINK("https://www.ejacket.nsf.gov/ej/processReviewAnalysis.do?dispatch=add&amp;uniqId="&amp;BudgetsTable[[#This Row],[prop_id]]&amp;PO_id,"&gt;ra"))</f>
        <v/>
      </c>
      <c r="N22" s="79" t="s">
        <v>13</v>
      </c>
      <c r="O22" s="7" t="str">
        <f>IF(BudgetsTable[[#This Row],[pi_last_name]]=" ","",HYPERLINK("mailto:"&amp;BudgetsTable[[#This Row],[pi_email]]&amp;"&amp;subject=Your NSF Proposal:  "&amp;BudgetsTable[[#This Row],[prop_id]],BudgetsTable[[#This Row],[pi_email]]))</f>
        <v/>
      </c>
      <c r="P22" s="79" t="s">
        <v>13</v>
      </c>
      <c r="Q22" s="79">
        <v>1</v>
      </c>
      <c r="R22" s="79">
        <v>0</v>
      </c>
      <c r="S22" s="80">
        <v>0</v>
      </c>
      <c r="T22" s="80">
        <v>0</v>
      </c>
      <c r="U22" s="80">
        <v>0</v>
      </c>
      <c r="V22" s="81">
        <v>79886</v>
      </c>
      <c r="W22" s="79">
        <v>0</v>
      </c>
      <c r="X22" s="79">
        <v>3</v>
      </c>
      <c r="Y22" s="11" t="str">
        <f ca="1">IF(ISBLANK(BudgetsTable[[#This Row],[budg_seq_yr]]),"FY"&amp;fiscalyear,"FY"&amp;fiscalyear-1+BudgetsTable[[#This Row],[budg_seq_yr]])</f>
        <v>FY20</v>
      </c>
      <c r="Z22" s="80">
        <v>79886</v>
      </c>
      <c r="AA22" s="79" t="s">
        <v>667</v>
      </c>
      <c r="AB22" s="79" t="s">
        <v>532</v>
      </c>
      <c r="AC22" s="77" t="s">
        <v>94</v>
      </c>
      <c r="AD22" s="79" t="s">
        <v>669</v>
      </c>
    </row>
    <row r="23" spans="1:30" x14ac:dyDescent="0.25">
      <c r="A23" s="10" t="s">
        <v>695</v>
      </c>
      <c r="B23" s="77" t="s">
        <v>477</v>
      </c>
      <c r="C23" s="77">
        <f>C22+(BudgetsTable[[#This Row],[lead]]&lt;&gt;K22)</f>
        <v>15</v>
      </c>
      <c r="D23" s="77">
        <f>D22*(BudgetsTable[[#This Row],[lead]]=K22)+(BudgetsTable[[#This Row],[prop_id]]&lt;&gt;A22)</f>
        <v>2</v>
      </c>
      <c r="E23" s="78">
        <v>42992.522916666669</v>
      </c>
      <c r="F23" s="79" t="s">
        <v>666</v>
      </c>
      <c r="G23" s="79" t="s">
        <v>667</v>
      </c>
      <c r="H23" s="79" t="s">
        <v>532</v>
      </c>
      <c r="I23" s="77" t="s">
        <v>574</v>
      </c>
      <c r="J23" s="77" t="s">
        <v>698</v>
      </c>
      <c r="K23" s="79" t="s">
        <v>590</v>
      </c>
      <c r="L23" s="7" t="str">
        <f>IF(BudgetsTable[[#This Row],[pi_last_name]]=" ","",HYPERLINK("https://www.ejacket.nsf.gov/ej/showProposal.do?Continue=Y&amp;ID="&amp;BudgetsTable[[#This Row],[prop_id]],BudgetsTable[[#This Row],[prop_id]]))</f>
        <v>1760899</v>
      </c>
      <c r="M23" s="15" t="e">
        <f>IF(BudgetsTable[[#This Row],[pi_last_name]]=" ","",HYPERLINK("https://www.ejacket.nsf.gov/ej/processReviewAnalysis.do?dispatch=add&amp;uniqId="&amp;BudgetsTable[[#This Row],[prop_id]]&amp;PO_id,"&gt;ra"))</f>
        <v>#REF!</v>
      </c>
      <c r="N23" s="79" t="s">
        <v>696</v>
      </c>
      <c r="O23" s="7" t="str">
        <f>IF(BudgetsTable[[#This Row],[pi_last_name]]=" ","",HYPERLINK("mailto:"&amp;BudgetsTable[[#This Row],[pi_email]]&amp;"&amp;subject=Your NSF Proposal:  "&amp;BudgetsTable[[#This Row],[prop_id]],BudgetsTable[[#This Row],[pi_email]]))</f>
        <v>matthew.r.johnson@unl.edu</v>
      </c>
      <c r="P23" s="79" t="s">
        <v>697</v>
      </c>
      <c r="Q23" s="79"/>
      <c r="R23" s="79"/>
      <c r="S23" s="80"/>
      <c r="T23" s="80"/>
      <c r="U23" s="80"/>
      <c r="V23" s="81"/>
      <c r="W23" s="79">
        <v>0</v>
      </c>
      <c r="X23" s="79"/>
      <c r="Y23" s="11" t="str">
        <f ca="1">IF(ISBLANK(BudgetsTable[[#This Row],[budg_seq_yr]]),"FY"&amp;fiscalyear,"FY"&amp;fiscalyear-1+BudgetsTable[[#This Row],[budg_seq_yr]])</f>
        <v>FY18</v>
      </c>
      <c r="Z23" s="80">
        <v>78072</v>
      </c>
      <c r="AA23" s="79" t="s">
        <v>667</v>
      </c>
      <c r="AB23" s="79" t="s">
        <v>532</v>
      </c>
      <c r="AC23" s="77" t="s">
        <v>94</v>
      </c>
      <c r="AD23" s="79" t="s">
        <v>681</v>
      </c>
    </row>
    <row r="24" spans="1:30" x14ac:dyDescent="0.25">
      <c r="A24" s="10" t="s">
        <v>695</v>
      </c>
      <c r="B24" s="77" t="s">
        <v>477</v>
      </c>
      <c r="C24" s="77">
        <f>C23+(BudgetsTable[[#This Row],[lead]]&lt;&gt;K23)</f>
        <v>15</v>
      </c>
      <c r="D24" s="77">
        <f>D23*(BudgetsTable[[#This Row],[lead]]=K23)+(BudgetsTable[[#This Row],[prop_id]]&lt;&gt;A23)</f>
        <v>2</v>
      </c>
      <c r="E24" s="78">
        <v>42992.522916666669</v>
      </c>
      <c r="F24" s="79" t="s">
        <v>666</v>
      </c>
      <c r="G24" s="79" t="s">
        <v>667</v>
      </c>
      <c r="H24" s="79" t="s">
        <v>532</v>
      </c>
      <c r="I24" s="77" t="s">
        <v>574</v>
      </c>
      <c r="J24" s="77" t="s">
        <v>13</v>
      </c>
      <c r="K24" s="79" t="s">
        <v>590</v>
      </c>
      <c r="L24" s="7" t="str">
        <f>IF(BudgetsTable[[#This Row],[pi_last_name]]=" ","",HYPERLINK("https://www.ejacket.nsf.gov/ej/showProposal.do?Continue=Y&amp;ID="&amp;BudgetsTable[[#This Row],[prop_id]],BudgetsTable[[#This Row],[prop_id]]))</f>
        <v/>
      </c>
      <c r="M24" s="15" t="str">
        <f>IF(BudgetsTable[[#This Row],[pi_last_name]]=" ","",HYPERLINK("https://www.ejacket.nsf.gov/ej/processReviewAnalysis.do?dispatch=add&amp;uniqId="&amp;BudgetsTable[[#This Row],[prop_id]]&amp;PO_id,"&gt;ra"))</f>
        <v/>
      </c>
      <c r="N24" s="79" t="s">
        <v>13</v>
      </c>
      <c r="O24" s="7" t="str">
        <f>IF(BudgetsTable[[#This Row],[pi_last_name]]=" ","",HYPERLINK("mailto:"&amp;BudgetsTable[[#This Row],[pi_email]]&amp;"&amp;subject=Your NSF Proposal:  "&amp;BudgetsTable[[#This Row],[prop_id]],BudgetsTable[[#This Row],[pi_email]]))</f>
        <v/>
      </c>
      <c r="P24" s="79" t="s">
        <v>13</v>
      </c>
      <c r="Q24" s="79">
        <v>1</v>
      </c>
      <c r="R24" s="79">
        <v>1</v>
      </c>
      <c r="S24" s="80">
        <v>3750</v>
      </c>
      <c r="T24" s="80">
        <v>0</v>
      </c>
      <c r="U24" s="80">
        <v>0</v>
      </c>
      <c r="V24" s="81">
        <v>25260</v>
      </c>
      <c r="W24" s="79">
        <v>0</v>
      </c>
      <c r="X24" s="79">
        <v>1</v>
      </c>
      <c r="Y24" s="11" t="str">
        <f ca="1">IF(ISBLANK(BudgetsTable[[#This Row],[budg_seq_yr]]),"FY"&amp;fiscalyear,"FY"&amp;fiscalyear-1+BudgetsTable[[#This Row],[budg_seq_yr]])</f>
        <v>FY18</v>
      </c>
      <c r="Z24" s="80">
        <v>25260</v>
      </c>
      <c r="AA24" s="79" t="s">
        <v>667</v>
      </c>
      <c r="AB24" s="79" t="s">
        <v>532</v>
      </c>
      <c r="AC24" s="77" t="s">
        <v>94</v>
      </c>
      <c r="AD24" s="79" t="s">
        <v>681</v>
      </c>
    </row>
    <row r="25" spans="1:30" x14ac:dyDescent="0.25">
      <c r="A25" s="10" t="s">
        <v>695</v>
      </c>
      <c r="B25" s="77" t="s">
        <v>477</v>
      </c>
      <c r="C25" s="77">
        <f>C24+(BudgetsTable[[#This Row],[lead]]&lt;&gt;K24)</f>
        <v>15</v>
      </c>
      <c r="D25" s="77">
        <f>D24*(BudgetsTable[[#This Row],[lead]]=K24)+(BudgetsTable[[#This Row],[prop_id]]&lt;&gt;A24)</f>
        <v>2</v>
      </c>
      <c r="E25" s="78">
        <v>42992.522916666669</v>
      </c>
      <c r="F25" s="79" t="s">
        <v>666</v>
      </c>
      <c r="G25" s="79" t="s">
        <v>667</v>
      </c>
      <c r="H25" s="79" t="s">
        <v>532</v>
      </c>
      <c r="I25" s="77" t="s">
        <v>574</v>
      </c>
      <c r="J25" s="77" t="s">
        <v>13</v>
      </c>
      <c r="K25" s="79" t="s">
        <v>590</v>
      </c>
      <c r="L25" s="7" t="str">
        <f>IF(BudgetsTable[[#This Row],[pi_last_name]]=" ","",HYPERLINK("https://www.ejacket.nsf.gov/ej/showProposal.do?Continue=Y&amp;ID="&amp;BudgetsTable[[#This Row],[prop_id]],BudgetsTable[[#This Row],[prop_id]]))</f>
        <v/>
      </c>
      <c r="M25" s="15" t="str">
        <f>IF(BudgetsTable[[#This Row],[pi_last_name]]=" ","",HYPERLINK("https://www.ejacket.nsf.gov/ej/processReviewAnalysis.do?dispatch=add&amp;uniqId="&amp;BudgetsTable[[#This Row],[prop_id]]&amp;PO_id,"&gt;ra"))</f>
        <v/>
      </c>
      <c r="N25" s="79" t="s">
        <v>13</v>
      </c>
      <c r="O25" s="7" t="str">
        <f>IF(BudgetsTable[[#This Row],[pi_last_name]]=" ","",HYPERLINK("mailto:"&amp;BudgetsTable[[#This Row],[pi_email]]&amp;"&amp;subject=Your NSF Proposal:  "&amp;BudgetsTable[[#This Row],[prop_id]],BudgetsTable[[#This Row],[pi_email]]))</f>
        <v/>
      </c>
      <c r="P25" s="79" t="s">
        <v>13</v>
      </c>
      <c r="Q25" s="79">
        <v>1</v>
      </c>
      <c r="R25" s="79">
        <v>1</v>
      </c>
      <c r="S25" s="80">
        <v>3863</v>
      </c>
      <c r="T25" s="80">
        <v>0</v>
      </c>
      <c r="U25" s="80">
        <v>0</v>
      </c>
      <c r="V25" s="81">
        <v>26017</v>
      </c>
      <c r="W25" s="79">
        <v>0</v>
      </c>
      <c r="X25" s="79">
        <v>2</v>
      </c>
      <c r="Y25" s="11" t="str">
        <f ca="1">IF(ISBLANK(BudgetsTable[[#This Row],[budg_seq_yr]]),"FY"&amp;fiscalyear,"FY"&amp;fiscalyear-1+BudgetsTable[[#This Row],[budg_seq_yr]])</f>
        <v>FY19</v>
      </c>
      <c r="Z25" s="80">
        <v>26017</v>
      </c>
      <c r="AA25" s="79" t="s">
        <v>667</v>
      </c>
      <c r="AB25" s="79" t="s">
        <v>532</v>
      </c>
      <c r="AC25" s="77" t="s">
        <v>94</v>
      </c>
      <c r="AD25" s="79" t="s">
        <v>681</v>
      </c>
    </row>
    <row r="26" spans="1:30" x14ac:dyDescent="0.25">
      <c r="A26" s="10" t="s">
        <v>695</v>
      </c>
      <c r="B26" s="77" t="s">
        <v>477</v>
      </c>
      <c r="C26" s="77">
        <f>C25+(BudgetsTable[[#This Row],[lead]]&lt;&gt;K25)</f>
        <v>15</v>
      </c>
      <c r="D26" s="77">
        <f>D25*(BudgetsTable[[#This Row],[lead]]=K25)+(BudgetsTable[[#This Row],[prop_id]]&lt;&gt;A25)</f>
        <v>2</v>
      </c>
      <c r="E26" s="78">
        <v>42992.522916666669</v>
      </c>
      <c r="F26" s="79" t="s">
        <v>666</v>
      </c>
      <c r="G26" s="79" t="s">
        <v>667</v>
      </c>
      <c r="H26" s="79" t="s">
        <v>532</v>
      </c>
      <c r="I26" s="77" t="s">
        <v>574</v>
      </c>
      <c r="J26" s="77" t="s">
        <v>13</v>
      </c>
      <c r="K26" s="79" t="s">
        <v>590</v>
      </c>
      <c r="L26" s="7" t="str">
        <f>IF(BudgetsTable[[#This Row],[pi_last_name]]=" ","",HYPERLINK("https://www.ejacket.nsf.gov/ej/showProposal.do?Continue=Y&amp;ID="&amp;BudgetsTable[[#This Row],[prop_id]],BudgetsTable[[#This Row],[prop_id]]))</f>
        <v/>
      </c>
      <c r="M26" s="15" t="str">
        <f>IF(BudgetsTable[[#This Row],[pi_last_name]]=" ","",HYPERLINK("https://www.ejacket.nsf.gov/ej/processReviewAnalysis.do?dispatch=add&amp;uniqId="&amp;BudgetsTable[[#This Row],[prop_id]]&amp;PO_id,"&gt;ra"))</f>
        <v/>
      </c>
      <c r="N26" s="79" t="s">
        <v>13</v>
      </c>
      <c r="O26" s="7" t="str">
        <f>IF(BudgetsTable[[#This Row],[pi_last_name]]=" ","",HYPERLINK("mailto:"&amp;BudgetsTable[[#This Row],[pi_email]]&amp;"&amp;subject=Your NSF Proposal:  "&amp;BudgetsTable[[#This Row],[prop_id]],BudgetsTable[[#This Row],[pi_email]]))</f>
        <v/>
      </c>
      <c r="P26" s="79" t="s">
        <v>13</v>
      </c>
      <c r="Q26" s="79">
        <v>1</v>
      </c>
      <c r="R26" s="79">
        <v>1</v>
      </c>
      <c r="S26" s="80">
        <v>3978</v>
      </c>
      <c r="T26" s="80">
        <v>0</v>
      </c>
      <c r="U26" s="80">
        <v>0</v>
      </c>
      <c r="V26" s="81">
        <v>26795</v>
      </c>
      <c r="W26" s="79">
        <v>0</v>
      </c>
      <c r="X26" s="79">
        <v>3</v>
      </c>
      <c r="Y26" s="11" t="str">
        <f ca="1">IF(ISBLANK(BudgetsTable[[#This Row],[budg_seq_yr]]),"FY"&amp;fiscalyear,"FY"&amp;fiscalyear-1+BudgetsTable[[#This Row],[budg_seq_yr]])</f>
        <v>FY20</v>
      </c>
      <c r="Z26" s="80">
        <v>26795</v>
      </c>
      <c r="AA26" s="79" t="s">
        <v>667</v>
      </c>
      <c r="AB26" s="79" t="s">
        <v>532</v>
      </c>
      <c r="AC26" s="77" t="s">
        <v>94</v>
      </c>
      <c r="AD26" s="79" t="s">
        <v>681</v>
      </c>
    </row>
    <row r="27" spans="1:30" x14ac:dyDescent="0.25">
      <c r="A27" s="10" t="s">
        <v>699</v>
      </c>
      <c r="B27" s="77" t="s">
        <v>477</v>
      </c>
      <c r="C27" s="77">
        <f>C26+(BudgetsTable[[#This Row],[lead]]&lt;&gt;K26)</f>
        <v>15</v>
      </c>
      <c r="D27" s="77">
        <f>D26*(BudgetsTable[[#This Row],[lead]]=K26)+(BudgetsTable[[#This Row],[prop_id]]&lt;&gt;A26)</f>
        <v>3</v>
      </c>
      <c r="E27" s="78">
        <v>42993.367361111108</v>
      </c>
      <c r="F27" s="79" t="s">
        <v>666</v>
      </c>
      <c r="G27" s="79" t="s">
        <v>667</v>
      </c>
      <c r="H27" s="79" t="s">
        <v>532</v>
      </c>
      <c r="I27" s="77" t="s">
        <v>574</v>
      </c>
      <c r="J27" s="77" t="s">
        <v>702</v>
      </c>
      <c r="K27" s="79" t="s">
        <v>590</v>
      </c>
      <c r="L27" s="7" t="str">
        <f>IF(BudgetsTable[[#This Row],[pi_last_name]]=" ","",HYPERLINK("https://www.ejacket.nsf.gov/ej/showProposal.do?Continue=Y&amp;ID="&amp;BudgetsTable[[#This Row],[prop_id]],BudgetsTable[[#This Row],[prop_id]]))</f>
        <v>1761311</v>
      </c>
      <c r="M27" s="15" t="e">
        <f>IF(BudgetsTable[[#This Row],[pi_last_name]]=" ","",HYPERLINK("https://www.ejacket.nsf.gov/ej/processReviewAnalysis.do?dispatch=add&amp;uniqId="&amp;BudgetsTable[[#This Row],[prop_id]]&amp;PO_id,"&gt;ra"))</f>
        <v>#REF!</v>
      </c>
      <c r="N27" s="79" t="s">
        <v>700</v>
      </c>
      <c r="O27" s="7" t="str">
        <f>IF(BudgetsTable[[#This Row],[pi_last_name]]=" ","",HYPERLINK("mailto:"&amp;BudgetsTable[[#This Row],[pi_email]]&amp;"&amp;subject=Your NSF Proposal:  "&amp;BudgetsTable[[#This Row],[prop_id]],BudgetsTable[[#This Row],[pi_email]]))</f>
        <v>yong.cho@ce.gatech.edu</v>
      </c>
      <c r="P27" s="79" t="s">
        <v>523</v>
      </c>
      <c r="Q27" s="79"/>
      <c r="R27" s="79"/>
      <c r="S27" s="80"/>
      <c r="T27" s="80"/>
      <c r="U27" s="80"/>
      <c r="V27" s="81"/>
      <c r="W27" s="79">
        <v>0</v>
      </c>
      <c r="X27" s="79"/>
      <c r="Y27" s="11" t="str">
        <f ca="1">IF(ISBLANK(BudgetsTable[[#This Row],[budg_seq_yr]]),"FY"&amp;fiscalyear,"FY"&amp;fiscalyear-1+BudgetsTable[[#This Row],[budg_seq_yr]])</f>
        <v>FY18</v>
      </c>
      <c r="Z27" s="80">
        <v>150000</v>
      </c>
      <c r="AA27" s="79" t="s">
        <v>667</v>
      </c>
      <c r="AB27" s="79" t="s">
        <v>532</v>
      </c>
      <c r="AC27" s="77" t="s">
        <v>94</v>
      </c>
      <c r="AD27" s="79" t="s">
        <v>669</v>
      </c>
    </row>
    <row r="28" spans="1:30" x14ac:dyDescent="0.25">
      <c r="A28" s="10" t="s">
        <v>699</v>
      </c>
      <c r="B28" s="77" t="s">
        <v>477</v>
      </c>
      <c r="C28" s="77">
        <f>C27+(BudgetsTable[[#This Row],[lead]]&lt;&gt;K27)</f>
        <v>15</v>
      </c>
      <c r="D28" s="77">
        <f>D27*(BudgetsTable[[#This Row],[lead]]=K27)+(BudgetsTable[[#This Row],[prop_id]]&lt;&gt;A27)</f>
        <v>3</v>
      </c>
      <c r="E28" s="78">
        <v>42993.367361111108</v>
      </c>
      <c r="F28" s="79" t="s">
        <v>666</v>
      </c>
      <c r="G28" s="79" t="s">
        <v>667</v>
      </c>
      <c r="H28" s="79" t="s">
        <v>532</v>
      </c>
      <c r="I28" s="77" t="s">
        <v>574</v>
      </c>
      <c r="J28" s="77" t="s">
        <v>13</v>
      </c>
      <c r="K28" s="79" t="s">
        <v>590</v>
      </c>
      <c r="L28" s="7" t="str">
        <f>IF(BudgetsTable[[#This Row],[pi_last_name]]=" ","",HYPERLINK("https://www.ejacket.nsf.gov/ej/showProposal.do?Continue=Y&amp;ID="&amp;BudgetsTable[[#This Row],[prop_id]],BudgetsTable[[#This Row],[prop_id]]))</f>
        <v/>
      </c>
      <c r="M28" s="15" t="str">
        <f>IF(BudgetsTable[[#This Row],[pi_last_name]]=" ","",HYPERLINK("https://www.ejacket.nsf.gov/ej/processReviewAnalysis.do?dispatch=add&amp;uniqId="&amp;BudgetsTable[[#This Row],[prop_id]]&amp;PO_id,"&gt;ra"))</f>
        <v/>
      </c>
      <c r="N28" s="79" t="s">
        <v>13</v>
      </c>
      <c r="O28" s="7" t="str">
        <f>IF(BudgetsTable[[#This Row],[pi_last_name]]=" ","",HYPERLINK("mailto:"&amp;BudgetsTable[[#This Row],[pi_email]]&amp;"&amp;subject=Your NSF Proposal:  "&amp;BudgetsTable[[#This Row],[prop_id]],BudgetsTable[[#This Row],[pi_email]]))</f>
        <v/>
      </c>
      <c r="P28" s="79" t="s">
        <v>13</v>
      </c>
      <c r="Q28" s="79">
        <v>1</v>
      </c>
      <c r="R28" s="79">
        <v>0.5</v>
      </c>
      <c r="S28" s="80">
        <v>0</v>
      </c>
      <c r="T28" s="80">
        <v>0</v>
      </c>
      <c r="U28" s="80">
        <v>0</v>
      </c>
      <c r="V28" s="81">
        <v>64138</v>
      </c>
      <c r="W28" s="79">
        <v>0</v>
      </c>
      <c r="X28" s="79">
        <v>1</v>
      </c>
      <c r="Y28" s="11" t="str">
        <f ca="1">IF(ISBLANK(BudgetsTable[[#This Row],[budg_seq_yr]]),"FY"&amp;fiscalyear,"FY"&amp;fiscalyear-1+BudgetsTable[[#This Row],[budg_seq_yr]])</f>
        <v>FY18</v>
      </c>
      <c r="Z28" s="80">
        <v>64138</v>
      </c>
      <c r="AA28" s="79" t="s">
        <v>667</v>
      </c>
      <c r="AB28" s="79" t="s">
        <v>532</v>
      </c>
      <c r="AC28" s="77" t="s">
        <v>94</v>
      </c>
      <c r="AD28" s="79" t="s">
        <v>669</v>
      </c>
    </row>
    <row r="29" spans="1:30" x14ac:dyDescent="0.25">
      <c r="A29" s="10" t="s">
        <v>699</v>
      </c>
      <c r="B29" s="77" t="s">
        <v>477</v>
      </c>
      <c r="C29" s="77">
        <f>C28+(BudgetsTable[[#This Row],[lead]]&lt;&gt;K28)</f>
        <v>15</v>
      </c>
      <c r="D29" s="77">
        <f>D28*(BudgetsTable[[#This Row],[lead]]=K28)+(BudgetsTable[[#This Row],[prop_id]]&lt;&gt;A28)</f>
        <v>3</v>
      </c>
      <c r="E29" s="78">
        <v>42993.367361111108</v>
      </c>
      <c r="F29" s="79" t="s">
        <v>666</v>
      </c>
      <c r="G29" s="79" t="s">
        <v>667</v>
      </c>
      <c r="H29" s="79" t="s">
        <v>532</v>
      </c>
      <c r="I29" s="77" t="s">
        <v>574</v>
      </c>
      <c r="J29" s="77" t="s">
        <v>13</v>
      </c>
      <c r="K29" s="79" t="s">
        <v>590</v>
      </c>
      <c r="L29" s="7" t="str">
        <f>IF(BudgetsTable[[#This Row],[pi_last_name]]=" ","",HYPERLINK("https://www.ejacket.nsf.gov/ej/showProposal.do?Continue=Y&amp;ID="&amp;BudgetsTable[[#This Row],[prop_id]],BudgetsTable[[#This Row],[prop_id]]))</f>
        <v/>
      </c>
      <c r="M29" s="15" t="str">
        <f>IF(BudgetsTable[[#This Row],[pi_last_name]]=" ","",HYPERLINK("https://www.ejacket.nsf.gov/ej/processReviewAnalysis.do?dispatch=add&amp;uniqId="&amp;BudgetsTable[[#This Row],[prop_id]]&amp;PO_id,"&gt;ra"))</f>
        <v/>
      </c>
      <c r="N29" s="79" t="s">
        <v>13</v>
      </c>
      <c r="O29" s="7" t="str">
        <f>IF(BudgetsTable[[#This Row],[pi_last_name]]=" ","",HYPERLINK("mailto:"&amp;BudgetsTable[[#This Row],[pi_email]]&amp;"&amp;subject=Your NSF Proposal:  "&amp;BudgetsTable[[#This Row],[prop_id]],BudgetsTable[[#This Row],[pi_email]]))</f>
        <v/>
      </c>
      <c r="P29" s="79" t="s">
        <v>13</v>
      </c>
      <c r="Q29" s="79">
        <v>1</v>
      </c>
      <c r="R29" s="79">
        <v>0.5</v>
      </c>
      <c r="S29" s="80">
        <v>0</v>
      </c>
      <c r="T29" s="80">
        <v>0</v>
      </c>
      <c r="U29" s="80">
        <v>0</v>
      </c>
      <c r="V29" s="81">
        <v>15857</v>
      </c>
      <c r="W29" s="79">
        <v>0</v>
      </c>
      <c r="X29" s="79">
        <v>2</v>
      </c>
      <c r="Y29" s="11" t="str">
        <f ca="1">IF(ISBLANK(BudgetsTable[[#This Row],[budg_seq_yr]]),"FY"&amp;fiscalyear,"FY"&amp;fiscalyear-1+BudgetsTable[[#This Row],[budg_seq_yr]])</f>
        <v>FY19</v>
      </c>
      <c r="Z29" s="80">
        <v>15857</v>
      </c>
      <c r="AA29" s="79" t="s">
        <v>667</v>
      </c>
      <c r="AB29" s="79" t="s">
        <v>532</v>
      </c>
      <c r="AC29" s="77" t="s">
        <v>94</v>
      </c>
      <c r="AD29" s="79" t="s">
        <v>669</v>
      </c>
    </row>
    <row r="30" spans="1:30" x14ac:dyDescent="0.25">
      <c r="A30" s="10" t="s">
        <v>699</v>
      </c>
      <c r="B30" s="77" t="s">
        <v>477</v>
      </c>
      <c r="C30" s="77">
        <f>C29+(BudgetsTable[[#This Row],[lead]]&lt;&gt;K29)</f>
        <v>15</v>
      </c>
      <c r="D30" s="77">
        <f>D29*(BudgetsTable[[#This Row],[lead]]=K29)+(BudgetsTable[[#This Row],[prop_id]]&lt;&gt;A29)</f>
        <v>3</v>
      </c>
      <c r="E30" s="78">
        <v>42993.367361111108</v>
      </c>
      <c r="F30" s="79" t="s">
        <v>666</v>
      </c>
      <c r="G30" s="79" t="s">
        <v>667</v>
      </c>
      <c r="H30" s="79" t="s">
        <v>532</v>
      </c>
      <c r="I30" s="77" t="s">
        <v>574</v>
      </c>
      <c r="J30" s="77" t="s">
        <v>13</v>
      </c>
      <c r="K30" s="79" t="s">
        <v>590</v>
      </c>
      <c r="L30" s="7" t="str">
        <f>IF(BudgetsTable[[#This Row],[pi_last_name]]=" ","",HYPERLINK("https://www.ejacket.nsf.gov/ej/showProposal.do?Continue=Y&amp;ID="&amp;BudgetsTable[[#This Row],[prop_id]],BudgetsTable[[#This Row],[prop_id]]))</f>
        <v/>
      </c>
      <c r="M30" s="15" t="str">
        <f>IF(BudgetsTable[[#This Row],[pi_last_name]]=" ","",HYPERLINK("https://www.ejacket.nsf.gov/ej/processReviewAnalysis.do?dispatch=add&amp;uniqId="&amp;BudgetsTable[[#This Row],[prop_id]]&amp;PO_id,"&gt;ra"))</f>
        <v/>
      </c>
      <c r="N30" s="79" t="s">
        <v>13</v>
      </c>
      <c r="O30" s="7" t="str">
        <f>IF(BudgetsTable[[#This Row],[pi_last_name]]=" ","",HYPERLINK("mailto:"&amp;BudgetsTable[[#This Row],[pi_email]]&amp;"&amp;subject=Your NSF Proposal:  "&amp;BudgetsTable[[#This Row],[prop_id]],BudgetsTable[[#This Row],[pi_email]]))</f>
        <v/>
      </c>
      <c r="P30" s="79" t="s">
        <v>13</v>
      </c>
      <c r="Q30" s="79">
        <v>1</v>
      </c>
      <c r="R30" s="79">
        <v>0.5</v>
      </c>
      <c r="S30" s="80">
        <v>0</v>
      </c>
      <c r="T30" s="80">
        <v>0</v>
      </c>
      <c r="U30" s="80">
        <v>0</v>
      </c>
      <c r="V30" s="81">
        <v>70005</v>
      </c>
      <c r="W30" s="79">
        <v>0</v>
      </c>
      <c r="X30" s="79">
        <v>3</v>
      </c>
      <c r="Y30" s="11" t="str">
        <f ca="1">IF(ISBLANK(BudgetsTable[[#This Row],[budg_seq_yr]]),"FY"&amp;fiscalyear,"FY"&amp;fiscalyear-1+BudgetsTable[[#This Row],[budg_seq_yr]])</f>
        <v>FY20</v>
      </c>
      <c r="Z30" s="80">
        <v>70005</v>
      </c>
      <c r="AA30" s="79" t="s">
        <v>667</v>
      </c>
      <c r="AB30" s="79" t="s">
        <v>532</v>
      </c>
      <c r="AC30" s="77" t="s">
        <v>94</v>
      </c>
      <c r="AD30" s="79" t="s">
        <v>669</v>
      </c>
    </row>
    <row r="31" spans="1:30" x14ac:dyDescent="0.25">
      <c r="A31" s="10" t="s">
        <v>598</v>
      </c>
      <c r="B31" s="77" t="s">
        <v>95</v>
      </c>
      <c r="C31" s="77">
        <f>C30+(BudgetsTable[[#This Row],[lead]]&lt;&gt;K30)</f>
        <v>16</v>
      </c>
      <c r="D31" s="77">
        <f>D30*(BudgetsTable[[#This Row],[lead]]=K30)+(BudgetsTable[[#This Row],[prop_id]]&lt;&gt;A30)</f>
        <v>1</v>
      </c>
      <c r="E31" s="78">
        <v>42992.676388888889</v>
      </c>
      <c r="F31" s="79" t="s">
        <v>666</v>
      </c>
      <c r="G31" s="79" t="s">
        <v>667</v>
      </c>
      <c r="H31" s="79" t="s">
        <v>532</v>
      </c>
      <c r="I31" s="77" t="s">
        <v>574</v>
      </c>
      <c r="J31" s="77" t="s">
        <v>705</v>
      </c>
      <c r="K31" s="79" t="s">
        <v>598</v>
      </c>
      <c r="L31" s="7" t="str">
        <f>IF(BudgetsTable[[#This Row],[pi_last_name]]=" ","",HYPERLINK("https://www.ejacket.nsf.gov/ej/showProposal.do?Continue=Y&amp;ID="&amp;BudgetsTable[[#This Row],[prop_id]],BudgetsTable[[#This Row],[prop_id]]))</f>
        <v>1761160</v>
      </c>
      <c r="M31" s="15" t="e">
        <f>IF(BudgetsTable[[#This Row],[pi_last_name]]=" ","",HYPERLINK("https://www.ejacket.nsf.gov/ej/processReviewAnalysis.do?dispatch=add&amp;uniqId="&amp;BudgetsTable[[#This Row],[prop_id]]&amp;PO_id,"&gt;ra"))</f>
        <v>#REF!</v>
      </c>
      <c r="N31" s="79" t="s">
        <v>599</v>
      </c>
      <c r="O31" s="7" t="str">
        <f>IF(BudgetsTable[[#This Row],[pi_last_name]]=" ","",HYPERLINK("mailto:"&amp;BudgetsTable[[#This Row],[pi_email]]&amp;"&amp;subject=Your NSF Proposal:  "&amp;BudgetsTable[[#This Row],[prop_id]],BudgetsTable[[#This Row],[pi_email]]))</f>
        <v>fernanda.leite@austin.utexas.edu</v>
      </c>
      <c r="P31" s="79" t="s">
        <v>503</v>
      </c>
      <c r="Q31" s="79"/>
      <c r="R31" s="79"/>
      <c r="S31" s="80"/>
      <c r="T31" s="80"/>
      <c r="U31" s="80"/>
      <c r="V31" s="81"/>
      <c r="W31" s="79">
        <v>0</v>
      </c>
      <c r="X31" s="79"/>
      <c r="Y31" s="11" t="str">
        <f ca="1">IF(ISBLANK(BudgetsTable[[#This Row],[budg_seq_yr]]),"FY"&amp;fiscalyear,"FY"&amp;fiscalyear-1+BudgetsTable[[#This Row],[budg_seq_yr]])</f>
        <v>FY18</v>
      </c>
      <c r="Z31" s="80">
        <v>446786</v>
      </c>
      <c r="AA31" s="79" t="s">
        <v>667</v>
      </c>
      <c r="AB31" s="79" t="s">
        <v>532</v>
      </c>
      <c r="AC31" s="77" t="s">
        <v>94</v>
      </c>
      <c r="AD31" s="79" t="s">
        <v>669</v>
      </c>
    </row>
    <row r="32" spans="1:30" x14ac:dyDescent="0.25">
      <c r="A32" s="10" t="s">
        <v>598</v>
      </c>
      <c r="B32" s="77" t="s">
        <v>95</v>
      </c>
      <c r="C32" s="77">
        <f>C31+(BudgetsTable[[#This Row],[lead]]&lt;&gt;K31)</f>
        <v>16</v>
      </c>
      <c r="D32" s="77">
        <f>D31*(BudgetsTable[[#This Row],[lead]]=K31)+(BudgetsTable[[#This Row],[prop_id]]&lt;&gt;A31)</f>
        <v>1</v>
      </c>
      <c r="E32" s="78">
        <v>42992.676388888889</v>
      </c>
      <c r="F32" s="79" t="s">
        <v>666</v>
      </c>
      <c r="G32" s="79" t="s">
        <v>667</v>
      </c>
      <c r="H32" s="79" t="s">
        <v>532</v>
      </c>
      <c r="I32" s="77" t="s">
        <v>574</v>
      </c>
      <c r="J32" s="77" t="s">
        <v>13</v>
      </c>
      <c r="K32" s="79" t="s">
        <v>598</v>
      </c>
      <c r="L32" s="7" t="str">
        <f>IF(BudgetsTable[[#This Row],[pi_last_name]]=" ","",HYPERLINK("https://www.ejacket.nsf.gov/ej/showProposal.do?Continue=Y&amp;ID="&amp;BudgetsTable[[#This Row],[prop_id]],BudgetsTable[[#This Row],[prop_id]]))</f>
        <v/>
      </c>
      <c r="M32" s="15" t="str">
        <f>IF(BudgetsTable[[#This Row],[pi_last_name]]=" ","",HYPERLINK("https://www.ejacket.nsf.gov/ej/processReviewAnalysis.do?dispatch=add&amp;uniqId="&amp;BudgetsTable[[#This Row],[prop_id]]&amp;PO_id,"&gt;ra"))</f>
        <v/>
      </c>
      <c r="N32" s="79" t="s">
        <v>13</v>
      </c>
      <c r="O32" s="7" t="str">
        <f>IF(BudgetsTable[[#This Row],[pi_last_name]]=" ","",HYPERLINK("mailto:"&amp;BudgetsTable[[#This Row],[pi_email]]&amp;"&amp;subject=Your NSF Proposal:  "&amp;BudgetsTable[[#This Row],[prop_id]],BudgetsTable[[#This Row],[pi_email]]))</f>
        <v/>
      </c>
      <c r="P32" s="79" t="s">
        <v>13</v>
      </c>
      <c r="Q32" s="79">
        <v>2</v>
      </c>
      <c r="R32" s="79">
        <v>1.5</v>
      </c>
      <c r="S32" s="80">
        <v>0</v>
      </c>
      <c r="T32" s="80">
        <v>0</v>
      </c>
      <c r="U32" s="80">
        <v>1000</v>
      </c>
      <c r="V32" s="81">
        <v>150026</v>
      </c>
      <c r="W32" s="79">
        <v>0</v>
      </c>
      <c r="X32" s="79">
        <v>1</v>
      </c>
      <c r="Y32" s="11" t="str">
        <f ca="1">IF(ISBLANK(BudgetsTable[[#This Row],[budg_seq_yr]]),"FY"&amp;fiscalyear,"FY"&amp;fiscalyear-1+BudgetsTable[[#This Row],[budg_seq_yr]])</f>
        <v>FY18</v>
      </c>
      <c r="Z32" s="80">
        <v>150026</v>
      </c>
      <c r="AA32" s="79" t="s">
        <v>667</v>
      </c>
      <c r="AB32" s="79" t="s">
        <v>532</v>
      </c>
      <c r="AC32" s="77" t="s">
        <v>94</v>
      </c>
      <c r="AD32" s="79" t="s">
        <v>669</v>
      </c>
    </row>
    <row r="33" spans="1:30" x14ac:dyDescent="0.25">
      <c r="A33" s="10" t="s">
        <v>598</v>
      </c>
      <c r="B33" s="77" t="s">
        <v>95</v>
      </c>
      <c r="C33" s="77">
        <f>C32+(BudgetsTable[[#This Row],[lead]]&lt;&gt;K32)</f>
        <v>16</v>
      </c>
      <c r="D33" s="77">
        <f>D32*(BudgetsTable[[#This Row],[lead]]=K32)+(BudgetsTable[[#This Row],[prop_id]]&lt;&gt;A32)</f>
        <v>1</v>
      </c>
      <c r="E33" s="78">
        <v>42992.676388888889</v>
      </c>
      <c r="F33" s="79" t="s">
        <v>666</v>
      </c>
      <c r="G33" s="79" t="s">
        <v>667</v>
      </c>
      <c r="H33" s="79" t="s">
        <v>532</v>
      </c>
      <c r="I33" s="77" t="s">
        <v>574</v>
      </c>
      <c r="J33" s="77" t="s">
        <v>13</v>
      </c>
      <c r="K33" s="79" t="s">
        <v>598</v>
      </c>
      <c r="L33" s="7" t="str">
        <f>IF(BudgetsTable[[#This Row],[pi_last_name]]=" ","",HYPERLINK("https://www.ejacket.nsf.gov/ej/showProposal.do?Continue=Y&amp;ID="&amp;BudgetsTable[[#This Row],[prop_id]],BudgetsTable[[#This Row],[prop_id]]))</f>
        <v/>
      </c>
      <c r="M33" s="15" t="str">
        <f>IF(BudgetsTable[[#This Row],[pi_last_name]]=" ","",HYPERLINK("https://www.ejacket.nsf.gov/ej/processReviewAnalysis.do?dispatch=add&amp;uniqId="&amp;BudgetsTable[[#This Row],[prop_id]]&amp;PO_id,"&gt;ra"))</f>
        <v/>
      </c>
      <c r="N33" s="79" t="s">
        <v>13</v>
      </c>
      <c r="O33" s="7" t="str">
        <f>IF(BudgetsTable[[#This Row],[pi_last_name]]=" ","",HYPERLINK("mailto:"&amp;BudgetsTable[[#This Row],[pi_email]]&amp;"&amp;subject=Your NSF Proposal:  "&amp;BudgetsTable[[#This Row],[prop_id]],BudgetsTable[[#This Row],[pi_email]]))</f>
        <v/>
      </c>
      <c r="P33" s="79" t="s">
        <v>13</v>
      </c>
      <c r="Q33" s="79">
        <v>2</v>
      </c>
      <c r="R33" s="79">
        <v>1.5</v>
      </c>
      <c r="S33" s="80">
        <v>0</v>
      </c>
      <c r="T33" s="80">
        <v>0</v>
      </c>
      <c r="U33" s="80">
        <v>1000</v>
      </c>
      <c r="V33" s="81">
        <v>146817</v>
      </c>
      <c r="W33" s="79">
        <v>0</v>
      </c>
      <c r="X33" s="79">
        <v>2</v>
      </c>
      <c r="Y33" s="11" t="str">
        <f ca="1">IF(ISBLANK(BudgetsTable[[#This Row],[budg_seq_yr]]),"FY"&amp;fiscalyear,"FY"&amp;fiscalyear-1+BudgetsTable[[#This Row],[budg_seq_yr]])</f>
        <v>FY19</v>
      </c>
      <c r="Z33" s="80">
        <v>146817</v>
      </c>
      <c r="AA33" s="79" t="s">
        <v>667</v>
      </c>
      <c r="AB33" s="79" t="s">
        <v>532</v>
      </c>
      <c r="AC33" s="77" t="s">
        <v>94</v>
      </c>
      <c r="AD33" s="79" t="s">
        <v>669</v>
      </c>
    </row>
    <row r="34" spans="1:30" x14ac:dyDescent="0.25">
      <c r="A34" s="10" t="s">
        <v>598</v>
      </c>
      <c r="B34" s="77" t="s">
        <v>95</v>
      </c>
      <c r="C34" s="77">
        <f>C33+(BudgetsTable[[#This Row],[lead]]&lt;&gt;K33)</f>
        <v>16</v>
      </c>
      <c r="D34" s="77">
        <f>D33*(BudgetsTable[[#This Row],[lead]]=K33)+(BudgetsTable[[#This Row],[prop_id]]&lt;&gt;A33)</f>
        <v>1</v>
      </c>
      <c r="E34" s="78">
        <v>42992.676388888889</v>
      </c>
      <c r="F34" s="79" t="s">
        <v>666</v>
      </c>
      <c r="G34" s="79" t="s">
        <v>667</v>
      </c>
      <c r="H34" s="79" t="s">
        <v>532</v>
      </c>
      <c r="I34" s="77" t="s">
        <v>574</v>
      </c>
      <c r="J34" s="77" t="s">
        <v>13</v>
      </c>
      <c r="K34" s="79" t="s">
        <v>598</v>
      </c>
      <c r="L34" s="7" t="str">
        <f>IF(BudgetsTable[[#This Row],[pi_last_name]]=" ","",HYPERLINK("https://www.ejacket.nsf.gov/ej/showProposal.do?Continue=Y&amp;ID="&amp;BudgetsTable[[#This Row],[prop_id]],BudgetsTable[[#This Row],[prop_id]]))</f>
        <v/>
      </c>
      <c r="M34" s="15" t="str">
        <f>IF(BudgetsTable[[#This Row],[pi_last_name]]=" ","",HYPERLINK("https://www.ejacket.nsf.gov/ej/processReviewAnalysis.do?dispatch=add&amp;uniqId="&amp;BudgetsTable[[#This Row],[prop_id]]&amp;PO_id,"&gt;ra"))</f>
        <v/>
      </c>
      <c r="N34" s="79" t="s">
        <v>13</v>
      </c>
      <c r="O34" s="7" t="str">
        <f>IF(BudgetsTable[[#This Row],[pi_last_name]]=" ","",HYPERLINK("mailto:"&amp;BudgetsTable[[#This Row],[pi_email]]&amp;"&amp;subject=Your NSF Proposal:  "&amp;BudgetsTable[[#This Row],[prop_id]],BudgetsTable[[#This Row],[pi_email]]))</f>
        <v/>
      </c>
      <c r="P34" s="79" t="s">
        <v>13</v>
      </c>
      <c r="Q34" s="79">
        <v>2</v>
      </c>
      <c r="R34" s="79">
        <v>1.5</v>
      </c>
      <c r="S34" s="80">
        <v>0</v>
      </c>
      <c r="T34" s="80">
        <v>0</v>
      </c>
      <c r="U34" s="80">
        <v>1000</v>
      </c>
      <c r="V34" s="81">
        <v>149943</v>
      </c>
      <c r="W34" s="79">
        <v>0</v>
      </c>
      <c r="X34" s="79">
        <v>3</v>
      </c>
      <c r="Y34" s="11" t="str">
        <f ca="1">IF(ISBLANK(BudgetsTable[[#This Row],[budg_seq_yr]]),"FY"&amp;fiscalyear,"FY"&amp;fiscalyear-1+BudgetsTable[[#This Row],[budg_seq_yr]])</f>
        <v>FY20</v>
      </c>
      <c r="Z34" s="80">
        <v>149943</v>
      </c>
      <c r="AA34" s="79" t="s">
        <v>667</v>
      </c>
      <c r="AB34" s="79" t="s">
        <v>532</v>
      </c>
      <c r="AC34" s="77" t="s">
        <v>94</v>
      </c>
      <c r="AD34" s="79" t="s">
        <v>669</v>
      </c>
    </row>
    <row r="35" spans="1:30" x14ac:dyDescent="0.25">
      <c r="A35" s="10" t="s">
        <v>604</v>
      </c>
      <c r="B35" s="77" t="s">
        <v>95</v>
      </c>
      <c r="C35" s="77">
        <f>C34+(BudgetsTable[[#This Row],[lead]]&lt;&gt;K34)</f>
        <v>17</v>
      </c>
      <c r="D35" s="77">
        <f>D34*(BudgetsTable[[#This Row],[lead]]=K34)+(BudgetsTable[[#This Row],[prop_id]]&lt;&gt;A34)</f>
        <v>1</v>
      </c>
      <c r="E35" s="78">
        <v>42993.447916666664</v>
      </c>
      <c r="F35" s="79" t="s">
        <v>666</v>
      </c>
      <c r="G35" s="79" t="s">
        <v>667</v>
      </c>
      <c r="H35" s="79" t="s">
        <v>532</v>
      </c>
      <c r="I35" s="77" t="s">
        <v>574</v>
      </c>
      <c r="J35" s="77" t="s">
        <v>709</v>
      </c>
      <c r="K35" s="79" t="s">
        <v>604</v>
      </c>
      <c r="L35" s="7" t="str">
        <f>IF(BudgetsTable[[#This Row],[pi_last_name]]=" ","",HYPERLINK("https://www.ejacket.nsf.gov/ej/showProposal.do?Continue=Y&amp;ID="&amp;BudgetsTable[[#This Row],[prop_id]],BudgetsTable[[#This Row],[prop_id]]))</f>
        <v>1761370</v>
      </c>
      <c r="M35" s="15" t="e">
        <f>IF(BudgetsTable[[#This Row],[pi_last_name]]=" ","",HYPERLINK("https://www.ejacket.nsf.gov/ej/processReviewAnalysis.do?dispatch=add&amp;uniqId="&amp;BudgetsTable[[#This Row],[prop_id]]&amp;PO_id,"&gt;ra"))</f>
        <v>#REF!</v>
      </c>
      <c r="N35" s="79" t="s">
        <v>605</v>
      </c>
      <c r="O35" s="7" t="str">
        <f>IF(BudgetsTable[[#This Row],[pi_last_name]]=" ","",HYPERLINK("mailto:"&amp;BudgetsTable[[#This Row],[pi_email]]&amp;"&amp;subject=Your NSF Proposal:  "&amp;BudgetsTable[[#This Row],[prop_id]],BudgetsTable[[#This Row],[pi_email]]))</f>
        <v>lucko@cua.edu</v>
      </c>
      <c r="P35" s="79" t="s">
        <v>707</v>
      </c>
      <c r="Q35" s="79"/>
      <c r="R35" s="79"/>
      <c r="S35" s="80"/>
      <c r="T35" s="80"/>
      <c r="U35" s="80"/>
      <c r="V35" s="81"/>
      <c r="W35" s="79">
        <v>0</v>
      </c>
      <c r="X35" s="79"/>
      <c r="Y35" s="11" t="str">
        <f ca="1">IF(ISBLANK(BudgetsTable[[#This Row],[budg_seq_yr]]),"FY"&amp;fiscalyear,"FY"&amp;fiscalyear-1+BudgetsTable[[#This Row],[budg_seq_yr]])</f>
        <v>FY18</v>
      </c>
      <c r="Z35" s="80">
        <v>305924</v>
      </c>
      <c r="AA35" s="79" t="s">
        <v>667</v>
      </c>
      <c r="AB35" s="79" t="s">
        <v>532</v>
      </c>
      <c r="AC35" s="77" t="s">
        <v>94</v>
      </c>
      <c r="AD35" s="79" t="s">
        <v>669</v>
      </c>
    </row>
    <row r="36" spans="1:30" x14ac:dyDescent="0.25">
      <c r="A36" s="10" t="s">
        <v>604</v>
      </c>
      <c r="B36" s="77" t="s">
        <v>95</v>
      </c>
      <c r="C36" s="77">
        <f>C35+(BudgetsTable[[#This Row],[lead]]&lt;&gt;K35)</f>
        <v>17</v>
      </c>
      <c r="D36" s="77">
        <f>D35*(BudgetsTable[[#This Row],[lead]]=K35)+(BudgetsTable[[#This Row],[prop_id]]&lt;&gt;A35)</f>
        <v>1</v>
      </c>
      <c r="E36" s="78">
        <v>42993.447916666664</v>
      </c>
      <c r="F36" s="79" t="s">
        <v>666</v>
      </c>
      <c r="G36" s="79" t="s">
        <v>667</v>
      </c>
      <c r="H36" s="79" t="s">
        <v>532</v>
      </c>
      <c r="I36" s="77" t="s">
        <v>574</v>
      </c>
      <c r="J36" s="77" t="s">
        <v>13</v>
      </c>
      <c r="K36" s="79" t="s">
        <v>604</v>
      </c>
      <c r="L36" s="7" t="str">
        <f>IF(BudgetsTable[[#This Row],[pi_last_name]]=" ","",HYPERLINK("https://www.ejacket.nsf.gov/ej/showProposal.do?Continue=Y&amp;ID="&amp;BudgetsTable[[#This Row],[prop_id]],BudgetsTable[[#This Row],[prop_id]]))</f>
        <v/>
      </c>
      <c r="M36" s="15" t="str">
        <f>IF(BudgetsTable[[#This Row],[pi_last_name]]=" ","",HYPERLINK("https://www.ejacket.nsf.gov/ej/processReviewAnalysis.do?dispatch=add&amp;uniqId="&amp;BudgetsTable[[#This Row],[prop_id]]&amp;PO_id,"&gt;ra"))</f>
        <v/>
      </c>
      <c r="N36" s="79" t="s">
        <v>13</v>
      </c>
      <c r="O36" s="7" t="str">
        <f>IF(BudgetsTable[[#This Row],[pi_last_name]]=" ","",HYPERLINK("mailto:"&amp;BudgetsTable[[#This Row],[pi_email]]&amp;"&amp;subject=Your NSF Proposal:  "&amp;BudgetsTable[[#This Row],[prop_id]],BudgetsTable[[#This Row],[pi_email]]))</f>
        <v/>
      </c>
      <c r="P36" s="79" t="s">
        <v>13</v>
      </c>
      <c r="Q36" s="79">
        <v>1</v>
      </c>
      <c r="R36" s="79">
        <v>1</v>
      </c>
      <c r="S36" s="80">
        <v>20000</v>
      </c>
      <c r="T36" s="80">
        <v>0</v>
      </c>
      <c r="U36" s="80">
        <v>100</v>
      </c>
      <c r="V36" s="81">
        <v>107802</v>
      </c>
      <c r="W36" s="79">
        <v>0</v>
      </c>
      <c r="X36" s="79">
        <v>1</v>
      </c>
      <c r="Y36" s="11" t="str">
        <f ca="1">IF(ISBLANK(BudgetsTable[[#This Row],[budg_seq_yr]]),"FY"&amp;fiscalyear,"FY"&amp;fiscalyear-1+BudgetsTable[[#This Row],[budg_seq_yr]])</f>
        <v>FY18</v>
      </c>
      <c r="Z36" s="80">
        <v>107802</v>
      </c>
      <c r="AA36" s="79" t="s">
        <v>667</v>
      </c>
      <c r="AB36" s="79" t="s">
        <v>532</v>
      </c>
      <c r="AC36" s="77" t="s">
        <v>94</v>
      </c>
      <c r="AD36" s="79" t="s">
        <v>669</v>
      </c>
    </row>
    <row r="37" spans="1:30" x14ac:dyDescent="0.25">
      <c r="A37" s="10" t="s">
        <v>604</v>
      </c>
      <c r="B37" s="77" t="s">
        <v>95</v>
      </c>
      <c r="C37" s="77">
        <f>C36+(BudgetsTable[[#This Row],[lead]]&lt;&gt;K36)</f>
        <v>17</v>
      </c>
      <c r="D37" s="77">
        <f>D36*(BudgetsTable[[#This Row],[lead]]=K36)+(BudgetsTable[[#This Row],[prop_id]]&lt;&gt;A36)</f>
        <v>1</v>
      </c>
      <c r="E37" s="78">
        <v>42993.447916666664</v>
      </c>
      <c r="F37" s="79" t="s">
        <v>666</v>
      </c>
      <c r="G37" s="79" t="s">
        <v>667</v>
      </c>
      <c r="H37" s="79" t="s">
        <v>532</v>
      </c>
      <c r="I37" s="77" t="s">
        <v>574</v>
      </c>
      <c r="J37" s="77" t="s">
        <v>13</v>
      </c>
      <c r="K37" s="79" t="s">
        <v>604</v>
      </c>
      <c r="L37" s="7" t="str">
        <f>IF(BudgetsTable[[#This Row],[pi_last_name]]=" ","",HYPERLINK("https://www.ejacket.nsf.gov/ej/showProposal.do?Continue=Y&amp;ID="&amp;BudgetsTable[[#This Row],[prop_id]],BudgetsTable[[#This Row],[prop_id]]))</f>
        <v/>
      </c>
      <c r="M37" s="15" t="str">
        <f>IF(BudgetsTable[[#This Row],[pi_last_name]]=" ","",HYPERLINK("https://www.ejacket.nsf.gov/ej/processReviewAnalysis.do?dispatch=add&amp;uniqId="&amp;BudgetsTable[[#This Row],[prop_id]]&amp;PO_id,"&gt;ra"))</f>
        <v/>
      </c>
      <c r="N37" s="79" t="s">
        <v>13</v>
      </c>
      <c r="O37" s="7" t="str">
        <f>IF(BudgetsTable[[#This Row],[pi_last_name]]=" ","",HYPERLINK("mailto:"&amp;BudgetsTable[[#This Row],[pi_email]]&amp;"&amp;subject=Your NSF Proposal:  "&amp;BudgetsTable[[#This Row],[prop_id]],BudgetsTable[[#This Row],[pi_email]]))</f>
        <v/>
      </c>
      <c r="P37" s="79" t="s">
        <v>13</v>
      </c>
      <c r="Q37" s="79">
        <v>1</v>
      </c>
      <c r="R37" s="79">
        <v>1</v>
      </c>
      <c r="S37" s="80">
        <v>21000</v>
      </c>
      <c r="T37" s="80">
        <v>0</v>
      </c>
      <c r="U37" s="80">
        <v>100</v>
      </c>
      <c r="V37" s="81">
        <v>110529</v>
      </c>
      <c r="W37" s="79">
        <v>0</v>
      </c>
      <c r="X37" s="79">
        <v>2</v>
      </c>
      <c r="Y37" s="11" t="str">
        <f ca="1">IF(ISBLANK(BudgetsTable[[#This Row],[budg_seq_yr]]),"FY"&amp;fiscalyear,"FY"&amp;fiscalyear-1+BudgetsTable[[#This Row],[budg_seq_yr]])</f>
        <v>FY19</v>
      </c>
      <c r="Z37" s="80">
        <v>110529</v>
      </c>
      <c r="AA37" s="79" t="s">
        <v>667</v>
      </c>
      <c r="AB37" s="79" t="s">
        <v>532</v>
      </c>
      <c r="AC37" s="77" t="s">
        <v>94</v>
      </c>
      <c r="AD37" s="79" t="s">
        <v>669</v>
      </c>
    </row>
    <row r="38" spans="1:30" x14ac:dyDescent="0.25">
      <c r="A38" s="10" t="s">
        <v>604</v>
      </c>
      <c r="B38" s="77" t="s">
        <v>95</v>
      </c>
      <c r="C38" s="77">
        <f>C37+(BudgetsTable[[#This Row],[lead]]&lt;&gt;K37)</f>
        <v>17</v>
      </c>
      <c r="D38" s="77">
        <f>D37*(BudgetsTable[[#This Row],[lead]]=K37)+(BudgetsTable[[#This Row],[prop_id]]&lt;&gt;A37)</f>
        <v>1</v>
      </c>
      <c r="E38" s="78">
        <v>42993.447916666664</v>
      </c>
      <c r="F38" s="79" t="s">
        <v>666</v>
      </c>
      <c r="G38" s="79" t="s">
        <v>667</v>
      </c>
      <c r="H38" s="79" t="s">
        <v>532</v>
      </c>
      <c r="I38" s="77" t="s">
        <v>574</v>
      </c>
      <c r="J38" s="77" t="s">
        <v>13</v>
      </c>
      <c r="K38" s="79" t="s">
        <v>604</v>
      </c>
      <c r="L38" s="7" t="str">
        <f>IF(BudgetsTable[[#This Row],[pi_last_name]]=" ","",HYPERLINK("https://www.ejacket.nsf.gov/ej/showProposal.do?Continue=Y&amp;ID="&amp;BudgetsTable[[#This Row],[prop_id]],BudgetsTable[[#This Row],[prop_id]]))</f>
        <v/>
      </c>
      <c r="M38" s="15" t="str">
        <f>IF(BudgetsTable[[#This Row],[pi_last_name]]=" ","",HYPERLINK("https://www.ejacket.nsf.gov/ej/processReviewAnalysis.do?dispatch=add&amp;uniqId="&amp;BudgetsTable[[#This Row],[prop_id]]&amp;PO_id,"&gt;ra"))</f>
        <v/>
      </c>
      <c r="N38" s="79" t="s">
        <v>13</v>
      </c>
      <c r="O38" s="7" t="str">
        <f>IF(BudgetsTable[[#This Row],[pi_last_name]]=" ","",HYPERLINK("mailto:"&amp;BudgetsTable[[#This Row],[pi_email]]&amp;"&amp;subject=Your NSF Proposal:  "&amp;BudgetsTable[[#This Row],[prop_id]],BudgetsTable[[#This Row],[pi_email]]))</f>
        <v/>
      </c>
      <c r="P38" s="79" t="s">
        <v>13</v>
      </c>
      <c r="Q38" s="79">
        <v>1</v>
      </c>
      <c r="R38" s="79">
        <v>1</v>
      </c>
      <c r="S38" s="80">
        <v>22050</v>
      </c>
      <c r="T38" s="80">
        <v>2500</v>
      </c>
      <c r="U38" s="80">
        <v>100</v>
      </c>
      <c r="V38" s="81">
        <v>87593</v>
      </c>
      <c r="W38" s="79">
        <v>0</v>
      </c>
      <c r="X38" s="79">
        <v>3</v>
      </c>
      <c r="Y38" s="11" t="str">
        <f ca="1">IF(ISBLANK(BudgetsTable[[#This Row],[budg_seq_yr]]),"FY"&amp;fiscalyear,"FY"&amp;fiscalyear-1+BudgetsTable[[#This Row],[budg_seq_yr]])</f>
        <v>FY20</v>
      </c>
      <c r="Z38" s="80">
        <v>87593</v>
      </c>
      <c r="AA38" s="79" t="s">
        <v>667</v>
      </c>
      <c r="AB38" s="79" t="s">
        <v>532</v>
      </c>
      <c r="AC38" s="77" t="s">
        <v>94</v>
      </c>
      <c r="AD38" s="79" t="s">
        <v>669</v>
      </c>
    </row>
    <row r="39" spans="1:30" x14ac:dyDescent="0.25">
      <c r="A39" s="10" t="s">
        <v>609</v>
      </c>
      <c r="B39" s="77" t="s">
        <v>95</v>
      </c>
      <c r="C39" s="77">
        <f>C38+(BudgetsTable[[#This Row],[lead]]&lt;&gt;K38)</f>
        <v>18</v>
      </c>
      <c r="D39" s="77">
        <f>D38*(BudgetsTable[[#This Row],[lead]]=K38)+(BudgetsTable[[#This Row],[prop_id]]&lt;&gt;A38)</f>
        <v>1</v>
      </c>
      <c r="E39" s="78">
        <v>42993.449305555558</v>
      </c>
      <c r="F39" s="79" t="s">
        <v>666</v>
      </c>
      <c r="G39" s="79" t="s">
        <v>667</v>
      </c>
      <c r="H39" s="79" t="s">
        <v>532</v>
      </c>
      <c r="I39" s="77" t="s">
        <v>574</v>
      </c>
      <c r="J39" s="77" t="s">
        <v>709</v>
      </c>
      <c r="K39" s="79" t="s">
        <v>609</v>
      </c>
      <c r="L39" s="7" t="str">
        <f>IF(BudgetsTable[[#This Row],[pi_last_name]]=" ","",HYPERLINK("https://www.ejacket.nsf.gov/ej/showProposal.do?Continue=Y&amp;ID="&amp;BudgetsTable[[#This Row],[prop_id]],BudgetsTable[[#This Row],[prop_id]]))</f>
        <v>1761372</v>
      </c>
      <c r="M39" s="15" t="e">
        <f>IF(BudgetsTable[[#This Row],[pi_last_name]]=" ","",HYPERLINK("https://www.ejacket.nsf.gov/ej/processReviewAnalysis.do?dispatch=add&amp;uniqId="&amp;BudgetsTable[[#This Row],[prop_id]]&amp;PO_id,"&gt;ra"))</f>
        <v>#REF!</v>
      </c>
      <c r="N39" s="79" t="s">
        <v>605</v>
      </c>
      <c r="O39" s="7" t="str">
        <f>IF(BudgetsTable[[#This Row],[pi_last_name]]=" ","",HYPERLINK("mailto:"&amp;BudgetsTable[[#This Row],[pi_email]]&amp;"&amp;subject=Your NSF Proposal:  "&amp;BudgetsTable[[#This Row],[prop_id]],BudgetsTable[[#This Row],[pi_email]]))</f>
        <v>lucko@cua.edu</v>
      </c>
      <c r="P39" s="79" t="s">
        <v>707</v>
      </c>
      <c r="Q39" s="79"/>
      <c r="R39" s="79"/>
      <c r="S39" s="80"/>
      <c r="T39" s="80"/>
      <c r="U39" s="80"/>
      <c r="V39" s="81"/>
      <c r="W39" s="79">
        <v>0</v>
      </c>
      <c r="X39" s="79"/>
      <c r="Y39" s="11" t="str">
        <f ca="1">IF(ISBLANK(BudgetsTable[[#This Row],[budg_seq_yr]]),"FY"&amp;fiscalyear,"FY"&amp;fiscalyear-1+BudgetsTable[[#This Row],[budg_seq_yr]])</f>
        <v>FY18</v>
      </c>
      <c r="Z39" s="80">
        <v>308306</v>
      </c>
      <c r="AA39" s="79" t="s">
        <v>667</v>
      </c>
      <c r="AB39" s="79" t="s">
        <v>532</v>
      </c>
      <c r="AC39" s="77" t="s">
        <v>94</v>
      </c>
      <c r="AD39" s="79" t="s">
        <v>669</v>
      </c>
    </row>
    <row r="40" spans="1:30" x14ac:dyDescent="0.25">
      <c r="A40" s="10" t="s">
        <v>609</v>
      </c>
      <c r="B40" s="77" t="s">
        <v>95</v>
      </c>
      <c r="C40" s="77">
        <f>C39+(BudgetsTable[[#This Row],[lead]]&lt;&gt;K39)</f>
        <v>18</v>
      </c>
      <c r="D40" s="77">
        <f>D39*(BudgetsTable[[#This Row],[lead]]=K39)+(BudgetsTable[[#This Row],[prop_id]]&lt;&gt;A39)</f>
        <v>1</v>
      </c>
      <c r="E40" s="78">
        <v>42993.449305555558</v>
      </c>
      <c r="F40" s="79" t="s">
        <v>666</v>
      </c>
      <c r="G40" s="79" t="s">
        <v>667</v>
      </c>
      <c r="H40" s="79" t="s">
        <v>532</v>
      </c>
      <c r="I40" s="77" t="s">
        <v>574</v>
      </c>
      <c r="J40" s="77" t="s">
        <v>13</v>
      </c>
      <c r="K40" s="79" t="s">
        <v>609</v>
      </c>
      <c r="L40" s="7" t="str">
        <f>IF(BudgetsTable[[#This Row],[pi_last_name]]=" ","",HYPERLINK("https://www.ejacket.nsf.gov/ej/showProposal.do?Continue=Y&amp;ID="&amp;BudgetsTable[[#This Row],[prop_id]],BudgetsTable[[#This Row],[prop_id]]))</f>
        <v/>
      </c>
      <c r="M40" s="15" t="str">
        <f>IF(BudgetsTable[[#This Row],[pi_last_name]]=" ","",HYPERLINK("https://www.ejacket.nsf.gov/ej/processReviewAnalysis.do?dispatch=add&amp;uniqId="&amp;BudgetsTable[[#This Row],[prop_id]]&amp;PO_id,"&gt;ra"))</f>
        <v/>
      </c>
      <c r="N40" s="79" t="s">
        <v>13</v>
      </c>
      <c r="O40" s="7" t="str">
        <f>IF(BudgetsTable[[#This Row],[pi_last_name]]=" ","",HYPERLINK("mailto:"&amp;BudgetsTable[[#This Row],[pi_email]]&amp;"&amp;subject=Your NSF Proposal:  "&amp;BudgetsTable[[#This Row],[prop_id]],BudgetsTable[[#This Row],[pi_email]]))</f>
        <v/>
      </c>
      <c r="P40" s="79" t="s">
        <v>13</v>
      </c>
      <c r="Q40" s="79">
        <v>2</v>
      </c>
      <c r="R40" s="79">
        <v>1.5</v>
      </c>
      <c r="S40" s="80">
        <v>20000</v>
      </c>
      <c r="T40" s="80">
        <v>0</v>
      </c>
      <c r="U40" s="80">
        <v>100</v>
      </c>
      <c r="V40" s="81">
        <v>111710</v>
      </c>
      <c r="W40" s="79">
        <v>0</v>
      </c>
      <c r="X40" s="79">
        <v>1</v>
      </c>
      <c r="Y40" s="11" t="str">
        <f ca="1">IF(ISBLANK(BudgetsTable[[#This Row],[budg_seq_yr]]),"FY"&amp;fiscalyear,"FY"&amp;fiscalyear-1+BudgetsTable[[#This Row],[budg_seq_yr]])</f>
        <v>FY18</v>
      </c>
      <c r="Z40" s="80">
        <v>111710</v>
      </c>
      <c r="AA40" s="79" t="s">
        <v>667</v>
      </c>
      <c r="AB40" s="79" t="s">
        <v>532</v>
      </c>
      <c r="AC40" s="77" t="s">
        <v>94</v>
      </c>
      <c r="AD40" s="79" t="s">
        <v>669</v>
      </c>
    </row>
    <row r="41" spans="1:30" x14ac:dyDescent="0.25">
      <c r="A41" s="10" t="s">
        <v>609</v>
      </c>
      <c r="B41" s="77" t="s">
        <v>95</v>
      </c>
      <c r="C41" s="77">
        <f>C40+(BudgetsTable[[#This Row],[lead]]&lt;&gt;K40)</f>
        <v>18</v>
      </c>
      <c r="D41" s="77">
        <f>D40*(BudgetsTable[[#This Row],[lead]]=K40)+(BudgetsTable[[#This Row],[prop_id]]&lt;&gt;A40)</f>
        <v>1</v>
      </c>
      <c r="E41" s="78">
        <v>42993.449305555558</v>
      </c>
      <c r="F41" s="79" t="s">
        <v>666</v>
      </c>
      <c r="G41" s="79" t="s">
        <v>667</v>
      </c>
      <c r="H41" s="79" t="s">
        <v>532</v>
      </c>
      <c r="I41" s="77" t="s">
        <v>574</v>
      </c>
      <c r="J41" s="77" t="s">
        <v>13</v>
      </c>
      <c r="K41" s="79" t="s">
        <v>609</v>
      </c>
      <c r="L41" s="7" t="str">
        <f>IF(BudgetsTable[[#This Row],[pi_last_name]]=" ","",HYPERLINK("https://www.ejacket.nsf.gov/ej/showProposal.do?Continue=Y&amp;ID="&amp;BudgetsTable[[#This Row],[prop_id]],BudgetsTable[[#This Row],[prop_id]]))</f>
        <v/>
      </c>
      <c r="M41" s="15" t="str">
        <f>IF(BudgetsTable[[#This Row],[pi_last_name]]=" ","",HYPERLINK("https://www.ejacket.nsf.gov/ej/processReviewAnalysis.do?dispatch=add&amp;uniqId="&amp;BudgetsTable[[#This Row],[prop_id]]&amp;PO_id,"&gt;ra"))</f>
        <v/>
      </c>
      <c r="N41" s="79" t="s">
        <v>13</v>
      </c>
      <c r="O41" s="7" t="str">
        <f>IF(BudgetsTable[[#This Row],[pi_last_name]]=" ","",HYPERLINK("mailto:"&amp;BudgetsTable[[#This Row],[pi_email]]&amp;"&amp;subject=Your NSF Proposal:  "&amp;BudgetsTable[[#This Row],[prop_id]],BudgetsTable[[#This Row],[pi_email]]))</f>
        <v/>
      </c>
      <c r="P41" s="79" t="s">
        <v>13</v>
      </c>
      <c r="Q41" s="79">
        <v>2</v>
      </c>
      <c r="R41" s="79">
        <v>1.5</v>
      </c>
      <c r="S41" s="80">
        <v>21000</v>
      </c>
      <c r="T41" s="80">
        <v>0</v>
      </c>
      <c r="U41" s="80">
        <v>100</v>
      </c>
      <c r="V41" s="81">
        <v>114928</v>
      </c>
      <c r="W41" s="79">
        <v>0</v>
      </c>
      <c r="X41" s="79">
        <v>2</v>
      </c>
      <c r="Y41" s="11" t="str">
        <f ca="1">IF(ISBLANK(BudgetsTable[[#This Row],[budg_seq_yr]]),"FY"&amp;fiscalyear,"FY"&amp;fiscalyear-1+BudgetsTable[[#This Row],[budg_seq_yr]])</f>
        <v>FY19</v>
      </c>
      <c r="Z41" s="80">
        <v>114928</v>
      </c>
      <c r="AA41" s="79" t="s">
        <v>667</v>
      </c>
      <c r="AB41" s="79" t="s">
        <v>532</v>
      </c>
      <c r="AC41" s="77" t="s">
        <v>94</v>
      </c>
      <c r="AD41" s="79" t="s">
        <v>669</v>
      </c>
    </row>
    <row r="42" spans="1:30" x14ac:dyDescent="0.25">
      <c r="A42" s="10" t="s">
        <v>609</v>
      </c>
      <c r="B42" s="77" t="s">
        <v>95</v>
      </c>
      <c r="C42" s="77">
        <f>C41+(BudgetsTable[[#This Row],[lead]]&lt;&gt;K41)</f>
        <v>18</v>
      </c>
      <c r="D42" s="77">
        <f>D41*(BudgetsTable[[#This Row],[lead]]=K41)+(BudgetsTable[[#This Row],[prop_id]]&lt;&gt;A41)</f>
        <v>1</v>
      </c>
      <c r="E42" s="78">
        <v>42993.449305555558</v>
      </c>
      <c r="F42" s="79" t="s">
        <v>666</v>
      </c>
      <c r="G42" s="79" t="s">
        <v>667</v>
      </c>
      <c r="H42" s="79" t="s">
        <v>532</v>
      </c>
      <c r="I42" s="77" t="s">
        <v>574</v>
      </c>
      <c r="J42" s="77" t="s">
        <v>13</v>
      </c>
      <c r="K42" s="79" t="s">
        <v>609</v>
      </c>
      <c r="L42" s="7" t="str">
        <f>IF(BudgetsTable[[#This Row],[pi_last_name]]=" ","",HYPERLINK("https://www.ejacket.nsf.gov/ej/showProposal.do?Continue=Y&amp;ID="&amp;BudgetsTable[[#This Row],[prop_id]],BudgetsTable[[#This Row],[prop_id]]))</f>
        <v/>
      </c>
      <c r="M42" s="15" t="str">
        <f>IF(BudgetsTable[[#This Row],[pi_last_name]]=" ","",HYPERLINK("https://www.ejacket.nsf.gov/ej/processReviewAnalysis.do?dispatch=add&amp;uniqId="&amp;BudgetsTable[[#This Row],[prop_id]]&amp;PO_id,"&gt;ra"))</f>
        <v/>
      </c>
      <c r="N42" s="79" t="s">
        <v>13</v>
      </c>
      <c r="O42" s="7" t="str">
        <f>IF(BudgetsTable[[#This Row],[pi_last_name]]=" ","",HYPERLINK("mailto:"&amp;BudgetsTable[[#This Row],[pi_email]]&amp;"&amp;subject=Your NSF Proposal:  "&amp;BudgetsTable[[#This Row],[prop_id]],BudgetsTable[[#This Row],[pi_email]]))</f>
        <v/>
      </c>
      <c r="P42" s="79" t="s">
        <v>13</v>
      </c>
      <c r="Q42" s="79">
        <v>1</v>
      </c>
      <c r="R42" s="79">
        <v>1</v>
      </c>
      <c r="S42" s="80">
        <v>22050</v>
      </c>
      <c r="T42" s="80">
        <v>2500</v>
      </c>
      <c r="U42" s="80">
        <v>100</v>
      </c>
      <c r="V42" s="81">
        <v>81668</v>
      </c>
      <c r="W42" s="79">
        <v>0</v>
      </c>
      <c r="X42" s="79">
        <v>3</v>
      </c>
      <c r="Y42" s="11" t="str">
        <f ca="1">IF(ISBLANK(BudgetsTable[[#This Row],[budg_seq_yr]]),"FY"&amp;fiscalyear,"FY"&amp;fiscalyear-1+BudgetsTable[[#This Row],[budg_seq_yr]])</f>
        <v>FY20</v>
      </c>
      <c r="Z42" s="80">
        <v>81668</v>
      </c>
      <c r="AA42" s="79" t="s">
        <v>667</v>
      </c>
      <c r="AB42" s="79" t="s">
        <v>532</v>
      </c>
      <c r="AC42" s="77" t="s">
        <v>94</v>
      </c>
      <c r="AD42" s="79" t="s">
        <v>669</v>
      </c>
    </row>
    <row r="43" spans="1:30" x14ac:dyDescent="0.25">
      <c r="A43" s="10" t="s">
        <v>616</v>
      </c>
      <c r="B43" s="77" t="s">
        <v>475</v>
      </c>
      <c r="C43" s="77">
        <f>C42+(BudgetsTable[[#This Row],[lead]]&lt;&gt;K42)</f>
        <v>19</v>
      </c>
      <c r="D43" s="77">
        <f>D42*(BudgetsTable[[#This Row],[lead]]=K42)+(BudgetsTable[[#This Row],[prop_id]]&lt;&gt;A42)</f>
        <v>1</v>
      </c>
      <c r="E43" s="78">
        <v>42993.551388888889</v>
      </c>
      <c r="F43" s="79" t="s">
        <v>666</v>
      </c>
      <c r="G43" s="79" t="s">
        <v>667</v>
      </c>
      <c r="H43" s="79" t="s">
        <v>532</v>
      </c>
      <c r="I43" s="77" t="s">
        <v>574</v>
      </c>
      <c r="J43" s="77" t="s">
        <v>715</v>
      </c>
      <c r="K43" s="79" t="s">
        <v>616</v>
      </c>
      <c r="L43" s="7" t="str">
        <f>IF(BudgetsTable[[#This Row],[pi_last_name]]=" ","",HYPERLINK("https://www.ejacket.nsf.gov/ej/showProposal.do?Continue=Y&amp;ID="&amp;BudgetsTable[[#This Row],[prop_id]],BudgetsTable[[#This Row],[prop_id]]))</f>
        <v>1761479</v>
      </c>
      <c r="M43" s="15" t="e">
        <f>IF(BudgetsTable[[#This Row],[pi_last_name]]=" ","",HYPERLINK("https://www.ejacket.nsf.gov/ej/processReviewAnalysis.do?dispatch=add&amp;uniqId="&amp;BudgetsTable[[#This Row],[prop_id]]&amp;PO_id,"&gt;ra"))</f>
        <v>#REF!</v>
      </c>
      <c r="N43" s="79" t="s">
        <v>617</v>
      </c>
      <c r="O43" s="7" t="str">
        <f>IF(BudgetsTable[[#This Row],[pi_last_name]]=" ","",HYPERLINK("mailto:"&amp;BudgetsTable[[#This Row],[pi_email]]&amp;"&amp;subject=Your NSF Proposal:  "&amp;BudgetsTable[[#This Row],[prop_id]],BudgetsTable[[#This Row],[pi_email]]))</f>
        <v>fei.dai@mail.wvu.edu</v>
      </c>
      <c r="P43" s="79" t="s">
        <v>712</v>
      </c>
      <c r="Q43" s="79"/>
      <c r="R43" s="79"/>
      <c r="S43" s="80"/>
      <c r="T43" s="80"/>
      <c r="U43" s="80"/>
      <c r="V43" s="81"/>
      <c r="W43" s="79">
        <v>0</v>
      </c>
      <c r="X43" s="79"/>
      <c r="Y43" s="11" t="str">
        <f ca="1">IF(ISBLANK(BudgetsTable[[#This Row],[budg_seq_yr]]),"FY"&amp;fiscalyear,"FY"&amp;fiscalyear-1+BudgetsTable[[#This Row],[budg_seq_yr]])</f>
        <v>FY18</v>
      </c>
      <c r="Z43" s="80">
        <v>210453</v>
      </c>
      <c r="AA43" s="79" t="s">
        <v>667</v>
      </c>
      <c r="AB43" s="79" t="s">
        <v>532</v>
      </c>
      <c r="AC43" s="77" t="s">
        <v>94</v>
      </c>
      <c r="AD43" s="79" t="s">
        <v>681</v>
      </c>
    </row>
    <row r="44" spans="1:30" x14ac:dyDescent="0.25">
      <c r="A44" s="10" t="s">
        <v>616</v>
      </c>
      <c r="B44" s="77" t="s">
        <v>475</v>
      </c>
      <c r="C44" s="77">
        <f>C43+(BudgetsTable[[#This Row],[lead]]&lt;&gt;K43)</f>
        <v>19</v>
      </c>
      <c r="D44" s="77">
        <f>D43*(BudgetsTable[[#This Row],[lead]]=K43)+(BudgetsTable[[#This Row],[prop_id]]&lt;&gt;A43)</f>
        <v>1</v>
      </c>
      <c r="E44" s="78">
        <v>42993.551388888889</v>
      </c>
      <c r="F44" s="79" t="s">
        <v>666</v>
      </c>
      <c r="G44" s="79" t="s">
        <v>667</v>
      </c>
      <c r="H44" s="79" t="s">
        <v>532</v>
      </c>
      <c r="I44" s="77" t="s">
        <v>574</v>
      </c>
      <c r="J44" s="77" t="s">
        <v>13</v>
      </c>
      <c r="K44" s="79" t="s">
        <v>616</v>
      </c>
      <c r="L44" s="7" t="str">
        <f>IF(BudgetsTable[[#This Row],[pi_last_name]]=" ","",HYPERLINK("https://www.ejacket.nsf.gov/ej/showProposal.do?Continue=Y&amp;ID="&amp;BudgetsTable[[#This Row],[prop_id]],BudgetsTable[[#This Row],[prop_id]]))</f>
        <v/>
      </c>
      <c r="M44" s="15" t="str">
        <f>IF(BudgetsTable[[#This Row],[pi_last_name]]=" ","",HYPERLINK("https://www.ejacket.nsf.gov/ej/processReviewAnalysis.do?dispatch=add&amp;uniqId="&amp;BudgetsTable[[#This Row],[prop_id]]&amp;PO_id,"&gt;ra"))</f>
        <v/>
      </c>
      <c r="N44" s="79" t="s">
        <v>13</v>
      </c>
      <c r="O44" s="7" t="str">
        <f>IF(BudgetsTable[[#This Row],[pi_last_name]]=" ","",HYPERLINK("mailto:"&amp;BudgetsTable[[#This Row],[pi_email]]&amp;"&amp;subject=Your NSF Proposal:  "&amp;BudgetsTable[[#This Row],[prop_id]],BudgetsTable[[#This Row],[pi_email]]))</f>
        <v/>
      </c>
      <c r="P44" s="79" t="s">
        <v>13</v>
      </c>
      <c r="Q44" s="79">
        <v>2</v>
      </c>
      <c r="R44" s="79">
        <v>1</v>
      </c>
      <c r="S44" s="80">
        <v>0</v>
      </c>
      <c r="T44" s="80">
        <v>3350</v>
      </c>
      <c r="U44" s="80">
        <v>0</v>
      </c>
      <c r="V44" s="81">
        <v>72021</v>
      </c>
      <c r="W44" s="79">
        <v>0</v>
      </c>
      <c r="X44" s="79">
        <v>1</v>
      </c>
      <c r="Y44" s="11" t="str">
        <f ca="1">IF(ISBLANK(BudgetsTable[[#This Row],[budg_seq_yr]]),"FY"&amp;fiscalyear,"FY"&amp;fiscalyear-1+BudgetsTable[[#This Row],[budg_seq_yr]])</f>
        <v>FY18</v>
      </c>
      <c r="Z44" s="80">
        <v>72021</v>
      </c>
      <c r="AA44" s="79" t="s">
        <v>667</v>
      </c>
      <c r="AB44" s="79" t="s">
        <v>532</v>
      </c>
      <c r="AC44" s="77" t="s">
        <v>94</v>
      </c>
      <c r="AD44" s="79" t="s">
        <v>681</v>
      </c>
    </row>
    <row r="45" spans="1:30" x14ac:dyDescent="0.25">
      <c r="A45" s="10" t="s">
        <v>616</v>
      </c>
      <c r="B45" s="77" t="s">
        <v>475</v>
      </c>
      <c r="C45" s="77">
        <f>C44+(BudgetsTable[[#This Row],[lead]]&lt;&gt;K44)</f>
        <v>19</v>
      </c>
      <c r="D45" s="77">
        <f>D44*(BudgetsTable[[#This Row],[lead]]=K44)+(BudgetsTable[[#This Row],[prop_id]]&lt;&gt;A44)</f>
        <v>1</v>
      </c>
      <c r="E45" s="78">
        <v>42993.551388888889</v>
      </c>
      <c r="F45" s="79" t="s">
        <v>666</v>
      </c>
      <c r="G45" s="79" t="s">
        <v>667</v>
      </c>
      <c r="H45" s="79" t="s">
        <v>532</v>
      </c>
      <c r="I45" s="77" t="s">
        <v>574</v>
      </c>
      <c r="J45" s="77" t="s">
        <v>13</v>
      </c>
      <c r="K45" s="79" t="s">
        <v>616</v>
      </c>
      <c r="L45" s="7" t="str">
        <f>IF(BudgetsTable[[#This Row],[pi_last_name]]=" ","",HYPERLINK("https://www.ejacket.nsf.gov/ej/showProposal.do?Continue=Y&amp;ID="&amp;BudgetsTable[[#This Row],[prop_id]],BudgetsTable[[#This Row],[prop_id]]))</f>
        <v/>
      </c>
      <c r="M45" s="15" t="str">
        <f>IF(BudgetsTable[[#This Row],[pi_last_name]]=" ","",HYPERLINK("https://www.ejacket.nsf.gov/ej/processReviewAnalysis.do?dispatch=add&amp;uniqId="&amp;BudgetsTable[[#This Row],[prop_id]]&amp;PO_id,"&gt;ra"))</f>
        <v/>
      </c>
      <c r="N45" s="79" t="s">
        <v>13</v>
      </c>
      <c r="O45" s="7" t="str">
        <f>IF(BudgetsTable[[#This Row],[pi_last_name]]=" ","",HYPERLINK("mailto:"&amp;BudgetsTable[[#This Row],[pi_email]]&amp;"&amp;subject=Your NSF Proposal:  "&amp;BudgetsTable[[#This Row],[prop_id]],BudgetsTable[[#This Row],[pi_email]]))</f>
        <v/>
      </c>
      <c r="P45" s="79" t="s">
        <v>13</v>
      </c>
      <c r="Q45" s="79">
        <v>2</v>
      </c>
      <c r="R45" s="79">
        <v>1</v>
      </c>
      <c r="S45" s="80">
        <v>0</v>
      </c>
      <c r="T45" s="80">
        <v>3517</v>
      </c>
      <c r="U45" s="80">
        <v>0</v>
      </c>
      <c r="V45" s="81">
        <v>68127</v>
      </c>
      <c r="W45" s="79">
        <v>0</v>
      </c>
      <c r="X45" s="79">
        <v>2</v>
      </c>
      <c r="Y45" s="11" t="str">
        <f ca="1">IF(ISBLANK(BudgetsTable[[#This Row],[budg_seq_yr]]),"FY"&amp;fiscalyear,"FY"&amp;fiscalyear-1+BudgetsTable[[#This Row],[budg_seq_yr]])</f>
        <v>FY19</v>
      </c>
      <c r="Z45" s="80">
        <v>68127</v>
      </c>
      <c r="AA45" s="79" t="s">
        <v>667</v>
      </c>
      <c r="AB45" s="79" t="s">
        <v>532</v>
      </c>
      <c r="AC45" s="77" t="s">
        <v>94</v>
      </c>
      <c r="AD45" s="79" t="s">
        <v>681</v>
      </c>
    </row>
    <row r="46" spans="1:30" x14ac:dyDescent="0.25">
      <c r="A46" s="10" t="s">
        <v>616</v>
      </c>
      <c r="B46" s="77" t="s">
        <v>475</v>
      </c>
      <c r="C46" s="77">
        <f>C45+(BudgetsTable[[#This Row],[lead]]&lt;&gt;K45)</f>
        <v>19</v>
      </c>
      <c r="D46" s="77">
        <f>D45*(BudgetsTable[[#This Row],[lead]]=K45)+(BudgetsTable[[#This Row],[prop_id]]&lt;&gt;A45)</f>
        <v>1</v>
      </c>
      <c r="E46" s="78">
        <v>42993.551388888889</v>
      </c>
      <c r="F46" s="79" t="s">
        <v>666</v>
      </c>
      <c r="G46" s="79" t="s">
        <v>667</v>
      </c>
      <c r="H46" s="79" t="s">
        <v>532</v>
      </c>
      <c r="I46" s="77" t="s">
        <v>574</v>
      </c>
      <c r="J46" s="77" t="s">
        <v>13</v>
      </c>
      <c r="K46" s="79" t="s">
        <v>616</v>
      </c>
      <c r="L46" s="7" t="str">
        <f>IF(BudgetsTable[[#This Row],[pi_last_name]]=" ","",HYPERLINK("https://www.ejacket.nsf.gov/ej/showProposal.do?Continue=Y&amp;ID="&amp;BudgetsTable[[#This Row],[prop_id]],BudgetsTable[[#This Row],[prop_id]]))</f>
        <v/>
      </c>
      <c r="M46" s="15" t="str">
        <f>IF(BudgetsTable[[#This Row],[pi_last_name]]=" ","",HYPERLINK("https://www.ejacket.nsf.gov/ej/processReviewAnalysis.do?dispatch=add&amp;uniqId="&amp;BudgetsTable[[#This Row],[prop_id]]&amp;PO_id,"&gt;ra"))</f>
        <v/>
      </c>
      <c r="N46" s="79" t="s">
        <v>13</v>
      </c>
      <c r="O46" s="7" t="str">
        <f>IF(BudgetsTable[[#This Row],[pi_last_name]]=" ","",HYPERLINK("mailto:"&amp;BudgetsTable[[#This Row],[pi_email]]&amp;"&amp;subject=Your NSF Proposal:  "&amp;BudgetsTable[[#This Row],[prop_id]],BudgetsTable[[#This Row],[pi_email]]))</f>
        <v/>
      </c>
      <c r="P46" s="79" t="s">
        <v>13</v>
      </c>
      <c r="Q46" s="79">
        <v>2</v>
      </c>
      <c r="R46" s="79">
        <v>1</v>
      </c>
      <c r="S46" s="80">
        <v>0</v>
      </c>
      <c r="T46" s="80">
        <v>3693</v>
      </c>
      <c r="U46" s="80">
        <v>0</v>
      </c>
      <c r="V46" s="81">
        <v>70305</v>
      </c>
      <c r="W46" s="79">
        <v>0</v>
      </c>
      <c r="X46" s="79">
        <v>3</v>
      </c>
      <c r="Y46" s="11" t="str">
        <f ca="1">IF(ISBLANK(BudgetsTable[[#This Row],[budg_seq_yr]]),"FY"&amp;fiscalyear,"FY"&amp;fiscalyear-1+BudgetsTable[[#This Row],[budg_seq_yr]])</f>
        <v>FY20</v>
      </c>
      <c r="Z46" s="80">
        <v>70305</v>
      </c>
      <c r="AA46" s="79" t="s">
        <v>667</v>
      </c>
      <c r="AB46" s="79" t="s">
        <v>532</v>
      </c>
      <c r="AC46" s="77" t="s">
        <v>94</v>
      </c>
      <c r="AD46" s="79" t="s">
        <v>681</v>
      </c>
    </row>
    <row r="47" spans="1:30" x14ac:dyDescent="0.25">
      <c r="A47" s="10" t="s">
        <v>716</v>
      </c>
      <c r="B47" s="77" t="s">
        <v>477</v>
      </c>
      <c r="C47" s="77">
        <f>C46+(BudgetsTable[[#This Row],[lead]]&lt;&gt;K46)</f>
        <v>19</v>
      </c>
      <c r="D47" s="77">
        <f>D46*(BudgetsTable[[#This Row],[lead]]=K46)+(BudgetsTable[[#This Row],[prop_id]]&lt;&gt;A46)</f>
        <v>2</v>
      </c>
      <c r="E47" s="78">
        <v>42993.511805555558</v>
      </c>
      <c r="F47" s="79" t="s">
        <v>666</v>
      </c>
      <c r="G47" s="79" t="s">
        <v>667</v>
      </c>
      <c r="H47" s="79" t="s">
        <v>532</v>
      </c>
      <c r="I47" s="77" t="s">
        <v>574</v>
      </c>
      <c r="J47" s="77" t="s">
        <v>718</v>
      </c>
      <c r="K47" s="79" t="s">
        <v>616</v>
      </c>
      <c r="L47" s="7" t="str">
        <f>IF(BudgetsTable[[#This Row],[pi_last_name]]=" ","",HYPERLINK("https://www.ejacket.nsf.gov/ej/showProposal.do?Continue=Y&amp;ID="&amp;BudgetsTable[[#This Row],[prop_id]],BudgetsTable[[#This Row],[prop_id]]))</f>
        <v>1761443</v>
      </c>
      <c r="M47" s="15" t="e">
        <f>IF(BudgetsTable[[#This Row],[pi_last_name]]=" ","",HYPERLINK("https://www.ejacket.nsf.gov/ej/processReviewAnalysis.do?dispatch=add&amp;uniqId="&amp;BudgetsTable[[#This Row],[prop_id]]&amp;PO_id,"&gt;ra"))</f>
        <v>#REF!</v>
      </c>
      <c r="N47" s="79" t="s">
        <v>717</v>
      </c>
      <c r="O47" s="7" t="str">
        <f>IF(BudgetsTable[[#This Row],[pi_last_name]]=" ","",HYPERLINK("mailto:"&amp;BudgetsTable[[#This Row],[pi_email]]&amp;"&amp;subject=Your NSF Proposal:  "&amp;BudgetsTable[[#This Row],[prop_id]],BudgetsTable[[#This Row],[pi_email]]))</f>
        <v>abehzadan@tamu.edu</v>
      </c>
      <c r="P47" s="79" t="s">
        <v>525</v>
      </c>
      <c r="Q47" s="79"/>
      <c r="R47" s="79"/>
      <c r="S47" s="80"/>
      <c r="T47" s="80"/>
      <c r="U47" s="80"/>
      <c r="V47" s="81"/>
      <c r="W47" s="79">
        <v>0</v>
      </c>
      <c r="X47" s="79"/>
      <c r="Y47" s="11" t="str">
        <f ca="1">IF(ISBLANK(BudgetsTable[[#This Row],[budg_seq_yr]]),"FY"&amp;fiscalyear,"FY"&amp;fiscalyear-1+BudgetsTable[[#This Row],[budg_seq_yr]])</f>
        <v>FY18</v>
      </c>
      <c r="Z47" s="80">
        <v>150000</v>
      </c>
      <c r="AA47" s="79" t="s">
        <v>667</v>
      </c>
      <c r="AB47" s="79" t="s">
        <v>532</v>
      </c>
      <c r="AC47" s="77" t="s">
        <v>94</v>
      </c>
      <c r="AD47" s="79" t="s">
        <v>669</v>
      </c>
    </row>
    <row r="48" spans="1:30" x14ac:dyDescent="0.25">
      <c r="A48" s="10" t="s">
        <v>716</v>
      </c>
      <c r="B48" s="77" t="s">
        <v>477</v>
      </c>
      <c r="C48" s="77">
        <f>C47+(BudgetsTable[[#This Row],[lead]]&lt;&gt;K47)</f>
        <v>19</v>
      </c>
      <c r="D48" s="77">
        <f>D47*(BudgetsTable[[#This Row],[lead]]=K47)+(BudgetsTable[[#This Row],[prop_id]]&lt;&gt;A47)</f>
        <v>2</v>
      </c>
      <c r="E48" s="78">
        <v>42993.511805555558</v>
      </c>
      <c r="F48" s="79" t="s">
        <v>666</v>
      </c>
      <c r="G48" s="79" t="s">
        <v>667</v>
      </c>
      <c r="H48" s="79" t="s">
        <v>532</v>
      </c>
      <c r="I48" s="77" t="s">
        <v>574</v>
      </c>
      <c r="J48" s="77" t="s">
        <v>13</v>
      </c>
      <c r="K48" s="79" t="s">
        <v>616</v>
      </c>
      <c r="L48" s="7" t="str">
        <f>IF(BudgetsTable[[#This Row],[pi_last_name]]=" ","",HYPERLINK("https://www.ejacket.nsf.gov/ej/showProposal.do?Continue=Y&amp;ID="&amp;BudgetsTable[[#This Row],[prop_id]],BudgetsTable[[#This Row],[prop_id]]))</f>
        <v/>
      </c>
      <c r="M48" s="15" t="str">
        <f>IF(BudgetsTable[[#This Row],[pi_last_name]]=" ","",HYPERLINK("https://www.ejacket.nsf.gov/ej/processReviewAnalysis.do?dispatch=add&amp;uniqId="&amp;BudgetsTable[[#This Row],[prop_id]]&amp;PO_id,"&gt;ra"))</f>
        <v/>
      </c>
      <c r="N48" s="79" t="s">
        <v>13</v>
      </c>
      <c r="O48" s="7" t="str">
        <f>IF(BudgetsTable[[#This Row],[pi_last_name]]=" ","",HYPERLINK("mailto:"&amp;BudgetsTable[[#This Row],[pi_email]]&amp;"&amp;subject=Your NSF Proposal:  "&amp;BudgetsTable[[#This Row],[prop_id]],BudgetsTable[[#This Row],[pi_email]]))</f>
        <v/>
      </c>
      <c r="P48" s="79" t="s">
        <v>13</v>
      </c>
      <c r="Q48" s="79">
        <v>1</v>
      </c>
      <c r="R48" s="79">
        <v>0</v>
      </c>
      <c r="S48" s="80">
        <v>28500</v>
      </c>
      <c r="T48" s="80">
        <v>0</v>
      </c>
      <c r="U48" s="80">
        <v>0</v>
      </c>
      <c r="V48" s="81">
        <v>68611</v>
      </c>
      <c r="W48" s="79">
        <v>0</v>
      </c>
      <c r="X48" s="79">
        <v>1</v>
      </c>
      <c r="Y48" s="11" t="str">
        <f ca="1">IF(ISBLANK(BudgetsTable[[#This Row],[budg_seq_yr]]),"FY"&amp;fiscalyear,"FY"&amp;fiscalyear-1+BudgetsTable[[#This Row],[budg_seq_yr]])</f>
        <v>FY18</v>
      </c>
      <c r="Z48" s="80">
        <v>68611</v>
      </c>
      <c r="AA48" s="79" t="s">
        <v>667</v>
      </c>
      <c r="AB48" s="79" t="s">
        <v>532</v>
      </c>
      <c r="AC48" s="77" t="s">
        <v>94</v>
      </c>
      <c r="AD48" s="79" t="s">
        <v>669</v>
      </c>
    </row>
    <row r="49" spans="1:30" x14ac:dyDescent="0.25">
      <c r="A49" s="10" t="s">
        <v>716</v>
      </c>
      <c r="B49" s="77" t="s">
        <v>477</v>
      </c>
      <c r="C49" s="77">
        <f>C48+(BudgetsTable[[#This Row],[lead]]&lt;&gt;K48)</f>
        <v>19</v>
      </c>
      <c r="D49" s="77">
        <f>D48*(BudgetsTable[[#This Row],[lead]]=K48)+(BudgetsTable[[#This Row],[prop_id]]&lt;&gt;A48)</f>
        <v>2</v>
      </c>
      <c r="E49" s="78">
        <v>42993.511805555558</v>
      </c>
      <c r="F49" s="79" t="s">
        <v>666</v>
      </c>
      <c r="G49" s="79" t="s">
        <v>667</v>
      </c>
      <c r="H49" s="79" t="s">
        <v>532</v>
      </c>
      <c r="I49" s="77" t="s">
        <v>574</v>
      </c>
      <c r="J49" s="77" t="s">
        <v>13</v>
      </c>
      <c r="K49" s="79" t="s">
        <v>616</v>
      </c>
      <c r="L49" s="7" t="str">
        <f>IF(BudgetsTable[[#This Row],[pi_last_name]]=" ","",HYPERLINK("https://www.ejacket.nsf.gov/ej/showProposal.do?Continue=Y&amp;ID="&amp;BudgetsTable[[#This Row],[prop_id]],BudgetsTable[[#This Row],[prop_id]]))</f>
        <v/>
      </c>
      <c r="M49" s="15" t="str">
        <f>IF(BudgetsTable[[#This Row],[pi_last_name]]=" ","",HYPERLINK("https://www.ejacket.nsf.gov/ej/processReviewAnalysis.do?dispatch=add&amp;uniqId="&amp;BudgetsTable[[#This Row],[prop_id]]&amp;PO_id,"&gt;ra"))</f>
        <v/>
      </c>
      <c r="N49" s="79" t="s">
        <v>13</v>
      </c>
      <c r="O49" s="7" t="str">
        <f>IF(BudgetsTable[[#This Row],[pi_last_name]]=" ","",HYPERLINK("mailto:"&amp;BudgetsTable[[#This Row],[pi_email]]&amp;"&amp;subject=Your NSF Proposal:  "&amp;BudgetsTable[[#This Row],[prop_id]],BudgetsTable[[#This Row],[pi_email]]))</f>
        <v/>
      </c>
      <c r="P49" s="79" t="s">
        <v>13</v>
      </c>
      <c r="Q49" s="79">
        <v>1</v>
      </c>
      <c r="R49" s="79">
        <v>0</v>
      </c>
      <c r="S49" s="80">
        <v>29355</v>
      </c>
      <c r="T49" s="80">
        <v>0</v>
      </c>
      <c r="U49" s="80">
        <v>0</v>
      </c>
      <c r="V49" s="81">
        <v>70414</v>
      </c>
      <c r="W49" s="79">
        <v>0</v>
      </c>
      <c r="X49" s="79">
        <v>2</v>
      </c>
      <c r="Y49" s="11" t="str">
        <f ca="1">IF(ISBLANK(BudgetsTable[[#This Row],[budg_seq_yr]]),"FY"&amp;fiscalyear,"FY"&amp;fiscalyear-1+BudgetsTable[[#This Row],[budg_seq_yr]])</f>
        <v>FY19</v>
      </c>
      <c r="Z49" s="80">
        <v>70414</v>
      </c>
      <c r="AA49" s="79" t="s">
        <v>667</v>
      </c>
      <c r="AB49" s="79" t="s">
        <v>532</v>
      </c>
      <c r="AC49" s="77" t="s">
        <v>94</v>
      </c>
      <c r="AD49" s="79" t="s">
        <v>669</v>
      </c>
    </row>
    <row r="50" spans="1:30" x14ac:dyDescent="0.25">
      <c r="A50" s="10" t="s">
        <v>716</v>
      </c>
      <c r="B50" s="77" t="s">
        <v>477</v>
      </c>
      <c r="C50" s="77">
        <f>C49+(BudgetsTable[[#This Row],[lead]]&lt;&gt;K49)</f>
        <v>19</v>
      </c>
      <c r="D50" s="77">
        <f>D49*(BudgetsTable[[#This Row],[lead]]=K49)+(BudgetsTable[[#This Row],[prop_id]]&lt;&gt;A49)</f>
        <v>2</v>
      </c>
      <c r="E50" s="78">
        <v>42993.511805555558</v>
      </c>
      <c r="F50" s="79" t="s">
        <v>666</v>
      </c>
      <c r="G50" s="79" t="s">
        <v>667</v>
      </c>
      <c r="H50" s="79" t="s">
        <v>532</v>
      </c>
      <c r="I50" s="77" t="s">
        <v>574</v>
      </c>
      <c r="J50" s="77" t="s">
        <v>13</v>
      </c>
      <c r="K50" s="79" t="s">
        <v>616</v>
      </c>
      <c r="L50" s="7" t="str">
        <f>IF(BudgetsTable[[#This Row],[pi_last_name]]=" ","",HYPERLINK("https://www.ejacket.nsf.gov/ej/showProposal.do?Continue=Y&amp;ID="&amp;BudgetsTable[[#This Row],[prop_id]],BudgetsTable[[#This Row],[prop_id]]))</f>
        <v/>
      </c>
      <c r="M50" s="15" t="str">
        <f>IF(BudgetsTable[[#This Row],[pi_last_name]]=" ","",HYPERLINK("https://www.ejacket.nsf.gov/ej/processReviewAnalysis.do?dispatch=add&amp;uniqId="&amp;BudgetsTable[[#This Row],[prop_id]]&amp;PO_id,"&gt;ra"))</f>
        <v/>
      </c>
      <c r="N50" s="79" t="s">
        <v>13</v>
      </c>
      <c r="O50" s="7" t="str">
        <f>IF(BudgetsTable[[#This Row],[pi_last_name]]=" ","",HYPERLINK("mailto:"&amp;BudgetsTable[[#This Row],[pi_email]]&amp;"&amp;subject=Your NSF Proposal:  "&amp;BudgetsTable[[#This Row],[prop_id]],BudgetsTable[[#This Row],[pi_email]]))</f>
        <v/>
      </c>
      <c r="P50" s="79" t="s">
        <v>13</v>
      </c>
      <c r="Q50" s="79">
        <v>1</v>
      </c>
      <c r="R50" s="79">
        <v>0</v>
      </c>
      <c r="S50" s="80">
        <v>0</v>
      </c>
      <c r="T50" s="80">
        <v>0</v>
      </c>
      <c r="U50" s="80">
        <v>0</v>
      </c>
      <c r="V50" s="81">
        <v>10975</v>
      </c>
      <c r="W50" s="79">
        <v>0</v>
      </c>
      <c r="X50" s="79">
        <v>3</v>
      </c>
      <c r="Y50" s="11" t="str">
        <f ca="1">IF(ISBLANK(BudgetsTable[[#This Row],[budg_seq_yr]]),"FY"&amp;fiscalyear,"FY"&amp;fiscalyear-1+BudgetsTable[[#This Row],[budg_seq_yr]])</f>
        <v>FY20</v>
      </c>
      <c r="Z50" s="80">
        <v>10975</v>
      </c>
      <c r="AA50" s="79" t="s">
        <v>667</v>
      </c>
      <c r="AB50" s="79" t="s">
        <v>532</v>
      </c>
      <c r="AC50" s="77" t="s">
        <v>94</v>
      </c>
      <c r="AD50" s="79" t="s">
        <v>669</v>
      </c>
    </row>
    <row r="51" spans="1:30" x14ac:dyDescent="0.25">
      <c r="A51" s="10" t="s">
        <v>622</v>
      </c>
      <c r="B51" s="77" t="s">
        <v>95</v>
      </c>
      <c r="C51" s="77">
        <f>C50+(BudgetsTable[[#This Row],[lead]]&lt;&gt;K50)</f>
        <v>20</v>
      </c>
      <c r="D51" s="77">
        <f>D50*(BudgetsTable[[#This Row],[lead]]=K50)+(BudgetsTable[[#This Row],[prop_id]]&lt;&gt;A50)</f>
        <v>1</v>
      </c>
      <c r="E51" s="78">
        <v>42993.675000000003</v>
      </c>
      <c r="F51" s="79" t="s">
        <v>666</v>
      </c>
      <c r="G51" s="79" t="s">
        <v>667</v>
      </c>
      <c r="H51" s="79" t="s">
        <v>532</v>
      </c>
      <c r="I51" s="77" t="s">
        <v>574</v>
      </c>
      <c r="J51" s="77" t="s">
        <v>722</v>
      </c>
      <c r="K51" s="79" t="s">
        <v>622</v>
      </c>
      <c r="L51" s="7" t="str">
        <f>IF(BudgetsTable[[#This Row],[pi_last_name]]=" ","",HYPERLINK("https://www.ejacket.nsf.gov/ej/showProposal.do?Continue=Y&amp;ID="&amp;BudgetsTable[[#This Row],[prop_id]],BudgetsTable[[#This Row],[prop_id]]))</f>
        <v>1761623</v>
      </c>
      <c r="M51" s="15" t="e">
        <f>IF(BudgetsTable[[#This Row],[pi_last_name]]=" ","",HYPERLINK("https://www.ejacket.nsf.gov/ej/processReviewAnalysis.do?dispatch=add&amp;uniqId="&amp;BudgetsTable[[#This Row],[prop_id]]&amp;PO_id,"&gt;ra"))</f>
        <v>#REF!</v>
      </c>
      <c r="N51" s="79" t="s">
        <v>623</v>
      </c>
      <c r="O51" s="7" t="str">
        <f>IF(BudgetsTable[[#This Row],[pi_last_name]]=" ","",HYPERLINK("mailto:"&amp;BudgetsTable[[#This Row],[pi_email]]&amp;"&amp;subject=Your NSF Proposal:  "&amp;BudgetsTable[[#This Row],[prop_id]],BudgetsTable[[#This Row],[pi_email]]))</f>
        <v>dujing@tamu.edu</v>
      </c>
      <c r="P51" s="79" t="s">
        <v>525</v>
      </c>
      <c r="Q51" s="79"/>
      <c r="R51" s="79"/>
      <c r="S51" s="80"/>
      <c r="T51" s="80"/>
      <c r="U51" s="80"/>
      <c r="V51" s="81"/>
      <c r="W51" s="79">
        <v>0</v>
      </c>
      <c r="X51" s="79"/>
      <c r="Y51" s="11" t="str">
        <f ca="1">IF(ISBLANK(BudgetsTable[[#This Row],[budg_seq_yr]]),"FY"&amp;fiscalyear,"FY"&amp;fiscalyear-1+BudgetsTable[[#This Row],[budg_seq_yr]])</f>
        <v>FY18</v>
      </c>
      <c r="Z51" s="80">
        <v>350000</v>
      </c>
      <c r="AA51" s="79" t="s">
        <v>667</v>
      </c>
      <c r="AB51" s="79" t="s">
        <v>532</v>
      </c>
      <c r="AC51" s="77" t="s">
        <v>94</v>
      </c>
      <c r="AD51" s="79" t="s">
        <v>669</v>
      </c>
    </row>
    <row r="52" spans="1:30" x14ac:dyDescent="0.25">
      <c r="A52" s="10" t="s">
        <v>622</v>
      </c>
      <c r="B52" s="77" t="s">
        <v>95</v>
      </c>
      <c r="C52" s="77">
        <f>C51+(BudgetsTable[[#This Row],[lead]]&lt;&gt;K51)</f>
        <v>20</v>
      </c>
      <c r="D52" s="77">
        <f>D51*(BudgetsTable[[#This Row],[lead]]=K51)+(BudgetsTable[[#This Row],[prop_id]]&lt;&gt;A51)</f>
        <v>1</v>
      </c>
      <c r="E52" s="78">
        <v>42993.675000000003</v>
      </c>
      <c r="F52" s="79" t="s">
        <v>666</v>
      </c>
      <c r="G52" s="79" t="s">
        <v>667</v>
      </c>
      <c r="H52" s="79" t="s">
        <v>532</v>
      </c>
      <c r="I52" s="77" t="s">
        <v>574</v>
      </c>
      <c r="J52" s="77" t="s">
        <v>13</v>
      </c>
      <c r="K52" s="79" t="s">
        <v>622</v>
      </c>
      <c r="L52" s="7" t="str">
        <f>IF(BudgetsTable[[#This Row],[pi_last_name]]=" ","",HYPERLINK("https://www.ejacket.nsf.gov/ej/showProposal.do?Continue=Y&amp;ID="&amp;BudgetsTable[[#This Row],[prop_id]],BudgetsTable[[#This Row],[prop_id]]))</f>
        <v/>
      </c>
      <c r="M52" s="15" t="str">
        <f>IF(BudgetsTable[[#This Row],[pi_last_name]]=" ","",HYPERLINK("https://www.ejacket.nsf.gov/ej/processReviewAnalysis.do?dispatch=add&amp;uniqId="&amp;BudgetsTable[[#This Row],[prop_id]]&amp;PO_id,"&gt;ra"))</f>
        <v/>
      </c>
      <c r="N52" s="79" t="s">
        <v>13</v>
      </c>
      <c r="O52" s="7" t="str">
        <f>IF(BudgetsTable[[#This Row],[pi_last_name]]=" ","",HYPERLINK("mailto:"&amp;BudgetsTable[[#This Row],[pi_email]]&amp;"&amp;subject=Your NSF Proposal:  "&amp;BudgetsTable[[#This Row],[prop_id]],BudgetsTable[[#This Row],[pi_email]]))</f>
        <v/>
      </c>
      <c r="P52" s="79" t="s">
        <v>13</v>
      </c>
      <c r="Q52" s="79">
        <v>2</v>
      </c>
      <c r="R52" s="79">
        <v>0</v>
      </c>
      <c r="S52" s="80">
        <v>0</v>
      </c>
      <c r="T52" s="80">
        <v>0</v>
      </c>
      <c r="U52" s="80">
        <v>2000</v>
      </c>
      <c r="V52" s="81">
        <v>122792</v>
      </c>
      <c r="W52" s="79">
        <v>0</v>
      </c>
      <c r="X52" s="79">
        <v>1</v>
      </c>
      <c r="Y52" s="11" t="str">
        <f ca="1">IF(ISBLANK(BudgetsTable[[#This Row],[budg_seq_yr]]),"FY"&amp;fiscalyear,"FY"&amp;fiscalyear-1+BudgetsTable[[#This Row],[budg_seq_yr]])</f>
        <v>FY18</v>
      </c>
      <c r="Z52" s="80">
        <v>122792</v>
      </c>
      <c r="AA52" s="79" t="s">
        <v>667</v>
      </c>
      <c r="AB52" s="79" t="s">
        <v>532</v>
      </c>
      <c r="AC52" s="77" t="s">
        <v>94</v>
      </c>
      <c r="AD52" s="79" t="s">
        <v>669</v>
      </c>
    </row>
    <row r="53" spans="1:30" x14ac:dyDescent="0.25">
      <c r="A53" s="10" t="s">
        <v>622</v>
      </c>
      <c r="B53" s="77" t="s">
        <v>95</v>
      </c>
      <c r="C53" s="77">
        <f>C52+(BudgetsTable[[#This Row],[lead]]&lt;&gt;K52)</f>
        <v>20</v>
      </c>
      <c r="D53" s="77">
        <f>D52*(BudgetsTable[[#This Row],[lead]]=K52)+(BudgetsTable[[#This Row],[prop_id]]&lt;&gt;A52)</f>
        <v>1</v>
      </c>
      <c r="E53" s="78">
        <v>42993.675000000003</v>
      </c>
      <c r="F53" s="79" t="s">
        <v>666</v>
      </c>
      <c r="G53" s="79" t="s">
        <v>667</v>
      </c>
      <c r="H53" s="79" t="s">
        <v>532</v>
      </c>
      <c r="I53" s="77" t="s">
        <v>574</v>
      </c>
      <c r="J53" s="77" t="s">
        <v>13</v>
      </c>
      <c r="K53" s="79" t="s">
        <v>622</v>
      </c>
      <c r="L53" s="7" t="str">
        <f>IF(BudgetsTable[[#This Row],[pi_last_name]]=" ","",HYPERLINK("https://www.ejacket.nsf.gov/ej/showProposal.do?Continue=Y&amp;ID="&amp;BudgetsTable[[#This Row],[prop_id]],BudgetsTable[[#This Row],[prop_id]]))</f>
        <v/>
      </c>
      <c r="M53" s="15" t="str">
        <f>IF(BudgetsTable[[#This Row],[pi_last_name]]=" ","",HYPERLINK("https://www.ejacket.nsf.gov/ej/processReviewAnalysis.do?dispatch=add&amp;uniqId="&amp;BudgetsTable[[#This Row],[prop_id]]&amp;PO_id,"&gt;ra"))</f>
        <v/>
      </c>
      <c r="N53" s="79" t="s">
        <v>13</v>
      </c>
      <c r="O53" s="7" t="str">
        <f>IF(BudgetsTable[[#This Row],[pi_last_name]]=" ","",HYPERLINK("mailto:"&amp;BudgetsTable[[#This Row],[pi_email]]&amp;"&amp;subject=Your NSF Proposal:  "&amp;BudgetsTable[[#This Row],[prop_id]],BudgetsTable[[#This Row],[pi_email]]))</f>
        <v/>
      </c>
      <c r="P53" s="79" t="s">
        <v>13</v>
      </c>
      <c r="Q53" s="79">
        <v>3</v>
      </c>
      <c r="R53" s="79">
        <v>0</v>
      </c>
      <c r="S53" s="80">
        <v>0</v>
      </c>
      <c r="T53" s="80">
        <v>0</v>
      </c>
      <c r="U53" s="80">
        <v>2000</v>
      </c>
      <c r="V53" s="81">
        <v>132672</v>
      </c>
      <c r="W53" s="79">
        <v>0</v>
      </c>
      <c r="X53" s="79">
        <v>2</v>
      </c>
      <c r="Y53" s="11" t="str">
        <f ca="1">IF(ISBLANK(BudgetsTable[[#This Row],[budg_seq_yr]]),"FY"&amp;fiscalyear,"FY"&amp;fiscalyear-1+BudgetsTable[[#This Row],[budg_seq_yr]])</f>
        <v>FY19</v>
      </c>
      <c r="Z53" s="80">
        <v>132672</v>
      </c>
      <c r="AA53" s="79" t="s">
        <v>667</v>
      </c>
      <c r="AB53" s="79" t="s">
        <v>532</v>
      </c>
      <c r="AC53" s="77" t="s">
        <v>94</v>
      </c>
      <c r="AD53" s="79" t="s">
        <v>669</v>
      </c>
    </row>
    <row r="54" spans="1:30" x14ac:dyDescent="0.25">
      <c r="A54" s="10" t="s">
        <v>622</v>
      </c>
      <c r="B54" s="77" t="s">
        <v>95</v>
      </c>
      <c r="C54" s="77">
        <f>C53+(BudgetsTable[[#This Row],[lead]]&lt;&gt;K53)</f>
        <v>20</v>
      </c>
      <c r="D54" s="77">
        <f>D53*(BudgetsTable[[#This Row],[lead]]=K53)+(BudgetsTable[[#This Row],[prop_id]]&lt;&gt;A53)</f>
        <v>1</v>
      </c>
      <c r="E54" s="78">
        <v>42993.675000000003</v>
      </c>
      <c r="F54" s="79" t="s">
        <v>666</v>
      </c>
      <c r="G54" s="79" t="s">
        <v>667</v>
      </c>
      <c r="H54" s="79" t="s">
        <v>532</v>
      </c>
      <c r="I54" s="77" t="s">
        <v>574</v>
      </c>
      <c r="J54" s="77" t="s">
        <v>13</v>
      </c>
      <c r="K54" s="79" t="s">
        <v>622</v>
      </c>
      <c r="L54" s="7" t="str">
        <f>IF(BudgetsTable[[#This Row],[pi_last_name]]=" ","",HYPERLINK("https://www.ejacket.nsf.gov/ej/showProposal.do?Continue=Y&amp;ID="&amp;BudgetsTable[[#This Row],[prop_id]],BudgetsTable[[#This Row],[prop_id]]))</f>
        <v/>
      </c>
      <c r="M54" s="15" t="str">
        <f>IF(BudgetsTable[[#This Row],[pi_last_name]]=" ","",HYPERLINK("https://www.ejacket.nsf.gov/ej/processReviewAnalysis.do?dispatch=add&amp;uniqId="&amp;BudgetsTable[[#This Row],[prop_id]]&amp;PO_id,"&gt;ra"))</f>
        <v/>
      </c>
      <c r="N54" s="79" t="s">
        <v>13</v>
      </c>
      <c r="O54" s="7" t="str">
        <f>IF(BudgetsTable[[#This Row],[pi_last_name]]=" ","",HYPERLINK("mailto:"&amp;BudgetsTable[[#This Row],[pi_email]]&amp;"&amp;subject=Your NSF Proposal:  "&amp;BudgetsTable[[#This Row],[prop_id]],BudgetsTable[[#This Row],[pi_email]]))</f>
        <v/>
      </c>
      <c r="P54" s="79" t="s">
        <v>13</v>
      </c>
      <c r="Q54" s="79">
        <v>2</v>
      </c>
      <c r="R54" s="79">
        <v>0</v>
      </c>
      <c r="S54" s="80">
        <v>0</v>
      </c>
      <c r="T54" s="80">
        <v>0</v>
      </c>
      <c r="U54" s="80">
        <v>2000</v>
      </c>
      <c r="V54" s="81">
        <v>94536</v>
      </c>
      <c r="W54" s="79">
        <v>0</v>
      </c>
      <c r="X54" s="79">
        <v>3</v>
      </c>
      <c r="Y54" s="11" t="str">
        <f ca="1">IF(ISBLANK(BudgetsTable[[#This Row],[budg_seq_yr]]),"FY"&amp;fiscalyear,"FY"&amp;fiscalyear-1+BudgetsTable[[#This Row],[budg_seq_yr]])</f>
        <v>FY20</v>
      </c>
      <c r="Z54" s="80">
        <v>94536</v>
      </c>
      <c r="AA54" s="79" t="s">
        <v>667</v>
      </c>
      <c r="AB54" s="79" t="s">
        <v>532</v>
      </c>
      <c r="AC54" s="77" t="s">
        <v>94</v>
      </c>
      <c r="AD54" s="79" t="s">
        <v>669</v>
      </c>
    </row>
    <row r="55" spans="1:30" x14ac:dyDescent="0.25">
      <c r="A55" s="10" t="s">
        <v>631</v>
      </c>
      <c r="B55" s="77" t="s">
        <v>95</v>
      </c>
      <c r="C55" s="77">
        <f>C54+(BudgetsTable[[#This Row],[lead]]&lt;&gt;K54)</f>
        <v>21</v>
      </c>
      <c r="D55" s="77">
        <f>D54*(BudgetsTable[[#This Row],[lead]]=K54)+(BudgetsTable[[#This Row],[prop_id]]&lt;&gt;A54)</f>
        <v>1</v>
      </c>
      <c r="E55" s="78">
        <v>42996.584722222222</v>
      </c>
      <c r="F55" s="79" t="s">
        <v>666</v>
      </c>
      <c r="G55" s="79" t="s">
        <v>667</v>
      </c>
      <c r="H55" s="79" t="s">
        <v>532</v>
      </c>
      <c r="I55" s="77" t="s">
        <v>574</v>
      </c>
      <c r="J55" s="77" t="s">
        <v>726</v>
      </c>
      <c r="K55" s="79" t="s">
        <v>631</v>
      </c>
      <c r="L55" s="7" t="str">
        <f>IF(BudgetsTable[[#This Row],[pi_last_name]]=" ","",HYPERLINK("https://www.ejacket.nsf.gov/ej/showProposal.do?Continue=Y&amp;ID="&amp;BudgetsTable[[#This Row],[prop_id]],BudgetsTable[[#This Row],[prop_id]]))</f>
        <v>1761829</v>
      </c>
      <c r="M55" s="15" t="e">
        <f>IF(BudgetsTable[[#This Row],[pi_last_name]]=" ","",HYPERLINK("https://www.ejacket.nsf.gov/ej/processReviewAnalysis.do?dispatch=add&amp;uniqId="&amp;BudgetsTable[[#This Row],[prop_id]]&amp;PO_id,"&gt;ra"))</f>
        <v>#REF!</v>
      </c>
      <c r="N55" s="79" t="s">
        <v>632</v>
      </c>
      <c r="O55" s="7" t="str">
        <f>IF(BudgetsTable[[#This Row],[pi_last_name]]=" ","",HYPERLINK("mailto:"&amp;BudgetsTable[[#This Row],[pi_email]]&amp;"&amp;subject=Your NSF Proposal:  "&amp;BudgetsTable[[#This Row],[prop_id]],BudgetsTable[[#This Row],[pi_email]]))</f>
        <v>hubocai@ecn.purdue.edu</v>
      </c>
      <c r="P55" s="79" t="s">
        <v>479</v>
      </c>
      <c r="Q55" s="79"/>
      <c r="R55" s="79"/>
      <c r="S55" s="80"/>
      <c r="T55" s="80"/>
      <c r="U55" s="80"/>
      <c r="V55" s="81"/>
      <c r="W55" s="79">
        <v>0</v>
      </c>
      <c r="X55" s="79"/>
      <c r="Y55" s="11" t="str">
        <f ca="1">IF(ISBLANK(BudgetsTable[[#This Row],[budg_seq_yr]]),"FY"&amp;fiscalyear,"FY"&amp;fiscalyear-1+BudgetsTable[[#This Row],[budg_seq_yr]])</f>
        <v>FY18</v>
      </c>
      <c r="Z55" s="80">
        <v>398918</v>
      </c>
      <c r="AA55" s="79" t="s">
        <v>667</v>
      </c>
      <c r="AB55" s="79" t="s">
        <v>532</v>
      </c>
      <c r="AC55" s="77" t="s">
        <v>94</v>
      </c>
      <c r="AD55" s="79" t="s">
        <v>669</v>
      </c>
    </row>
    <row r="56" spans="1:30" x14ac:dyDescent="0.25">
      <c r="A56" s="10" t="s">
        <v>631</v>
      </c>
      <c r="B56" s="77" t="s">
        <v>95</v>
      </c>
      <c r="C56" s="77">
        <f>C55+(BudgetsTable[[#This Row],[lead]]&lt;&gt;K55)</f>
        <v>21</v>
      </c>
      <c r="D56" s="77">
        <f>D55*(BudgetsTable[[#This Row],[lead]]=K55)+(BudgetsTable[[#This Row],[prop_id]]&lt;&gt;A55)</f>
        <v>1</v>
      </c>
      <c r="E56" s="78">
        <v>42996.584722222222</v>
      </c>
      <c r="F56" s="79" t="s">
        <v>666</v>
      </c>
      <c r="G56" s="79" t="s">
        <v>667</v>
      </c>
      <c r="H56" s="79" t="s">
        <v>532</v>
      </c>
      <c r="I56" s="77" t="s">
        <v>574</v>
      </c>
      <c r="J56" s="77" t="s">
        <v>13</v>
      </c>
      <c r="K56" s="79" t="s">
        <v>631</v>
      </c>
      <c r="L56" s="7" t="str">
        <f>IF(BudgetsTable[[#This Row],[pi_last_name]]=" ","",HYPERLINK("https://www.ejacket.nsf.gov/ej/showProposal.do?Continue=Y&amp;ID="&amp;BudgetsTable[[#This Row],[prop_id]],BudgetsTable[[#This Row],[prop_id]]))</f>
        <v/>
      </c>
      <c r="M56" s="15" t="str">
        <f>IF(BudgetsTable[[#This Row],[pi_last_name]]=" ","",HYPERLINK("https://www.ejacket.nsf.gov/ej/processReviewAnalysis.do?dispatch=add&amp;uniqId="&amp;BudgetsTable[[#This Row],[prop_id]]&amp;PO_id,"&gt;ra"))</f>
        <v/>
      </c>
      <c r="N56" s="79" t="s">
        <v>13</v>
      </c>
      <c r="O56" s="7" t="str">
        <f>IF(BudgetsTable[[#This Row],[pi_last_name]]=" ","",HYPERLINK("mailto:"&amp;BudgetsTable[[#This Row],[pi_email]]&amp;"&amp;subject=Your NSF Proposal:  "&amp;BudgetsTable[[#This Row],[prop_id]],BudgetsTable[[#This Row],[pi_email]]))</f>
        <v/>
      </c>
      <c r="P56" s="79" t="s">
        <v>13</v>
      </c>
      <c r="Q56" s="79">
        <v>2</v>
      </c>
      <c r="R56" s="79">
        <v>1.36</v>
      </c>
      <c r="S56" s="80">
        <v>0</v>
      </c>
      <c r="T56" s="80">
        <v>0</v>
      </c>
      <c r="U56" s="80">
        <v>0</v>
      </c>
      <c r="V56" s="81">
        <v>134929</v>
      </c>
      <c r="W56" s="79">
        <v>0</v>
      </c>
      <c r="X56" s="79">
        <v>1</v>
      </c>
      <c r="Y56" s="11" t="str">
        <f ca="1">IF(ISBLANK(BudgetsTable[[#This Row],[budg_seq_yr]]),"FY"&amp;fiscalyear,"FY"&amp;fiscalyear-1+BudgetsTable[[#This Row],[budg_seq_yr]])</f>
        <v>FY18</v>
      </c>
      <c r="Z56" s="80">
        <v>134929</v>
      </c>
      <c r="AA56" s="79" t="s">
        <v>667</v>
      </c>
      <c r="AB56" s="79" t="s">
        <v>532</v>
      </c>
      <c r="AC56" s="77" t="s">
        <v>94</v>
      </c>
      <c r="AD56" s="79" t="s">
        <v>669</v>
      </c>
    </row>
    <row r="57" spans="1:30" x14ac:dyDescent="0.25">
      <c r="A57" s="10" t="s">
        <v>631</v>
      </c>
      <c r="B57" s="77" t="s">
        <v>95</v>
      </c>
      <c r="C57" s="77">
        <f>C56+(BudgetsTable[[#This Row],[lead]]&lt;&gt;K56)</f>
        <v>21</v>
      </c>
      <c r="D57" s="77">
        <f>D56*(BudgetsTable[[#This Row],[lead]]=K56)+(BudgetsTable[[#This Row],[prop_id]]&lt;&gt;A56)</f>
        <v>1</v>
      </c>
      <c r="E57" s="78">
        <v>42996.584722222222</v>
      </c>
      <c r="F57" s="79" t="s">
        <v>666</v>
      </c>
      <c r="G57" s="79" t="s">
        <v>667</v>
      </c>
      <c r="H57" s="79" t="s">
        <v>532</v>
      </c>
      <c r="I57" s="77" t="s">
        <v>574</v>
      </c>
      <c r="J57" s="77" t="s">
        <v>13</v>
      </c>
      <c r="K57" s="79" t="s">
        <v>631</v>
      </c>
      <c r="L57" s="7" t="str">
        <f>IF(BudgetsTable[[#This Row],[pi_last_name]]=" ","",HYPERLINK("https://www.ejacket.nsf.gov/ej/showProposal.do?Continue=Y&amp;ID="&amp;BudgetsTable[[#This Row],[prop_id]],BudgetsTable[[#This Row],[prop_id]]))</f>
        <v/>
      </c>
      <c r="M57" s="15" t="str">
        <f>IF(BudgetsTable[[#This Row],[pi_last_name]]=" ","",HYPERLINK("https://www.ejacket.nsf.gov/ej/processReviewAnalysis.do?dispatch=add&amp;uniqId="&amp;BudgetsTable[[#This Row],[prop_id]]&amp;PO_id,"&gt;ra"))</f>
        <v/>
      </c>
      <c r="N57" s="79" t="s">
        <v>13</v>
      </c>
      <c r="O57" s="7" t="str">
        <f>IF(BudgetsTable[[#This Row],[pi_last_name]]=" ","",HYPERLINK("mailto:"&amp;BudgetsTable[[#This Row],[pi_email]]&amp;"&amp;subject=Your NSF Proposal:  "&amp;BudgetsTable[[#This Row],[prop_id]],BudgetsTable[[#This Row],[pi_email]]))</f>
        <v/>
      </c>
      <c r="P57" s="79" t="s">
        <v>13</v>
      </c>
      <c r="Q57" s="79">
        <v>2</v>
      </c>
      <c r="R57" s="79">
        <v>1.36</v>
      </c>
      <c r="S57" s="80">
        <v>0</v>
      </c>
      <c r="T57" s="80">
        <v>0</v>
      </c>
      <c r="U57" s="80">
        <v>0</v>
      </c>
      <c r="V57" s="81">
        <v>137605</v>
      </c>
      <c r="W57" s="79">
        <v>0</v>
      </c>
      <c r="X57" s="79">
        <v>2</v>
      </c>
      <c r="Y57" s="11" t="str">
        <f ca="1">IF(ISBLANK(BudgetsTable[[#This Row],[budg_seq_yr]]),"FY"&amp;fiscalyear,"FY"&amp;fiscalyear-1+BudgetsTable[[#This Row],[budg_seq_yr]])</f>
        <v>FY19</v>
      </c>
      <c r="Z57" s="80">
        <v>137605</v>
      </c>
      <c r="AA57" s="79" t="s">
        <v>667</v>
      </c>
      <c r="AB57" s="79" t="s">
        <v>532</v>
      </c>
      <c r="AC57" s="77" t="s">
        <v>94</v>
      </c>
      <c r="AD57" s="79" t="s">
        <v>669</v>
      </c>
    </row>
    <row r="58" spans="1:30" x14ac:dyDescent="0.25">
      <c r="A58" s="10" t="s">
        <v>631</v>
      </c>
      <c r="B58" s="77" t="s">
        <v>95</v>
      </c>
      <c r="C58" s="77">
        <f>C57+(BudgetsTable[[#This Row],[lead]]&lt;&gt;K57)</f>
        <v>21</v>
      </c>
      <c r="D58" s="77">
        <f>D57*(BudgetsTable[[#This Row],[lead]]=K57)+(BudgetsTable[[#This Row],[prop_id]]&lt;&gt;A57)</f>
        <v>1</v>
      </c>
      <c r="E58" s="78">
        <v>42996.584722222222</v>
      </c>
      <c r="F58" s="79" t="s">
        <v>666</v>
      </c>
      <c r="G58" s="79" t="s">
        <v>667</v>
      </c>
      <c r="H58" s="79" t="s">
        <v>532</v>
      </c>
      <c r="I58" s="77" t="s">
        <v>574</v>
      </c>
      <c r="J58" s="77" t="s">
        <v>13</v>
      </c>
      <c r="K58" s="79" t="s">
        <v>631</v>
      </c>
      <c r="L58" s="7" t="str">
        <f>IF(BudgetsTable[[#This Row],[pi_last_name]]=" ","",HYPERLINK("https://www.ejacket.nsf.gov/ej/showProposal.do?Continue=Y&amp;ID="&amp;BudgetsTable[[#This Row],[prop_id]],BudgetsTable[[#This Row],[prop_id]]))</f>
        <v/>
      </c>
      <c r="M58" s="15" t="str">
        <f>IF(BudgetsTable[[#This Row],[pi_last_name]]=" ","",HYPERLINK("https://www.ejacket.nsf.gov/ej/processReviewAnalysis.do?dispatch=add&amp;uniqId="&amp;BudgetsTable[[#This Row],[prop_id]]&amp;PO_id,"&gt;ra"))</f>
        <v/>
      </c>
      <c r="N58" s="79" t="s">
        <v>13</v>
      </c>
      <c r="O58" s="7" t="str">
        <f>IF(BudgetsTable[[#This Row],[pi_last_name]]=" ","",HYPERLINK("mailto:"&amp;BudgetsTable[[#This Row],[pi_email]]&amp;"&amp;subject=Your NSF Proposal:  "&amp;BudgetsTable[[#This Row],[prop_id]],BudgetsTable[[#This Row],[pi_email]]))</f>
        <v/>
      </c>
      <c r="P58" s="79" t="s">
        <v>13</v>
      </c>
      <c r="Q58" s="79">
        <v>2</v>
      </c>
      <c r="R58" s="79">
        <v>0.92</v>
      </c>
      <c r="S58" s="80">
        <v>0</v>
      </c>
      <c r="T58" s="80">
        <v>0</v>
      </c>
      <c r="U58" s="80">
        <v>0</v>
      </c>
      <c r="V58" s="81">
        <v>126384</v>
      </c>
      <c r="W58" s="79">
        <v>0</v>
      </c>
      <c r="X58" s="79">
        <v>3</v>
      </c>
      <c r="Y58" s="11" t="str">
        <f ca="1">IF(ISBLANK(BudgetsTable[[#This Row],[budg_seq_yr]]),"FY"&amp;fiscalyear,"FY"&amp;fiscalyear-1+BudgetsTable[[#This Row],[budg_seq_yr]])</f>
        <v>FY20</v>
      </c>
      <c r="Z58" s="80">
        <v>126384</v>
      </c>
      <c r="AA58" s="79" t="s">
        <v>667</v>
      </c>
      <c r="AB58" s="79" t="s">
        <v>532</v>
      </c>
      <c r="AC58" s="77" t="s">
        <v>94</v>
      </c>
      <c r="AD58" s="79" t="s">
        <v>669</v>
      </c>
    </row>
    <row r="59" spans="1:30" x14ac:dyDescent="0.25">
      <c r="A59" s="10" t="s">
        <v>637</v>
      </c>
      <c r="B59" s="77" t="s">
        <v>95</v>
      </c>
      <c r="C59" s="77">
        <f>C58+(BudgetsTable[[#This Row],[lead]]&lt;&gt;K58)</f>
        <v>22</v>
      </c>
      <c r="D59" s="77">
        <f>D58*(BudgetsTable[[#This Row],[lead]]=K58)+(BudgetsTable[[#This Row],[prop_id]]&lt;&gt;A58)</f>
        <v>1</v>
      </c>
      <c r="E59" s="78">
        <v>42999.359027777777</v>
      </c>
      <c r="F59" s="79" t="s">
        <v>666</v>
      </c>
      <c r="G59" s="79" t="s">
        <v>667</v>
      </c>
      <c r="H59" s="79" t="s">
        <v>532</v>
      </c>
      <c r="I59" s="77" t="s">
        <v>574</v>
      </c>
      <c r="J59" s="77" t="s">
        <v>729</v>
      </c>
      <c r="K59" s="79" t="s">
        <v>637</v>
      </c>
      <c r="L59" s="7" t="str">
        <f>IF(BudgetsTable[[#This Row],[pi_last_name]]=" ","",HYPERLINK("https://www.ejacket.nsf.gov/ej/showProposal.do?Continue=Y&amp;ID="&amp;BudgetsTable[[#This Row],[prop_id]],BudgetsTable[[#This Row],[prop_id]]))</f>
        <v>1762328</v>
      </c>
      <c r="M59" s="15" t="e">
        <f>IF(BudgetsTable[[#This Row],[pi_last_name]]=" ","",HYPERLINK("https://www.ejacket.nsf.gov/ej/processReviewAnalysis.do?dispatch=add&amp;uniqId="&amp;BudgetsTable[[#This Row],[prop_id]]&amp;PO_id,"&gt;ra"))</f>
        <v>#REF!</v>
      </c>
      <c r="N59" s="79" t="s">
        <v>513</v>
      </c>
      <c r="O59" s="7" t="str">
        <f>IF(BudgetsTable[[#This Row],[pi_last_name]]=" ","",HYPERLINK("mailto:"&amp;BudgetsTable[[#This Row],[pi_email]]&amp;"&amp;subject=Your NSF Proposal:  "&amp;BudgetsTable[[#This Row],[prop_id]],BudgetsTable[[#This Row],[pi_email]]))</f>
        <v>ychen@georgiasouthern.edu</v>
      </c>
      <c r="P59" s="79" t="s">
        <v>521</v>
      </c>
      <c r="Q59" s="79"/>
      <c r="R59" s="79"/>
      <c r="S59" s="80"/>
      <c r="T59" s="80"/>
      <c r="U59" s="80"/>
      <c r="V59" s="81"/>
      <c r="W59" s="79">
        <v>0</v>
      </c>
      <c r="X59" s="79"/>
      <c r="Y59" s="11" t="str">
        <f ca="1">IF(ISBLANK(BudgetsTable[[#This Row],[budg_seq_yr]]),"FY"&amp;fiscalyear,"FY"&amp;fiscalyear-1+BudgetsTable[[#This Row],[budg_seq_yr]])</f>
        <v>FY18</v>
      </c>
      <c r="Z59" s="80">
        <v>226763</v>
      </c>
      <c r="AA59" s="79" t="s">
        <v>667</v>
      </c>
      <c r="AB59" s="79" t="s">
        <v>532</v>
      </c>
      <c r="AC59" s="77" t="s">
        <v>94</v>
      </c>
      <c r="AD59" s="79" t="s">
        <v>669</v>
      </c>
    </row>
    <row r="60" spans="1:30" x14ac:dyDescent="0.25">
      <c r="A60" s="10" t="s">
        <v>637</v>
      </c>
      <c r="B60" s="77" t="s">
        <v>95</v>
      </c>
      <c r="C60" s="77">
        <f>C59+(BudgetsTable[[#This Row],[lead]]&lt;&gt;K59)</f>
        <v>22</v>
      </c>
      <c r="D60" s="77">
        <f>D59*(BudgetsTable[[#This Row],[lead]]=K59)+(BudgetsTable[[#This Row],[prop_id]]&lt;&gt;A59)</f>
        <v>1</v>
      </c>
      <c r="E60" s="78">
        <v>42999.359027777777</v>
      </c>
      <c r="F60" s="79" t="s">
        <v>666</v>
      </c>
      <c r="G60" s="79" t="s">
        <v>667</v>
      </c>
      <c r="H60" s="79" t="s">
        <v>532</v>
      </c>
      <c r="I60" s="77" t="s">
        <v>574</v>
      </c>
      <c r="J60" s="77" t="s">
        <v>13</v>
      </c>
      <c r="K60" s="79" t="s">
        <v>637</v>
      </c>
      <c r="L60" s="7" t="str">
        <f>IF(BudgetsTable[[#This Row],[pi_last_name]]=" ","",HYPERLINK("https://www.ejacket.nsf.gov/ej/showProposal.do?Continue=Y&amp;ID="&amp;BudgetsTable[[#This Row],[prop_id]],BudgetsTable[[#This Row],[prop_id]]))</f>
        <v/>
      </c>
      <c r="M60" s="15" t="str">
        <f>IF(BudgetsTable[[#This Row],[pi_last_name]]=" ","",HYPERLINK("https://www.ejacket.nsf.gov/ej/processReviewAnalysis.do?dispatch=add&amp;uniqId="&amp;BudgetsTable[[#This Row],[prop_id]]&amp;PO_id,"&gt;ra"))</f>
        <v/>
      </c>
      <c r="N60" s="79" t="s">
        <v>13</v>
      </c>
      <c r="O60" s="7" t="str">
        <f>IF(BudgetsTable[[#This Row],[pi_last_name]]=" ","",HYPERLINK("mailto:"&amp;BudgetsTable[[#This Row],[pi_email]]&amp;"&amp;subject=Your NSF Proposal:  "&amp;BudgetsTable[[#This Row],[prop_id]],BudgetsTable[[#This Row],[pi_email]]))</f>
        <v/>
      </c>
      <c r="P60" s="79" t="s">
        <v>13</v>
      </c>
      <c r="Q60" s="79">
        <v>2</v>
      </c>
      <c r="R60" s="79">
        <v>2</v>
      </c>
      <c r="S60" s="80">
        <v>0</v>
      </c>
      <c r="T60" s="80">
        <v>0</v>
      </c>
      <c r="U60" s="80">
        <v>0</v>
      </c>
      <c r="V60" s="81">
        <v>109071</v>
      </c>
      <c r="W60" s="79">
        <v>0</v>
      </c>
      <c r="X60" s="79">
        <v>1</v>
      </c>
      <c r="Y60" s="11" t="str">
        <f ca="1">IF(ISBLANK(BudgetsTable[[#This Row],[budg_seq_yr]]),"FY"&amp;fiscalyear,"FY"&amp;fiscalyear-1+BudgetsTable[[#This Row],[budg_seq_yr]])</f>
        <v>FY18</v>
      </c>
      <c r="Z60" s="80">
        <v>109071</v>
      </c>
      <c r="AA60" s="79" t="s">
        <v>667</v>
      </c>
      <c r="AB60" s="79" t="s">
        <v>532</v>
      </c>
      <c r="AC60" s="77" t="s">
        <v>94</v>
      </c>
      <c r="AD60" s="79" t="s">
        <v>669</v>
      </c>
    </row>
    <row r="61" spans="1:30" x14ac:dyDescent="0.25">
      <c r="A61" s="10" t="s">
        <v>637</v>
      </c>
      <c r="B61" s="77" t="s">
        <v>95</v>
      </c>
      <c r="C61" s="77">
        <f>C60+(BudgetsTable[[#This Row],[lead]]&lt;&gt;K60)</f>
        <v>22</v>
      </c>
      <c r="D61" s="77">
        <f>D60*(BudgetsTable[[#This Row],[lead]]=K60)+(BudgetsTable[[#This Row],[prop_id]]&lt;&gt;A60)</f>
        <v>1</v>
      </c>
      <c r="E61" s="78">
        <v>42999.359027777777</v>
      </c>
      <c r="F61" s="79" t="s">
        <v>666</v>
      </c>
      <c r="G61" s="79" t="s">
        <v>667</v>
      </c>
      <c r="H61" s="79" t="s">
        <v>532</v>
      </c>
      <c r="I61" s="77" t="s">
        <v>574</v>
      </c>
      <c r="J61" s="77" t="s">
        <v>13</v>
      </c>
      <c r="K61" s="79" t="s">
        <v>637</v>
      </c>
      <c r="L61" s="7" t="str">
        <f>IF(BudgetsTable[[#This Row],[pi_last_name]]=" ","",HYPERLINK("https://www.ejacket.nsf.gov/ej/showProposal.do?Continue=Y&amp;ID="&amp;BudgetsTable[[#This Row],[prop_id]],BudgetsTable[[#This Row],[prop_id]]))</f>
        <v/>
      </c>
      <c r="M61" s="15" t="str">
        <f>IF(BudgetsTable[[#This Row],[pi_last_name]]=" ","",HYPERLINK("https://www.ejacket.nsf.gov/ej/processReviewAnalysis.do?dispatch=add&amp;uniqId="&amp;BudgetsTable[[#This Row],[prop_id]]&amp;PO_id,"&gt;ra"))</f>
        <v/>
      </c>
      <c r="N61" s="79" t="s">
        <v>13</v>
      </c>
      <c r="O61" s="7" t="str">
        <f>IF(BudgetsTable[[#This Row],[pi_last_name]]=" ","",HYPERLINK("mailto:"&amp;BudgetsTable[[#This Row],[pi_email]]&amp;"&amp;subject=Your NSF Proposal:  "&amp;BudgetsTable[[#This Row],[prop_id]],BudgetsTable[[#This Row],[pi_email]]))</f>
        <v/>
      </c>
      <c r="P61" s="79" t="s">
        <v>13</v>
      </c>
      <c r="Q61" s="79">
        <v>2</v>
      </c>
      <c r="R61" s="79">
        <v>2</v>
      </c>
      <c r="S61" s="80">
        <v>0</v>
      </c>
      <c r="T61" s="80">
        <v>0</v>
      </c>
      <c r="U61" s="80">
        <v>0</v>
      </c>
      <c r="V61" s="81">
        <v>117692</v>
      </c>
      <c r="W61" s="79">
        <v>0</v>
      </c>
      <c r="X61" s="79">
        <v>2</v>
      </c>
      <c r="Y61" s="11" t="str">
        <f ca="1">IF(ISBLANK(BudgetsTable[[#This Row],[budg_seq_yr]]),"FY"&amp;fiscalyear,"FY"&amp;fiscalyear-1+BudgetsTable[[#This Row],[budg_seq_yr]])</f>
        <v>FY19</v>
      </c>
      <c r="Z61" s="80">
        <v>117692</v>
      </c>
      <c r="AA61" s="79" t="s">
        <v>667</v>
      </c>
      <c r="AB61" s="79" t="s">
        <v>532</v>
      </c>
      <c r="AC61" s="77" t="s">
        <v>94</v>
      </c>
      <c r="AD61" s="79" t="s">
        <v>669</v>
      </c>
    </row>
    <row r="62" spans="1:30" x14ac:dyDescent="0.25">
      <c r="A62" s="10" t="s">
        <v>642</v>
      </c>
      <c r="B62" s="77" t="s">
        <v>475</v>
      </c>
      <c r="C62" s="77">
        <f>C61+(BudgetsTable[[#This Row],[lead]]&lt;&gt;K61)</f>
        <v>23</v>
      </c>
      <c r="D62" s="77">
        <f>D61*(BudgetsTable[[#This Row],[lead]]=K61)+(BudgetsTable[[#This Row],[prop_id]]&lt;&gt;A61)</f>
        <v>1</v>
      </c>
      <c r="E62" s="78">
        <v>42999.447222222225</v>
      </c>
      <c r="F62" s="79" t="s">
        <v>666</v>
      </c>
      <c r="G62" s="79" t="s">
        <v>667</v>
      </c>
      <c r="H62" s="79" t="s">
        <v>532</v>
      </c>
      <c r="I62" s="77" t="s">
        <v>574</v>
      </c>
      <c r="J62" s="77" t="s">
        <v>733</v>
      </c>
      <c r="K62" s="79" t="s">
        <v>642</v>
      </c>
      <c r="L62" s="7" t="str">
        <f>IF(BudgetsTable[[#This Row],[pi_last_name]]=" ","",HYPERLINK("https://www.ejacket.nsf.gov/ej/showProposal.do?Continue=Y&amp;ID="&amp;BudgetsTable[[#This Row],[prop_id]],BudgetsTable[[#This Row],[prop_id]]))</f>
        <v>1762357</v>
      </c>
      <c r="M62" s="15" t="e">
        <f>IF(BudgetsTable[[#This Row],[pi_last_name]]=" ","",HYPERLINK("https://www.ejacket.nsf.gov/ej/processReviewAnalysis.do?dispatch=add&amp;uniqId="&amp;BudgetsTable[[#This Row],[prop_id]]&amp;PO_id,"&gt;ra"))</f>
        <v>#REF!</v>
      </c>
      <c r="N62" s="79" t="s">
        <v>643</v>
      </c>
      <c r="O62" s="7" t="str">
        <f>IF(BudgetsTable[[#This Row],[pi_last_name]]=" ","",HYPERLINK("mailto:"&amp;BudgetsTable[[#This Row],[pi_email]]&amp;"&amp;subject=Your NSF Proposal:  "&amp;BudgetsTable[[#This Row],[prop_id]],BudgetsTable[[#This Row],[pi_email]]))</f>
        <v>baabak@gatech.edu</v>
      </c>
      <c r="P62" s="79" t="s">
        <v>523</v>
      </c>
      <c r="Q62" s="79"/>
      <c r="R62" s="79"/>
      <c r="S62" s="80"/>
      <c r="T62" s="80"/>
      <c r="U62" s="80"/>
      <c r="V62" s="81"/>
      <c r="W62" s="79">
        <v>0</v>
      </c>
      <c r="X62" s="79"/>
      <c r="Y62" s="11" t="str">
        <f ca="1">IF(ISBLANK(BudgetsTable[[#This Row],[budg_seq_yr]]),"FY"&amp;fiscalyear,"FY"&amp;fiscalyear-1+BudgetsTable[[#This Row],[budg_seq_yr]])</f>
        <v>FY18</v>
      </c>
      <c r="Z62" s="80">
        <v>283738</v>
      </c>
      <c r="AA62" s="79" t="s">
        <v>667</v>
      </c>
      <c r="AB62" s="79" t="s">
        <v>532</v>
      </c>
      <c r="AC62" s="77" t="s">
        <v>94</v>
      </c>
      <c r="AD62" s="79" t="s">
        <v>669</v>
      </c>
    </row>
    <row r="63" spans="1:30" x14ac:dyDescent="0.25">
      <c r="A63" s="10" t="s">
        <v>642</v>
      </c>
      <c r="B63" s="77" t="s">
        <v>475</v>
      </c>
      <c r="C63" s="77">
        <f>C62+(BudgetsTable[[#This Row],[lead]]&lt;&gt;K62)</f>
        <v>23</v>
      </c>
      <c r="D63" s="77">
        <f>D62*(BudgetsTable[[#This Row],[lead]]=K62)+(BudgetsTable[[#This Row],[prop_id]]&lt;&gt;A62)</f>
        <v>1</v>
      </c>
      <c r="E63" s="78">
        <v>42999.447222222225</v>
      </c>
      <c r="F63" s="79" t="s">
        <v>666</v>
      </c>
      <c r="G63" s="79" t="s">
        <v>667</v>
      </c>
      <c r="H63" s="79" t="s">
        <v>532</v>
      </c>
      <c r="I63" s="77" t="s">
        <v>574</v>
      </c>
      <c r="J63" s="77" t="s">
        <v>13</v>
      </c>
      <c r="K63" s="79" t="s">
        <v>642</v>
      </c>
      <c r="L63" s="7" t="str">
        <f>IF(BudgetsTable[[#This Row],[pi_last_name]]=" ","",HYPERLINK("https://www.ejacket.nsf.gov/ej/showProposal.do?Continue=Y&amp;ID="&amp;BudgetsTable[[#This Row],[prop_id]],BudgetsTable[[#This Row],[prop_id]]))</f>
        <v/>
      </c>
      <c r="M63" s="15" t="str">
        <f>IF(BudgetsTable[[#This Row],[pi_last_name]]=" ","",HYPERLINK("https://www.ejacket.nsf.gov/ej/processReviewAnalysis.do?dispatch=add&amp;uniqId="&amp;BudgetsTable[[#This Row],[prop_id]]&amp;PO_id,"&gt;ra"))</f>
        <v/>
      </c>
      <c r="N63" s="79" t="s">
        <v>13</v>
      </c>
      <c r="O63" s="7" t="str">
        <f>IF(BudgetsTable[[#This Row],[pi_last_name]]=" ","",HYPERLINK("mailto:"&amp;BudgetsTable[[#This Row],[pi_email]]&amp;"&amp;subject=Your NSF Proposal:  "&amp;BudgetsTable[[#This Row],[prop_id]],BudgetsTable[[#This Row],[pi_email]]))</f>
        <v/>
      </c>
      <c r="P63" s="79" t="s">
        <v>13</v>
      </c>
      <c r="Q63" s="79">
        <v>3</v>
      </c>
      <c r="R63" s="79">
        <v>1.6</v>
      </c>
      <c r="S63" s="80">
        <v>0</v>
      </c>
      <c r="T63" s="80">
        <v>0</v>
      </c>
      <c r="U63" s="80">
        <v>0</v>
      </c>
      <c r="V63" s="81">
        <v>135943</v>
      </c>
      <c r="W63" s="79">
        <v>0</v>
      </c>
      <c r="X63" s="79">
        <v>1</v>
      </c>
      <c r="Y63" s="11" t="str">
        <f ca="1">IF(ISBLANK(BudgetsTable[[#This Row],[budg_seq_yr]]),"FY"&amp;fiscalyear,"FY"&amp;fiscalyear-1+BudgetsTable[[#This Row],[budg_seq_yr]])</f>
        <v>FY18</v>
      </c>
      <c r="Z63" s="80">
        <v>135943</v>
      </c>
      <c r="AA63" s="79" t="s">
        <v>667</v>
      </c>
      <c r="AB63" s="79" t="s">
        <v>532</v>
      </c>
      <c r="AC63" s="77" t="s">
        <v>94</v>
      </c>
      <c r="AD63" s="79" t="s">
        <v>669</v>
      </c>
    </row>
    <row r="64" spans="1:30" x14ac:dyDescent="0.25">
      <c r="A64" s="10" t="s">
        <v>642</v>
      </c>
      <c r="B64" s="77" t="s">
        <v>475</v>
      </c>
      <c r="C64" s="77">
        <f>C63+(BudgetsTable[[#This Row],[lead]]&lt;&gt;K63)</f>
        <v>23</v>
      </c>
      <c r="D64" s="77">
        <f>D63*(BudgetsTable[[#This Row],[lead]]=K63)+(BudgetsTable[[#This Row],[prop_id]]&lt;&gt;A63)</f>
        <v>1</v>
      </c>
      <c r="E64" s="78">
        <v>42999.447222222225</v>
      </c>
      <c r="F64" s="79" t="s">
        <v>666</v>
      </c>
      <c r="G64" s="79" t="s">
        <v>667</v>
      </c>
      <c r="H64" s="79" t="s">
        <v>532</v>
      </c>
      <c r="I64" s="77" t="s">
        <v>574</v>
      </c>
      <c r="J64" s="77" t="s">
        <v>13</v>
      </c>
      <c r="K64" s="79" t="s">
        <v>642</v>
      </c>
      <c r="L64" s="7" t="str">
        <f>IF(BudgetsTable[[#This Row],[pi_last_name]]=" ","",HYPERLINK("https://www.ejacket.nsf.gov/ej/showProposal.do?Continue=Y&amp;ID="&amp;BudgetsTable[[#This Row],[prop_id]],BudgetsTable[[#This Row],[prop_id]]))</f>
        <v/>
      </c>
      <c r="M64" s="15" t="str">
        <f>IF(BudgetsTable[[#This Row],[pi_last_name]]=" ","",HYPERLINK("https://www.ejacket.nsf.gov/ej/processReviewAnalysis.do?dispatch=add&amp;uniqId="&amp;BudgetsTable[[#This Row],[prop_id]]&amp;PO_id,"&gt;ra"))</f>
        <v/>
      </c>
      <c r="N64" s="79" t="s">
        <v>13</v>
      </c>
      <c r="O64" s="7" t="str">
        <f>IF(BudgetsTable[[#This Row],[pi_last_name]]=" ","",HYPERLINK("mailto:"&amp;BudgetsTable[[#This Row],[pi_email]]&amp;"&amp;subject=Your NSF Proposal:  "&amp;BudgetsTable[[#This Row],[prop_id]],BudgetsTable[[#This Row],[pi_email]]))</f>
        <v/>
      </c>
      <c r="P64" s="79" t="s">
        <v>13</v>
      </c>
      <c r="Q64" s="79">
        <v>3</v>
      </c>
      <c r="R64" s="79">
        <v>1.6</v>
      </c>
      <c r="S64" s="80">
        <v>0</v>
      </c>
      <c r="T64" s="80">
        <v>0</v>
      </c>
      <c r="U64" s="80">
        <v>0</v>
      </c>
      <c r="V64" s="81">
        <v>147795</v>
      </c>
      <c r="W64" s="79">
        <v>0</v>
      </c>
      <c r="X64" s="79">
        <v>2</v>
      </c>
      <c r="Y64" s="11" t="str">
        <f ca="1">IF(ISBLANK(BudgetsTable[[#This Row],[budg_seq_yr]]),"FY"&amp;fiscalyear,"FY"&amp;fiscalyear-1+BudgetsTable[[#This Row],[budg_seq_yr]])</f>
        <v>FY19</v>
      </c>
      <c r="Z64" s="80">
        <v>147795</v>
      </c>
      <c r="AA64" s="79" t="s">
        <v>667</v>
      </c>
      <c r="AB64" s="79" t="s">
        <v>532</v>
      </c>
      <c r="AC64" s="77" t="s">
        <v>94</v>
      </c>
      <c r="AD64" s="79" t="s">
        <v>669</v>
      </c>
    </row>
    <row r="65" spans="1:30" x14ac:dyDescent="0.25">
      <c r="A65" s="10" t="s">
        <v>734</v>
      </c>
      <c r="B65" s="77" t="s">
        <v>477</v>
      </c>
      <c r="C65" s="77">
        <f>C64+(BudgetsTable[[#This Row],[lead]]&lt;&gt;K64)</f>
        <v>23</v>
      </c>
      <c r="D65" s="77">
        <f>D64*(BudgetsTable[[#This Row],[lead]]=K64)+(BudgetsTable[[#This Row],[prop_id]]&lt;&gt;A64)</f>
        <v>2</v>
      </c>
      <c r="E65" s="78">
        <v>42999.552777777775</v>
      </c>
      <c r="F65" s="79" t="s">
        <v>666</v>
      </c>
      <c r="G65" s="79" t="s">
        <v>667</v>
      </c>
      <c r="H65" s="79" t="s">
        <v>532</v>
      </c>
      <c r="I65" s="77" t="s">
        <v>574</v>
      </c>
      <c r="J65" s="77" t="s">
        <v>738</v>
      </c>
      <c r="K65" s="79" t="s">
        <v>642</v>
      </c>
      <c r="L65" s="7" t="str">
        <f>IF(BudgetsTable[[#This Row],[pi_last_name]]=" ","",HYPERLINK("https://www.ejacket.nsf.gov/ej/showProposal.do?Continue=Y&amp;ID="&amp;BudgetsTable[[#This Row],[prop_id]],BudgetsTable[[#This Row],[prop_id]]))</f>
        <v>1762413</v>
      </c>
      <c r="M65" s="15" t="e">
        <f>IF(BudgetsTable[[#This Row],[pi_last_name]]=" ","",HYPERLINK("https://www.ejacket.nsf.gov/ej/processReviewAnalysis.do?dispatch=add&amp;uniqId="&amp;BudgetsTable[[#This Row],[prop_id]]&amp;PO_id,"&gt;ra"))</f>
        <v>#REF!</v>
      </c>
      <c r="N65" s="79" t="s">
        <v>735</v>
      </c>
      <c r="O65" s="7" t="str">
        <f>IF(BudgetsTable[[#This Row],[pi_last_name]]=" ","",HYPERLINK("mailto:"&amp;BudgetsTable[[#This Row],[pi_email]]&amp;"&amp;subject=Your NSF Proposal:  "&amp;BudgetsTable[[#This Row],[prop_id]],BudgetsTable[[#This Row],[pi_email]]))</f>
        <v>mohsen@uta.edu</v>
      </c>
      <c r="P65" s="79" t="s">
        <v>737</v>
      </c>
      <c r="Q65" s="79"/>
      <c r="R65" s="79"/>
      <c r="S65" s="80"/>
      <c r="T65" s="80"/>
      <c r="U65" s="80"/>
      <c r="V65" s="81"/>
      <c r="W65" s="79">
        <v>0</v>
      </c>
      <c r="X65" s="79"/>
      <c r="Y65" s="11" t="str">
        <f ca="1">IF(ISBLANK(BudgetsTable[[#This Row],[budg_seq_yr]]),"FY"&amp;fiscalyear,"FY"&amp;fiscalyear-1+BudgetsTable[[#This Row],[budg_seq_yr]])</f>
        <v>FY18</v>
      </c>
      <c r="Z65" s="80">
        <v>133993</v>
      </c>
      <c r="AA65" s="79" t="s">
        <v>667</v>
      </c>
      <c r="AB65" s="79" t="s">
        <v>532</v>
      </c>
      <c r="AC65" s="77" t="s">
        <v>94</v>
      </c>
      <c r="AD65" s="79" t="s">
        <v>669</v>
      </c>
    </row>
    <row r="66" spans="1:30" x14ac:dyDescent="0.25">
      <c r="A66" s="10" t="s">
        <v>734</v>
      </c>
      <c r="B66" s="77" t="s">
        <v>477</v>
      </c>
      <c r="C66" s="77">
        <f>C65+(BudgetsTable[[#This Row],[lead]]&lt;&gt;K65)</f>
        <v>23</v>
      </c>
      <c r="D66" s="77">
        <f>D65*(BudgetsTable[[#This Row],[lead]]=K65)+(BudgetsTable[[#This Row],[prop_id]]&lt;&gt;A65)</f>
        <v>2</v>
      </c>
      <c r="E66" s="78">
        <v>42999.552777777775</v>
      </c>
      <c r="F66" s="79" t="s">
        <v>666</v>
      </c>
      <c r="G66" s="79" t="s">
        <v>667</v>
      </c>
      <c r="H66" s="79" t="s">
        <v>532</v>
      </c>
      <c r="I66" s="77" t="s">
        <v>574</v>
      </c>
      <c r="J66" s="77" t="s">
        <v>13</v>
      </c>
      <c r="K66" s="79" t="s">
        <v>642</v>
      </c>
      <c r="L66" s="7" t="str">
        <f>IF(BudgetsTable[[#This Row],[pi_last_name]]=" ","",HYPERLINK("https://www.ejacket.nsf.gov/ej/showProposal.do?Continue=Y&amp;ID="&amp;BudgetsTable[[#This Row],[prop_id]],BudgetsTable[[#This Row],[prop_id]]))</f>
        <v/>
      </c>
      <c r="M66" s="15" t="str">
        <f>IF(BudgetsTable[[#This Row],[pi_last_name]]=" ","",HYPERLINK("https://www.ejacket.nsf.gov/ej/processReviewAnalysis.do?dispatch=add&amp;uniqId="&amp;BudgetsTable[[#This Row],[prop_id]]&amp;PO_id,"&gt;ra"))</f>
        <v/>
      </c>
      <c r="N66" s="79" t="s">
        <v>13</v>
      </c>
      <c r="O66" s="7" t="str">
        <f>IF(BudgetsTable[[#This Row],[pi_last_name]]=" ","",HYPERLINK("mailto:"&amp;BudgetsTable[[#This Row],[pi_email]]&amp;"&amp;subject=Your NSF Proposal:  "&amp;BudgetsTable[[#This Row],[prop_id]],BudgetsTable[[#This Row],[pi_email]]))</f>
        <v/>
      </c>
      <c r="P66" s="79" t="s">
        <v>13</v>
      </c>
      <c r="Q66" s="79">
        <v>1</v>
      </c>
      <c r="R66" s="79">
        <v>1</v>
      </c>
      <c r="S66" s="80">
        <v>0</v>
      </c>
      <c r="T66" s="80">
        <v>0</v>
      </c>
      <c r="U66" s="80">
        <v>0</v>
      </c>
      <c r="V66" s="81">
        <v>66481</v>
      </c>
      <c r="W66" s="79">
        <v>0</v>
      </c>
      <c r="X66" s="79">
        <v>1</v>
      </c>
      <c r="Y66" s="11" t="str">
        <f ca="1">IF(ISBLANK(BudgetsTable[[#This Row],[budg_seq_yr]]),"FY"&amp;fiscalyear,"FY"&amp;fiscalyear-1+BudgetsTable[[#This Row],[budg_seq_yr]])</f>
        <v>FY18</v>
      </c>
      <c r="Z66" s="80">
        <v>66481</v>
      </c>
      <c r="AA66" s="79" t="s">
        <v>667</v>
      </c>
      <c r="AB66" s="79" t="s">
        <v>532</v>
      </c>
      <c r="AC66" s="77" t="s">
        <v>94</v>
      </c>
      <c r="AD66" s="79" t="s">
        <v>669</v>
      </c>
    </row>
    <row r="67" spans="1:30" x14ac:dyDescent="0.25">
      <c r="A67" s="10" t="s">
        <v>734</v>
      </c>
      <c r="B67" s="77" t="s">
        <v>477</v>
      </c>
      <c r="C67" s="77">
        <f>C66+(BudgetsTable[[#This Row],[lead]]&lt;&gt;K66)</f>
        <v>23</v>
      </c>
      <c r="D67" s="77">
        <f>D66*(BudgetsTable[[#This Row],[lead]]=K66)+(BudgetsTable[[#This Row],[prop_id]]&lt;&gt;A66)</f>
        <v>2</v>
      </c>
      <c r="E67" s="78">
        <v>42999.552777777775</v>
      </c>
      <c r="F67" s="79" t="s">
        <v>666</v>
      </c>
      <c r="G67" s="79" t="s">
        <v>667</v>
      </c>
      <c r="H67" s="79" t="s">
        <v>532</v>
      </c>
      <c r="I67" s="77" t="s">
        <v>574</v>
      </c>
      <c r="J67" s="77" t="s">
        <v>13</v>
      </c>
      <c r="K67" s="79" t="s">
        <v>642</v>
      </c>
      <c r="L67" s="7" t="str">
        <f>IF(BudgetsTable[[#This Row],[pi_last_name]]=" ","",HYPERLINK("https://www.ejacket.nsf.gov/ej/showProposal.do?Continue=Y&amp;ID="&amp;BudgetsTable[[#This Row],[prop_id]],BudgetsTable[[#This Row],[prop_id]]))</f>
        <v/>
      </c>
      <c r="M67" s="15" t="str">
        <f>IF(BudgetsTable[[#This Row],[pi_last_name]]=" ","",HYPERLINK("https://www.ejacket.nsf.gov/ej/processReviewAnalysis.do?dispatch=add&amp;uniqId="&amp;BudgetsTable[[#This Row],[prop_id]]&amp;PO_id,"&gt;ra"))</f>
        <v/>
      </c>
      <c r="N67" s="79" t="s">
        <v>13</v>
      </c>
      <c r="O67" s="7" t="str">
        <f>IF(BudgetsTable[[#This Row],[pi_last_name]]=" ","",HYPERLINK("mailto:"&amp;BudgetsTable[[#This Row],[pi_email]]&amp;"&amp;subject=Your NSF Proposal:  "&amp;BudgetsTable[[#This Row],[prop_id]],BudgetsTable[[#This Row],[pi_email]]))</f>
        <v/>
      </c>
      <c r="P67" s="79" t="s">
        <v>13</v>
      </c>
      <c r="Q67" s="79">
        <v>1</v>
      </c>
      <c r="R67" s="79">
        <v>1</v>
      </c>
      <c r="S67" s="80">
        <v>0</v>
      </c>
      <c r="T67" s="80">
        <v>0</v>
      </c>
      <c r="U67" s="80">
        <v>0</v>
      </c>
      <c r="V67" s="81">
        <v>67512</v>
      </c>
      <c r="W67" s="79">
        <v>0</v>
      </c>
      <c r="X67" s="79">
        <v>2</v>
      </c>
      <c r="Y67" s="11" t="str">
        <f ca="1">IF(ISBLANK(BudgetsTable[[#This Row],[budg_seq_yr]]),"FY"&amp;fiscalyear,"FY"&amp;fiscalyear-1+BudgetsTable[[#This Row],[budg_seq_yr]])</f>
        <v>FY19</v>
      </c>
      <c r="Z67" s="80">
        <v>67512</v>
      </c>
      <c r="AA67" s="79" t="s">
        <v>667</v>
      </c>
      <c r="AB67" s="79" t="s">
        <v>532</v>
      </c>
      <c r="AC67" s="77" t="s">
        <v>94</v>
      </c>
      <c r="AD67" s="79" t="s">
        <v>669</v>
      </c>
    </row>
    <row r="68" spans="1:30" x14ac:dyDescent="0.25">
      <c r="A68" s="10" t="s">
        <v>651</v>
      </c>
      <c r="B68" s="77" t="s">
        <v>95</v>
      </c>
      <c r="C68" s="77">
        <f>C67+(BudgetsTable[[#This Row],[lead]]&lt;&gt;K67)</f>
        <v>24</v>
      </c>
      <c r="D68" s="77">
        <f>D67*(BudgetsTable[[#This Row],[lead]]=K67)+(BudgetsTable[[#This Row],[prop_id]]&lt;&gt;A67)</f>
        <v>1</v>
      </c>
      <c r="E68" s="78">
        <v>43000.450694444444</v>
      </c>
      <c r="F68" s="79" t="s">
        <v>666</v>
      </c>
      <c r="G68" s="79" t="s">
        <v>667</v>
      </c>
      <c r="H68" s="79" t="s">
        <v>532</v>
      </c>
      <c r="I68" s="77" t="s">
        <v>574</v>
      </c>
      <c r="J68" s="77" t="s">
        <v>743</v>
      </c>
      <c r="K68" s="79" t="s">
        <v>651</v>
      </c>
      <c r="L68" s="7" t="str">
        <f>IF(BudgetsTable[[#This Row],[pi_last_name]]=" ","",HYPERLINK("https://www.ejacket.nsf.gov/ej/showProposal.do?Continue=Y&amp;ID="&amp;BudgetsTable[[#This Row],[prop_id]],BudgetsTable[[#This Row],[prop_id]]))</f>
        <v>1762649</v>
      </c>
      <c r="M68" s="15" t="e">
        <f>IF(BudgetsTable[[#This Row],[pi_last_name]]=" ","",HYPERLINK("https://www.ejacket.nsf.gov/ej/processReviewAnalysis.do?dispatch=add&amp;uniqId="&amp;BudgetsTable[[#This Row],[prop_id]]&amp;PO_id,"&gt;ra"))</f>
        <v>#REF!</v>
      </c>
      <c r="N68" s="79" t="s">
        <v>652</v>
      </c>
      <c r="O68" s="7" t="str">
        <f>IF(BudgetsTable[[#This Row],[pi_last_name]]=" ","",HYPERLINK("mailto:"&amp;BudgetsTable[[#This Row],[pi_email]]&amp;"&amp;subject=Your NSF Proposal:  "&amp;BudgetsTable[[#This Row],[prop_id]],BudgetsTable[[#This Row],[pi_email]]))</f>
        <v>bfranz@ufl.edu</v>
      </c>
      <c r="P68" s="79" t="s">
        <v>740</v>
      </c>
      <c r="Q68" s="79"/>
      <c r="R68" s="79"/>
      <c r="S68" s="80"/>
      <c r="T68" s="80"/>
      <c r="U68" s="80"/>
      <c r="V68" s="81"/>
      <c r="W68" s="79">
        <v>0</v>
      </c>
      <c r="X68" s="79"/>
      <c r="Y68" s="11" t="str">
        <f ca="1">IF(ISBLANK(BudgetsTable[[#This Row],[budg_seq_yr]]),"FY"&amp;fiscalyear,"FY"&amp;fiscalyear-1+BudgetsTable[[#This Row],[budg_seq_yr]])</f>
        <v>FY18</v>
      </c>
      <c r="Z68" s="80">
        <v>520802</v>
      </c>
      <c r="AA68" s="79" t="s">
        <v>667</v>
      </c>
      <c r="AB68" s="79" t="s">
        <v>532</v>
      </c>
      <c r="AC68" s="77" t="s">
        <v>94</v>
      </c>
      <c r="AD68" s="79" t="s">
        <v>669</v>
      </c>
    </row>
    <row r="69" spans="1:30" x14ac:dyDescent="0.25">
      <c r="A69" s="10" t="s">
        <v>651</v>
      </c>
      <c r="B69" s="77" t="s">
        <v>95</v>
      </c>
      <c r="C69" s="77">
        <f>C68+(BudgetsTable[[#This Row],[lead]]&lt;&gt;K68)</f>
        <v>24</v>
      </c>
      <c r="D69" s="77">
        <f>D68*(BudgetsTable[[#This Row],[lead]]=K68)+(BudgetsTable[[#This Row],[prop_id]]&lt;&gt;A68)</f>
        <v>1</v>
      </c>
      <c r="E69" s="78">
        <v>43000.450694444444</v>
      </c>
      <c r="F69" s="79" t="s">
        <v>666</v>
      </c>
      <c r="G69" s="79" t="s">
        <v>667</v>
      </c>
      <c r="H69" s="79" t="s">
        <v>532</v>
      </c>
      <c r="I69" s="77" t="s">
        <v>574</v>
      </c>
      <c r="J69" s="77" t="s">
        <v>13</v>
      </c>
      <c r="K69" s="79" t="s">
        <v>651</v>
      </c>
      <c r="L69" s="7" t="str">
        <f>IF(BudgetsTable[[#This Row],[pi_last_name]]=" ","",HYPERLINK("https://www.ejacket.nsf.gov/ej/showProposal.do?Continue=Y&amp;ID="&amp;BudgetsTable[[#This Row],[prop_id]],BudgetsTable[[#This Row],[prop_id]]))</f>
        <v/>
      </c>
      <c r="M69" s="15" t="str">
        <f>IF(BudgetsTable[[#This Row],[pi_last_name]]=" ","",HYPERLINK("https://www.ejacket.nsf.gov/ej/processReviewAnalysis.do?dispatch=add&amp;uniqId="&amp;BudgetsTable[[#This Row],[prop_id]]&amp;PO_id,"&gt;ra"))</f>
        <v/>
      </c>
      <c r="N69" s="79" t="s">
        <v>13</v>
      </c>
      <c r="O69" s="7" t="str">
        <f>IF(BudgetsTable[[#This Row],[pi_last_name]]=" ","",HYPERLINK("mailto:"&amp;BudgetsTable[[#This Row],[pi_email]]&amp;"&amp;subject=Your NSF Proposal:  "&amp;BudgetsTable[[#This Row],[prop_id]],BudgetsTable[[#This Row],[pi_email]]))</f>
        <v/>
      </c>
      <c r="P69" s="79" t="s">
        <v>13</v>
      </c>
      <c r="Q69" s="79">
        <v>3</v>
      </c>
      <c r="R69" s="79">
        <v>1.75</v>
      </c>
      <c r="S69" s="80">
        <v>0</v>
      </c>
      <c r="T69" s="80">
        <v>0</v>
      </c>
      <c r="U69" s="80">
        <v>0</v>
      </c>
      <c r="V69" s="81">
        <v>142116</v>
      </c>
      <c r="W69" s="79">
        <v>0</v>
      </c>
      <c r="X69" s="79">
        <v>1</v>
      </c>
      <c r="Y69" s="11" t="str">
        <f ca="1">IF(ISBLANK(BudgetsTable[[#This Row],[budg_seq_yr]]),"FY"&amp;fiscalyear,"FY"&amp;fiscalyear-1+BudgetsTable[[#This Row],[budg_seq_yr]])</f>
        <v>FY18</v>
      </c>
      <c r="Z69" s="80">
        <v>142116</v>
      </c>
      <c r="AA69" s="79" t="s">
        <v>667</v>
      </c>
      <c r="AB69" s="79" t="s">
        <v>532</v>
      </c>
      <c r="AC69" s="77" t="s">
        <v>94</v>
      </c>
      <c r="AD69" s="79" t="s">
        <v>669</v>
      </c>
    </row>
    <row r="70" spans="1:30" x14ac:dyDescent="0.25">
      <c r="A70" s="10" t="s">
        <v>651</v>
      </c>
      <c r="B70" s="77" t="s">
        <v>95</v>
      </c>
      <c r="C70" s="77">
        <f>C69+(BudgetsTable[[#This Row],[lead]]&lt;&gt;K69)</f>
        <v>24</v>
      </c>
      <c r="D70" s="77">
        <f>D69*(BudgetsTable[[#This Row],[lead]]=K69)+(BudgetsTable[[#This Row],[prop_id]]&lt;&gt;A69)</f>
        <v>1</v>
      </c>
      <c r="E70" s="78">
        <v>43000.450694444444</v>
      </c>
      <c r="F70" s="79" t="s">
        <v>666</v>
      </c>
      <c r="G70" s="79" t="s">
        <v>667</v>
      </c>
      <c r="H70" s="79" t="s">
        <v>532</v>
      </c>
      <c r="I70" s="77" t="s">
        <v>574</v>
      </c>
      <c r="J70" s="77" t="s">
        <v>13</v>
      </c>
      <c r="K70" s="79" t="s">
        <v>651</v>
      </c>
      <c r="L70" s="7" t="str">
        <f>IF(BudgetsTable[[#This Row],[pi_last_name]]=" ","",HYPERLINK("https://www.ejacket.nsf.gov/ej/showProposal.do?Continue=Y&amp;ID="&amp;BudgetsTable[[#This Row],[prop_id]],BudgetsTable[[#This Row],[prop_id]]))</f>
        <v/>
      </c>
      <c r="M70" s="15" t="str">
        <f>IF(BudgetsTable[[#This Row],[pi_last_name]]=" ","",HYPERLINK("https://www.ejacket.nsf.gov/ej/processReviewAnalysis.do?dispatch=add&amp;uniqId="&amp;BudgetsTable[[#This Row],[prop_id]]&amp;PO_id,"&gt;ra"))</f>
        <v/>
      </c>
      <c r="N70" s="79" t="s">
        <v>13</v>
      </c>
      <c r="O70" s="7" t="str">
        <f>IF(BudgetsTable[[#This Row],[pi_last_name]]=" ","",HYPERLINK("mailto:"&amp;BudgetsTable[[#This Row],[pi_email]]&amp;"&amp;subject=Your NSF Proposal:  "&amp;BudgetsTable[[#This Row],[prop_id]],BudgetsTable[[#This Row],[pi_email]]))</f>
        <v/>
      </c>
      <c r="P70" s="79" t="s">
        <v>13</v>
      </c>
      <c r="Q70" s="79">
        <v>3</v>
      </c>
      <c r="R70" s="79">
        <v>1.75</v>
      </c>
      <c r="S70" s="80">
        <v>0</v>
      </c>
      <c r="T70" s="80">
        <v>0</v>
      </c>
      <c r="U70" s="80">
        <v>10000</v>
      </c>
      <c r="V70" s="81">
        <v>204339</v>
      </c>
      <c r="W70" s="79">
        <v>0</v>
      </c>
      <c r="X70" s="79">
        <v>2</v>
      </c>
      <c r="Y70" s="11" t="str">
        <f ca="1">IF(ISBLANK(BudgetsTable[[#This Row],[budg_seq_yr]]),"FY"&amp;fiscalyear,"FY"&amp;fiscalyear-1+BudgetsTable[[#This Row],[budg_seq_yr]])</f>
        <v>FY19</v>
      </c>
      <c r="Z70" s="80">
        <v>204339</v>
      </c>
      <c r="AA70" s="79" t="s">
        <v>667</v>
      </c>
      <c r="AB70" s="79" t="s">
        <v>532</v>
      </c>
      <c r="AC70" s="77" t="s">
        <v>94</v>
      </c>
      <c r="AD70" s="79" t="s">
        <v>669</v>
      </c>
    </row>
    <row r="71" spans="1:30" x14ac:dyDescent="0.25">
      <c r="A71" s="10" t="s">
        <v>651</v>
      </c>
      <c r="B71" s="77" t="s">
        <v>95</v>
      </c>
      <c r="C71" s="77">
        <f>C70+(BudgetsTable[[#This Row],[lead]]&lt;&gt;K70)</f>
        <v>24</v>
      </c>
      <c r="D71" s="77">
        <f>D70*(BudgetsTable[[#This Row],[lead]]=K70)+(BudgetsTable[[#This Row],[prop_id]]&lt;&gt;A70)</f>
        <v>1</v>
      </c>
      <c r="E71" s="78">
        <v>43000.450694444444</v>
      </c>
      <c r="F71" s="79" t="s">
        <v>666</v>
      </c>
      <c r="G71" s="79" t="s">
        <v>667</v>
      </c>
      <c r="H71" s="79" t="s">
        <v>532</v>
      </c>
      <c r="I71" s="77" t="s">
        <v>574</v>
      </c>
      <c r="J71" s="77" t="s">
        <v>13</v>
      </c>
      <c r="K71" s="79" t="s">
        <v>651</v>
      </c>
      <c r="L71" s="7" t="str">
        <f>IF(BudgetsTable[[#This Row],[pi_last_name]]=" ","",HYPERLINK("https://www.ejacket.nsf.gov/ej/showProposal.do?Continue=Y&amp;ID="&amp;BudgetsTable[[#This Row],[prop_id]],BudgetsTable[[#This Row],[prop_id]]))</f>
        <v/>
      </c>
      <c r="M71" s="15" t="str">
        <f>IF(BudgetsTable[[#This Row],[pi_last_name]]=" ","",HYPERLINK("https://www.ejacket.nsf.gov/ej/processReviewAnalysis.do?dispatch=add&amp;uniqId="&amp;BudgetsTable[[#This Row],[prop_id]]&amp;PO_id,"&gt;ra"))</f>
        <v/>
      </c>
      <c r="N71" s="79" t="s">
        <v>13</v>
      </c>
      <c r="O71" s="7" t="str">
        <f>IF(BudgetsTable[[#This Row],[pi_last_name]]=" ","",HYPERLINK("mailto:"&amp;BudgetsTable[[#This Row],[pi_email]]&amp;"&amp;subject=Your NSF Proposal:  "&amp;BudgetsTable[[#This Row],[prop_id]],BudgetsTable[[#This Row],[pi_email]]))</f>
        <v/>
      </c>
      <c r="P71" s="79" t="s">
        <v>13</v>
      </c>
      <c r="Q71" s="79">
        <v>3</v>
      </c>
      <c r="R71" s="79">
        <v>1.75</v>
      </c>
      <c r="S71" s="80">
        <v>0</v>
      </c>
      <c r="T71" s="80">
        <v>0</v>
      </c>
      <c r="U71" s="80">
        <v>10000</v>
      </c>
      <c r="V71" s="81">
        <v>174347</v>
      </c>
      <c r="W71" s="79">
        <v>0</v>
      </c>
      <c r="X71" s="79">
        <v>3</v>
      </c>
      <c r="Y71" s="11" t="str">
        <f ca="1">IF(ISBLANK(BudgetsTable[[#This Row],[budg_seq_yr]]),"FY"&amp;fiscalyear,"FY"&amp;fiscalyear-1+BudgetsTable[[#This Row],[budg_seq_yr]])</f>
        <v>FY20</v>
      </c>
      <c r="Z71" s="80">
        <v>174347</v>
      </c>
      <c r="AA71" s="79" t="s">
        <v>667</v>
      </c>
      <c r="AB71" s="79" t="s">
        <v>532</v>
      </c>
      <c r="AC71" s="77" t="s">
        <v>94</v>
      </c>
      <c r="AD71" s="79" t="s">
        <v>669</v>
      </c>
    </row>
    <row r="72" spans="1:30" x14ac:dyDescent="0.25">
      <c r="A72" s="10" t="s">
        <v>659</v>
      </c>
      <c r="B72" s="77" t="s">
        <v>95</v>
      </c>
      <c r="C72" s="77">
        <f>C71+(BudgetsTable[[#This Row],[lead]]&lt;&gt;K71)</f>
        <v>25</v>
      </c>
      <c r="D72" s="77">
        <f>D71*(BudgetsTable[[#This Row],[lead]]=K71)+(BudgetsTable[[#This Row],[prop_id]]&lt;&gt;A71)</f>
        <v>1</v>
      </c>
      <c r="E72" s="78">
        <v>43000.552083333336</v>
      </c>
      <c r="F72" s="79" t="s">
        <v>666</v>
      </c>
      <c r="G72" s="79" t="s">
        <v>667</v>
      </c>
      <c r="H72" s="79" t="s">
        <v>532</v>
      </c>
      <c r="I72" s="77" t="s">
        <v>574</v>
      </c>
      <c r="J72" s="77" t="s">
        <v>746</v>
      </c>
      <c r="K72" s="79" t="s">
        <v>659</v>
      </c>
      <c r="L72" s="7" t="str">
        <f>IF(BudgetsTable[[#This Row],[pi_last_name]]=" ","",HYPERLINK("https://www.ejacket.nsf.gov/ej/showProposal.do?Continue=Y&amp;ID="&amp;BudgetsTable[[#This Row],[prop_id]],BudgetsTable[[#This Row],[prop_id]]))</f>
        <v>1762771</v>
      </c>
      <c r="M72" s="15" t="e">
        <f>IF(BudgetsTable[[#This Row],[pi_last_name]]=" ","",HYPERLINK("https://www.ejacket.nsf.gov/ej/processReviewAnalysis.do?dispatch=add&amp;uniqId="&amp;BudgetsTable[[#This Row],[prop_id]]&amp;PO_id,"&gt;ra"))</f>
        <v>#REF!</v>
      </c>
      <c r="N72" s="79" t="s">
        <v>660</v>
      </c>
      <c r="O72" s="7" t="str">
        <f>IF(BudgetsTable[[#This Row],[pi_last_name]]=" ","",HYPERLINK("mailto:"&amp;BudgetsTable[[#This Row],[pi_email]]&amp;"&amp;subject=Your NSF Proposal:  "&amp;BudgetsTable[[#This Row],[prop_id]],BudgetsTable[[#This Row],[pi_email]]))</f>
        <v>david.grau@asu.edu</v>
      </c>
      <c r="P72" s="79" t="s">
        <v>524</v>
      </c>
      <c r="Q72" s="79"/>
      <c r="R72" s="79"/>
      <c r="S72" s="80"/>
      <c r="T72" s="80"/>
      <c r="U72" s="80"/>
      <c r="V72" s="81"/>
      <c r="W72" s="79">
        <v>0</v>
      </c>
      <c r="X72" s="79"/>
      <c r="Y72" s="11" t="str">
        <f ca="1">IF(ISBLANK(BudgetsTable[[#This Row],[budg_seq_yr]]),"FY"&amp;fiscalyear,"FY"&amp;fiscalyear-1+BudgetsTable[[#This Row],[budg_seq_yr]])</f>
        <v>FY18</v>
      </c>
      <c r="Z72" s="80">
        <v>344462</v>
      </c>
      <c r="AA72" s="79" t="s">
        <v>667</v>
      </c>
      <c r="AB72" s="79" t="s">
        <v>532</v>
      </c>
      <c r="AC72" s="77" t="s">
        <v>94</v>
      </c>
      <c r="AD72" s="79" t="s">
        <v>669</v>
      </c>
    </row>
    <row r="73" spans="1:30" x14ac:dyDescent="0.25">
      <c r="A73" s="10" t="s">
        <v>659</v>
      </c>
      <c r="B73" s="77" t="s">
        <v>95</v>
      </c>
      <c r="C73" s="77">
        <f>C72+(BudgetsTable[[#This Row],[lead]]&lt;&gt;K72)</f>
        <v>25</v>
      </c>
      <c r="D73" s="77">
        <f>D72*(BudgetsTable[[#This Row],[lead]]=K72)+(BudgetsTable[[#This Row],[prop_id]]&lt;&gt;A72)</f>
        <v>1</v>
      </c>
      <c r="E73" s="78">
        <v>43000.552083333336</v>
      </c>
      <c r="F73" s="79" t="s">
        <v>666</v>
      </c>
      <c r="G73" s="79" t="s">
        <v>667</v>
      </c>
      <c r="H73" s="79" t="s">
        <v>532</v>
      </c>
      <c r="I73" s="77" t="s">
        <v>574</v>
      </c>
      <c r="J73" s="77" t="s">
        <v>13</v>
      </c>
      <c r="K73" s="79" t="s">
        <v>659</v>
      </c>
      <c r="L73" s="7" t="str">
        <f>IF(BudgetsTable[[#This Row],[pi_last_name]]=" ","",HYPERLINK("https://www.ejacket.nsf.gov/ej/showProposal.do?Continue=Y&amp;ID="&amp;BudgetsTable[[#This Row],[prop_id]],BudgetsTable[[#This Row],[prop_id]]))</f>
        <v/>
      </c>
      <c r="M73" s="15" t="str">
        <f>IF(BudgetsTable[[#This Row],[pi_last_name]]=" ","",HYPERLINK("https://www.ejacket.nsf.gov/ej/processReviewAnalysis.do?dispatch=add&amp;uniqId="&amp;BudgetsTable[[#This Row],[prop_id]]&amp;PO_id,"&gt;ra"))</f>
        <v/>
      </c>
      <c r="N73" s="79" t="s">
        <v>13</v>
      </c>
      <c r="O73" s="7" t="str">
        <f>IF(BudgetsTable[[#This Row],[pi_last_name]]=" ","",HYPERLINK("mailto:"&amp;BudgetsTable[[#This Row],[pi_email]]&amp;"&amp;subject=Your NSF Proposal:  "&amp;BudgetsTable[[#This Row],[prop_id]],BudgetsTable[[#This Row],[pi_email]]))</f>
        <v/>
      </c>
      <c r="P73" s="79" t="s">
        <v>13</v>
      </c>
      <c r="Q73" s="79">
        <v>2</v>
      </c>
      <c r="R73" s="79">
        <v>2</v>
      </c>
      <c r="S73" s="80">
        <v>0</v>
      </c>
      <c r="T73" s="80">
        <v>0</v>
      </c>
      <c r="U73" s="80">
        <v>0</v>
      </c>
      <c r="V73" s="81">
        <v>114274</v>
      </c>
      <c r="W73" s="79">
        <v>0</v>
      </c>
      <c r="X73" s="79">
        <v>1</v>
      </c>
      <c r="Y73" s="11" t="str">
        <f ca="1">IF(ISBLANK(BudgetsTable[[#This Row],[budg_seq_yr]]),"FY"&amp;fiscalyear,"FY"&amp;fiscalyear-1+BudgetsTable[[#This Row],[budg_seq_yr]])</f>
        <v>FY18</v>
      </c>
      <c r="Z73" s="80">
        <v>114274</v>
      </c>
      <c r="AA73" s="79" t="s">
        <v>667</v>
      </c>
      <c r="AB73" s="79" t="s">
        <v>532</v>
      </c>
      <c r="AC73" s="77" t="s">
        <v>94</v>
      </c>
      <c r="AD73" s="79" t="s">
        <v>669</v>
      </c>
    </row>
    <row r="74" spans="1:30" x14ac:dyDescent="0.25">
      <c r="A74" s="10" t="s">
        <v>659</v>
      </c>
      <c r="B74" s="77" t="s">
        <v>95</v>
      </c>
      <c r="C74" s="77">
        <f>C73+(BudgetsTable[[#This Row],[lead]]&lt;&gt;K73)</f>
        <v>25</v>
      </c>
      <c r="D74" s="77">
        <f>D73*(BudgetsTable[[#This Row],[lead]]=K73)+(BudgetsTable[[#This Row],[prop_id]]&lt;&gt;A73)</f>
        <v>1</v>
      </c>
      <c r="E74" s="78">
        <v>43000.552083333336</v>
      </c>
      <c r="F74" s="79" t="s">
        <v>666</v>
      </c>
      <c r="G74" s="79" t="s">
        <v>667</v>
      </c>
      <c r="H74" s="79" t="s">
        <v>532</v>
      </c>
      <c r="I74" s="77" t="s">
        <v>574</v>
      </c>
      <c r="J74" s="77" t="s">
        <v>13</v>
      </c>
      <c r="K74" s="79" t="s">
        <v>659</v>
      </c>
      <c r="L74" s="7" t="str">
        <f>IF(BudgetsTable[[#This Row],[pi_last_name]]=" ","",HYPERLINK("https://www.ejacket.nsf.gov/ej/showProposal.do?Continue=Y&amp;ID="&amp;BudgetsTable[[#This Row],[prop_id]],BudgetsTable[[#This Row],[prop_id]]))</f>
        <v/>
      </c>
      <c r="M74" s="15" t="str">
        <f>IF(BudgetsTable[[#This Row],[pi_last_name]]=" ","",HYPERLINK("https://www.ejacket.nsf.gov/ej/processReviewAnalysis.do?dispatch=add&amp;uniqId="&amp;BudgetsTable[[#This Row],[prop_id]]&amp;PO_id,"&gt;ra"))</f>
        <v/>
      </c>
      <c r="N74" s="79" t="s">
        <v>13</v>
      </c>
      <c r="O74" s="7" t="str">
        <f>IF(BudgetsTable[[#This Row],[pi_last_name]]=" ","",HYPERLINK("mailto:"&amp;BudgetsTable[[#This Row],[pi_email]]&amp;"&amp;subject=Your NSF Proposal:  "&amp;BudgetsTable[[#This Row],[prop_id]],BudgetsTable[[#This Row],[pi_email]]))</f>
        <v/>
      </c>
      <c r="P74" s="79" t="s">
        <v>13</v>
      </c>
      <c r="Q74" s="79">
        <v>2</v>
      </c>
      <c r="R74" s="79">
        <v>2</v>
      </c>
      <c r="S74" s="80">
        <v>0</v>
      </c>
      <c r="T74" s="80">
        <v>0</v>
      </c>
      <c r="U74" s="80">
        <v>3000</v>
      </c>
      <c r="V74" s="81">
        <v>120573</v>
      </c>
      <c r="W74" s="79">
        <v>0</v>
      </c>
      <c r="X74" s="79">
        <v>2</v>
      </c>
      <c r="Y74" s="11" t="str">
        <f ca="1">IF(ISBLANK(BudgetsTable[[#This Row],[budg_seq_yr]]),"FY"&amp;fiscalyear,"FY"&amp;fiscalyear-1+BudgetsTable[[#This Row],[budg_seq_yr]])</f>
        <v>FY19</v>
      </c>
      <c r="Z74" s="80">
        <v>120573</v>
      </c>
      <c r="AA74" s="79" t="s">
        <v>667</v>
      </c>
      <c r="AB74" s="79" t="s">
        <v>532</v>
      </c>
      <c r="AC74" s="77" t="s">
        <v>94</v>
      </c>
      <c r="AD74" s="79" t="s">
        <v>669</v>
      </c>
    </row>
    <row r="75" spans="1:30" x14ac:dyDescent="0.25">
      <c r="A75" s="10" t="s">
        <v>659</v>
      </c>
      <c r="B75" s="77" t="s">
        <v>95</v>
      </c>
      <c r="C75" s="77">
        <f>C74+(BudgetsTable[[#This Row],[lead]]&lt;&gt;K74)</f>
        <v>25</v>
      </c>
      <c r="D75" s="77">
        <f>D74*(BudgetsTable[[#This Row],[lead]]=K74)+(BudgetsTable[[#This Row],[prop_id]]&lt;&gt;A74)</f>
        <v>1</v>
      </c>
      <c r="E75" s="78">
        <v>43000.552083333336</v>
      </c>
      <c r="F75" s="79" t="s">
        <v>666</v>
      </c>
      <c r="G75" s="79" t="s">
        <v>667</v>
      </c>
      <c r="H75" s="79" t="s">
        <v>532</v>
      </c>
      <c r="I75" s="77" t="s">
        <v>574</v>
      </c>
      <c r="J75" s="77" t="s">
        <v>13</v>
      </c>
      <c r="K75" s="79" t="s">
        <v>659</v>
      </c>
      <c r="L75" s="7" t="str">
        <f>IF(BudgetsTable[[#This Row],[pi_last_name]]=" ","",HYPERLINK("https://www.ejacket.nsf.gov/ej/showProposal.do?Continue=Y&amp;ID="&amp;BudgetsTable[[#This Row],[prop_id]],BudgetsTable[[#This Row],[prop_id]]))</f>
        <v/>
      </c>
      <c r="M75" s="15" t="str">
        <f>IF(BudgetsTable[[#This Row],[pi_last_name]]=" ","",HYPERLINK("https://www.ejacket.nsf.gov/ej/processReviewAnalysis.do?dispatch=add&amp;uniqId="&amp;BudgetsTable[[#This Row],[prop_id]]&amp;PO_id,"&gt;ra"))</f>
        <v/>
      </c>
      <c r="N75" s="79" t="s">
        <v>13</v>
      </c>
      <c r="O75" s="7" t="str">
        <f>IF(BudgetsTable[[#This Row],[pi_last_name]]=" ","",HYPERLINK("mailto:"&amp;BudgetsTable[[#This Row],[pi_email]]&amp;"&amp;subject=Your NSF Proposal:  "&amp;BudgetsTable[[#This Row],[prop_id]],BudgetsTable[[#This Row],[pi_email]]))</f>
        <v/>
      </c>
      <c r="P75" s="79" t="s">
        <v>13</v>
      </c>
      <c r="Q75" s="79">
        <v>2</v>
      </c>
      <c r="R75" s="79">
        <v>2</v>
      </c>
      <c r="S75" s="80">
        <v>0</v>
      </c>
      <c r="T75" s="80">
        <v>0</v>
      </c>
      <c r="U75" s="80">
        <v>3000</v>
      </c>
      <c r="V75" s="81">
        <v>109615</v>
      </c>
      <c r="W75" s="79">
        <v>0</v>
      </c>
      <c r="X75" s="79">
        <v>3</v>
      </c>
      <c r="Y75" s="11" t="str">
        <f ca="1">IF(ISBLANK(BudgetsTable[[#This Row],[budg_seq_yr]]),"FY"&amp;fiscalyear,"FY"&amp;fiscalyear-1+BudgetsTable[[#This Row],[budg_seq_yr]])</f>
        <v>FY20</v>
      </c>
      <c r="Z75" s="80">
        <v>109615</v>
      </c>
      <c r="AA75" s="79" t="s">
        <v>667</v>
      </c>
      <c r="AB75" s="79" t="s">
        <v>532</v>
      </c>
      <c r="AC75" s="77" t="s">
        <v>94</v>
      </c>
      <c r="AD75" s="79" t="s">
        <v>669</v>
      </c>
    </row>
  </sheetData>
  <conditionalFormatting sqref="A4:AD75">
    <cfRule type="expression" dxfId="249" priority="1684">
      <formula>MOD($C4,2)</formula>
    </cfRule>
  </conditionalFormatting>
  <conditionalFormatting sqref="L4:AD75">
    <cfRule type="expression" dxfId="248" priority="1579">
      <formula>MOD($D4+1,2)</formula>
    </cfRule>
    <cfRule type="expression" dxfId="247" priority="1686">
      <formula>ISBLANK($X4)</formula>
    </cfRule>
  </conditionalFormatting>
  <pageMargins left="0.25" right="0.25" top="0.75" bottom="0.75" header="0.3" footer="0.3"/>
  <pageSetup paperSize="3" scale="65"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7" tint="-0.499984740745262"/>
  </sheetPr>
  <dimension ref="A1:AX18"/>
  <sheetViews>
    <sheetView workbookViewId="0">
      <selection activeCell="E5" sqref="E5"/>
    </sheetView>
  </sheetViews>
  <sheetFormatPr defaultRowHeight="15" x14ac:dyDescent="0.25"/>
  <cols>
    <col min="1" max="1" width="6.7109375" customWidth="1"/>
    <col min="2" max="2" width="38.42578125" customWidth="1"/>
    <col min="3" max="3" width="11.42578125" customWidth="1"/>
    <col min="4" max="4" width="6.7109375" customWidth="1"/>
    <col min="5" max="5" width="41.85546875" customWidth="1"/>
    <col min="6" max="6" width="7.28515625" customWidth="1"/>
    <col min="7" max="7" width="41" customWidth="1"/>
    <col min="8" max="10" width="5.85546875" style="30" customWidth="1"/>
    <col min="11" max="11" width="3.28515625" style="30" customWidth="1"/>
    <col min="12" max="12" width="3.5703125" style="30" customWidth="1"/>
    <col min="13" max="13" width="13.5703125" customWidth="1"/>
    <col min="14" max="14" width="3.85546875" customWidth="1"/>
    <col min="15" max="16" width="7.42578125" hidden="1" customWidth="1"/>
    <col min="17" max="17" width="5.42578125" customWidth="1"/>
    <col min="18" max="18" width="11" customWidth="1"/>
    <col min="19" max="19" width="14.28515625" style="22" customWidth="1"/>
    <col min="20" max="20" width="5.28515625" style="39" customWidth="1"/>
    <col min="21" max="21" width="4.5703125" style="39" customWidth="1"/>
    <col min="22" max="22" width="11.85546875" customWidth="1"/>
    <col min="23" max="23" width="4.42578125" customWidth="1"/>
    <col min="24" max="24" width="3.7109375" customWidth="1"/>
    <col min="25" max="25" width="8.7109375" style="30" customWidth="1"/>
    <col min="26" max="26" width="3.7109375" customWidth="1"/>
    <col min="27" max="27" width="9.28515625" style="30"/>
    <col min="28" max="28" width="9.5703125" style="30" customWidth="1"/>
    <col min="29" max="29" width="11.5703125" customWidth="1"/>
    <col min="30" max="30" width="12.140625" customWidth="1"/>
    <col min="31" max="31" width="9.85546875" customWidth="1"/>
    <col min="32" max="32" width="10.140625" customWidth="1"/>
    <col min="33" max="33" width="4.42578125" customWidth="1"/>
    <col min="34" max="39" width="3" customWidth="1"/>
    <col min="40" max="40" width="9.28515625" style="1"/>
    <col min="42" max="42" width="85.5703125" customWidth="1"/>
    <col min="43" max="43" width="10.42578125" customWidth="1"/>
    <col min="44" max="44" width="9.5703125" style="13" customWidth="1"/>
    <col min="45" max="45" width="10.42578125" customWidth="1"/>
    <col min="46" max="46" width="15.42578125" customWidth="1"/>
    <col min="47" max="47" width="11.7109375" customWidth="1"/>
    <col min="48" max="48" width="9.28515625" hidden="1" customWidth="1"/>
    <col min="49" max="49" width="11" hidden="1" customWidth="1"/>
    <col min="50" max="53" width="4.28515625" customWidth="1"/>
  </cols>
  <sheetData>
    <row r="1" spans="1:50" ht="33.950000000000003" customHeight="1" x14ac:dyDescent="0.25">
      <c r="A1" s="63" t="s">
        <v>278</v>
      </c>
      <c r="D1" s="63" t="s">
        <v>447</v>
      </c>
      <c r="V1" s="40" t="s">
        <v>225</v>
      </c>
      <c r="AH1" s="40" t="s">
        <v>219</v>
      </c>
      <c r="AI1" s="40"/>
      <c r="AJ1" s="40"/>
      <c r="AK1" s="40"/>
      <c r="AL1" s="40"/>
      <c r="AM1" s="40"/>
      <c r="AN1" s="41" t="s">
        <v>220</v>
      </c>
      <c r="AO1" s="40"/>
      <c r="AP1" s="40"/>
      <c r="AQ1" s="40"/>
      <c r="AR1" s="42" t="s">
        <v>218</v>
      </c>
      <c r="AS1" s="40"/>
      <c r="AT1" s="40"/>
      <c r="AU1" s="40"/>
      <c r="AV1" s="40"/>
      <c r="AW1" s="40"/>
      <c r="AX1" s="40" t="s">
        <v>221</v>
      </c>
    </row>
    <row r="2" spans="1:50" x14ac:dyDescent="0.25">
      <c r="A2" s="25" t="s">
        <v>279</v>
      </c>
      <c r="B2" t="s">
        <v>280</v>
      </c>
      <c r="D2" s="6" t="s">
        <v>356</v>
      </c>
      <c r="E2" s="6" t="s">
        <v>448</v>
      </c>
      <c r="H2"/>
      <c r="I2"/>
      <c r="J2"/>
      <c r="K2"/>
      <c r="L2"/>
      <c r="S2"/>
      <c r="T2"/>
      <c r="U2"/>
      <c r="Y2"/>
      <c r="AA2"/>
      <c r="AB2"/>
      <c r="AN2"/>
      <c r="AR2"/>
    </row>
    <row r="3" spans="1:50" x14ac:dyDescent="0.25">
      <c r="A3" s="105" t="s">
        <v>534</v>
      </c>
      <c r="B3" t="s">
        <v>535</v>
      </c>
      <c r="D3" s="105" t="s">
        <v>532</v>
      </c>
      <c r="E3" t="s">
        <v>533</v>
      </c>
      <c r="H3"/>
      <c r="I3"/>
      <c r="J3"/>
      <c r="K3"/>
      <c r="L3"/>
      <c r="S3"/>
      <c r="T3"/>
      <c r="U3"/>
      <c r="Y3"/>
      <c r="AA3"/>
      <c r="AB3"/>
      <c r="AN3"/>
      <c r="AR3"/>
    </row>
    <row r="4" spans="1:50" x14ac:dyDescent="0.25">
      <c r="A4" s="105" t="s">
        <v>536</v>
      </c>
      <c r="B4" t="s">
        <v>537</v>
      </c>
      <c r="H4"/>
      <c r="I4"/>
      <c r="J4"/>
      <c r="K4"/>
      <c r="L4"/>
      <c r="S4"/>
      <c r="T4"/>
      <c r="U4"/>
      <c r="Y4"/>
      <c r="AA4"/>
      <c r="AB4"/>
      <c r="AN4"/>
      <c r="AR4"/>
    </row>
    <row r="5" spans="1:50" x14ac:dyDescent="0.25">
      <c r="A5" s="105" t="s">
        <v>509</v>
      </c>
      <c r="B5" t="s">
        <v>510</v>
      </c>
      <c r="H5"/>
      <c r="I5"/>
      <c r="J5"/>
      <c r="K5"/>
      <c r="L5"/>
      <c r="S5"/>
      <c r="T5"/>
      <c r="U5"/>
      <c r="Y5"/>
      <c r="AA5"/>
      <c r="AB5"/>
      <c r="AN5"/>
      <c r="AR5"/>
    </row>
    <row r="6" spans="1:50" x14ac:dyDescent="0.25">
      <c r="A6" s="105" t="s">
        <v>538</v>
      </c>
      <c r="B6" t="s">
        <v>535</v>
      </c>
      <c r="H6"/>
      <c r="I6"/>
      <c r="J6"/>
      <c r="K6"/>
      <c r="L6"/>
      <c r="S6"/>
      <c r="T6"/>
      <c r="U6"/>
      <c r="Y6"/>
      <c r="AA6"/>
      <c r="AB6"/>
      <c r="AN6"/>
      <c r="AR6"/>
    </row>
    <row r="7" spans="1:50" x14ac:dyDescent="0.25">
      <c r="H7"/>
      <c r="I7"/>
      <c r="J7"/>
      <c r="K7"/>
      <c r="L7"/>
      <c r="S7"/>
      <c r="T7"/>
      <c r="U7"/>
      <c r="Y7"/>
      <c r="AA7"/>
      <c r="AB7"/>
      <c r="AN7"/>
      <c r="AR7"/>
    </row>
    <row r="8" spans="1:50" x14ac:dyDescent="0.25">
      <c r="H8"/>
      <c r="I8"/>
      <c r="J8"/>
      <c r="K8"/>
      <c r="L8"/>
      <c r="S8"/>
      <c r="T8"/>
      <c r="U8"/>
      <c r="Y8"/>
      <c r="AA8"/>
      <c r="AB8"/>
      <c r="AN8"/>
      <c r="AR8"/>
    </row>
    <row r="9" spans="1:50" x14ac:dyDescent="0.25">
      <c r="H9"/>
      <c r="I9"/>
      <c r="J9"/>
      <c r="K9"/>
      <c r="L9"/>
      <c r="S9"/>
      <c r="T9"/>
      <c r="U9"/>
      <c r="Y9"/>
      <c r="AA9"/>
      <c r="AB9"/>
      <c r="AN9"/>
      <c r="AR9"/>
    </row>
    <row r="10" spans="1:50" x14ac:dyDescent="0.25">
      <c r="K10"/>
      <c r="L10"/>
      <c r="S10"/>
      <c r="T10"/>
      <c r="U10"/>
      <c r="Y10"/>
      <c r="AA10"/>
      <c r="AB10"/>
      <c r="AN10"/>
      <c r="AR10"/>
    </row>
    <row r="11" spans="1:50" x14ac:dyDescent="0.25">
      <c r="K11"/>
      <c r="L11"/>
      <c r="S11"/>
      <c r="T11"/>
      <c r="U11"/>
      <c r="Y11"/>
      <c r="AA11"/>
      <c r="AB11"/>
      <c r="AN11"/>
      <c r="AR11"/>
    </row>
    <row r="12" spans="1:50" x14ac:dyDescent="0.25">
      <c r="K12"/>
      <c r="L12"/>
      <c r="S12"/>
      <c r="T12"/>
      <c r="U12"/>
      <c r="Y12"/>
      <c r="AA12"/>
      <c r="AB12"/>
      <c r="AN12"/>
      <c r="AR12"/>
    </row>
    <row r="13" spans="1:50" x14ac:dyDescent="0.25">
      <c r="K13"/>
      <c r="L13"/>
      <c r="S13"/>
      <c r="T13"/>
      <c r="U13"/>
      <c r="Y13"/>
      <c r="AA13"/>
      <c r="AB13"/>
      <c r="AN13"/>
      <c r="AR13"/>
    </row>
    <row r="14" spans="1:50" x14ac:dyDescent="0.25">
      <c r="K14"/>
      <c r="L14"/>
      <c r="S14"/>
      <c r="T14"/>
      <c r="U14"/>
      <c r="Y14"/>
      <c r="AA14"/>
      <c r="AB14"/>
      <c r="AN14"/>
      <c r="AR14"/>
    </row>
    <row r="15" spans="1:50" x14ac:dyDescent="0.25">
      <c r="K15"/>
      <c r="L15"/>
      <c r="S15"/>
      <c r="T15"/>
      <c r="U15"/>
      <c r="Y15"/>
      <c r="AA15"/>
      <c r="AB15"/>
      <c r="AN15"/>
      <c r="AR15"/>
    </row>
    <row r="16" spans="1:50" x14ac:dyDescent="0.25">
      <c r="K16"/>
      <c r="L16"/>
      <c r="S16"/>
      <c r="T16"/>
      <c r="U16"/>
      <c r="Y16"/>
      <c r="AA16"/>
      <c r="AB16"/>
      <c r="AN16"/>
      <c r="AR16"/>
    </row>
    <row r="17" spans="11:44" x14ac:dyDescent="0.25">
      <c r="K17"/>
      <c r="L17"/>
      <c r="S17"/>
      <c r="T17"/>
      <c r="U17"/>
      <c r="Y17"/>
      <c r="AA17"/>
      <c r="AB17"/>
      <c r="AN17"/>
      <c r="AR17"/>
    </row>
    <row r="18" spans="11:44" x14ac:dyDescent="0.25">
      <c r="K18"/>
      <c r="L18"/>
      <c r="S18"/>
      <c r="T18"/>
      <c r="U18"/>
      <c r="Y18"/>
      <c r="AA18"/>
      <c r="AB18"/>
      <c r="AN18"/>
      <c r="AR18"/>
    </row>
  </sheetData>
  <pageMargins left="0.7" right="0.7" top="0.75" bottom="0.75" header="0.3" footer="0.3"/>
  <pageSetup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C17"/>
  <sheetViews>
    <sheetView workbookViewId="0">
      <selection activeCell="A3" sqref="A3:EC17"/>
    </sheetView>
  </sheetViews>
  <sheetFormatPr defaultRowHeight="15" x14ac:dyDescent="0.25"/>
  <cols>
    <col min="1" max="1" width="8.42578125" customWidth="1"/>
    <col min="2" max="2" width="13.85546875" style="22" customWidth="1"/>
    <col min="3" max="3" width="11.42578125" style="22" customWidth="1"/>
    <col min="4" max="4" width="8.5703125" customWidth="1"/>
    <col min="5" max="5" width="4.7109375" style="5" customWidth="1"/>
    <col min="6" max="6" width="4.5703125" customWidth="1"/>
    <col min="7" max="7" width="4.7109375" customWidth="1"/>
    <col min="8" max="8" width="4.85546875" customWidth="1"/>
    <col min="9" max="9" width="10.5703125" customWidth="1"/>
    <col min="10" max="10" width="9.28515625" bestFit="1" customWidth="1"/>
    <col min="11" max="11" width="13.42578125" style="22" bestFit="1" customWidth="1"/>
    <col min="12" max="12" width="3.28515625" customWidth="1"/>
    <col min="13" max="13" width="6" style="26" customWidth="1"/>
    <col min="14" max="16" width="4.140625" customWidth="1"/>
    <col min="17" max="17" width="19.42578125" style="29" customWidth="1"/>
    <col min="18" max="18" width="20.5703125" style="29" customWidth="1"/>
    <col min="19" max="19" width="8.85546875" style="29" customWidth="1"/>
    <col min="20" max="22" width="7.28515625" style="29" customWidth="1"/>
    <col min="23" max="23" width="2.85546875" style="21" customWidth="1"/>
    <col min="24" max="24" width="7.28515625" style="21" customWidth="1"/>
    <col min="25" max="25" width="5.42578125" style="21" customWidth="1"/>
    <col min="26" max="26" width="5.28515625" customWidth="1"/>
    <col min="27" max="27" width="7.85546875" bestFit="1" customWidth="1"/>
    <col min="28" max="29" width="3.5703125" customWidth="1"/>
    <col min="30" max="30" width="3.5703125" style="21" customWidth="1"/>
    <col min="31" max="31" width="2.42578125" style="21" customWidth="1"/>
    <col min="32" max="32" width="3.28515625" style="26" customWidth="1"/>
    <col min="33" max="33" width="4.42578125" customWidth="1"/>
    <col min="34" max="34" width="3.42578125" customWidth="1"/>
    <col min="35" max="35" width="13.7109375" style="30" customWidth="1"/>
    <col min="36" max="36" width="9.28515625" customWidth="1"/>
    <col min="37" max="38" width="12.7109375" style="13" customWidth="1"/>
    <col min="39" max="39" width="4.5703125" style="5" customWidth="1"/>
    <col min="40" max="40" width="9.28515625" customWidth="1"/>
    <col min="41" max="41" width="4.42578125" style="21" customWidth="1"/>
    <col min="42" max="42" width="72" style="21" bestFit="1" customWidth="1"/>
    <col min="43" max="43" width="3.28515625" customWidth="1"/>
    <col min="44" max="44" width="7.7109375" customWidth="1"/>
    <col min="45" max="45" width="8.7109375" style="26" bestFit="1" customWidth="1"/>
    <col min="46" max="46" width="9.140625" customWidth="1"/>
    <col min="47" max="47" width="13.42578125" style="21" customWidth="1"/>
    <col min="48" max="48" width="4.140625" style="21" customWidth="1"/>
    <col min="49" max="49" width="17.5703125" style="21" customWidth="1"/>
    <col min="50" max="50" width="8.7109375" style="26" customWidth="1"/>
    <col min="51" max="51" width="11.5703125" style="21" customWidth="1"/>
    <col min="52" max="52" width="34.140625" style="21" customWidth="1"/>
    <col min="53" max="53" width="4.42578125" style="21" customWidth="1"/>
    <col min="54" max="54" width="3.5703125" style="21" customWidth="1"/>
    <col min="55" max="58" width="2.85546875" style="21" customWidth="1"/>
    <col min="59" max="59" width="2.85546875" customWidth="1"/>
    <col min="60" max="67" width="2.85546875" style="21" customWidth="1"/>
    <col min="68" max="68" width="2.85546875" style="27" customWidth="1"/>
    <col min="69" max="72" width="2.85546875" style="21" customWidth="1"/>
    <col min="73" max="73" width="10.5703125" bestFit="1" customWidth="1"/>
    <col min="74" max="74" width="14.42578125" style="21" customWidth="1"/>
    <col min="75" max="75" width="11.42578125" style="21" customWidth="1"/>
    <col min="76" max="76" width="24.5703125" style="21" bestFit="1" customWidth="1"/>
    <col min="77" max="77" width="12" bestFit="1" customWidth="1"/>
    <col min="78" max="78" width="12" customWidth="1"/>
    <col min="79" max="79" width="18.42578125" customWidth="1"/>
    <col min="80" max="83" width="2.7109375" style="21" customWidth="1"/>
    <col min="84" max="86" width="2.7109375" customWidth="1"/>
    <col min="87" max="90" width="2.7109375" style="21" customWidth="1"/>
    <col min="91" max="93" width="2.7109375" customWidth="1"/>
    <col min="94" max="97" width="2.7109375" style="21" customWidth="1"/>
    <col min="98" max="100" width="2.7109375" customWidth="1"/>
    <col min="101" max="104" width="2.7109375" style="21" customWidth="1"/>
    <col min="105" max="107" width="2.7109375" customWidth="1"/>
    <col min="108" max="111" width="2.7109375" style="21" customWidth="1"/>
    <col min="112" max="114" width="2.7109375" customWidth="1"/>
    <col min="115" max="118" width="2.7109375" style="21" customWidth="1"/>
    <col min="119" max="121" width="2.7109375" customWidth="1"/>
    <col min="122" max="122" width="36.5703125" customWidth="1"/>
    <col min="123" max="123" width="45.7109375" customWidth="1"/>
    <col min="124" max="124" width="27.140625" customWidth="1"/>
    <col min="125" max="125" width="15.28515625" customWidth="1"/>
    <col min="126" max="126" width="30" bestFit="1" customWidth="1"/>
    <col min="127" max="127" width="11.7109375" customWidth="1"/>
    <col min="128" max="128" width="27.28515625" bestFit="1" customWidth="1"/>
    <col min="129" max="129" width="5.42578125" bestFit="1" customWidth="1"/>
    <col min="130" max="130" width="35.140625" customWidth="1"/>
    <col min="131" max="131" width="13.42578125" style="22" bestFit="1" customWidth="1"/>
    <col min="132" max="132" width="29.28515625" hidden="1" customWidth="1"/>
    <col min="133" max="133" width="72" hidden="1" customWidth="1"/>
  </cols>
  <sheetData>
    <row r="1" spans="1:133" ht="41.65" customHeight="1" x14ac:dyDescent="0.25">
      <c r="A1" s="5" t="s">
        <v>87</v>
      </c>
      <c r="B1" s="22" t="s">
        <v>7</v>
      </c>
      <c r="C1" s="22" t="s">
        <v>8</v>
      </c>
      <c r="D1" s="30" t="s">
        <v>5</v>
      </c>
      <c r="E1" t="s">
        <v>4</v>
      </c>
      <c r="F1" t="s">
        <v>163</v>
      </c>
      <c r="G1" s="2" t="s">
        <v>165</v>
      </c>
      <c r="H1" t="s">
        <v>92</v>
      </c>
      <c r="I1" t="s">
        <v>17</v>
      </c>
      <c r="J1" t="s">
        <v>91</v>
      </c>
      <c r="K1" s="22" t="s">
        <v>16</v>
      </c>
      <c r="L1" t="s">
        <v>151</v>
      </c>
      <c r="M1" s="46" t="s">
        <v>176</v>
      </c>
      <c r="N1" t="s">
        <v>301</v>
      </c>
      <c r="O1" s="6" t="s">
        <v>302</v>
      </c>
      <c r="P1" s="6" t="s">
        <v>303</v>
      </c>
      <c r="Q1" s="92" t="s">
        <v>402</v>
      </c>
      <c r="R1" s="92" t="s">
        <v>403</v>
      </c>
      <c r="S1" s="92" t="s">
        <v>142</v>
      </c>
      <c r="T1" s="92" t="s">
        <v>444</v>
      </c>
      <c r="U1" s="92" t="s">
        <v>141</v>
      </c>
      <c r="V1" s="92" t="s">
        <v>404</v>
      </c>
      <c r="W1" s="93" t="s">
        <v>405</v>
      </c>
      <c r="X1" s="94" t="s">
        <v>200</v>
      </c>
      <c r="Y1" s="94" t="s">
        <v>407</v>
      </c>
      <c r="Z1" s="6" t="s">
        <v>143</v>
      </c>
      <c r="AA1" s="6" t="s">
        <v>9</v>
      </c>
      <c r="AB1" t="s">
        <v>137</v>
      </c>
      <c r="AC1" s="14" t="s">
        <v>146</v>
      </c>
      <c r="AD1" s="14" t="s">
        <v>286</v>
      </c>
      <c r="AE1" s="14" t="s">
        <v>445</v>
      </c>
      <c r="AF1" s="21" t="s">
        <v>304</v>
      </c>
      <c r="AG1" s="91" t="s">
        <v>23</v>
      </c>
      <c r="AH1" s="14" t="s">
        <v>305</v>
      </c>
      <c r="AI1" s="14" t="s">
        <v>285</v>
      </c>
      <c r="AJ1" s="95" t="s">
        <v>147</v>
      </c>
      <c r="AK1" s="96" t="s">
        <v>21</v>
      </c>
      <c r="AL1" s="13" t="s">
        <v>22</v>
      </c>
      <c r="AM1" t="s">
        <v>159</v>
      </c>
      <c r="AN1" s="95" t="s">
        <v>19</v>
      </c>
      <c r="AO1" s="21" t="s">
        <v>20</v>
      </c>
      <c r="AP1" s="21" t="s">
        <v>36</v>
      </c>
      <c r="AQ1" s="21" t="s">
        <v>148</v>
      </c>
      <c r="AR1" s="21" t="s">
        <v>149</v>
      </c>
      <c r="AS1" s="30" t="s">
        <v>150</v>
      </c>
      <c r="AT1" s="21" t="s">
        <v>24</v>
      </c>
      <c r="AU1" s="21" t="s">
        <v>27</v>
      </c>
      <c r="AV1" s="21" t="s">
        <v>25</v>
      </c>
      <c r="AW1" s="21" t="s">
        <v>26</v>
      </c>
      <c r="AX1" s="30" t="s">
        <v>153</v>
      </c>
      <c r="AY1" s="21" t="s">
        <v>154</v>
      </c>
      <c r="AZ1" s="21" t="s">
        <v>306</v>
      </c>
      <c r="BA1" s="97" t="s">
        <v>307</v>
      </c>
      <c r="BB1" s="21" t="s">
        <v>308</v>
      </c>
      <c r="BC1" s="21" t="s">
        <v>28</v>
      </c>
      <c r="BD1" s="21" t="s">
        <v>31</v>
      </c>
      <c r="BE1" s="21" t="s">
        <v>29</v>
      </c>
      <c r="BF1" s="21" t="s">
        <v>30</v>
      </c>
      <c r="BG1" s="27" t="s">
        <v>155</v>
      </c>
      <c r="BH1" s="21" t="s">
        <v>156</v>
      </c>
      <c r="BI1" s="21" t="s">
        <v>309</v>
      </c>
      <c r="BJ1" s="21" t="s">
        <v>310</v>
      </c>
      <c r="BK1" s="21" t="s">
        <v>311</v>
      </c>
      <c r="BL1" s="21" t="s">
        <v>32</v>
      </c>
      <c r="BM1" s="21" t="s">
        <v>35</v>
      </c>
      <c r="BN1" s="21" t="s">
        <v>33</v>
      </c>
      <c r="BO1" s="21" t="s">
        <v>34</v>
      </c>
      <c r="BP1" s="30" t="s">
        <v>157</v>
      </c>
      <c r="BQ1" s="21" t="s">
        <v>158</v>
      </c>
      <c r="BR1" s="21" t="s">
        <v>312</v>
      </c>
      <c r="BS1" s="21" t="s">
        <v>313</v>
      </c>
      <c r="BT1" s="21" t="s">
        <v>314</v>
      </c>
      <c r="BU1" t="s">
        <v>37</v>
      </c>
      <c r="BV1" s="21" t="s">
        <v>38</v>
      </c>
      <c r="BW1" s="21" t="s">
        <v>39</v>
      </c>
      <c r="BX1" s="21" t="s">
        <v>40</v>
      </c>
      <c r="BY1" s="13" t="s">
        <v>41</v>
      </c>
      <c r="BZ1" s="13" t="s">
        <v>42</v>
      </c>
      <c r="CA1" t="s">
        <v>43</v>
      </c>
      <c r="CB1" s="21" t="s">
        <v>44</v>
      </c>
      <c r="CC1" s="21" t="s">
        <v>45</v>
      </c>
      <c r="CD1" s="97" t="s">
        <v>46</v>
      </c>
      <c r="CE1" s="97" t="s">
        <v>47</v>
      </c>
      <c r="CF1" s="13" t="s">
        <v>48</v>
      </c>
      <c r="CG1" s="13" t="s">
        <v>49</v>
      </c>
      <c r="CH1" t="s">
        <v>50</v>
      </c>
      <c r="CI1" s="21" t="s">
        <v>51</v>
      </c>
      <c r="CJ1" s="21" t="s">
        <v>52</v>
      </c>
      <c r="CK1" s="97" t="s">
        <v>53</v>
      </c>
      <c r="CL1" s="97" t="s">
        <v>54</v>
      </c>
      <c r="CM1" s="13" t="s">
        <v>55</v>
      </c>
      <c r="CN1" s="13" t="s">
        <v>56</v>
      </c>
      <c r="CO1" t="s">
        <v>57</v>
      </c>
      <c r="CP1" s="21" t="s">
        <v>58</v>
      </c>
      <c r="CQ1" s="21" t="s">
        <v>59</v>
      </c>
      <c r="CR1" s="97" t="s">
        <v>60</v>
      </c>
      <c r="CS1" s="97" t="s">
        <v>61</v>
      </c>
      <c r="CT1" s="13" t="s">
        <v>62</v>
      </c>
      <c r="CU1" s="13" t="s">
        <v>63</v>
      </c>
      <c r="CV1" t="s">
        <v>64</v>
      </c>
      <c r="CW1" s="21" t="s">
        <v>65</v>
      </c>
      <c r="CX1" s="21" t="s">
        <v>66</v>
      </c>
      <c r="CY1" s="97" t="s">
        <v>67</v>
      </c>
      <c r="CZ1" s="97" t="s">
        <v>68</v>
      </c>
      <c r="DA1" s="13" t="s">
        <v>69</v>
      </c>
      <c r="DB1" s="13" t="s">
        <v>70</v>
      </c>
      <c r="DC1" t="s">
        <v>71</v>
      </c>
      <c r="DD1" s="21" t="s">
        <v>72</v>
      </c>
      <c r="DE1" s="21" t="s">
        <v>73</v>
      </c>
      <c r="DF1" s="97" t="s">
        <v>74</v>
      </c>
      <c r="DG1" s="97" t="s">
        <v>75</v>
      </c>
      <c r="DH1" s="13" t="s">
        <v>76</v>
      </c>
      <c r="DI1" s="13" t="s">
        <v>77</v>
      </c>
      <c r="DJ1" t="s">
        <v>78</v>
      </c>
      <c r="DK1" s="21" t="s">
        <v>79</v>
      </c>
      <c r="DL1" s="21" t="s">
        <v>80</v>
      </c>
      <c r="DM1" s="97" t="s">
        <v>81</v>
      </c>
      <c r="DN1" s="97" t="s">
        <v>82</v>
      </c>
      <c r="DO1" s="13" t="s">
        <v>83</v>
      </c>
      <c r="DP1" s="13" t="s">
        <v>84</v>
      </c>
      <c r="DQ1" t="s">
        <v>85</v>
      </c>
      <c r="DR1" t="s">
        <v>3</v>
      </c>
      <c r="DS1" t="s">
        <v>315</v>
      </c>
      <c r="DT1" t="s">
        <v>162</v>
      </c>
      <c r="DU1" t="s">
        <v>175</v>
      </c>
      <c r="DV1" t="s">
        <v>166</v>
      </c>
      <c r="DW1" t="s">
        <v>316</v>
      </c>
      <c r="DX1" t="s">
        <v>164</v>
      </c>
      <c r="DY1" t="s">
        <v>160</v>
      </c>
      <c r="DZ1" t="s">
        <v>161</v>
      </c>
      <c r="EA1" s="22" t="s">
        <v>144</v>
      </c>
      <c r="EB1" t="s">
        <v>145</v>
      </c>
      <c r="EC1" t="s">
        <v>86</v>
      </c>
    </row>
    <row r="2" spans="1:133" hidden="1" x14ac:dyDescent="0.25">
      <c r="A2" s="30">
        <v>36526</v>
      </c>
      <c r="B2" s="22">
        <v>36526</v>
      </c>
      <c r="C2" s="22" t="s">
        <v>381</v>
      </c>
      <c r="D2" s="30" t="s">
        <v>437</v>
      </c>
      <c r="E2" s="30" t="s">
        <v>382</v>
      </c>
      <c r="F2" s="30" t="s">
        <v>438</v>
      </c>
      <c r="G2" s="30" t="s">
        <v>383</v>
      </c>
      <c r="H2" t="s">
        <v>384</v>
      </c>
      <c r="I2" t="s">
        <v>439</v>
      </c>
      <c r="J2" t="s">
        <v>440</v>
      </c>
      <c r="K2" s="22">
        <v>36526</v>
      </c>
      <c r="L2">
        <v>0</v>
      </c>
      <c r="M2" s="26">
        <v>-0.99999998999999995</v>
      </c>
      <c r="N2" t="s">
        <v>318</v>
      </c>
      <c r="O2" t="s">
        <v>318</v>
      </c>
      <c r="P2" t="s">
        <v>318</v>
      </c>
      <c r="Q2" s="29" t="s">
        <v>441</v>
      </c>
      <c r="R2" s="29" t="str">
        <f>IFERROR(MID(RADataTable[[#This Row],[RAtemplate]],1,LEN(RADataTable[[#This Row],[RAtemplate]])-8),"RA") &amp; " " &amp; RADataTable[[#This Row],[prop_id0]] &amp; " " &amp; RADataTable[[#This Row],[last0]]</f>
        <v>zztemplateFname  1234567 PI last name for format.</v>
      </c>
      <c r="U2" s="21" t="str">
        <f>IF(signer1="PD",IF(ISBLANK(RADataTable[[#This Row],[sign_blck_name]]),"",RADataTable[[#This Row],[sign_blck_name]]),IF(ISBLANK(signer1),"",signer1))</f>
        <v>Name for PO signature</v>
      </c>
      <c r="V2" s="29" t="str">
        <f>signer2</f>
        <v>Cognizant Program Director</v>
      </c>
      <c r="W2" s="15" t="str">
        <f>HYPERLINK("https://www.ejacket.nsf.gov/ej/showProposal.do?Continue=Y&amp;ID="&amp;RADataTable[[#This Row],[prop_id0]],"eJ")</f>
        <v>eJ</v>
      </c>
      <c r="X2" s="15" t="str">
        <f>HYPERLINK("mailto:"&amp;RADataTable[[#This Row],[email]]&amp;"&amp;subject=Your NSF Proposal:  "&amp;RADataTable[[#This Row],[Div]]&amp;" "&amp;RADataTable[[#This Row],[prop_id0]], RADataTable[[#This Row],[email]])</f>
        <v>Email of lead PI on the project</v>
      </c>
      <c r="Y2" s="15" t="str">
        <f>HYPERLINK("mailto:"&amp;RADataTable[[#This Row],[allPIemail]]&amp;"&amp;subject=NSF Proposal:  "&amp;RADataTable[[#This Row],[Div]]&amp;" "&amp;RADataTable[[#This Row],[prop_id0]], "PIs@")</f>
        <v>PIs@</v>
      </c>
      <c r="Z2" t="s">
        <v>385</v>
      </c>
      <c r="AA2" t="s">
        <v>319</v>
      </c>
      <c r="AB2">
        <v>0</v>
      </c>
      <c r="AC2">
        <v>0</v>
      </c>
      <c r="AD2">
        <v>0</v>
      </c>
      <c r="AE2" t="str">
        <f>IF(RADataTable[[#This Row],[maxScore]]-RADataTable[[#This Row],[minScore]]&gt;4,"Y","")</f>
        <v>Y</v>
      </c>
      <c r="AF2" s="21">
        <v>1</v>
      </c>
      <c r="AG2" s="26">
        <v>4.5</v>
      </c>
      <c r="AH2">
        <v>9</v>
      </c>
      <c r="AI2" t="s">
        <v>320</v>
      </c>
      <c r="AJ2" s="30">
        <v>36526</v>
      </c>
      <c r="AK2" s="13">
        <v>99999999</v>
      </c>
      <c r="AL2" s="13">
        <v>99999999</v>
      </c>
      <c r="AM2">
        <v>0</v>
      </c>
      <c r="AN2" s="30">
        <v>36526</v>
      </c>
      <c r="AO2" s="21">
        <v>36</v>
      </c>
      <c r="AP2" s="21" t="s">
        <v>321</v>
      </c>
      <c r="AQ2">
        <v>0</v>
      </c>
      <c r="AR2" t="s">
        <v>199</v>
      </c>
      <c r="AS2" s="30">
        <v>36526</v>
      </c>
      <c r="AT2" t="s">
        <v>442</v>
      </c>
      <c r="AU2" s="21" t="s">
        <v>322</v>
      </c>
      <c r="AV2" s="21">
        <v>99</v>
      </c>
      <c r="AW2" s="21" t="s">
        <v>323</v>
      </c>
      <c r="AX2" s="30">
        <v>36526</v>
      </c>
      <c r="AY2" s="21" t="s">
        <v>320</v>
      </c>
      <c r="AZ2" s="21" t="s">
        <v>324</v>
      </c>
      <c r="BA2" s="21">
        <v>0</v>
      </c>
      <c r="BB2" s="21">
        <v>0</v>
      </c>
      <c r="BC2" s="21" t="s">
        <v>442</v>
      </c>
      <c r="BD2" s="21" t="s">
        <v>322</v>
      </c>
      <c r="BE2" s="21">
        <v>99</v>
      </c>
      <c r="BF2" s="21" t="s">
        <v>323</v>
      </c>
      <c r="BG2" s="30">
        <v>36526</v>
      </c>
      <c r="BH2" s="21" t="s">
        <v>320</v>
      </c>
      <c r="BI2" s="21" t="s">
        <v>324</v>
      </c>
      <c r="BJ2" s="21">
        <v>0</v>
      </c>
      <c r="BK2" s="21">
        <v>0</v>
      </c>
      <c r="BL2" s="21" t="s">
        <v>442</v>
      </c>
      <c r="BM2" s="21" t="s">
        <v>322</v>
      </c>
      <c r="BN2" s="21">
        <v>99</v>
      </c>
      <c r="BO2" s="21" t="s">
        <v>323</v>
      </c>
      <c r="BP2" s="30">
        <v>36526</v>
      </c>
      <c r="BQ2" s="21" t="s">
        <v>320</v>
      </c>
      <c r="BR2" s="21" t="s">
        <v>324</v>
      </c>
      <c r="BS2" s="21">
        <v>0</v>
      </c>
      <c r="BT2" s="21">
        <v>0</v>
      </c>
      <c r="BU2" t="s">
        <v>319</v>
      </c>
      <c r="BV2" s="21" t="s">
        <v>325</v>
      </c>
      <c r="BW2" s="21" t="s">
        <v>326</v>
      </c>
      <c r="BX2" s="21" t="s">
        <v>327</v>
      </c>
      <c r="BY2" s="31">
        <v>99999999</v>
      </c>
      <c r="BZ2" s="31">
        <v>99999999</v>
      </c>
      <c r="CA2" t="s">
        <v>328</v>
      </c>
      <c r="CB2" s="21" t="s">
        <v>319</v>
      </c>
      <c r="CC2" s="21" t="s">
        <v>325</v>
      </c>
      <c r="CD2" s="21" t="s">
        <v>326</v>
      </c>
      <c r="CE2" s="21" t="s">
        <v>327</v>
      </c>
      <c r="CF2" s="31">
        <v>99999999</v>
      </c>
      <c r="CG2" s="31">
        <v>99999999</v>
      </c>
      <c r="CH2" t="s">
        <v>328</v>
      </c>
      <c r="CI2" s="21" t="s">
        <v>319</v>
      </c>
      <c r="CJ2" s="21" t="s">
        <v>325</v>
      </c>
      <c r="CK2" s="21" t="s">
        <v>326</v>
      </c>
      <c r="CL2" s="21" t="s">
        <v>327</v>
      </c>
      <c r="CM2" s="31">
        <v>99999999</v>
      </c>
      <c r="CN2" s="31">
        <v>99999999</v>
      </c>
      <c r="CO2" t="s">
        <v>328</v>
      </c>
      <c r="CP2" s="21" t="s">
        <v>319</v>
      </c>
      <c r="CQ2" s="21" t="s">
        <v>325</v>
      </c>
      <c r="CR2" s="21" t="s">
        <v>326</v>
      </c>
      <c r="CS2" s="21" t="s">
        <v>327</v>
      </c>
      <c r="CT2" s="31">
        <v>99999999</v>
      </c>
      <c r="CU2" s="31">
        <v>99999999</v>
      </c>
      <c r="CV2" t="s">
        <v>328</v>
      </c>
      <c r="CW2" s="21" t="s">
        <v>319</v>
      </c>
      <c r="CX2" s="21" t="s">
        <v>325</v>
      </c>
      <c r="CY2" s="21" t="s">
        <v>326</v>
      </c>
      <c r="CZ2" s="21" t="s">
        <v>327</v>
      </c>
      <c r="DA2" s="31">
        <v>99999999</v>
      </c>
      <c r="DB2" s="31">
        <v>99999999</v>
      </c>
      <c r="DC2" t="s">
        <v>328</v>
      </c>
      <c r="DD2" s="21" t="s">
        <v>319</v>
      </c>
      <c r="DE2" s="21" t="s">
        <v>325</v>
      </c>
      <c r="DF2" s="21" t="s">
        <v>326</v>
      </c>
      <c r="DG2" s="21" t="s">
        <v>327</v>
      </c>
      <c r="DH2" s="31">
        <v>99999999</v>
      </c>
      <c r="DI2" s="31">
        <v>99999999</v>
      </c>
      <c r="DJ2" t="s">
        <v>328</v>
      </c>
      <c r="DK2" s="21" t="s">
        <v>319</v>
      </c>
      <c r="DL2" s="21" t="s">
        <v>325</v>
      </c>
      <c r="DM2" s="21" t="s">
        <v>326</v>
      </c>
      <c r="DN2" s="21" t="s">
        <v>327</v>
      </c>
      <c r="DO2" s="31">
        <v>99999999</v>
      </c>
      <c r="DP2" s="31">
        <v>99999999</v>
      </c>
      <c r="DQ2" t="s">
        <v>328</v>
      </c>
      <c r="DR2" t="s">
        <v>329</v>
      </c>
      <c r="DS2" t="s">
        <v>330</v>
      </c>
      <c r="DT2" t="s">
        <v>331</v>
      </c>
      <c r="DU2" s="29" t="s">
        <v>386</v>
      </c>
      <c r="DV2" t="s">
        <v>332</v>
      </c>
      <c r="DW2" t="s">
        <v>333</v>
      </c>
      <c r="DX2" t="s">
        <v>334</v>
      </c>
      <c r="DY2" t="s">
        <v>335</v>
      </c>
      <c r="DZ2" t="s">
        <v>336</v>
      </c>
      <c r="EA2" s="22">
        <v>36526</v>
      </c>
      <c r="EB2" t="s">
        <v>337</v>
      </c>
      <c r="EC2" t="s">
        <v>338</v>
      </c>
    </row>
    <row r="3" spans="1:133" x14ac:dyDescent="0.25">
      <c r="A3" s="30"/>
      <c r="B3" s="22">
        <v>42993.675000000003</v>
      </c>
      <c r="C3" s="22" t="s">
        <v>666</v>
      </c>
      <c r="D3" s="30" t="s">
        <v>667</v>
      </c>
      <c r="E3" s="30" t="s">
        <v>532</v>
      </c>
      <c r="F3" s="30" t="s">
        <v>167</v>
      </c>
      <c r="G3" s="30" t="s">
        <v>169</v>
      </c>
      <c r="H3" t="s">
        <v>94</v>
      </c>
      <c r="I3" t="s">
        <v>668</v>
      </c>
      <c r="J3" t="s">
        <v>574</v>
      </c>
      <c r="L3">
        <v>1</v>
      </c>
      <c r="M3" s="26">
        <v>2</v>
      </c>
      <c r="N3" t="s">
        <v>119</v>
      </c>
      <c r="Q3" s="29" t="s">
        <v>13</v>
      </c>
      <c r="R3" s="29" t="str">
        <f>IFERROR(MID(RADataTable[[#This Row],[RAtemplate]],1,LEN(RADataTable[[#This Row],[RAtemplate]])-8),"RA") &amp; " " &amp; RADataTable[[#This Row],[prop_id0]] &amp; " " &amp; RADataTable[[#This Row],[last0]]</f>
        <v>RA 1761623 Du</v>
      </c>
      <c r="U3" s="21" t="str">
        <f>IF(signer1="PD",IF(ISBLANK(RADataTable[[#This Row],[sign_blck_name]]),"",RADataTable[[#This Row],[sign_blck_name]]),IF(ISBLANK(signer1),"",signer1))</f>
        <v>Cynthia Chen</v>
      </c>
      <c r="V3" s="29" t="str">
        <f>signer2</f>
        <v>Cognizant Program Director</v>
      </c>
      <c r="W3" s="15" t="str">
        <f>HYPERLINK("https://www.ejacket.nsf.gov/ej/showProposal.do?Continue=Y&amp;ID="&amp;RADataTable[[#This Row],[prop_id0]],"eJ")</f>
        <v>eJ</v>
      </c>
      <c r="X3" s="15" t="str">
        <f>HYPERLINK("mailto:"&amp;RADataTable[[#This Row],[email]]&amp;"&amp;subject=Your NSF Proposal:  "&amp;RADataTable[[#This Row],[Div]]&amp;" "&amp;RADataTable[[#This Row],[prop_id0]], RADataTable[[#This Row],[email]])</f>
        <v>dujing@tamu.edu</v>
      </c>
      <c r="Y3" s="15" t="str">
        <f>HYPERLINK("mailto:"&amp;RADataTable[[#This Row],[allPIemail]]&amp;"&amp;subject=NSF Proposal:  "&amp;RADataTable[[#This Row],[Div]]&amp;" "&amp;RADataTable[[#This Row],[prop_id0]], "PIs@")</f>
        <v>PIs@</v>
      </c>
      <c r="Z3" t="s">
        <v>670</v>
      </c>
      <c r="AA3" t="s">
        <v>622</v>
      </c>
      <c r="AB3">
        <v>4</v>
      </c>
      <c r="AD3"/>
      <c r="AE3" s="21" t="str">
        <f>IF(RADataTable[[#This Row],[maxScore]]-RADataTable[[#This Row],[minScore]]&gt;4,"Y","")</f>
        <v/>
      </c>
      <c r="AF3" s="21">
        <v>5</v>
      </c>
      <c r="AG3" s="26">
        <v>6</v>
      </c>
      <c r="AH3">
        <v>9</v>
      </c>
      <c r="AI3" t="s">
        <v>720</v>
      </c>
      <c r="AJ3" s="30">
        <v>43052.445833333331</v>
      </c>
      <c r="AK3" s="13">
        <v>350000</v>
      </c>
      <c r="AL3" s="13">
        <v>350000</v>
      </c>
      <c r="AM3">
        <v>0</v>
      </c>
      <c r="AN3" s="30">
        <v>43252</v>
      </c>
      <c r="AO3" s="21">
        <v>36</v>
      </c>
      <c r="AP3" s="21" t="s">
        <v>721</v>
      </c>
      <c r="AS3" s="30"/>
      <c r="AT3" t="s">
        <v>542</v>
      </c>
      <c r="AU3" s="21" t="s">
        <v>624</v>
      </c>
      <c r="AW3" s="21" t="s">
        <v>747</v>
      </c>
      <c r="AX3" s="30">
        <v>43052</v>
      </c>
      <c r="AY3" s="21" t="s">
        <v>769</v>
      </c>
      <c r="AZ3" s="21" t="s">
        <v>749</v>
      </c>
      <c r="BA3" s="21">
        <v>7</v>
      </c>
      <c r="BG3" s="30"/>
      <c r="BP3" s="30"/>
      <c r="BU3" t="s">
        <v>622</v>
      </c>
      <c r="BV3" s="21" t="s">
        <v>623</v>
      </c>
      <c r="BW3" s="21" t="s">
        <v>719</v>
      </c>
      <c r="BX3" s="21" t="s">
        <v>525</v>
      </c>
      <c r="BY3" s="31">
        <v>350000</v>
      </c>
      <c r="BZ3" s="31">
        <v>350000</v>
      </c>
      <c r="CA3" t="s">
        <v>669</v>
      </c>
      <c r="CF3" s="31"/>
      <c r="CG3" s="31"/>
      <c r="CM3" s="31"/>
      <c r="CN3" s="31"/>
      <c r="CT3" s="31"/>
      <c r="CU3" s="31"/>
      <c r="CV3" s="31"/>
      <c r="DA3" s="31"/>
      <c r="DB3" s="31"/>
      <c r="DC3" s="31"/>
      <c r="DH3" s="31"/>
      <c r="DI3" s="31"/>
      <c r="DO3" s="31"/>
      <c r="DP3" s="31"/>
      <c r="DR3" t="s">
        <v>750</v>
      </c>
      <c r="DS3" t="s">
        <v>751</v>
      </c>
      <c r="DT3" t="s">
        <v>533</v>
      </c>
      <c r="DU3" s="29" t="s">
        <v>759</v>
      </c>
      <c r="DV3" t="s">
        <v>170</v>
      </c>
      <c r="DW3" t="s">
        <v>317</v>
      </c>
      <c r="DX3" t="s">
        <v>168</v>
      </c>
      <c r="DY3" t="s">
        <v>753</v>
      </c>
      <c r="DZ3" t="s">
        <v>754</v>
      </c>
      <c r="EA3" s="22">
        <v>43084.681574074071</v>
      </c>
      <c r="EB3" t="s">
        <v>722</v>
      </c>
      <c r="EC3" t="s">
        <v>770</v>
      </c>
    </row>
    <row r="4" spans="1:133" x14ac:dyDescent="0.25">
      <c r="A4" s="30"/>
      <c r="B4" s="22">
        <v>42984.665277777778</v>
      </c>
      <c r="C4" s="22" t="s">
        <v>666</v>
      </c>
      <c r="D4" s="30" t="s">
        <v>667</v>
      </c>
      <c r="E4" s="30" t="s">
        <v>532</v>
      </c>
      <c r="F4" s="30" t="s">
        <v>167</v>
      </c>
      <c r="G4" s="30" t="s">
        <v>169</v>
      </c>
      <c r="H4" t="s">
        <v>94</v>
      </c>
      <c r="I4" t="s">
        <v>668</v>
      </c>
      <c r="J4" t="s">
        <v>541</v>
      </c>
      <c r="L4">
        <v>1</v>
      </c>
      <c r="M4" s="26">
        <v>3</v>
      </c>
      <c r="N4" t="s">
        <v>545</v>
      </c>
      <c r="Q4" s="29" t="s">
        <v>488</v>
      </c>
      <c r="R4" s="29" t="str">
        <f>IFERROR(MID(RADataTable[[#This Row],[RAtemplate]],1,LEN(RADataTable[[#This Row],[RAtemplate]])-8),"RA") &amp; " " &amp; RADataTable[[#This Row],[prop_id0]] &amp; " " &amp; RADataTable[[#This Row],[last0]]</f>
        <v>Std Decline  1759519 Kim</v>
      </c>
      <c r="U4" s="21" t="str">
        <f>IF(signer1="PD",IF(ISBLANK(RADataTable[[#This Row],[sign_blck_name]]),"",RADataTable[[#This Row],[sign_blck_name]]),IF(ISBLANK(signer1),"",signer1))</f>
        <v>Y. Grace Hsuan</v>
      </c>
      <c r="V4" s="29" t="str">
        <f>signer2</f>
        <v>Cognizant Program Director</v>
      </c>
      <c r="W4" s="15" t="str">
        <f>HYPERLINK("https://www.ejacket.nsf.gov/ej/showProposal.do?Continue=Y&amp;ID="&amp;RADataTable[[#This Row],[prop_id0]],"eJ")</f>
        <v>eJ</v>
      </c>
      <c r="X4" s="15" t="str">
        <f>HYPERLINK("mailto:"&amp;RADataTable[[#This Row],[email]]&amp;"&amp;subject=Your NSF Proposal:  "&amp;RADataTable[[#This Row],[Div]]&amp;" "&amp;RADataTable[[#This Row],[prop_id0]], RADataTable[[#This Row],[email]])</f>
        <v>yongkim@u.washington.edu</v>
      </c>
      <c r="Y4" s="15" t="str">
        <f>HYPERLINK("mailto:"&amp;RADataTable[[#This Row],[allPIemail]]&amp;"&amp;subject=NSF Proposal:  "&amp;RADataTable[[#This Row],[Div]]&amp;" "&amp;RADataTable[[#This Row],[prop_id0]], "PIs@")</f>
        <v>PIs@</v>
      </c>
      <c r="Z4" t="s">
        <v>670</v>
      </c>
      <c r="AA4" t="s">
        <v>539</v>
      </c>
      <c r="AB4">
        <v>3</v>
      </c>
      <c r="AD4"/>
      <c r="AE4" s="21" t="str">
        <f>IF(RADataTable[[#This Row],[maxScore]]-RADataTable[[#This Row],[minScore]]&gt;4,"Y","")</f>
        <v/>
      </c>
      <c r="AF4" s="21">
        <v>3</v>
      </c>
      <c r="AG4" s="26">
        <v>3.3333333333333335</v>
      </c>
      <c r="AH4">
        <v>4</v>
      </c>
      <c r="AI4" t="s">
        <v>672</v>
      </c>
      <c r="AJ4" s="30">
        <v>43052.306250000001</v>
      </c>
      <c r="AK4" s="13">
        <v>345646</v>
      </c>
      <c r="AL4" s="13">
        <v>345646</v>
      </c>
      <c r="AM4">
        <v>0</v>
      </c>
      <c r="AN4" s="30">
        <v>43191</v>
      </c>
      <c r="AO4" s="21">
        <v>33</v>
      </c>
      <c r="AP4" s="21" t="s">
        <v>674</v>
      </c>
      <c r="AS4" s="30"/>
      <c r="AT4" t="s">
        <v>542</v>
      </c>
      <c r="AU4" s="21" t="s">
        <v>544</v>
      </c>
      <c r="AW4" s="21" t="s">
        <v>747</v>
      </c>
      <c r="AX4" s="30">
        <v>43052</v>
      </c>
      <c r="AY4" s="21" t="s">
        <v>748</v>
      </c>
      <c r="AZ4" s="21" t="s">
        <v>749</v>
      </c>
      <c r="BA4" s="21">
        <v>7</v>
      </c>
      <c r="BG4" s="30"/>
      <c r="BP4" s="30"/>
      <c r="BU4" t="s">
        <v>539</v>
      </c>
      <c r="BV4" s="21" t="s">
        <v>540</v>
      </c>
      <c r="BW4" s="21" t="s">
        <v>671</v>
      </c>
      <c r="BX4" s="21" t="s">
        <v>516</v>
      </c>
      <c r="BY4" s="31">
        <v>345646</v>
      </c>
      <c r="BZ4" s="31">
        <v>345646</v>
      </c>
      <c r="CA4" t="s">
        <v>669</v>
      </c>
      <c r="CF4" s="31"/>
      <c r="CG4" s="31"/>
      <c r="CM4" s="31"/>
      <c r="CN4" s="31"/>
      <c r="CT4" s="31"/>
      <c r="CU4" s="31"/>
      <c r="CV4" s="31"/>
      <c r="DA4" s="31"/>
      <c r="DB4" s="31"/>
      <c r="DC4" s="31"/>
      <c r="DH4" s="31"/>
      <c r="DI4" s="31"/>
      <c r="DO4" s="31"/>
      <c r="DP4" s="31"/>
      <c r="DR4" t="s">
        <v>750</v>
      </c>
      <c r="DS4" t="s">
        <v>751</v>
      </c>
      <c r="DT4" t="s">
        <v>533</v>
      </c>
      <c r="DU4" s="29" t="s">
        <v>752</v>
      </c>
      <c r="DV4" t="s">
        <v>673</v>
      </c>
      <c r="DW4" t="s">
        <v>317</v>
      </c>
      <c r="DX4" t="s">
        <v>168</v>
      </c>
      <c r="DY4" t="s">
        <v>753</v>
      </c>
      <c r="DZ4" t="s">
        <v>754</v>
      </c>
      <c r="EA4" s="22">
        <v>43084.681574074071</v>
      </c>
      <c r="EB4" t="s">
        <v>675</v>
      </c>
      <c r="EC4" t="s">
        <v>755</v>
      </c>
    </row>
    <row r="5" spans="1:133" x14ac:dyDescent="0.25">
      <c r="A5" s="30"/>
      <c r="B5" s="22">
        <v>42989.896527777775</v>
      </c>
      <c r="C5" s="22" t="s">
        <v>666</v>
      </c>
      <c r="D5" s="30" t="s">
        <v>667</v>
      </c>
      <c r="E5" s="30" t="s">
        <v>532</v>
      </c>
      <c r="F5" s="30" t="s">
        <v>167</v>
      </c>
      <c r="G5" s="30" t="s">
        <v>169</v>
      </c>
      <c r="H5" t="s">
        <v>94</v>
      </c>
      <c r="I5" t="s">
        <v>668</v>
      </c>
      <c r="J5" t="s">
        <v>541</v>
      </c>
      <c r="L5">
        <v>1</v>
      </c>
      <c r="M5" s="26">
        <v>3</v>
      </c>
      <c r="N5" t="s">
        <v>545</v>
      </c>
      <c r="Q5" s="29" t="s">
        <v>488</v>
      </c>
      <c r="R5" s="29" t="str">
        <f>IFERROR(MID(RADataTable[[#This Row],[RAtemplate]],1,LEN(RADataTable[[#This Row],[RAtemplate]])-8),"RA") &amp; " " &amp; RADataTable[[#This Row],[prop_id0]] &amp; " " &amp; RADataTable[[#This Row],[last0]]</f>
        <v>Std Decline  1760110 Dossick</v>
      </c>
      <c r="U5" s="21" t="str">
        <f>IF(signer1="PD",IF(ISBLANK(RADataTable[[#This Row],[sign_blck_name]]),"",RADataTable[[#This Row],[sign_blck_name]]),IF(ISBLANK(signer1),"",signer1))</f>
        <v>Y. Grace Hsuan</v>
      </c>
      <c r="V5" s="29" t="str">
        <f>signer2</f>
        <v>Cognizant Program Director</v>
      </c>
      <c r="W5" s="15" t="str">
        <f>HYPERLINK("https://www.ejacket.nsf.gov/ej/showProposal.do?Continue=Y&amp;ID="&amp;RADataTable[[#This Row],[prop_id0]],"eJ")</f>
        <v>eJ</v>
      </c>
      <c r="X5" s="15" t="str">
        <f>HYPERLINK("mailto:"&amp;RADataTable[[#This Row],[email]]&amp;"&amp;subject=Your NSF Proposal:  "&amp;RADataTable[[#This Row],[Div]]&amp;" "&amp;RADataTable[[#This Row],[prop_id0]], RADataTable[[#This Row],[email]])</f>
        <v>cdossick@uw.edu</v>
      </c>
      <c r="Y5" s="15" t="str">
        <f>HYPERLINK("mailto:"&amp;RADataTable[[#This Row],[allPIemail]]&amp;"&amp;subject=NSF Proposal:  "&amp;RADataTable[[#This Row],[Div]]&amp;" "&amp;RADataTable[[#This Row],[prop_id0]], "PIs@")</f>
        <v>PIs@</v>
      </c>
      <c r="Z5" t="s">
        <v>670</v>
      </c>
      <c r="AA5" t="s">
        <v>561</v>
      </c>
      <c r="AB5">
        <v>3</v>
      </c>
      <c r="AD5"/>
      <c r="AE5" s="21" t="str">
        <f>IF(RADataTable[[#This Row],[maxScore]]-RADataTable[[#This Row],[minScore]]&gt;4,"Y","")</f>
        <v/>
      </c>
      <c r="AF5" s="21">
        <v>3</v>
      </c>
      <c r="AG5" s="26">
        <v>3.6666666666666665</v>
      </c>
      <c r="AH5">
        <v>5</v>
      </c>
      <c r="AI5" t="s">
        <v>677</v>
      </c>
      <c r="AJ5" s="30">
        <v>43052.559027777781</v>
      </c>
      <c r="AK5" s="13">
        <v>455181</v>
      </c>
      <c r="AL5" s="13">
        <v>455181</v>
      </c>
      <c r="AM5">
        <v>0</v>
      </c>
      <c r="AN5" s="30">
        <v>43174</v>
      </c>
      <c r="AO5" s="21">
        <v>36</v>
      </c>
      <c r="AP5" s="21" t="s">
        <v>678</v>
      </c>
      <c r="AS5" s="30"/>
      <c r="AT5" t="s">
        <v>542</v>
      </c>
      <c r="AU5" s="21" t="s">
        <v>544</v>
      </c>
      <c r="AW5" s="21" t="s">
        <v>747</v>
      </c>
      <c r="AX5" s="30">
        <v>43052</v>
      </c>
      <c r="AY5" s="21" t="s">
        <v>527</v>
      </c>
      <c r="AZ5" s="21" t="s">
        <v>749</v>
      </c>
      <c r="BA5" s="21">
        <v>7</v>
      </c>
      <c r="BG5" s="30"/>
      <c r="BP5" s="30"/>
      <c r="BU5" t="s">
        <v>561</v>
      </c>
      <c r="BV5" s="21" t="s">
        <v>562</v>
      </c>
      <c r="BW5" s="21" t="s">
        <v>676</v>
      </c>
      <c r="BX5" s="21" t="s">
        <v>516</v>
      </c>
      <c r="BY5" s="31">
        <v>455181</v>
      </c>
      <c r="BZ5" s="31">
        <v>455181</v>
      </c>
      <c r="CA5" t="s">
        <v>669</v>
      </c>
      <c r="CF5" s="31"/>
      <c r="CG5" s="31"/>
      <c r="CM5" s="31"/>
      <c r="CN5" s="31"/>
      <c r="CT5" s="31"/>
      <c r="CU5" s="31"/>
      <c r="CV5" s="31"/>
      <c r="DA5" s="31"/>
      <c r="DB5" s="31"/>
      <c r="DC5" s="31"/>
      <c r="DH5" s="31"/>
      <c r="DI5" s="31"/>
      <c r="DO5" s="31"/>
      <c r="DP5" s="31"/>
      <c r="DR5" t="s">
        <v>750</v>
      </c>
      <c r="DS5" t="s">
        <v>751</v>
      </c>
      <c r="DT5" t="s">
        <v>533</v>
      </c>
      <c r="DU5" s="29" t="s">
        <v>752</v>
      </c>
      <c r="DV5" t="s">
        <v>170</v>
      </c>
      <c r="DW5" t="s">
        <v>317</v>
      </c>
      <c r="DX5" t="s">
        <v>168</v>
      </c>
      <c r="DY5" t="s">
        <v>753</v>
      </c>
      <c r="DZ5" t="s">
        <v>754</v>
      </c>
      <c r="EA5" s="22">
        <v>43084.681574074071</v>
      </c>
      <c r="EB5" t="s">
        <v>679</v>
      </c>
      <c r="EC5" t="s">
        <v>756</v>
      </c>
    </row>
    <row r="6" spans="1:133" x14ac:dyDescent="0.25">
      <c r="A6" s="30"/>
      <c r="B6" s="22">
        <v>42991.695138888892</v>
      </c>
      <c r="C6" s="22" t="s">
        <v>680</v>
      </c>
      <c r="D6" s="30" t="s">
        <v>667</v>
      </c>
      <c r="E6" s="30" t="s">
        <v>532</v>
      </c>
      <c r="F6" s="30" t="s">
        <v>167</v>
      </c>
      <c r="G6" s="30" t="s">
        <v>169</v>
      </c>
      <c r="H6" t="s">
        <v>94</v>
      </c>
      <c r="I6" t="s">
        <v>668</v>
      </c>
      <c r="J6" t="s">
        <v>574</v>
      </c>
      <c r="L6">
        <v>1</v>
      </c>
      <c r="M6" s="26">
        <v>3</v>
      </c>
      <c r="N6" t="s">
        <v>545</v>
      </c>
      <c r="Q6" s="29" t="s">
        <v>488</v>
      </c>
      <c r="R6" s="29" t="str">
        <f>IFERROR(MID(RADataTable[[#This Row],[RAtemplate]],1,LEN(RADataTable[[#This Row],[RAtemplate]])-8),"RA") &amp; " " &amp; RADataTable[[#This Row],[prop_id0]] &amp; " " &amp; RADataTable[[#This Row],[last0]]</f>
        <v>Std Decline  1760664 Lee</v>
      </c>
      <c r="U6" s="21" t="str">
        <f>IF(signer1="PD",IF(ISBLANK(RADataTable[[#This Row],[sign_blck_name]]),"",RADataTable[[#This Row],[sign_blck_name]]),IF(ISBLANK(signer1),"",signer1))</f>
        <v>Cynthia Chen</v>
      </c>
      <c r="V6" s="29" t="str">
        <f>signer2</f>
        <v>Cognizant Program Director</v>
      </c>
      <c r="W6" s="15" t="str">
        <f>HYPERLINK("https://www.ejacket.nsf.gov/ej/showProposal.do?Continue=Y&amp;ID="&amp;RADataTable[[#This Row],[prop_id0]],"eJ")</f>
        <v>eJ</v>
      </c>
      <c r="X6" s="15" t="str">
        <f>HYPERLINK("mailto:"&amp;RADataTable[[#This Row],[email]]&amp;"&amp;subject=Your NSF Proposal:  "&amp;RADataTable[[#This Row],[Div]]&amp;" "&amp;RADataTable[[#This Row],[prop_id0]], RADataTable[[#This Row],[email]])</f>
        <v>yclee@lsu.edu</v>
      </c>
      <c r="Y6" s="15" t="str">
        <f>HYPERLINK("mailto:"&amp;RADataTable[[#This Row],[allPIemail]]&amp;"&amp;subject=NSF Proposal:  "&amp;RADataTable[[#This Row],[Div]]&amp;" "&amp;RADataTable[[#This Row],[prop_id0]], "PIs@")</f>
        <v>PIs@</v>
      </c>
      <c r="Z6" t="s">
        <v>670</v>
      </c>
      <c r="AA6" t="s">
        <v>573</v>
      </c>
      <c r="AB6">
        <v>3</v>
      </c>
      <c r="AD6"/>
      <c r="AE6" s="21" t="str">
        <f>IF(RADataTable[[#This Row],[maxScore]]-RADataTable[[#This Row],[minScore]]&gt;4,"Y","")</f>
        <v/>
      </c>
      <c r="AF6" s="21">
        <v>1</v>
      </c>
      <c r="AG6" s="26">
        <v>1.6666666666666667</v>
      </c>
      <c r="AH6">
        <v>3</v>
      </c>
      <c r="AI6" t="s">
        <v>684</v>
      </c>
      <c r="AJ6" s="30">
        <v>43051.84652777778</v>
      </c>
      <c r="AK6" s="13">
        <v>299932</v>
      </c>
      <c r="AL6" s="13">
        <v>299932</v>
      </c>
      <c r="AM6">
        <v>0</v>
      </c>
      <c r="AN6" s="30">
        <v>43101</v>
      </c>
      <c r="AO6" s="21">
        <v>24</v>
      </c>
      <c r="AP6" s="21" t="s">
        <v>685</v>
      </c>
      <c r="AS6" s="30"/>
      <c r="AT6" t="s">
        <v>542</v>
      </c>
      <c r="AU6" s="21" t="s">
        <v>544</v>
      </c>
      <c r="AW6" s="21" t="s">
        <v>747</v>
      </c>
      <c r="AX6" s="30">
        <v>43052</v>
      </c>
      <c r="AY6" s="21" t="s">
        <v>757</v>
      </c>
      <c r="AZ6" s="21" t="s">
        <v>749</v>
      </c>
      <c r="BA6" s="21">
        <v>7</v>
      </c>
      <c r="BG6" s="30"/>
      <c r="BP6" s="30"/>
      <c r="BU6" t="s">
        <v>573</v>
      </c>
      <c r="BV6" s="21" t="s">
        <v>512</v>
      </c>
      <c r="BW6" s="21" t="s">
        <v>682</v>
      </c>
      <c r="BX6" s="21" t="s">
        <v>683</v>
      </c>
      <c r="BY6" s="31">
        <v>299932</v>
      </c>
      <c r="BZ6" s="31">
        <v>299932</v>
      </c>
      <c r="CA6" t="s">
        <v>681</v>
      </c>
      <c r="CF6" s="31"/>
      <c r="CG6" s="31"/>
      <c r="CM6" s="31"/>
      <c r="CN6" s="31"/>
      <c r="CT6" s="31"/>
      <c r="CU6" s="31"/>
      <c r="CV6" s="31"/>
      <c r="DA6" s="31"/>
      <c r="DB6" s="31"/>
      <c r="DC6" s="31"/>
      <c r="DH6" s="31"/>
      <c r="DI6" s="31"/>
      <c r="DO6" s="31"/>
      <c r="DP6" s="31"/>
      <c r="DR6" t="s">
        <v>758</v>
      </c>
      <c r="DS6" t="s">
        <v>751</v>
      </c>
      <c r="DT6" t="s">
        <v>533</v>
      </c>
      <c r="DU6" s="29" t="s">
        <v>759</v>
      </c>
      <c r="DV6" t="s">
        <v>170</v>
      </c>
      <c r="DW6" t="s">
        <v>317</v>
      </c>
      <c r="DX6" t="s">
        <v>168</v>
      </c>
      <c r="DY6" t="s">
        <v>753</v>
      </c>
      <c r="DZ6" t="s">
        <v>754</v>
      </c>
      <c r="EA6" s="22">
        <v>43084.681574074071</v>
      </c>
      <c r="EB6" t="s">
        <v>686</v>
      </c>
      <c r="EC6" t="s">
        <v>760</v>
      </c>
    </row>
    <row r="7" spans="1:133" x14ac:dyDescent="0.25">
      <c r="A7" s="30"/>
      <c r="B7" s="22">
        <v>42992.520138888889</v>
      </c>
      <c r="C7" s="22" t="s">
        <v>666</v>
      </c>
      <c r="D7" s="30" t="s">
        <v>667</v>
      </c>
      <c r="E7" s="30" t="s">
        <v>532</v>
      </c>
      <c r="F7" s="30" t="s">
        <v>167</v>
      </c>
      <c r="G7" s="30" t="s">
        <v>169</v>
      </c>
      <c r="H7" t="s">
        <v>94</v>
      </c>
      <c r="I7" t="s">
        <v>668</v>
      </c>
      <c r="J7" t="s">
        <v>574</v>
      </c>
      <c r="L7">
        <v>1</v>
      </c>
      <c r="M7" s="26">
        <v>3</v>
      </c>
      <c r="N7" t="s">
        <v>545</v>
      </c>
      <c r="Q7" s="29" t="s">
        <v>488</v>
      </c>
      <c r="R7" s="29" t="str">
        <f>IFERROR(MID(RADataTable[[#This Row],[RAtemplate]],1,LEN(RADataTable[[#This Row],[RAtemplate]])-8),"RA") &amp; " " &amp; RADataTable[[#This Row],[prop_id0]] &amp; " " &amp; RADataTable[[#This Row],[last0]]</f>
        <v>Std Decline  1760896 Park</v>
      </c>
      <c r="U7" s="21" t="str">
        <f>IF(signer1="PD",IF(ISBLANK(RADataTable[[#This Row],[sign_blck_name]]),"",RADataTable[[#This Row],[sign_blck_name]]),IF(ISBLANK(signer1),"",signer1))</f>
        <v>Cynthia Chen</v>
      </c>
      <c r="V7" s="29" t="str">
        <f>signer2</f>
        <v>Cognizant Program Director</v>
      </c>
      <c r="W7" s="15" t="str">
        <f>HYPERLINK("https://www.ejacket.nsf.gov/ej/showProposal.do?Continue=Y&amp;ID="&amp;RADataTable[[#This Row],[prop_id0]],"eJ")</f>
        <v>eJ</v>
      </c>
      <c r="X7" s="15" t="str">
        <f>HYPERLINK("mailto:"&amp;RADataTable[[#This Row],[email]]&amp;"&amp;subject=Your NSF Proposal:  "&amp;RADataTable[[#This Row],[Div]]&amp;" "&amp;RADataTable[[#This Row],[prop_id0]], RADataTable[[#This Row],[email]])</f>
        <v>jee.park@unlv.edu</v>
      </c>
      <c r="Y7" s="15" t="str">
        <f>HYPERLINK("mailto:"&amp;RADataTable[[#This Row],[allPIemail]]&amp;"&amp;subject=NSF Proposal:  "&amp;RADataTable[[#This Row],[Div]]&amp;" "&amp;RADataTable[[#This Row],[prop_id0]], "PIs@")</f>
        <v>PIs@</v>
      </c>
      <c r="Z7" t="s">
        <v>670</v>
      </c>
      <c r="AA7" t="s">
        <v>582</v>
      </c>
      <c r="AB7">
        <v>3</v>
      </c>
      <c r="AD7"/>
      <c r="AE7" s="21" t="str">
        <f>IF(RADataTable[[#This Row],[maxScore]]-RADataTable[[#This Row],[minScore]]&gt;4,"Y","")</f>
        <v/>
      </c>
      <c r="AF7" s="21">
        <v>3</v>
      </c>
      <c r="AG7" s="26">
        <v>3.3333333333333335</v>
      </c>
      <c r="AH7">
        <v>4</v>
      </c>
      <c r="AI7" t="s">
        <v>672</v>
      </c>
      <c r="AJ7" s="30">
        <v>43051.79583333333</v>
      </c>
      <c r="AK7" s="13">
        <v>411918</v>
      </c>
      <c r="AL7" s="13">
        <v>411918</v>
      </c>
      <c r="AM7">
        <v>0</v>
      </c>
      <c r="AN7" s="30">
        <v>43101</v>
      </c>
      <c r="AO7" s="21">
        <v>36</v>
      </c>
      <c r="AP7" s="21" t="s">
        <v>689</v>
      </c>
      <c r="AS7" s="30"/>
      <c r="AT7" t="s">
        <v>542</v>
      </c>
      <c r="AU7" s="21" t="s">
        <v>544</v>
      </c>
      <c r="AW7" s="21" t="s">
        <v>747</v>
      </c>
      <c r="AX7" s="30">
        <v>43052</v>
      </c>
      <c r="AY7" s="21" t="s">
        <v>748</v>
      </c>
      <c r="AZ7" s="21" t="s">
        <v>749</v>
      </c>
      <c r="BA7" s="21">
        <v>7</v>
      </c>
      <c r="BG7" s="30"/>
      <c r="BP7" s="30"/>
      <c r="BU7" t="s">
        <v>582</v>
      </c>
      <c r="BV7" s="21" t="s">
        <v>514</v>
      </c>
      <c r="BW7" s="21" t="s">
        <v>687</v>
      </c>
      <c r="BX7" s="21" t="s">
        <v>688</v>
      </c>
      <c r="BY7" s="31">
        <v>411918</v>
      </c>
      <c r="BZ7" s="31">
        <v>411918</v>
      </c>
      <c r="CA7" t="s">
        <v>681</v>
      </c>
      <c r="CF7" s="31"/>
      <c r="CG7" s="31"/>
      <c r="CM7" s="31"/>
      <c r="CN7" s="31"/>
      <c r="CT7" s="31"/>
      <c r="CU7" s="31"/>
      <c r="CV7" s="31"/>
      <c r="DA7" s="31"/>
      <c r="DB7" s="31"/>
      <c r="DC7" s="31"/>
      <c r="DH7" s="31"/>
      <c r="DI7" s="31"/>
      <c r="DO7" s="31"/>
      <c r="DP7" s="31"/>
      <c r="DR7" t="s">
        <v>750</v>
      </c>
      <c r="DS7" t="s">
        <v>751</v>
      </c>
      <c r="DT7" t="s">
        <v>533</v>
      </c>
      <c r="DU7" s="29" t="s">
        <v>759</v>
      </c>
      <c r="DV7" t="s">
        <v>170</v>
      </c>
      <c r="DW7" t="s">
        <v>317</v>
      </c>
      <c r="DX7" t="s">
        <v>168</v>
      </c>
      <c r="DY7" t="s">
        <v>753</v>
      </c>
      <c r="DZ7" t="s">
        <v>754</v>
      </c>
      <c r="EA7" s="22">
        <v>43084.681574074071</v>
      </c>
      <c r="EB7" t="s">
        <v>690</v>
      </c>
      <c r="EC7" t="s">
        <v>761</v>
      </c>
    </row>
    <row r="8" spans="1:133" x14ac:dyDescent="0.25">
      <c r="A8" s="30"/>
      <c r="B8" s="22">
        <v>42992.522222222222</v>
      </c>
      <c r="C8" s="22" t="s">
        <v>666</v>
      </c>
      <c r="D8" s="30" t="s">
        <v>667</v>
      </c>
      <c r="E8" s="30" t="s">
        <v>532</v>
      </c>
      <c r="F8" s="30" t="s">
        <v>167</v>
      </c>
      <c r="G8" s="30" t="s">
        <v>169</v>
      </c>
      <c r="H8" t="s">
        <v>94</v>
      </c>
      <c r="I8" t="s">
        <v>668</v>
      </c>
      <c r="J8" t="s">
        <v>574</v>
      </c>
      <c r="L8">
        <v>1</v>
      </c>
      <c r="M8" s="26">
        <v>3</v>
      </c>
      <c r="N8" t="s">
        <v>545</v>
      </c>
      <c r="Q8" s="29" t="s">
        <v>13</v>
      </c>
      <c r="R8" s="29" t="str">
        <f>IFERROR(MID(RADataTable[[#This Row],[RAtemplate]],1,LEN(RADataTable[[#This Row],[RAtemplate]])-8),"RA") &amp; " " &amp; RADataTable[[#This Row],[prop_id0]] &amp; " " &amp; RADataTable[[#This Row],[last0]]</f>
        <v>RA 1760898 Ahn</v>
      </c>
      <c r="U8" s="21" t="str">
        <f>IF(signer1="PD",IF(ISBLANK(RADataTable[[#This Row],[sign_blck_name]]),"",RADataTable[[#This Row],[sign_blck_name]]),IF(ISBLANK(signer1),"",signer1))</f>
        <v>Cynthia Chen</v>
      </c>
      <c r="V8" s="29" t="str">
        <f>signer2</f>
        <v>Cognizant Program Director</v>
      </c>
      <c r="W8" s="15" t="str">
        <f>HYPERLINK("https://www.ejacket.nsf.gov/ej/showProposal.do?Continue=Y&amp;ID="&amp;RADataTable[[#This Row],[prop_id0]],"eJ")</f>
        <v>eJ</v>
      </c>
      <c r="X8" s="15" t="str">
        <f>HYPERLINK("mailto:"&amp;RADataTable[[#This Row],[email]]&amp;"&amp;subject=Your NSF Proposal:  "&amp;RADataTable[[#This Row],[Div]]&amp;" "&amp;RADataTable[[#This Row],[prop_id0]], RADataTable[[#This Row],[email]])</f>
        <v>ryanahn@tamu.edu</v>
      </c>
      <c r="Y8" s="15" t="str">
        <f>HYPERLINK("mailto:"&amp;RADataTable[[#This Row],[allPIemail]]&amp;"&amp;subject=NSF Proposal:  "&amp;RADataTable[[#This Row],[Div]]&amp;" "&amp;RADataTable[[#This Row],[prop_id0]], "PIs@")</f>
        <v>PIs@</v>
      </c>
      <c r="Z8" t="s">
        <v>670</v>
      </c>
      <c r="AA8" t="s">
        <v>590</v>
      </c>
      <c r="AB8">
        <v>3</v>
      </c>
      <c r="AD8"/>
      <c r="AE8" s="21" t="str">
        <f>IF(RADataTable[[#This Row],[maxScore]]-RADataTable[[#This Row],[minScore]]&gt;4,"Y","")</f>
        <v/>
      </c>
      <c r="AF8" s="21">
        <v>4</v>
      </c>
      <c r="AG8" s="26">
        <v>4.333333333333333</v>
      </c>
      <c r="AH8">
        <v>5</v>
      </c>
      <c r="AI8" t="s">
        <v>692</v>
      </c>
      <c r="AJ8" s="30">
        <v>43052.602083333331</v>
      </c>
      <c r="AK8" s="13">
        <v>484032</v>
      </c>
      <c r="AL8" s="13">
        <v>484032</v>
      </c>
      <c r="AM8">
        <v>0</v>
      </c>
      <c r="AN8" s="30">
        <v>43221</v>
      </c>
      <c r="AO8" s="21">
        <v>36</v>
      </c>
      <c r="AP8" s="21" t="s">
        <v>693</v>
      </c>
      <c r="AS8" s="30"/>
      <c r="AT8" t="s">
        <v>542</v>
      </c>
      <c r="AU8" s="21" t="s">
        <v>544</v>
      </c>
      <c r="AW8" s="21" t="s">
        <v>747</v>
      </c>
      <c r="AX8" s="30">
        <v>43052</v>
      </c>
      <c r="AY8" s="21" t="s">
        <v>762</v>
      </c>
      <c r="AZ8" s="21" t="s">
        <v>749</v>
      </c>
      <c r="BA8" s="21">
        <v>7</v>
      </c>
      <c r="BB8" s="21">
        <v>1</v>
      </c>
      <c r="BG8" s="30"/>
      <c r="BP8" s="30"/>
      <c r="BU8" t="s">
        <v>590</v>
      </c>
      <c r="BV8" s="21" t="s">
        <v>591</v>
      </c>
      <c r="BW8" s="21" t="s">
        <v>691</v>
      </c>
      <c r="BX8" s="21" t="s">
        <v>525</v>
      </c>
      <c r="BY8" s="31">
        <v>255960</v>
      </c>
      <c r="BZ8" s="31">
        <v>255960</v>
      </c>
      <c r="CA8" t="s">
        <v>669</v>
      </c>
      <c r="CB8" s="21" t="s">
        <v>695</v>
      </c>
      <c r="CC8" s="21" t="s">
        <v>696</v>
      </c>
      <c r="CD8" s="21" t="s">
        <v>518</v>
      </c>
      <c r="CE8" s="21" t="s">
        <v>697</v>
      </c>
      <c r="CF8" s="31">
        <v>78072</v>
      </c>
      <c r="CG8" s="31">
        <v>78072</v>
      </c>
      <c r="CH8" t="s">
        <v>681</v>
      </c>
      <c r="CI8" s="21" t="s">
        <v>699</v>
      </c>
      <c r="CJ8" s="21" t="s">
        <v>700</v>
      </c>
      <c r="CK8" s="21" t="s">
        <v>701</v>
      </c>
      <c r="CL8" s="21" t="s">
        <v>523</v>
      </c>
      <c r="CM8" s="31">
        <v>150000</v>
      </c>
      <c r="CN8" s="31">
        <v>150000</v>
      </c>
      <c r="CO8" t="s">
        <v>669</v>
      </c>
      <c r="CT8" s="31"/>
      <c r="CU8" s="31"/>
      <c r="CV8" s="31"/>
      <c r="DA8" s="31"/>
      <c r="DB8" s="31"/>
      <c r="DC8" s="31"/>
      <c r="DH8" s="31"/>
      <c r="DI8" s="31"/>
      <c r="DO8" s="31"/>
      <c r="DP8" s="31"/>
      <c r="DR8" t="s">
        <v>750</v>
      </c>
      <c r="DS8" t="s">
        <v>751</v>
      </c>
      <c r="DT8" t="s">
        <v>533</v>
      </c>
      <c r="DU8" s="29" t="s">
        <v>759</v>
      </c>
      <c r="DV8" t="s">
        <v>170</v>
      </c>
      <c r="DW8" t="s">
        <v>317</v>
      </c>
      <c r="DX8" t="s">
        <v>168</v>
      </c>
      <c r="DY8" t="s">
        <v>753</v>
      </c>
      <c r="DZ8" t="s">
        <v>754</v>
      </c>
      <c r="EA8" s="22">
        <v>43084.681574074071</v>
      </c>
      <c r="EB8" t="s">
        <v>694</v>
      </c>
      <c r="EC8" t="s">
        <v>763</v>
      </c>
    </row>
    <row r="9" spans="1:133" x14ac:dyDescent="0.25">
      <c r="A9" s="30"/>
      <c r="B9" s="22">
        <v>42992.676388888889</v>
      </c>
      <c r="C9" s="22" t="s">
        <v>666</v>
      </c>
      <c r="D9" s="30" t="s">
        <v>667</v>
      </c>
      <c r="E9" s="30" t="s">
        <v>532</v>
      </c>
      <c r="F9" s="30" t="s">
        <v>167</v>
      </c>
      <c r="G9" s="30" t="s">
        <v>169</v>
      </c>
      <c r="H9" t="s">
        <v>94</v>
      </c>
      <c r="I9" t="s">
        <v>668</v>
      </c>
      <c r="J9" t="s">
        <v>574</v>
      </c>
      <c r="L9">
        <v>1</v>
      </c>
      <c r="M9" s="26">
        <v>3</v>
      </c>
      <c r="N9" t="s">
        <v>545</v>
      </c>
      <c r="Q9" s="29" t="s">
        <v>13</v>
      </c>
      <c r="R9" s="29" t="str">
        <f>IFERROR(MID(RADataTable[[#This Row],[RAtemplate]],1,LEN(RADataTable[[#This Row],[RAtemplate]])-8),"RA") &amp; " " &amp; RADataTable[[#This Row],[prop_id0]] &amp; " " &amp; RADataTable[[#This Row],[last0]]</f>
        <v>RA 1761160 Leite</v>
      </c>
      <c r="U9" s="21" t="str">
        <f>IF(signer1="PD",IF(ISBLANK(RADataTable[[#This Row],[sign_blck_name]]),"",RADataTable[[#This Row],[sign_blck_name]]),IF(ISBLANK(signer1),"",signer1))</f>
        <v>Cynthia Chen</v>
      </c>
      <c r="V9" s="29" t="str">
        <f>signer2</f>
        <v>Cognizant Program Director</v>
      </c>
      <c r="W9" s="15" t="str">
        <f>HYPERLINK("https://www.ejacket.nsf.gov/ej/showProposal.do?Continue=Y&amp;ID="&amp;RADataTable[[#This Row],[prop_id0]],"eJ")</f>
        <v>eJ</v>
      </c>
      <c r="X9" s="15" t="str">
        <f>HYPERLINK("mailto:"&amp;RADataTable[[#This Row],[email]]&amp;"&amp;subject=Your NSF Proposal:  "&amp;RADataTable[[#This Row],[Div]]&amp;" "&amp;RADataTable[[#This Row],[prop_id0]], RADataTable[[#This Row],[email]])</f>
        <v>fernanda.leite@austin.utexas.edu</v>
      </c>
      <c r="Y9" s="15" t="str">
        <f>HYPERLINK("mailto:"&amp;RADataTable[[#This Row],[allPIemail]]&amp;"&amp;subject=NSF Proposal:  "&amp;RADataTable[[#This Row],[Div]]&amp;" "&amp;RADataTable[[#This Row],[prop_id0]], "PIs@")</f>
        <v>PIs@</v>
      </c>
      <c r="Z9" t="s">
        <v>670</v>
      </c>
      <c r="AA9" t="s">
        <v>598</v>
      </c>
      <c r="AB9">
        <v>3</v>
      </c>
      <c r="AD9"/>
      <c r="AE9" s="21" t="str">
        <f>IF(RADataTable[[#This Row],[maxScore]]-RADataTable[[#This Row],[minScore]]&gt;4,"Y","")</f>
        <v/>
      </c>
      <c r="AF9" s="21">
        <v>3</v>
      </c>
      <c r="AG9" s="26">
        <v>3.6666666666666665</v>
      </c>
      <c r="AH9">
        <v>5</v>
      </c>
      <c r="AI9" t="s">
        <v>677</v>
      </c>
      <c r="AJ9" s="30">
        <v>43051.020833333336</v>
      </c>
      <c r="AK9" s="13">
        <v>446786</v>
      </c>
      <c r="AL9" s="13">
        <v>446786</v>
      </c>
      <c r="AM9">
        <v>0</v>
      </c>
      <c r="AN9" s="30">
        <v>43252</v>
      </c>
      <c r="AO9" s="21">
        <v>36</v>
      </c>
      <c r="AP9" s="21" t="s">
        <v>704</v>
      </c>
      <c r="AS9" s="30"/>
      <c r="AT9" t="s">
        <v>542</v>
      </c>
      <c r="AU9" s="21" t="s">
        <v>544</v>
      </c>
      <c r="AW9" s="21" t="s">
        <v>747</v>
      </c>
      <c r="AX9" s="30">
        <v>43052</v>
      </c>
      <c r="AY9" s="21" t="s">
        <v>527</v>
      </c>
      <c r="AZ9" s="21" t="s">
        <v>749</v>
      </c>
      <c r="BA9" s="21">
        <v>7</v>
      </c>
      <c r="BB9" s="21">
        <v>1</v>
      </c>
      <c r="BG9" s="30"/>
      <c r="BP9" s="30"/>
      <c r="BU9" t="s">
        <v>598</v>
      </c>
      <c r="BV9" s="21" t="s">
        <v>599</v>
      </c>
      <c r="BW9" s="21" t="s">
        <v>703</v>
      </c>
      <c r="BX9" s="21" t="s">
        <v>503</v>
      </c>
      <c r="BY9" s="31">
        <v>446786</v>
      </c>
      <c r="BZ9" s="31">
        <v>446786</v>
      </c>
      <c r="CA9" t="s">
        <v>669</v>
      </c>
      <c r="CF9" s="31"/>
      <c r="CG9" s="31"/>
      <c r="CM9" s="31"/>
      <c r="CN9" s="31"/>
      <c r="CT9" s="31"/>
      <c r="CU9" s="31"/>
      <c r="CV9" s="31"/>
      <c r="DA9" s="31"/>
      <c r="DB9" s="31"/>
      <c r="DC9" s="31"/>
      <c r="DH9" s="31"/>
      <c r="DI9" s="31"/>
      <c r="DO9" s="31"/>
      <c r="DP9" s="31"/>
      <c r="DR9" t="s">
        <v>750</v>
      </c>
      <c r="DS9" t="s">
        <v>751</v>
      </c>
      <c r="DT9" t="s">
        <v>533</v>
      </c>
      <c r="DU9" s="29" t="s">
        <v>759</v>
      </c>
      <c r="DV9" t="s">
        <v>170</v>
      </c>
      <c r="DW9" t="s">
        <v>317</v>
      </c>
      <c r="DX9" t="s">
        <v>168</v>
      </c>
      <c r="DY9" t="s">
        <v>753</v>
      </c>
      <c r="DZ9" t="s">
        <v>754</v>
      </c>
      <c r="EA9" s="22">
        <v>43084.681574074071</v>
      </c>
      <c r="EB9" t="s">
        <v>705</v>
      </c>
      <c r="EC9" t="s">
        <v>764</v>
      </c>
    </row>
    <row r="10" spans="1:133" x14ac:dyDescent="0.25">
      <c r="A10" s="30"/>
      <c r="B10" s="22">
        <v>42993.447916666664</v>
      </c>
      <c r="C10" s="22" t="s">
        <v>666</v>
      </c>
      <c r="D10" s="30" t="s">
        <v>667</v>
      </c>
      <c r="E10" s="30" t="s">
        <v>532</v>
      </c>
      <c r="F10" s="30" t="s">
        <v>167</v>
      </c>
      <c r="G10" s="30" t="s">
        <v>169</v>
      </c>
      <c r="H10" t="s">
        <v>94</v>
      </c>
      <c r="I10" t="s">
        <v>668</v>
      </c>
      <c r="J10" t="s">
        <v>574</v>
      </c>
      <c r="L10">
        <v>1</v>
      </c>
      <c r="M10" s="26">
        <v>3</v>
      </c>
      <c r="N10" t="s">
        <v>545</v>
      </c>
      <c r="Q10" s="29" t="s">
        <v>13</v>
      </c>
      <c r="R10" s="29" t="str">
        <f>IFERROR(MID(RADataTable[[#This Row],[RAtemplate]],1,LEN(RADataTable[[#This Row],[RAtemplate]])-8),"RA") &amp; " " &amp; RADataTable[[#This Row],[prop_id0]] &amp; " " &amp; RADataTable[[#This Row],[last0]]</f>
        <v>RA 1761370 Lucko</v>
      </c>
      <c r="U10" s="21" t="str">
        <f>IF(signer1="PD",IF(ISBLANK(RADataTable[[#This Row],[sign_blck_name]]),"",RADataTable[[#This Row],[sign_blck_name]]),IF(ISBLANK(signer1),"",signer1))</f>
        <v>Cynthia Chen</v>
      </c>
      <c r="V10" s="29" t="str">
        <f>signer2</f>
        <v>Cognizant Program Director</v>
      </c>
      <c r="W10" s="15" t="str">
        <f>HYPERLINK("https://www.ejacket.nsf.gov/ej/showProposal.do?Continue=Y&amp;ID="&amp;RADataTable[[#This Row],[prop_id0]],"eJ")</f>
        <v>eJ</v>
      </c>
      <c r="X10" s="15" t="str">
        <f>HYPERLINK("mailto:"&amp;RADataTable[[#This Row],[email]]&amp;"&amp;subject=Your NSF Proposal:  "&amp;RADataTable[[#This Row],[Div]]&amp;" "&amp;RADataTable[[#This Row],[prop_id0]], RADataTable[[#This Row],[email]])</f>
        <v>lucko@cua.edu</v>
      </c>
      <c r="Y10" s="15" t="str">
        <f>HYPERLINK("mailto:"&amp;RADataTable[[#This Row],[allPIemail]]&amp;"&amp;subject=NSF Proposal:  "&amp;RADataTable[[#This Row],[Div]]&amp;" "&amp;RADataTable[[#This Row],[prop_id0]], "PIs@")</f>
        <v>PIs@</v>
      </c>
      <c r="Z10" t="s">
        <v>670</v>
      </c>
      <c r="AA10" t="s">
        <v>604</v>
      </c>
      <c r="AB10">
        <v>3</v>
      </c>
      <c r="AD10"/>
      <c r="AE10" s="21" t="str">
        <f>IF(RADataTable[[#This Row],[maxScore]]-RADataTable[[#This Row],[minScore]]&gt;4,"Y","")</f>
        <v/>
      </c>
      <c r="AF10" s="21">
        <v>3</v>
      </c>
      <c r="AG10" s="26">
        <v>4</v>
      </c>
      <c r="AH10">
        <v>5</v>
      </c>
      <c r="AI10" t="s">
        <v>522</v>
      </c>
      <c r="AJ10" s="30">
        <v>43050.636111111111</v>
      </c>
      <c r="AK10" s="13">
        <v>305924</v>
      </c>
      <c r="AL10" s="13">
        <v>305924</v>
      </c>
      <c r="AM10">
        <v>0</v>
      </c>
      <c r="AN10" s="30">
        <v>43221</v>
      </c>
      <c r="AO10" s="21">
        <v>36</v>
      </c>
      <c r="AP10" s="21" t="s">
        <v>708</v>
      </c>
      <c r="AS10" s="30"/>
      <c r="AT10" t="s">
        <v>542</v>
      </c>
      <c r="AU10" s="21" t="s">
        <v>544</v>
      </c>
      <c r="AW10" s="21" t="s">
        <v>747</v>
      </c>
      <c r="AX10" s="30">
        <v>43052</v>
      </c>
      <c r="AY10" s="21" t="s">
        <v>506</v>
      </c>
      <c r="AZ10" s="21" t="s">
        <v>749</v>
      </c>
      <c r="BA10" s="21">
        <v>7</v>
      </c>
      <c r="BB10" s="21">
        <v>1</v>
      </c>
      <c r="BG10" s="30"/>
      <c r="BP10" s="30"/>
      <c r="BU10" t="s">
        <v>604</v>
      </c>
      <c r="BV10" s="21" t="s">
        <v>605</v>
      </c>
      <c r="BW10" s="21" t="s">
        <v>706</v>
      </c>
      <c r="BX10" s="21" t="s">
        <v>707</v>
      </c>
      <c r="BY10" s="31">
        <v>305924</v>
      </c>
      <c r="BZ10" s="31">
        <v>305924</v>
      </c>
      <c r="CA10" t="s">
        <v>669</v>
      </c>
      <c r="CF10" s="31"/>
      <c r="CG10" s="31"/>
      <c r="CM10" s="31"/>
      <c r="CN10" s="31"/>
      <c r="CT10" s="31"/>
      <c r="CU10" s="31"/>
      <c r="CV10" s="31"/>
      <c r="DA10" s="31"/>
      <c r="DB10" s="31"/>
      <c r="DC10" s="31"/>
      <c r="DH10" s="31"/>
      <c r="DI10" s="31"/>
      <c r="DO10" s="31"/>
      <c r="DP10" s="31"/>
      <c r="DR10" t="s">
        <v>750</v>
      </c>
      <c r="DS10" t="s">
        <v>751</v>
      </c>
      <c r="DT10" t="s">
        <v>533</v>
      </c>
      <c r="DU10" s="29" t="s">
        <v>759</v>
      </c>
      <c r="DV10" t="s">
        <v>170</v>
      </c>
      <c r="DW10" t="s">
        <v>317</v>
      </c>
      <c r="DX10" t="s">
        <v>168</v>
      </c>
      <c r="DY10" t="s">
        <v>753</v>
      </c>
      <c r="DZ10" t="s">
        <v>754</v>
      </c>
      <c r="EA10" s="22">
        <v>43084.681574074071</v>
      </c>
      <c r="EB10" t="s">
        <v>709</v>
      </c>
      <c r="EC10" t="s">
        <v>765</v>
      </c>
    </row>
    <row r="11" spans="1:133" x14ac:dyDescent="0.25">
      <c r="A11" s="30"/>
      <c r="B11" s="22">
        <v>42993.449305555558</v>
      </c>
      <c r="C11" s="22" t="s">
        <v>666</v>
      </c>
      <c r="D11" s="30" t="s">
        <v>667</v>
      </c>
      <c r="E11" s="30" t="s">
        <v>532</v>
      </c>
      <c r="F11" s="30" t="s">
        <v>167</v>
      </c>
      <c r="G11" s="30" t="s">
        <v>169</v>
      </c>
      <c r="H11" t="s">
        <v>94</v>
      </c>
      <c r="I11" t="s">
        <v>668</v>
      </c>
      <c r="J11" t="s">
        <v>574</v>
      </c>
      <c r="L11">
        <v>1</v>
      </c>
      <c r="M11" s="26">
        <v>3</v>
      </c>
      <c r="N11" t="s">
        <v>545</v>
      </c>
      <c r="Q11" s="29" t="s">
        <v>13</v>
      </c>
      <c r="R11" s="29" t="str">
        <f>IFERROR(MID(RADataTable[[#This Row],[RAtemplate]],1,LEN(RADataTable[[#This Row],[RAtemplate]])-8),"RA") &amp; " " &amp; RADataTable[[#This Row],[prop_id0]] &amp; " " &amp; RADataTable[[#This Row],[last0]]</f>
        <v>RA 1761372 Lucko</v>
      </c>
      <c r="U11" s="21" t="str">
        <f>IF(signer1="PD",IF(ISBLANK(RADataTable[[#This Row],[sign_blck_name]]),"",RADataTable[[#This Row],[sign_blck_name]]),IF(ISBLANK(signer1),"",signer1))</f>
        <v>Cynthia Chen</v>
      </c>
      <c r="V11" s="29" t="str">
        <f>signer2</f>
        <v>Cognizant Program Director</v>
      </c>
      <c r="W11" s="15" t="str">
        <f>HYPERLINK("https://www.ejacket.nsf.gov/ej/showProposal.do?Continue=Y&amp;ID="&amp;RADataTable[[#This Row],[prop_id0]],"eJ")</f>
        <v>eJ</v>
      </c>
      <c r="X11" s="15" t="str">
        <f>HYPERLINK("mailto:"&amp;RADataTable[[#This Row],[email]]&amp;"&amp;subject=Your NSF Proposal:  "&amp;RADataTable[[#This Row],[Div]]&amp;" "&amp;RADataTable[[#This Row],[prop_id0]], RADataTable[[#This Row],[email]])</f>
        <v>lucko@cua.edu</v>
      </c>
      <c r="Y11" s="15" t="str">
        <f>HYPERLINK("mailto:"&amp;RADataTable[[#This Row],[allPIemail]]&amp;"&amp;subject=NSF Proposal:  "&amp;RADataTable[[#This Row],[Div]]&amp;" "&amp;RADataTable[[#This Row],[prop_id0]], "PIs@")</f>
        <v>PIs@</v>
      </c>
      <c r="Z11" t="s">
        <v>670</v>
      </c>
      <c r="AA11" t="s">
        <v>609</v>
      </c>
      <c r="AB11">
        <v>3</v>
      </c>
      <c r="AD11"/>
      <c r="AE11" s="21" t="str">
        <f>IF(RADataTable[[#This Row],[maxScore]]-RADataTable[[#This Row],[minScore]]&gt;4,"Y","")</f>
        <v/>
      </c>
      <c r="AF11" s="21">
        <v>3</v>
      </c>
      <c r="AG11" s="26">
        <v>3.6666666666666665</v>
      </c>
      <c r="AH11">
        <v>5</v>
      </c>
      <c r="AI11" t="s">
        <v>677</v>
      </c>
      <c r="AJ11" s="30">
        <v>43046.49722222222</v>
      </c>
      <c r="AK11" s="13">
        <v>308306</v>
      </c>
      <c r="AL11" s="13">
        <v>308306</v>
      </c>
      <c r="AM11">
        <v>0</v>
      </c>
      <c r="AN11" s="30">
        <v>43221</v>
      </c>
      <c r="AO11" s="21">
        <v>36</v>
      </c>
      <c r="AP11" s="21" t="s">
        <v>710</v>
      </c>
      <c r="AQ11">
        <v>1</v>
      </c>
      <c r="AR11" t="s">
        <v>526</v>
      </c>
      <c r="AS11" s="30">
        <v>43038.484722222223</v>
      </c>
      <c r="AT11" t="s">
        <v>542</v>
      </c>
      <c r="AU11" s="21" t="s">
        <v>544</v>
      </c>
      <c r="AW11" s="21" t="s">
        <v>747</v>
      </c>
      <c r="AX11" s="30">
        <v>43052</v>
      </c>
      <c r="AY11" s="21" t="s">
        <v>766</v>
      </c>
      <c r="AZ11" s="21" t="s">
        <v>749</v>
      </c>
      <c r="BA11" s="21">
        <v>7</v>
      </c>
      <c r="BB11" s="21">
        <v>1</v>
      </c>
      <c r="BG11" s="30"/>
      <c r="BP11" s="30"/>
      <c r="BU11" t="s">
        <v>609</v>
      </c>
      <c r="BV11" s="21" t="s">
        <v>605</v>
      </c>
      <c r="BW11" s="21" t="s">
        <v>706</v>
      </c>
      <c r="BX11" s="21" t="s">
        <v>707</v>
      </c>
      <c r="BY11" s="31">
        <v>308306</v>
      </c>
      <c r="BZ11" s="31">
        <v>308306</v>
      </c>
      <c r="CA11" t="s">
        <v>669</v>
      </c>
      <c r="CF11" s="31"/>
      <c r="CG11" s="31"/>
      <c r="CM11" s="31"/>
      <c r="CN11" s="31"/>
      <c r="CT11" s="31"/>
      <c r="CU11" s="31"/>
      <c r="CV11" s="31"/>
      <c r="DA11" s="31"/>
      <c r="DB11" s="31"/>
      <c r="DC11" s="31"/>
      <c r="DH11" s="31"/>
      <c r="DI11" s="31"/>
      <c r="DO11" s="31"/>
      <c r="DP11" s="31"/>
      <c r="DR11" t="s">
        <v>750</v>
      </c>
      <c r="DS11" t="s">
        <v>751</v>
      </c>
      <c r="DT11" t="s">
        <v>533</v>
      </c>
      <c r="DU11" s="29" t="s">
        <v>759</v>
      </c>
      <c r="DV11" t="s">
        <v>170</v>
      </c>
      <c r="DW11" t="s">
        <v>317</v>
      </c>
      <c r="DX11" t="s">
        <v>168</v>
      </c>
      <c r="DY11" t="s">
        <v>753</v>
      </c>
      <c r="DZ11" t="s">
        <v>754</v>
      </c>
      <c r="EA11" s="22">
        <v>43084.681574074071</v>
      </c>
      <c r="EB11" t="s">
        <v>709</v>
      </c>
      <c r="EC11" t="s">
        <v>765</v>
      </c>
    </row>
    <row r="12" spans="1:133" x14ac:dyDescent="0.25">
      <c r="A12" s="30"/>
      <c r="B12" s="22">
        <v>42993.551388888889</v>
      </c>
      <c r="C12" s="22" t="s">
        <v>666</v>
      </c>
      <c r="D12" s="30" t="s">
        <v>667</v>
      </c>
      <c r="E12" s="30" t="s">
        <v>532</v>
      </c>
      <c r="F12" s="30" t="s">
        <v>167</v>
      </c>
      <c r="G12" s="30" t="s">
        <v>169</v>
      </c>
      <c r="H12" t="s">
        <v>94</v>
      </c>
      <c r="I12" t="s">
        <v>668</v>
      </c>
      <c r="J12" t="s">
        <v>574</v>
      </c>
      <c r="L12">
        <v>1</v>
      </c>
      <c r="M12" s="26">
        <v>3</v>
      </c>
      <c r="N12" t="s">
        <v>545</v>
      </c>
      <c r="Q12" s="29" t="s">
        <v>13</v>
      </c>
      <c r="R12" s="29" t="str">
        <f>IFERROR(MID(RADataTable[[#This Row],[RAtemplate]],1,LEN(RADataTable[[#This Row],[RAtemplate]])-8),"RA") &amp; " " &amp; RADataTable[[#This Row],[prop_id0]] &amp; " " &amp; RADataTable[[#This Row],[last0]]</f>
        <v>RA 1761479 Dai</v>
      </c>
      <c r="U12" s="21" t="str">
        <f>IF(signer1="PD",IF(ISBLANK(RADataTable[[#This Row],[sign_blck_name]]),"",RADataTable[[#This Row],[sign_blck_name]]),IF(ISBLANK(signer1),"",signer1))</f>
        <v>Cynthia Chen</v>
      </c>
      <c r="V12" s="29" t="str">
        <f>signer2</f>
        <v>Cognizant Program Director</v>
      </c>
      <c r="W12" s="15" t="str">
        <f>HYPERLINK("https://www.ejacket.nsf.gov/ej/showProposal.do?Continue=Y&amp;ID="&amp;RADataTable[[#This Row],[prop_id0]],"eJ")</f>
        <v>eJ</v>
      </c>
      <c r="X12" s="15" t="str">
        <f>HYPERLINK("mailto:"&amp;RADataTable[[#This Row],[email]]&amp;"&amp;subject=Your NSF Proposal:  "&amp;RADataTable[[#This Row],[Div]]&amp;" "&amp;RADataTable[[#This Row],[prop_id0]], RADataTable[[#This Row],[email]])</f>
        <v>fei.dai@mail.wvu.edu</v>
      </c>
      <c r="Y12" s="15" t="str">
        <f>HYPERLINK("mailto:"&amp;RADataTable[[#This Row],[allPIemail]]&amp;"&amp;subject=NSF Proposal:  "&amp;RADataTable[[#This Row],[Div]]&amp;" "&amp;RADataTable[[#This Row],[prop_id0]], "PIs@")</f>
        <v>PIs@</v>
      </c>
      <c r="Z12" t="s">
        <v>670</v>
      </c>
      <c r="AA12" t="s">
        <v>616</v>
      </c>
      <c r="AB12">
        <v>3</v>
      </c>
      <c r="AD12"/>
      <c r="AE12" s="21" t="str">
        <f>IF(RADataTable[[#This Row],[maxScore]]-RADataTable[[#This Row],[minScore]]&gt;4,"Y","")</f>
        <v/>
      </c>
      <c r="AF12" s="21">
        <v>3</v>
      </c>
      <c r="AG12" s="26">
        <v>4</v>
      </c>
      <c r="AH12">
        <v>6</v>
      </c>
      <c r="AI12" t="s">
        <v>713</v>
      </c>
      <c r="AJ12" s="30">
        <v>43052.238888888889</v>
      </c>
      <c r="AK12" s="13">
        <v>360453</v>
      </c>
      <c r="AL12" s="13">
        <v>360453</v>
      </c>
      <c r="AM12">
        <v>0</v>
      </c>
      <c r="AN12" s="30">
        <v>43221</v>
      </c>
      <c r="AO12" s="21">
        <v>36</v>
      </c>
      <c r="AP12" s="21" t="s">
        <v>714</v>
      </c>
      <c r="AS12" s="30"/>
      <c r="AT12" t="s">
        <v>542</v>
      </c>
      <c r="AU12" s="21" t="s">
        <v>544</v>
      </c>
      <c r="AW12" s="21" t="s">
        <v>747</v>
      </c>
      <c r="AX12" s="30">
        <v>43052</v>
      </c>
      <c r="AY12" s="21" t="s">
        <v>767</v>
      </c>
      <c r="AZ12" s="21" t="s">
        <v>749</v>
      </c>
      <c r="BA12" s="21">
        <v>7</v>
      </c>
      <c r="BG12" s="30"/>
      <c r="BP12" s="30"/>
      <c r="BU12" t="s">
        <v>616</v>
      </c>
      <c r="BV12" s="21" t="s">
        <v>617</v>
      </c>
      <c r="BW12" s="21" t="s">
        <v>711</v>
      </c>
      <c r="BX12" s="21" t="s">
        <v>712</v>
      </c>
      <c r="BY12" s="31">
        <v>210453</v>
      </c>
      <c r="BZ12" s="31">
        <v>210453</v>
      </c>
      <c r="CA12" t="s">
        <v>681</v>
      </c>
      <c r="CB12" s="21" t="s">
        <v>716</v>
      </c>
      <c r="CC12" s="21" t="s">
        <v>717</v>
      </c>
      <c r="CD12" s="21" t="s">
        <v>519</v>
      </c>
      <c r="CE12" s="21" t="s">
        <v>525</v>
      </c>
      <c r="CF12" s="31">
        <v>150000</v>
      </c>
      <c r="CG12" s="31">
        <v>150000</v>
      </c>
      <c r="CH12" t="s">
        <v>669</v>
      </c>
      <c r="CM12" s="31"/>
      <c r="CN12" s="31"/>
      <c r="CT12" s="31"/>
      <c r="CU12" s="31"/>
      <c r="CV12" s="31"/>
      <c r="DA12" s="31"/>
      <c r="DB12" s="31"/>
      <c r="DC12" s="31"/>
      <c r="DH12" s="31"/>
      <c r="DI12" s="31"/>
      <c r="DO12" s="31"/>
      <c r="DP12" s="31"/>
      <c r="DR12" t="s">
        <v>750</v>
      </c>
      <c r="DS12" t="s">
        <v>751</v>
      </c>
      <c r="DT12" t="s">
        <v>533</v>
      </c>
      <c r="DU12" s="29" t="s">
        <v>759</v>
      </c>
      <c r="DV12" t="s">
        <v>170</v>
      </c>
      <c r="DW12" t="s">
        <v>317</v>
      </c>
      <c r="DX12" t="s">
        <v>168</v>
      </c>
      <c r="DY12" t="s">
        <v>753</v>
      </c>
      <c r="DZ12" t="s">
        <v>754</v>
      </c>
      <c r="EA12" s="22">
        <v>43084.681574074071</v>
      </c>
      <c r="EB12" t="s">
        <v>715</v>
      </c>
      <c r="EC12" t="s">
        <v>768</v>
      </c>
    </row>
    <row r="13" spans="1:133" x14ac:dyDescent="0.25">
      <c r="A13" s="30"/>
      <c r="B13" s="22">
        <v>42996.584722222222</v>
      </c>
      <c r="C13" s="22" t="s">
        <v>666</v>
      </c>
      <c r="D13" s="30" t="s">
        <v>667</v>
      </c>
      <c r="E13" s="30" t="s">
        <v>532</v>
      </c>
      <c r="F13" s="30" t="s">
        <v>167</v>
      </c>
      <c r="G13" s="30" t="s">
        <v>169</v>
      </c>
      <c r="H13" t="s">
        <v>94</v>
      </c>
      <c r="I13" t="s">
        <v>668</v>
      </c>
      <c r="J13" t="s">
        <v>574</v>
      </c>
      <c r="L13">
        <v>1</v>
      </c>
      <c r="M13" s="26">
        <v>3</v>
      </c>
      <c r="N13" t="s">
        <v>545</v>
      </c>
      <c r="Q13" s="29" t="s">
        <v>13</v>
      </c>
      <c r="R13" s="29" t="str">
        <f>IFERROR(MID(RADataTable[[#This Row],[RAtemplate]],1,LEN(RADataTable[[#This Row],[RAtemplate]])-8),"RA") &amp; " " &amp; RADataTable[[#This Row],[prop_id0]] &amp; " " &amp; RADataTable[[#This Row],[last0]]</f>
        <v>RA 1761829 Cai</v>
      </c>
      <c r="U13" s="21" t="str">
        <f>IF(signer1="PD",IF(ISBLANK(RADataTable[[#This Row],[sign_blck_name]]),"",RADataTable[[#This Row],[sign_blck_name]]),IF(ISBLANK(signer1),"",signer1))</f>
        <v>Cynthia Chen</v>
      </c>
      <c r="V13" s="29" t="str">
        <f>signer2</f>
        <v>Cognizant Program Director</v>
      </c>
      <c r="W13" s="15" t="str">
        <f>HYPERLINK("https://www.ejacket.nsf.gov/ej/showProposal.do?Continue=Y&amp;ID="&amp;RADataTable[[#This Row],[prop_id0]],"eJ")</f>
        <v>eJ</v>
      </c>
      <c r="X13" s="15" t="str">
        <f>HYPERLINK("mailto:"&amp;RADataTable[[#This Row],[email]]&amp;"&amp;subject=Your NSF Proposal:  "&amp;RADataTable[[#This Row],[Div]]&amp;" "&amp;RADataTable[[#This Row],[prop_id0]], RADataTable[[#This Row],[email]])</f>
        <v>hubocai@ecn.purdue.edu</v>
      </c>
      <c r="Y13" s="15" t="str">
        <f>HYPERLINK("mailto:"&amp;RADataTable[[#This Row],[allPIemail]]&amp;"&amp;subject=NSF Proposal:  "&amp;RADataTable[[#This Row],[Div]]&amp;" "&amp;RADataTable[[#This Row],[prop_id0]], "PIs@")</f>
        <v>PIs@</v>
      </c>
      <c r="Z13" t="s">
        <v>670</v>
      </c>
      <c r="AA13" t="s">
        <v>631</v>
      </c>
      <c r="AB13">
        <v>3</v>
      </c>
      <c r="AD13"/>
      <c r="AE13" s="21" t="str">
        <f>IF(RADataTable[[#This Row],[maxScore]]-RADataTable[[#This Row],[minScore]]&gt;4,"Y","")</f>
        <v/>
      </c>
      <c r="AF13" s="21">
        <v>3</v>
      </c>
      <c r="AG13" s="26">
        <v>3</v>
      </c>
      <c r="AH13">
        <v>3</v>
      </c>
      <c r="AI13" t="s">
        <v>724</v>
      </c>
      <c r="AJ13" s="30">
        <v>43052.348611111112</v>
      </c>
      <c r="AK13" s="13">
        <v>398918</v>
      </c>
      <c r="AL13" s="13">
        <v>398918</v>
      </c>
      <c r="AM13">
        <v>0</v>
      </c>
      <c r="AN13" s="30">
        <v>43108</v>
      </c>
      <c r="AO13" s="21">
        <v>36</v>
      </c>
      <c r="AP13" s="21" t="s">
        <v>725</v>
      </c>
      <c r="AS13" s="30"/>
      <c r="AT13" t="s">
        <v>542</v>
      </c>
      <c r="AU13" s="21" t="s">
        <v>544</v>
      </c>
      <c r="AW13" s="21" t="s">
        <v>747</v>
      </c>
      <c r="AX13" s="30">
        <v>43052</v>
      </c>
      <c r="AY13" s="21" t="s">
        <v>771</v>
      </c>
      <c r="AZ13" s="21" t="s">
        <v>749</v>
      </c>
      <c r="BA13" s="21">
        <v>7</v>
      </c>
      <c r="BG13" s="30"/>
      <c r="BP13" s="30"/>
      <c r="BU13" t="s">
        <v>631</v>
      </c>
      <c r="BV13" s="21" t="s">
        <v>632</v>
      </c>
      <c r="BW13" s="21" t="s">
        <v>723</v>
      </c>
      <c r="BX13" s="21" t="s">
        <v>479</v>
      </c>
      <c r="BY13" s="31">
        <v>398918</v>
      </c>
      <c r="BZ13" s="31">
        <v>398918</v>
      </c>
      <c r="CA13" t="s">
        <v>669</v>
      </c>
      <c r="CF13" s="31"/>
      <c r="CG13" s="31"/>
      <c r="CM13" s="31"/>
      <c r="CN13" s="31"/>
      <c r="CT13" s="31"/>
      <c r="CU13" s="31"/>
      <c r="CV13" s="31"/>
      <c r="DA13" s="31"/>
      <c r="DB13" s="31"/>
      <c r="DC13" s="31"/>
      <c r="DH13" s="31"/>
      <c r="DI13" s="31"/>
      <c r="DO13" s="31"/>
      <c r="DP13" s="31"/>
      <c r="DR13" t="s">
        <v>750</v>
      </c>
      <c r="DS13" t="s">
        <v>751</v>
      </c>
      <c r="DT13" t="s">
        <v>533</v>
      </c>
      <c r="DU13" s="29" t="s">
        <v>759</v>
      </c>
      <c r="DV13" t="s">
        <v>170</v>
      </c>
      <c r="DW13" t="s">
        <v>317</v>
      </c>
      <c r="DX13" t="s">
        <v>168</v>
      </c>
      <c r="DY13" t="s">
        <v>753</v>
      </c>
      <c r="DZ13" t="s">
        <v>754</v>
      </c>
      <c r="EA13" s="22">
        <v>43084.681574074071</v>
      </c>
      <c r="EB13" t="s">
        <v>726</v>
      </c>
      <c r="EC13" t="s">
        <v>772</v>
      </c>
    </row>
    <row r="14" spans="1:133" x14ac:dyDescent="0.25">
      <c r="A14" s="30"/>
      <c r="B14" s="22">
        <v>42999.359027777777</v>
      </c>
      <c r="C14" s="22" t="s">
        <v>666</v>
      </c>
      <c r="D14" s="30" t="s">
        <v>667</v>
      </c>
      <c r="E14" s="30" t="s">
        <v>532</v>
      </c>
      <c r="F14" s="30" t="s">
        <v>167</v>
      </c>
      <c r="G14" s="30" t="s">
        <v>169</v>
      </c>
      <c r="H14" t="s">
        <v>94</v>
      </c>
      <c r="I14" t="s">
        <v>668</v>
      </c>
      <c r="J14" t="s">
        <v>574</v>
      </c>
      <c r="L14">
        <v>1</v>
      </c>
      <c r="M14" s="26">
        <v>3</v>
      </c>
      <c r="N14" t="s">
        <v>545</v>
      </c>
      <c r="Q14" s="29" t="s">
        <v>13</v>
      </c>
      <c r="R14" s="29" t="str">
        <f>IFERROR(MID(RADataTable[[#This Row],[RAtemplate]],1,LEN(RADataTable[[#This Row],[RAtemplate]])-8),"RA") &amp; " " &amp; RADataTable[[#This Row],[prop_id0]] &amp; " " &amp; RADataTable[[#This Row],[last0]]</f>
        <v>RA 1762328 Chen</v>
      </c>
      <c r="U14" s="21" t="str">
        <f>IF(signer1="PD",IF(ISBLANK(RADataTable[[#This Row],[sign_blck_name]]),"",RADataTable[[#This Row],[sign_blck_name]]),IF(ISBLANK(signer1),"",signer1))</f>
        <v>Cynthia Chen</v>
      </c>
      <c r="V14" s="29" t="str">
        <f>signer2</f>
        <v>Cognizant Program Director</v>
      </c>
      <c r="W14" s="15" t="str">
        <f>HYPERLINK("https://www.ejacket.nsf.gov/ej/showProposal.do?Continue=Y&amp;ID="&amp;RADataTable[[#This Row],[prop_id0]],"eJ")</f>
        <v>eJ</v>
      </c>
      <c r="X14" s="15" t="str">
        <f>HYPERLINK("mailto:"&amp;RADataTable[[#This Row],[email]]&amp;"&amp;subject=Your NSF Proposal:  "&amp;RADataTable[[#This Row],[Div]]&amp;" "&amp;RADataTable[[#This Row],[prop_id0]], RADataTable[[#This Row],[email]])</f>
        <v>ychen@georgiasouthern.edu</v>
      </c>
      <c r="Y14" s="15" t="str">
        <f>HYPERLINK("mailto:"&amp;RADataTable[[#This Row],[allPIemail]]&amp;"&amp;subject=NSF Proposal:  "&amp;RADataTable[[#This Row],[Div]]&amp;" "&amp;RADataTable[[#This Row],[prop_id0]], "PIs@")</f>
        <v>PIs@</v>
      </c>
      <c r="Z14" t="s">
        <v>670</v>
      </c>
      <c r="AA14" t="s">
        <v>637</v>
      </c>
      <c r="AB14">
        <v>3</v>
      </c>
      <c r="AD14"/>
      <c r="AE14" s="21" t="str">
        <f>IF(RADataTable[[#This Row],[maxScore]]-RADataTable[[#This Row],[minScore]]&gt;4,"Y","")</f>
        <v/>
      </c>
      <c r="AF14" s="21">
        <v>3</v>
      </c>
      <c r="AG14" s="26">
        <v>3</v>
      </c>
      <c r="AH14">
        <v>3</v>
      </c>
      <c r="AI14" t="s">
        <v>724</v>
      </c>
      <c r="AJ14" s="30">
        <v>43052.259027777778</v>
      </c>
      <c r="AK14" s="13">
        <v>226763</v>
      </c>
      <c r="AL14" s="13">
        <v>226763</v>
      </c>
      <c r="AM14">
        <v>0</v>
      </c>
      <c r="AN14" s="30">
        <v>43160</v>
      </c>
      <c r="AO14" s="21">
        <v>24</v>
      </c>
      <c r="AP14" s="21" t="s">
        <v>728</v>
      </c>
      <c r="AS14" s="30"/>
      <c r="AT14" t="s">
        <v>542</v>
      </c>
      <c r="AU14" s="21" t="s">
        <v>544</v>
      </c>
      <c r="AW14" s="21" t="s">
        <v>747</v>
      </c>
      <c r="AX14" s="30">
        <v>43052</v>
      </c>
      <c r="AY14" s="21" t="s">
        <v>771</v>
      </c>
      <c r="AZ14" s="21" t="s">
        <v>749</v>
      </c>
      <c r="BA14" s="21">
        <v>7</v>
      </c>
      <c r="BG14" s="30"/>
      <c r="BP14" s="30"/>
      <c r="BU14" t="s">
        <v>637</v>
      </c>
      <c r="BV14" s="21" t="s">
        <v>513</v>
      </c>
      <c r="BW14" s="21" t="s">
        <v>727</v>
      </c>
      <c r="BX14" s="21" t="s">
        <v>521</v>
      </c>
      <c r="BY14" s="31">
        <v>226763</v>
      </c>
      <c r="BZ14" s="31">
        <v>226763</v>
      </c>
      <c r="CA14" t="s">
        <v>669</v>
      </c>
      <c r="CF14" s="31"/>
      <c r="CG14" s="31"/>
      <c r="CM14" s="31"/>
      <c r="CN14" s="31"/>
      <c r="CT14" s="31"/>
      <c r="CU14" s="31"/>
      <c r="CV14" s="31"/>
      <c r="DA14" s="31"/>
      <c r="DB14" s="31"/>
      <c r="DC14" s="31"/>
      <c r="DH14" s="31"/>
      <c r="DI14" s="31"/>
      <c r="DO14" s="31"/>
      <c r="DP14" s="31"/>
      <c r="DR14" t="s">
        <v>750</v>
      </c>
      <c r="DS14" t="s">
        <v>751</v>
      </c>
      <c r="DT14" t="s">
        <v>533</v>
      </c>
      <c r="DU14" s="29" t="s">
        <v>759</v>
      </c>
      <c r="DV14" t="s">
        <v>170</v>
      </c>
      <c r="DW14" t="s">
        <v>317</v>
      </c>
      <c r="DX14" t="s">
        <v>168</v>
      </c>
      <c r="DY14" t="s">
        <v>753</v>
      </c>
      <c r="DZ14" t="s">
        <v>754</v>
      </c>
      <c r="EA14" s="22">
        <v>43084.681574074071</v>
      </c>
      <c r="EB14" t="s">
        <v>729</v>
      </c>
      <c r="EC14" t="s">
        <v>773</v>
      </c>
    </row>
    <row r="15" spans="1:133" x14ac:dyDescent="0.25">
      <c r="A15" s="30"/>
      <c r="B15" s="22">
        <v>42999.447222222225</v>
      </c>
      <c r="C15" s="22" t="s">
        <v>666</v>
      </c>
      <c r="D15" s="30" t="s">
        <v>667</v>
      </c>
      <c r="E15" s="30" t="s">
        <v>532</v>
      </c>
      <c r="F15" s="30" t="s">
        <v>167</v>
      </c>
      <c r="G15" s="30" t="s">
        <v>169</v>
      </c>
      <c r="H15" t="s">
        <v>94</v>
      </c>
      <c r="I15" t="s">
        <v>668</v>
      </c>
      <c r="J15" t="s">
        <v>574</v>
      </c>
      <c r="L15">
        <v>1</v>
      </c>
      <c r="M15" s="26">
        <v>3</v>
      </c>
      <c r="N15" t="s">
        <v>545</v>
      </c>
      <c r="Q15" s="29" t="s">
        <v>13</v>
      </c>
      <c r="R15" s="29" t="str">
        <f>IFERROR(MID(RADataTable[[#This Row],[RAtemplate]],1,LEN(RADataTable[[#This Row],[RAtemplate]])-8),"RA") &amp; " " &amp; RADataTable[[#This Row],[prop_id0]] &amp; " " &amp; RADataTable[[#This Row],[last0]]</f>
        <v>RA 1762357 Ashuri</v>
      </c>
      <c r="U15" s="21" t="str">
        <f>IF(signer1="PD",IF(ISBLANK(RADataTable[[#This Row],[sign_blck_name]]),"",RADataTable[[#This Row],[sign_blck_name]]),IF(ISBLANK(signer1),"",signer1))</f>
        <v>Cynthia Chen</v>
      </c>
      <c r="V15" s="29" t="str">
        <f>signer2</f>
        <v>Cognizant Program Director</v>
      </c>
      <c r="W15" s="15" t="str">
        <f>HYPERLINK("https://www.ejacket.nsf.gov/ej/showProposal.do?Continue=Y&amp;ID="&amp;RADataTable[[#This Row],[prop_id0]],"eJ")</f>
        <v>eJ</v>
      </c>
      <c r="X15" s="15" t="str">
        <f>HYPERLINK("mailto:"&amp;RADataTable[[#This Row],[email]]&amp;"&amp;subject=Your NSF Proposal:  "&amp;RADataTable[[#This Row],[Div]]&amp;" "&amp;RADataTable[[#This Row],[prop_id0]], RADataTable[[#This Row],[email]])</f>
        <v>baabak@gatech.edu</v>
      </c>
      <c r="Y15" s="15" t="str">
        <f>HYPERLINK("mailto:"&amp;RADataTable[[#This Row],[allPIemail]]&amp;"&amp;subject=NSF Proposal:  "&amp;RADataTable[[#This Row],[Div]]&amp;" "&amp;RADataTable[[#This Row],[prop_id0]], "PIs@")</f>
        <v>PIs@</v>
      </c>
      <c r="Z15" t="s">
        <v>670</v>
      </c>
      <c r="AA15" t="s">
        <v>642</v>
      </c>
      <c r="AB15">
        <v>4</v>
      </c>
      <c r="AD15"/>
      <c r="AE15" s="21" t="str">
        <f>IF(RADataTable[[#This Row],[maxScore]]-RADataTable[[#This Row],[minScore]]&gt;4,"Y","")</f>
        <v/>
      </c>
      <c r="AF15" s="21">
        <v>3</v>
      </c>
      <c r="AG15" s="26">
        <v>4.5</v>
      </c>
      <c r="AH15">
        <v>7</v>
      </c>
      <c r="AI15" t="s">
        <v>731</v>
      </c>
      <c r="AJ15" s="30">
        <v>43052.24722222222</v>
      </c>
      <c r="AK15" s="13">
        <v>417731</v>
      </c>
      <c r="AL15" s="13">
        <v>417731</v>
      </c>
      <c r="AM15">
        <v>0</v>
      </c>
      <c r="AN15" s="30">
        <v>43101</v>
      </c>
      <c r="AO15" s="21">
        <v>24</v>
      </c>
      <c r="AP15" s="21" t="s">
        <v>732</v>
      </c>
      <c r="AS15" s="30"/>
      <c r="AT15" t="s">
        <v>542</v>
      </c>
      <c r="AU15" s="21" t="s">
        <v>544</v>
      </c>
      <c r="AW15" s="21" t="s">
        <v>747</v>
      </c>
      <c r="AX15" s="30">
        <v>43052</v>
      </c>
      <c r="AY15" s="21" t="s">
        <v>774</v>
      </c>
      <c r="AZ15" s="21" t="s">
        <v>749</v>
      </c>
      <c r="BA15" s="21">
        <v>7</v>
      </c>
      <c r="BB15" s="21">
        <v>1</v>
      </c>
      <c r="BG15" s="30"/>
      <c r="BP15" s="30"/>
      <c r="BU15" t="s">
        <v>642</v>
      </c>
      <c r="BV15" s="21" t="s">
        <v>643</v>
      </c>
      <c r="BW15" s="21" t="s">
        <v>730</v>
      </c>
      <c r="BX15" s="21" t="s">
        <v>523</v>
      </c>
      <c r="BY15" s="31">
        <v>283738</v>
      </c>
      <c r="BZ15" s="31">
        <v>283738</v>
      </c>
      <c r="CA15" t="s">
        <v>669</v>
      </c>
      <c r="CB15" s="21" t="s">
        <v>734</v>
      </c>
      <c r="CC15" s="21" t="s">
        <v>735</v>
      </c>
      <c r="CD15" s="21" t="s">
        <v>736</v>
      </c>
      <c r="CE15" s="21" t="s">
        <v>737</v>
      </c>
      <c r="CF15" s="31">
        <v>133993</v>
      </c>
      <c r="CG15" s="31">
        <v>133993</v>
      </c>
      <c r="CH15" t="s">
        <v>669</v>
      </c>
      <c r="CM15" s="31"/>
      <c r="CN15" s="31"/>
      <c r="CT15" s="31"/>
      <c r="CU15" s="31"/>
      <c r="CV15" s="31"/>
      <c r="DA15" s="31"/>
      <c r="DB15" s="31"/>
      <c r="DC15" s="31"/>
      <c r="DH15" s="31"/>
      <c r="DI15" s="31"/>
      <c r="DO15" s="31"/>
      <c r="DP15" s="31"/>
      <c r="DR15" t="s">
        <v>750</v>
      </c>
      <c r="DS15" t="s">
        <v>751</v>
      </c>
      <c r="DT15" t="s">
        <v>533</v>
      </c>
      <c r="DU15" s="29" t="s">
        <v>759</v>
      </c>
      <c r="DV15" t="s">
        <v>170</v>
      </c>
      <c r="DW15" t="s">
        <v>317</v>
      </c>
      <c r="DX15" t="s">
        <v>168</v>
      </c>
      <c r="DY15" t="s">
        <v>753</v>
      </c>
      <c r="DZ15" t="s">
        <v>754</v>
      </c>
      <c r="EA15" s="22">
        <v>43084.681574074071</v>
      </c>
      <c r="EB15" t="s">
        <v>733</v>
      </c>
      <c r="EC15" t="s">
        <v>775</v>
      </c>
    </row>
    <row r="16" spans="1:133" x14ac:dyDescent="0.25">
      <c r="A16" s="30"/>
      <c r="B16" s="22">
        <v>43000.450694444444</v>
      </c>
      <c r="C16" s="22" t="s">
        <v>666</v>
      </c>
      <c r="D16" s="30" t="s">
        <v>667</v>
      </c>
      <c r="E16" s="30" t="s">
        <v>532</v>
      </c>
      <c r="F16" s="30" t="s">
        <v>167</v>
      </c>
      <c r="G16" s="30" t="s">
        <v>169</v>
      </c>
      <c r="H16" t="s">
        <v>94</v>
      </c>
      <c r="I16" t="s">
        <v>668</v>
      </c>
      <c r="J16" t="s">
        <v>574</v>
      </c>
      <c r="L16">
        <v>1</v>
      </c>
      <c r="M16" s="26">
        <v>3</v>
      </c>
      <c r="N16" t="s">
        <v>545</v>
      </c>
      <c r="Q16" s="29" t="s">
        <v>13</v>
      </c>
      <c r="R16" s="29" t="str">
        <f>IFERROR(MID(RADataTable[[#This Row],[RAtemplate]],1,LEN(RADataTable[[#This Row],[RAtemplate]])-8),"RA") &amp; " " &amp; RADataTable[[#This Row],[prop_id0]] &amp; " " &amp; RADataTable[[#This Row],[last0]]</f>
        <v>RA 1762649 Franz</v>
      </c>
      <c r="U16" s="21" t="str">
        <f>IF(signer1="PD",IF(ISBLANK(RADataTable[[#This Row],[sign_blck_name]]),"",RADataTable[[#This Row],[sign_blck_name]]),IF(ISBLANK(signer1),"",signer1))</f>
        <v>Cynthia Chen</v>
      </c>
      <c r="V16" s="29" t="str">
        <f>signer2</f>
        <v>Cognizant Program Director</v>
      </c>
      <c r="W16" s="15" t="str">
        <f>HYPERLINK("https://www.ejacket.nsf.gov/ej/showProposal.do?Continue=Y&amp;ID="&amp;RADataTable[[#This Row],[prop_id0]],"eJ")</f>
        <v>eJ</v>
      </c>
      <c r="X16" s="15" t="str">
        <f>HYPERLINK("mailto:"&amp;RADataTable[[#This Row],[email]]&amp;"&amp;subject=Your NSF Proposal:  "&amp;RADataTable[[#This Row],[Div]]&amp;" "&amp;RADataTable[[#This Row],[prop_id0]], RADataTable[[#This Row],[email]])</f>
        <v>bfranz@ufl.edu</v>
      </c>
      <c r="Y16" s="15" t="str">
        <f>HYPERLINK("mailto:"&amp;RADataTable[[#This Row],[allPIemail]]&amp;"&amp;subject=NSF Proposal:  "&amp;RADataTable[[#This Row],[Div]]&amp;" "&amp;RADataTable[[#This Row],[prop_id0]], "PIs@")</f>
        <v>PIs@</v>
      </c>
      <c r="Z16" t="s">
        <v>670</v>
      </c>
      <c r="AA16" t="s">
        <v>651</v>
      </c>
      <c r="AB16">
        <v>4</v>
      </c>
      <c r="AD16"/>
      <c r="AE16" s="21" t="str">
        <f>IF(RADataTable[[#This Row],[maxScore]]-RADataTable[[#This Row],[minScore]]&gt;4,"Y","")</f>
        <v/>
      </c>
      <c r="AF16" s="21">
        <v>3</v>
      </c>
      <c r="AG16" s="26">
        <v>4.25</v>
      </c>
      <c r="AH16">
        <v>7</v>
      </c>
      <c r="AI16" t="s">
        <v>741</v>
      </c>
      <c r="AJ16" s="30">
        <v>43051.798611111109</v>
      </c>
      <c r="AK16" s="13">
        <v>520802</v>
      </c>
      <c r="AL16" s="13">
        <v>520802</v>
      </c>
      <c r="AM16">
        <v>0</v>
      </c>
      <c r="AN16" s="30">
        <v>43241</v>
      </c>
      <c r="AO16" s="21">
        <v>36</v>
      </c>
      <c r="AP16" s="21" t="s">
        <v>742</v>
      </c>
      <c r="AS16" s="30"/>
      <c r="AT16" t="s">
        <v>542</v>
      </c>
      <c r="AU16" s="21" t="s">
        <v>544</v>
      </c>
      <c r="AW16" s="21" t="s">
        <v>747</v>
      </c>
      <c r="AX16" s="30">
        <v>43052</v>
      </c>
      <c r="AY16" s="21" t="s">
        <v>776</v>
      </c>
      <c r="AZ16" s="21" t="s">
        <v>749</v>
      </c>
      <c r="BA16" s="21">
        <v>7</v>
      </c>
      <c r="BB16" s="21">
        <v>1</v>
      </c>
      <c r="BG16" s="30"/>
      <c r="BP16" s="30"/>
      <c r="BU16" t="s">
        <v>651</v>
      </c>
      <c r="BV16" s="21" t="s">
        <v>652</v>
      </c>
      <c r="BW16" s="21" t="s">
        <v>739</v>
      </c>
      <c r="BX16" s="21" t="s">
        <v>740</v>
      </c>
      <c r="BY16" s="31">
        <v>520802</v>
      </c>
      <c r="BZ16" s="31">
        <v>520802</v>
      </c>
      <c r="CA16" t="s">
        <v>669</v>
      </c>
      <c r="CF16" s="31"/>
      <c r="CG16" s="31"/>
      <c r="CM16" s="31"/>
      <c r="CN16" s="31"/>
      <c r="CT16" s="31"/>
      <c r="CU16" s="31"/>
      <c r="CV16" s="31"/>
      <c r="DA16" s="31"/>
      <c r="DB16" s="31"/>
      <c r="DC16" s="31"/>
      <c r="DH16" s="31"/>
      <c r="DI16" s="31"/>
      <c r="DO16" s="31"/>
      <c r="DP16" s="31"/>
      <c r="DR16" t="s">
        <v>750</v>
      </c>
      <c r="DS16" t="s">
        <v>751</v>
      </c>
      <c r="DT16" t="s">
        <v>533</v>
      </c>
      <c r="DU16" s="29" t="s">
        <v>759</v>
      </c>
      <c r="DV16" t="s">
        <v>170</v>
      </c>
      <c r="DW16" t="s">
        <v>317</v>
      </c>
      <c r="DX16" t="s">
        <v>168</v>
      </c>
      <c r="DY16" t="s">
        <v>753</v>
      </c>
      <c r="DZ16" t="s">
        <v>754</v>
      </c>
      <c r="EA16" s="22">
        <v>43084.681574074071</v>
      </c>
      <c r="EB16" t="s">
        <v>743</v>
      </c>
      <c r="EC16" t="s">
        <v>777</v>
      </c>
    </row>
    <row r="17" spans="1:133" x14ac:dyDescent="0.25">
      <c r="A17" s="30"/>
      <c r="B17" s="22">
        <v>43000.552083333336</v>
      </c>
      <c r="C17" s="22" t="s">
        <v>666</v>
      </c>
      <c r="D17" s="30" t="s">
        <v>667</v>
      </c>
      <c r="E17" s="30" t="s">
        <v>532</v>
      </c>
      <c r="F17" s="30" t="s">
        <v>167</v>
      </c>
      <c r="G17" s="30" t="s">
        <v>169</v>
      </c>
      <c r="H17" t="s">
        <v>94</v>
      </c>
      <c r="I17" t="s">
        <v>668</v>
      </c>
      <c r="J17" t="s">
        <v>574</v>
      </c>
      <c r="L17">
        <v>1</v>
      </c>
      <c r="M17" s="26">
        <v>3</v>
      </c>
      <c r="N17" t="s">
        <v>545</v>
      </c>
      <c r="Q17" s="29" t="s">
        <v>13</v>
      </c>
      <c r="R17" s="29" t="str">
        <f>IFERROR(MID(RADataTable[[#This Row],[RAtemplate]],1,LEN(RADataTable[[#This Row],[RAtemplate]])-8),"RA") &amp; " " &amp; RADataTable[[#This Row],[prop_id0]] &amp; " " &amp; RADataTable[[#This Row],[last0]]</f>
        <v>RA 1762771 Grau</v>
      </c>
      <c r="U17" s="21" t="str">
        <f>IF(signer1="PD",IF(ISBLANK(RADataTable[[#This Row],[sign_blck_name]]),"",RADataTable[[#This Row],[sign_blck_name]]),IF(ISBLANK(signer1),"",signer1))</f>
        <v>Cynthia Chen</v>
      </c>
      <c r="V17" s="29" t="str">
        <f>signer2</f>
        <v>Cognizant Program Director</v>
      </c>
      <c r="W17" s="15" t="str">
        <f>HYPERLINK("https://www.ejacket.nsf.gov/ej/showProposal.do?Continue=Y&amp;ID="&amp;RADataTable[[#This Row],[prop_id0]],"eJ")</f>
        <v>eJ</v>
      </c>
      <c r="X17" s="15" t="str">
        <f>HYPERLINK("mailto:"&amp;RADataTable[[#This Row],[email]]&amp;"&amp;subject=Your NSF Proposal:  "&amp;RADataTable[[#This Row],[Div]]&amp;" "&amp;RADataTable[[#This Row],[prop_id0]], RADataTable[[#This Row],[email]])</f>
        <v>david.grau@asu.edu</v>
      </c>
      <c r="Y17" s="15" t="str">
        <f>HYPERLINK("mailto:"&amp;RADataTable[[#This Row],[allPIemail]]&amp;"&amp;subject=NSF Proposal:  "&amp;RADataTable[[#This Row],[Div]]&amp;" "&amp;RADataTable[[#This Row],[prop_id0]], "PIs@")</f>
        <v>PIs@</v>
      </c>
      <c r="Z17" t="s">
        <v>670</v>
      </c>
      <c r="AA17" t="s">
        <v>659</v>
      </c>
      <c r="AB17">
        <v>4</v>
      </c>
      <c r="AD17"/>
      <c r="AE17" s="21" t="str">
        <f>IF(RADataTable[[#This Row],[maxScore]]-RADataTable[[#This Row],[minScore]]&gt;4,"Y","")</f>
        <v/>
      </c>
      <c r="AF17" s="21">
        <v>2</v>
      </c>
      <c r="AG17" s="26">
        <v>3.75</v>
      </c>
      <c r="AH17">
        <v>6</v>
      </c>
      <c r="AI17" t="s">
        <v>744</v>
      </c>
      <c r="AJ17" s="30">
        <v>43051.804166666669</v>
      </c>
      <c r="AK17" s="13">
        <v>344462</v>
      </c>
      <c r="AL17" s="13">
        <v>344462</v>
      </c>
      <c r="AM17">
        <v>0</v>
      </c>
      <c r="AN17" s="30">
        <v>43235</v>
      </c>
      <c r="AO17" s="21">
        <v>36</v>
      </c>
      <c r="AP17" s="21" t="s">
        <v>745</v>
      </c>
      <c r="AS17" s="30"/>
      <c r="AT17" t="s">
        <v>542</v>
      </c>
      <c r="AU17" s="21" t="s">
        <v>544</v>
      </c>
      <c r="AW17" s="21" t="s">
        <v>747</v>
      </c>
      <c r="AX17" s="30">
        <v>43052</v>
      </c>
      <c r="AY17" s="21" t="s">
        <v>778</v>
      </c>
      <c r="AZ17" s="21" t="s">
        <v>749</v>
      </c>
      <c r="BA17" s="21">
        <v>7</v>
      </c>
      <c r="BG17" s="30"/>
      <c r="BP17" s="30"/>
      <c r="BU17" t="s">
        <v>659</v>
      </c>
      <c r="BV17" s="21" t="s">
        <v>660</v>
      </c>
      <c r="BW17" s="21" t="s">
        <v>494</v>
      </c>
      <c r="BX17" s="21" t="s">
        <v>524</v>
      </c>
      <c r="BY17" s="31">
        <v>344462</v>
      </c>
      <c r="BZ17" s="31">
        <v>344462</v>
      </c>
      <c r="CA17" t="s">
        <v>669</v>
      </c>
      <c r="CF17" s="31"/>
      <c r="CG17" s="31"/>
      <c r="CM17" s="31"/>
      <c r="CN17" s="31"/>
      <c r="CT17" s="31"/>
      <c r="CU17" s="31"/>
      <c r="CV17" s="31"/>
      <c r="DA17" s="31"/>
      <c r="DB17" s="31"/>
      <c r="DC17" s="31"/>
      <c r="DH17" s="31"/>
      <c r="DI17" s="31"/>
      <c r="DO17" s="31"/>
      <c r="DP17" s="31"/>
      <c r="DR17" t="s">
        <v>750</v>
      </c>
      <c r="DS17" t="s">
        <v>751</v>
      </c>
      <c r="DT17" t="s">
        <v>533</v>
      </c>
      <c r="DU17" s="29" t="s">
        <v>759</v>
      </c>
      <c r="DV17" t="s">
        <v>170</v>
      </c>
      <c r="DW17" t="s">
        <v>317</v>
      </c>
      <c r="DX17" t="s">
        <v>168</v>
      </c>
      <c r="DY17" t="s">
        <v>753</v>
      </c>
      <c r="DZ17" t="s">
        <v>754</v>
      </c>
      <c r="EA17" s="22">
        <v>43084.681574074071</v>
      </c>
      <c r="EB17" t="s">
        <v>746</v>
      </c>
      <c r="EC17" t="s">
        <v>779</v>
      </c>
    </row>
  </sheetData>
  <conditionalFormatting sqref="Q2:Q17">
    <cfRule type="expression" dxfId="245" priority="1">
      <formula>LEFT($AI2,1)="E"</formula>
    </cfRule>
  </conditionalFormatting>
  <dataValidations count="1">
    <dataValidation type="list" allowBlank="1" showInputMessage="1" showErrorMessage="1" sqref="O2:O17 Q2:Q17">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66675</xdr:rowOff>
                  </from>
                  <to>
                    <xdr:col>16</xdr:col>
                    <xdr:colOff>895350</xdr:colOff>
                    <xdr:row>0</xdr:row>
                    <xdr:rowOff>323850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AG2:AG17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N30"/>
  <sheetViews>
    <sheetView showGridLines="0" workbookViewId="0"/>
  </sheetViews>
  <sheetFormatPr defaultRowHeight="15" x14ac:dyDescent="0.25"/>
  <cols>
    <col min="1" max="1" width="4" customWidth="1"/>
    <col min="2" max="2" width="10.42578125" style="6" customWidth="1"/>
    <col min="3" max="3" width="16.28515625" customWidth="1"/>
    <col min="4" max="4" width="3.28515625" style="5" customWidth="1"/>
    <col min="5" max="5" width="15.7109375" style="23" customWidth="1"/>
    <col min="6" max="6" width="14.42578125" customWidth="1"/>
    <col min="7" max="7" width="10.7109375" customWidth="1"/>
    <col min="8" max="8" width="8.140625" customWidth="1"/>
    <col min="9" max="9" width="2.85546875" customWidth="1"/>
    <col min="10" max="10" width="24.7109375" customWidth="1"/>
    <col min="11" max="11" width="6.85546875" customWidth="1"/>
    <col min="12" max="12" width="9.85546875" customWidth="1"/>
    <col min="13" max="13" width="5.7109375" customWidth="1"/>
    <col min="14" max="14" width="12.5703125" style="6" customWidth="1"/>
    <col min="15" max="15" width="4" customWidth="1"/>
    <col min="16" max="16" width="23.42578125" customWidth="1"/>
    <col min="17" max="17" width="12" customWidth="1"/>
    <col min="18" max="18" width="9.42578125" customWidth="1"/>
    <col min="19" max="19" width="10" customWidth="1"/>
    <col min="20" max="20" width="14" customWidth="1"/>
    <col min="21" max="22" width="11.140625" customWidth="1"/>
    <col min="23" max="23" width="81.140625" bestFit="1" customWidth="1"/>
    <col min="24" max="24" width="20.5703125" bestFit="1" customWidth="1"/>
    <col min="25" max="25" width="18.28515625" bestFit="1" customWidth="1"/>
    <col min="26" max="26" width="45.85546875" bestFit="1" customWidth="1"/>
    <col min="27" max="27" width="36.7109375" bestFit="1" customWidth="1"/>
    <col min="28" max="28" width="10.5703125" bestFit="1" customWidth="1"/>
    <col min="29" max="29" width="9.85546875" bestFit="1" customWidth="1"/>
    <col min="30" max="30" width="20.5703125" customWidth="1"/>
    <col min="31" max="31" width="37.140625" customWidth="1"/>
    <col min="32" max="32" width="19" customWidth="1"/>
    <col min="33" max="33" width="19.140625" bestFit="1" customWidth="1"/>
    <col min="34" max="34" width="14.5703125" bestFit="1" customWidth="1"/>
    <col min="35" max="35" width="10" bestFit="1" customWidth="1"/>
  </cols>
  <sheetData>
    <row r="1" spans="1:14" ht="15.95" customHeight="1" x14ac:dyDescent="0.25">
      <c r="A1" s="60" t="s">
        <v>254</v>
      </c>
      <c r="I1" s="3" t="s">
        <v>223</v>
      </c>
      <c r="N1" s="20" t="s">
        <v>102</v>
      </c>
    </row>
    <row r="2" spans="1:14" ht="15.95" customHeight="1" x14ac:dyDescent="0.25">
      <c r="B2" s="9" t="s">
        <v>472</v>
      </c>
      <c r="I2" s="3" t="s">
        <v>139</v>
      </c>
      <c r="K2" s="29"/>
      <c r="N2" s="19" t="s">
        <v>103</v>
      </c>
    </row>
    <row r="3" spans="1:14" ht="15.95" customHeight="1" x14ac:dyDescent="0.25">
      <c r="B3" s="9" t="s">
        <v>471</v>
      </c>
      <c r="I3" s="3" t="s">
        <v>140</v>
      </c>
      <c r="K3" s="29"/>
      <c r="N3" s="19" t="s">
        <v>98</v>
      </c>
    </row>
    <row r="4" spans="1:14" ht="15.95" customHeight="1" x14ac:dyDescent="0.25">
      <c r="B4" s="9" t="s">
        <v>469</v>
      </c>
      <c r="D4" s="16"/>
      <c r="F4" s="4"/>
      <c r="G4" s="29"/>
      <c r="I4" s="3" t="s">
        <v>222</v>
      </c>
      <c r="K4" s="29"/>
      <c r="N4" s="19" t="s">
        <v>104</v>
      </c>
    </row>
    <row r="5" spans="1:14" ht="15.95" customHeight="1" x14ac:dyDescent="0.25">
      <c r="B5" s="9" t="s">
        <v>470</v>
      </c>
      <c r="C5" s="4"/>
      <c r="F5" s="4"/>
      <c r="G5" s="29"/>
      <c r="I5" s="120" t="s">
        <v>492</v>
      </c>
      <c r="J5" s="121"/>
      <c r="K5" s="29"/>
      <c r="N5" s="19" t="s">
        <v>99</v>
      </c>
    </row>
    <row r="6" spans="1:14" ht="15.95" customHeight="1" x14ac:dyDescent="0.25">
      <c r="B6" s="9" t="s">
        <v>473</v>
      </c>
      <c r="F6" s="4"/>
      <c r="G6" s="29"/>
      <c r="J6" s="7" t="s">
        <v>788</v>
      </c>
      <c r="K6" s="30"/>
      <c r="N6" s="19" t="s">
        <v>105</v>
      </c>
    </row>
    <row r="7" spans="1:14" ht="15.95" customHeight="1" x14ac:dyDescent="0.25">
      <c r="B7" s="9" t="s">
        <v>482</v>
      </c>
      <c r="F7" s="4"/>
      <c r="G7" s="29"/>
      <c r="I7" s="25" t="s">
        <v>493</v>
      </c>
      <c r="J7" s="24"/>
      <c r="K7" s="24"/>
      <c r="N7" s="19" t="s">
        <v>106</v>
      </c>
    </row>
    <row r="8" spans="1:14" ht="15.95" customHeight="1" x14ac:dyDescent="0.25">
      <c r="B8" s="9" t="s">
        <v>483</v>
      </c>
      <c r="F8" s="4"/>
      <c r="G8" s="43"/>
      <c r="J8" s="7" t="s">
        <v>789</v>
      </c>
      <c r="K8" s="24"/>
      <c r="N8" s="19" t="s">
        <v>100</v>
      </c>
    </row>
    <row r="9" spans="1:14" ht="15.95" customHeight="1" x14ac:dyDescent="0.25">
      <c r="B9" s="9"/>
      <c r="F9" s="4"/>
      <c r="G9" s="30"/>
      <c r="N9" s="19" t="s">
        <v>107</v>
      </c>
    </row>
    <row r="10" spans="1:14" ht="18.75" x14ac:dyDescent="0.25">
      <c r="B10" s="47"/>
      <c r="C10" s="128" t="s">
        <v>253</v>
      </c>
      <c r="D10" s="128"/>
      <c r="E10" s="128"/>
      <c r="F10" s="48"/>
      <c r="J10" s="25" t="s">
        <v>138</v>
      </c>
      <c r="L10" s="6"/>
      <c r="N10" s="19" t="s">
        <v>108</v>
      </c>
    </row>
    <row r="11" spans="1:14" ht="15.75" x14ac:dyDescent="0.25">
      <c r="B11" s="49"/>
      <c r="C11" s="50" t="s">
        <v>227</v>
      </c>
      <c r="D11" s="50"/>
      <c r="E11" s="50" t="s">
        <v>228</v>
      </c>
      <c r="F11" s="50"/>
      <c r="J11" s="25" t="s">
        <v>486</v>
      </c>
      <c r="L11" s="6"/>
      <c r="N11" s="19" t="s">
        <v>96</v>
      </c>
    </row>
    <row r="12" spans="1:14" ht="20.100000000000001" customHeight="1" x14ac:dyDescent="0.25">
      <c r="C12" s="51" t="s">
        <v>229</v>
      </c>
      <c r="D12" s="51"/>
      <c r="E12" s="59" t="s">
        <v>245</v>
      </c>
      <c r="F12" s="52" t="s">
        <v>246</v>
      </c>
      <c r="J12" s="25" t="s">
        <v>487</v>
      </c>
      <c r="L12" s="6"/>
      <c r="N12" s="19" t="s">
        <v>109</v>
      </c>
    </row>
    <row r="13" spans="1:14" ht="20.100000000000001" customHeight="1" x14ac:dyDescent="0.25">
      <c r="C13" s="51" t="s">
        <v>240</v>
      </c>
      <c r="D13" s="51"/>
      <c r="E13" s="53" t="s">
        <v>531</v>
      </c>
      <c r="F13" s="54"/>
      <c r="J13" s="25" t="s">
        <v>787</v>
      </c>
      <c r="L13" s="6"/>
      <c r="N13" s="19" t="s">
        <v>110</v>
      </c>
    </row>
    <row r="14" spans="1:14" ht="20.100000000000001" customHeight="1" x14ac:dyDescent="0.25">
      <c r="C14" s="51" t="s">
        <v>234</v>
      </c>
      <c r="D14" s="51"/>
      <c r="E14" s="53"/>
      <c r="F14" s="54"/>
      <c r="J14" s="25" t="s">
        <v>488</v>
      </c>
      <c r="L14" s="6"/>
      <c r="N14" s="19" t="s">
        <v>111</v>
      </c>
    </row>
    <row r="15" spans="1:14" ht="20.100000000000001" customHeight="1" x14ac:dyDescent="0.25">
      <c r="C15" s="51" t="s">
        <v>230</v>
      </c>
      <c r="D15" s="51"/>
      <c r="E15" s="53" t="s">
        <v>249</v>
      </c>
      <c r="F15" s="54"/>
      <c r="H15" s="21"/>
      <c r="L15" s="6"/>
      <c r="N15" s="19" t="s">
        <v>476</v>
      </c>
    </row>
    <row r="16" spans="1:14" ht="20.100000000000001" customHeight="1" x14ac:dyDescent="0.25">
      <c r="C16" s="51" t="s">
        <v>231</v>
      </c>
      <c r="D16" s="51"/>
      <c r="E16" s="55" t="s">
        <v>248</v>
      </c>
      <c r="F16" s="56"/>
      <c r="H16" s="21"/>
      <c r="L16" s="6"/>
      <c r="N16" s="19" t="s">
        <v>112</v>
      </c>
    </row>
    <row r="17" spans="3:14" ht="20.100000000000001" customHeight="1" x14ac:dyDescent="0.25">
      <c r="C17" s="51" t="s">
        <v>232</v>
      </c>
      <c r="D17" s="51"/>
      <c r="E17" s="53" t="s">
        <v>247</v>
      </c>
      <c r="F17" s="54"/>
      <c r="H17" s="21"/>
      <c r="L17" s="6"/>
      <c r="N17" s="19" t="s">
        <v>113</v>
      </c>
    </row>
    <row r="18" spans="3:14" ht="20.100000000000001" customHeight="1" x14ac:dyDescent="0.25">
      <c r="C18" s="51" t="s">
        <v>233</v>
      </c>
      <c r="D18" s="51"/>
      <c r="E18" s="53" t="s">
        <v>251</v>
      </c>
      <c r="F18" s="54"/>
      <c r="L18" s="6"/>
      <c r="N18" s="19" t="s">
        <v>114</v>
      </c>
    </row>
    <row r="19" spans="3:14" ht="20.100000000000001" customHeight="1" x14ac:dyDescent="0.25">
      <c r="C19" s="51" t="s">
        <v>237</v>
      </c>
      <c r="D19" s="51"/>
      <c r="E19" s="53" t="s">
        <v>252</v>
      </c>
      <c r="F19" s="54"/>
      <c r="L19" s="6"/>
      <c r="N19" s="19" t="s">
        <v>115</v>
      </c>
    </row>
    <row r="20" spans="3:14" ht="20.100000000000001" customHeight="1" x14ac:dyDescent="0.25">
      <c r="C20" s="51" t="s">
        <v>238</v>
      </c>
      <c r="D20" s="51"/>
      <c r="E20" s="53" t="s">
        <v>239</v>
      </c>
      <c r="F20" s="54"/>
      <c r="L20" s="6"/>
      <c r="N20" s="19" t="s">
        <v>116</v>
      </c>
    </row>
    <row r="21" spans="3:14" ht="20.100000000000001" customHeight="1" x14ac:dyDescent="0.25">
      <c r="C21" s="51" t="s">
        <v>241</v>
      </c>
      <c r="D21" s="51"/>
      <c r="E21" s="53" t="s">
        <v>242</v>
      </c>
      <c r="F21" s="54"/>
      <c r="L21" s="6"/>
      <c r="N21" s="19" t="s">
        <v>117</v>
      </c>
    </row>
    <row r="22" spans="3:14" ht="20.100000000000001" customHeight="1" x14ac:dyDescent="0.25">
      <c r="C22" s="51" t="s">
        <v>243</v>
      </c>
      <c r="D22" s="51"/>
      <c r="E22" s="53" t="s">
        <v>244</v>
      </c>
      <c r="F22" s="54"/>
      <c r="L22" s="6"/>
      <c r="N22" s="19" t="s">
        <v>118</v>
      </c>
    </row>
    <row r="23" spans="3:14" ht="20.100000000000001" customHeight="1" x14ac:dyDescent="0.25">
      <c r="C23" s="51" t="s">
        <v>236</v>
      </c>
      <c r="D23" s="57"/>
      <c r="E23" s="117" t="str">
        <f>INDEX(codes_prop_stts,select_prop_stts)</f>
        <v>0[01289]</v>
      </c>
      <c r="F23" s="58"/>
      <c r="N23" s="19" t="s">
        <v>97</v>
      </c>
    </row>
    <row r="24" spans="3:14" ht="20.100000000000001" customHeight="1" x14ac:dyDescent="0.25">
      <c r="C24" s="3"/>
      <c r="D24" s="3"/>
      <c r="E24" s="3"/>
      <c r="F24" s="3"/>
      <c r="J24" s="23"/>
      <c r="N24" s="19" t="s">
        <v>119</v>
      </c>
    </row>
    <row r="25" spans="3:14" ht="20.100000000000001" customHeight="1" x14ac:dyDescent="0.25">
      <c r="D25"/>
      <c r="E25"/>
      <c r="J25" s="23"/>
      <c r="N25" s="19" t="s">
        <v>120</v>
      </c>
    </row>
    <row r="26" spans="3:14" ht="19.7" customHeight="1" x14ac:dyDescent="0.25">
      <c r="D26"/>
      <c r="E26"/>
      <c r="J26" s="23"/>
      <c r="N26" s="19" t="s">
        <v>121</v>
      </c>
    </row>
    <row r="27" spans="3:14" x14ac:dyDescent="0.25">
      <c r="C27" s="25"/>
      <c r="D27"/>
      <c r="E27" s="25"/>
      <c r="F27" s="25"/>
      <c r="I27" s="5"/>
      <c r="J27" s="23"/>
      <c r="N27" s="19" t="s">
        <v>122</v>
      </c>
    </row>
    <row r="28" spans="3:14" x14ac:dyDescent="0.25">
      <c r="C28" s="25"/>
      <c r="D28"/>
      <c r="E28" s="25"/>
      <c r="F28" s="25"/>
      <c r="I28" s="5"/>
      <c r="N28" s="19" t="s">
        <v>123</v>
      </c>
    </row>
    <row r="29" spans="3:14" x14ac:dyDescent="0.25">
      <c r="C29" s="25"/>
      <c r="D29"/>
      <c r="E29" s="25"/>
      <c r="H29" s="12"/>
      <c r="I29" s="5"/>
      <c r="N29" s="19" t="s">
        <v>124</v>
      </c>
    </row>
    <row r="30" spans="3:14" x14ac:dyDescent="0.25">
      <c r="N30" s="123">
        <f>SUBTOTAL(103,EpscorTable[Epscor])</f>
        <v>27</v>
      </c>
    </row>
  </sheetData>
  <mergeCells count="1">
    <mergeCell ref="C10:E10"/>
  </mergeCells>
  <conditionalFormatting sqref="E12:F22">
    <cfRule type="expression" dxfId="244" priority="1">
      <formula>SEARCH("eg:",E12)=1</formula>
    </cfRule>
  </conditionalFormatting>
  <dataValidations count="1">
    <dataValidation type="list" allowBlank="1" showInputMessage="1" showErrorMessage="1" sqref="C25 E25:F25">
      <formula1>INDIRECT("AvailableTemplates[Available templates:]")</formula1>
    </dataValidation>
  </dataValidations>
  <hyperlinks>
    <hyperlink ref="J8" r:id="rId1" display="\\ad.nsf.gov\NSF\Users\JSNOEYIN\Automation\scratch\output"/>
  </hyperlinks>
  <pageMargins left="0.25" right="0.25" top="0.75" bottom="0.75" header="0.3" footer="0.3"/>
  <pageSetup scale="8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autoFill="0" autoPict="0" macro="[0]!Picker_dirRAtemplate">
                <anchor moveWithCells="1">
                  <from>
                    <xdr:col>7</xdr:col>
                    <xdr:colOff>180975</xdr:colOff>
                    <xdr:row>5</xdr:row>
                    <xdr:rowOff>19050</xdr:rowOff>
                  </from>
                  <to>
                    <xdr:col>8</xdr:col>
                    <xdr:colOff>171450</xdr:colOff>
                    <xdr:row>6</xdr:row>
                    <xdr:rowOff>9525</xdr:rowOff>
                  </to>
                </anchor>
              </controlPr>
            </control>
          </mc:Choice>
        </mc:AlternateContent>
        <mc:AlternateContent xmlns:mc="http://schemas.openxmlformats.org/markup-compatibility/2006">
          <mc:Choice Requires="x14">
            <control shapeId="1028" r:id="rId6" name="Button 4">
              <controlPr defaultSize="0" autoFill="0" autoPict="0" macro="[0]!Picker_dirRAoutput">
                <anchor moveWithCells="1">
                  <from>
                    <xdr:col>7</xdr:col>
                    <xdr:colOff>180975</xdr:colOff>
                    <xdr:row>7</xdr:row>
                    <xdr:rowOff>28575</xdr:rowOff>
                  </from>
                  <to>
                    <xdr:col>8</xdr:col>
                    <xdr:colOff>171450</xdr:colOff>
                    <xdr:row>8</xdr:row>
                    <xdr:rowOff>38100</xdr:rowOff>
                  </to>
                </anchor>
              </controlPr>
            </control>
          </mc:Choice>
        </mc:AlternateContent>
        <mc:AlternateContent xmlns:mc="http://schemas.openxmlformats.org/markup-compatibility/2006">
          <mc:Choice Requires="x14">
            <control shapeId="1056" r:id="rId7" name="Drop Down 32">
              <controlPr defaultSize="0" autoLine="0" autoPict="0">
                <anchor moveWithCells="1">
                  <from>
                    <xdr:col>3</xdr:col>
                    <xdr:colOff>219075</xdr:colOff>
                    <xdr:row>22</xdr:row>
                    <xdr:rowOff>9525</xdr:rowOff>
                  </from>
                  <to>
                    <xdr:col>6</xdr:col>
                    <xdr:colOff>257175</xdr:colOff>
                    <xdr:row>23</xdr:row>
                    <xdr:rowOff>9525</xdr:rowOff>
                  </to>
                </anchor>
              </controlPr>
            </control>
          </mc:Choice>
        </mc:AlternateContent>
        <mc:AlternateContent xmlns:mc="http://schemas.openxmlformats.org/markup-compatibility/2006">
          <mc:Choice Requires="x14">
            <control shapeId="1058" r:id="rId8" name="Button 34">
              <controlPr defaultSize="0" print="0" autoFill="0" autoPict="0" macro="[0]!makeProjText">
                <anchor moveWithCells="1">
                  <from>
                    <xdr:col>2</xdr:col>
                    <xdr:colOff>95250</xdr:colOff>
                    <xdr:row>4</xdr:row>
                    <xdr:rowOff>200025</xdr:rowOff>
                  </from>
                  <to>
                    <xdr:col>3</xdr:col>
                    <xdr:colOff>161925</xdr:colOff>
                    <xdr:row>6</xdr:row>
                    <xdr:rowOff>19050</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9"/>
  <sheetViews>
    <sheetView workbookViewId="0">
      <selection activeCell="H28" sqref="H28"/>
    </sheetView>
  </sheetViews>
  <sheetFormatPr defaultRowHeight="15" x14ac:dyDescent="0.25"/>
  <cols>
    <col min="1" max="2" width="8.7109375" style="30" customWidth="1"/>
    <col min="3" max="3" width="12.42578125" customWidth="1"/>
    <col min="4" max="4" width="12.140625" style="30" customWidth="1"/>
    <col min="5" max="5" width="5.42578125" style="30" customWidth="1"/>
    <col min="6" max="6" width="5.28515625" style="30" customWidth="1"/>
    <col min="7" max="7" width="8.85546875" style="30" bestFit="1" customWidth="1"/>
    <col min="8" max="8" width="8.85546875" bestFit="1" customWidth="1"/>
    <col min="9" max="9" width="5.28515625" customWidth="1"/>
    <col min="10" max="10" width="5.5703125" customWidth="1"/>
    <col min="11" max="12" width="9.28515625" bestFit="1" customWidth="1"/>
    <col min="13" max="13" width="6.28515625" style="22" customWidth="1"/>
    <col min="14" max="14" width="5.85546875" style="39" customWidth="1"/>
    <col min="15" max="16" width="6.140625" customWidth="1"/>
    <col min="17" max="17" width="3.42578125" customWidth="1"/>
    <col min="18" max="18" width="11.42578125" customWidth="1"/>
    <col min="19" max="19" width="4.42578125" style="21" customWidth="1"/>
    <col min="20" max="20" width="2.28515625" customWidth="1"/>
    <col min="21" max="21" width="7.85546875" customWidth="1"/>
    <col min="22" max="22" width="3.140625" customWidth="1"/>
    <col min="23" max="23" width="4.28515625" customWidth="1"/>
    <col min="24" max="24" width="9.5703125" bestFit="1" customWidth="1"/>
    <col min="25" max="25" width="10.85546875" customWidth="1"/>
    <col min="26" max="26" width="10.140625" customWidth="1"/>
    <col min="27" max="27" width="22.7109375" customWidth="1"/>
    <col min="28" max="28" width="9.28515625" customWidth="1"/>
    <col min="29" max="29" width="14.28515625" hidden="1" customWidth="1"/>
    <col min="30" max="30" width="18.140625" bestFit="1" customWidth="1"/>
    <col min="31" max="31" width="18.5703125" bestFit="1" customWidth="1"/>
    <col min="32" max="32" width="9.140625" bestFit="1" customWidth="1"/>
    <col min="33" max="33" width="23.5703125" bestFit="1" customWidth="1"/>
    <col min="34" max="34" width="80.5703125" bestFit="1" customWidth="1"/>
    <col min="35" max="36" width="11.85546875" customWidth="1"/>
    <col min="37" max="37" width="24.140625" style="21" customWidth="1"/>
    <col min="38" max="38" width="15.140625" style="82" customWidth="1"/>
    <col min="39" max="39" width="16.28515625" style="82" customWidth="1"/>
    <col min="40" max="40" width="11.28515625" style="82" customWidth="1"/>
    <col min="41" max="41" width="11.140625" style="82" customWidth="1"/>
    <col min="42" max="42" width="12.140625" style="82" customWidth="1"/>
    <col min="43" max="43" width="9.5703125" style="21" customWidth="1"/>
    <col min="44" max="44" width="12.140625" style="21" customWidth="1"/>
    <col min="45" max="47" width="5.5703125" style="21" customWidth="1"/>
    <col min="48" max="49" width="11.85546875" customWidth="1"/>
    <col min="50" max="50" width="4.42578125" customWidth="1"/>
    <col min="51" max="51" width="3.7109375" customWidth="1"/>
    <col min="52" max="52" width="8.7109375" style="30" customWidth="1"/>
    <col min="53" max="53" width="3.7109375" customWidth="1"/>
    <col min="54" max="54" width="9.28515625" style="30"/>
    <col min="55" max="55" width="9.5703125" style="30" customWidth="1"/>
    <col min="56" max="56" width="11.5703125" customWidth="1"/>
    <col min="57" max="57" width="12.140625" customWidth="1"/>
    <col min="58" max="58" width="9.85546875" customWidth="1"/>
    <col min="59" max="59" width="10.140625" customWidth="1"/>
    <col min="60" max="60" width="4.42578125" customWidth="1"/>
    <col min="61" max="66" width="3" customWidth="1"/>
    <col min="67" max="67" width="9.28515625" style="1"/>
    <col min="69" max="69" width="85.5703125" customWidth="1"/>
    <col min="70" max="70" width="10.42578125" customWidth="1"/>
    <col min="71" max="71" width="9.5703125" style="13" customWidth="1"/>
    <col min="72" max="72" width="10.42578125" customWidth="1"/>
    <col min="73" max="73" width="15.42578125" customWidth="1"/>
    <col min="74" max="74" width="11.7109375" customWidth="1"/>
    <col min="75" max="75" width="9.28515625" hidden="1" customWidth="1"/>
    <col min="76" max="76" width="11" hidden="1" customWidth="1"/>
    <col min="77" max="80" width="4.28515625" customWidth="1"/>
  </cols>
  <sheetData>
    <row r="1" spans="1:71" ht="36.4" customHeight="1" x14ac:dyDescent="0.25">
      <c r="A1" s="30" t="s">
        <v>87</v>
      </c>
      <c r="B1" s="30" t="s">
        <v>7</v>
      </c>
      <c r="C1" t="s">
        <v>17</v>
      </c>
      <c r="D1" s="14" t="s">
        <v>8</v>
      </c>
      <c r="E1" t="s">
        <v>390</v>
      </c>
      <c r="F1" t="s">
        <v>391</v>
      </c>
      <c r="G1" t="s">
        <v>357</v>
      </c>
      <c r="H1" t="s">
        <v>358</v>
      </c>
      <c r="I1" t="s">
        <v>359</v>
      </c>
      <c r="J1" t="s">
        <v>360</v>
      </c>
      <c r="K1" t="s">
        <v>361</v>
      </c>
      <c r="L1" t="s">
        <v>362</v>
      </c>
      <c r="M1" t="s">
        <v>165</v>
      </c>
      <c r="N1" t="s">
        <v>163</v>
      </c>
      <c r="O1" t="s">
        <v>363</v>
      </c>
      <c r="P1" s="21" t="s">
        <v>365</v>
      </c>
      <c r="Q1" t="s">
        <v>366</v>
      </c>
      <c r="R1" s="32" t="s">
        <v>367</v>
      </c>
      <c r="S1" s="21" t="s">
        <v>101</v>
      </c>
      <c r="T1" t="s">
        <v>88</v>
      </c>
      <c r="U1" t="s">
        <v>9</v>
      </c>
      <c r="V1" t="s">
        <v>1</v>
      </c>
      <c r="W1" t="s">
        <v>143</v>
      </c>
      <c r="X1" t="s">
        <v>0</v>
      </c>
      <c r="Y1" t="s">
        <v>10</v>
      </c>
      <c r="Z1" t="s">
        <v>18</v>
      </c>
      <c r="AA1" t="s">
        <v>281</v>
      </c>
      <c r="AB1" s="14" t="s">
        <v>393</v>
      </c>
      <c r="AC1" t="s">
        <v>145</v>
      </c>
      <c r="AD1" t="s">
        <v>282</v>
      </c>
      <c r="AE1" t="s">
        <v>368</v>
      </c>
      <c r="AF1" t="s">
        <v>364</v>
      </c>
      <c r="AG1" t="s">
        <v>166</v>
      </c>
      <c r="AH1" t="s">
        <v>36</v>
      </c>
      <c r="AK1" s="88" t="s">
        <v>396</v>
      </c>
      <c r="AL1"/>
      <c r="AM1" s="88" t="s">
        <v>394</v>
      </c>
      <c r="AN1"/>
      <c r="AO1"/>
      <c r="AP1"/>
      <c r="AQ1"/>
      <c r="AR1"/>
      <c r="AS1"/>
      <c r="AT1"/>
      <c r="AU1"/>
      <c r="AZ1"/>
      <c r="BB1"/>
      <c r="BC1"/>
      <c r="BO1"/>
      <c r="BS1"/>
    </row>
    <row r="2" spans="1:71" x14ac:dyDescent="0.25">
      <c r="D2"/>
      <c r="E2" s="8"/>
      <c r="F2" s="8"/>
      <c r="G2"/>
      <c r="M2"/>
      <c r="N2" s="8"/>
      <c r="O2" s="8"/>
      <c r="P2" s="21"/>
      <c r="Q2" s="8"/>
      <c r="R2" s="32"/>
      <c r="T2" s="8"/>
      <c r="U2" s="8"/>
      <c r="V2" s="87"/>
      <c r="W2" s="8"/>
      <c r="X2" s="8"/>
      <c r="Y2" s="8"/>
      <c r="Z2" s="8"/>
      <c r="AA2" s="8"/>
      <c r="AB2" s="87"/>
      <c r="AC2" s="8"/>
      <c r="AD2" s="8"/>
      <c r="AE2" s="8"/>
      <c r="AF2" s="8"/>
      <c r="AG2" s="8"/>
      <c r="AH2" s="8"/>
      <c r="AK2" s="88" t="s">
        <v>397</v>
      </c>
      <c r="AL2" s="88" t="s">
        <v>10</v>
      </c>
      <c r="AM2" t="s">
        <v>468</v>
      </c>
      <c r="AN2" t="s">
        <v>395</v>
      </c>
      <c r="AO2"/>
      <c r="AP2"/>
      <c r="AQ2"/>
      <c r="AR2"/>
      <c r="AS2"/>
      <c r="AT2"/>
      <c r="AU2"/>
      <c r="AZ2"/>
      <c r="BB2"/>
      <c r="BC2"/>
      <c r="BO2"/>
      <c r="BS2"/>
    </row>
    <row r="3" spans="1:71" x14ac:dyDescent="0.25">
      <c r="AK3" s="25" t="s">
        <v>468</v>
      </c>
      <c r="AL3" s="25" t="s">
        <v>468</v>
      </c>
      <c r="AM3" s="31"/>
      <c r="AN3" s="31"/>
      <c r="AO3"/>
      <c r="AP3"/>
      <c r="AQ3"/>
      <c r="AR3"/>
      <c r="AS3"/>
      <c r="AT3"/>
      <c r="AU3"/>
      <c r="AZ3"/>
      <c r="BB3"/>
      <c r="BC3"/>
      <c r="BO3"/>
      <c r="BS3"/>
    </row>
    <row r="4" spans="1:71" x14ac:dyDescent="0.25">
      <c r="AK4"/>
      <c r="AL4" s="89" t="s">
        <v>468</v>
      </c>
      <c r="AM4" s="31"/>
      <c r="AN4" s="31"/>
      <c r="AO4"/>
      <c r="AP4"/>
      <c r="AQ4"/>
      <c r="AR4"/>
      <c r="AS4"/>
      <c r="AT4"/>
      <c r="AU4"/>
      <c r="AZ4"/>
      <c r="BB4"/>
      <c r="BC4"/>
      <c r="BO4"/>
      <c r="BS4"/>
    </row>
    <row r="5" spans="1:71" x14ac:dyDescent="0.25">
      <c r="AK5" s="25" t="s">
        <v>395</v>
      </c>
      <c r="AL5"/>
      <c r="AM5" s="31"/>
      <c r="AN5" s="31"/>
      <c r="AO5"/>
      <c r="AP5"/>
      <c r="AQ5"/>
      <c r="AR5"/>
      <c r="AS5"/>
      <c r="AT5"/>
      <c r="AU5"/>
      <c r="AZ5"/>
      <c r="BB5"/>
      <c r="BC5"/>
      <c r="BO5"/>
      <c r="BS5"/>
    </row>
    <row r="6" spans="1:71" x14ac:dyDescent="0.25">
      <c r="AK6"/>
      <c r="AL6"/>
      <c r="AM6"/>
      <c r="AN6"/>
      <c r="AO6"/>
      <c r="AP6"/>
      <c r="AQ6"/>
      <c r="AR6"/>
      <c r="AS6"/>
      <c r="AT6"/>
      <c r="AU6"/>
      <c r="AZ6"/>
      <c r="BB6"/>
      <c r="BC6"/>
      <c r="BO6"/>
      <c r="BS6"/>
    </row>
    <row r="7" spans="1:71" x14ac:dyDescent="0.25">
      <c r="AK7"/>
      <c r="AL7"/>
      <c r="AM7"/>
      <c r="AN7"/>
      <c r="AO7"/>
      <c r="AP7"/>
      <c r="AQ7"/>
      <c r="AR7"/>
      <c r="AS7"/>
      <c r="AT7"/>
      <c r="AU7"/>
      <c r="AZ7"/>
      <c r="BB7"/>
      <c r="BC7"/>
      <c r="BO7"/>
      <c r="BS7"/>
    </row>
    <row r="8" spans="1:71" x14ac:dyDescent="0.25">
      <c r="AK8"/>
      <c r="AL8"/>
      <c r="AM8"/>
      <c r="AN8"/>
      <c r="AO8"/>
      <c r="AP8"/>
      <c r="AQ8"/>
      <c r="AR8"/>
      <c r="AS8"/>
      <c r="AT8"/>
      <c r="AU8"/>
      <c r="AZ8"/>
      <c r="BB8"/>
      <c r="BC8"/>
      <c r="BO8"/>
      <c r="BS8"/>
    </row>
    <row r="9" spans="1:71" x14ac:dyDescent="0.25">
      <c r="AK9"/>
      <c r="AL9"/>
      <c r="AM9"/>
      <c r="AN9"/>
      <c r="AO9"/>
      <c r="AP9"/>
      <c r="AQ9"/>
      <c r="AR9"/>
      <c r="AS9"/>
      <c r="AT9"/>
      <c r="AU9"/>
      <c r="AZ9"/>
      <c r="BB9"/>
      <c r="BC9"/>
      <c r="BO9"/>
      <c r="BS9"/>
    </row>
  </sheetData>
  <conditionalFormatting sqref="A2:AH2">
    <cfRule type="expression" dxfId="2" priority="3">
      <formula>MOD($S2,2)</formula>
    </cfRule>
    <cfRule type="expression" dxfId="1" priority="2">
      <formula>$U1&lt;&gt;$U2</formula>
    </cfRule>
  </conditionalFormatting>
  <conditionalFormatting sqref="F2 H2 J2 L2 AE2">
    <cfRule type="expression" dxfId="0" priority="1">
      <formula>E2&lt;&gt;F2</formula>
    </cfRule>
  </conditionalFormatting>
  <pageMargins left="0.25" right="0.25" top="0.75" bottom="0.75" header="0.3" footer="0.3"/>
  <pageSetup paperSize="5" scale="34" fitToHeight="0" orientation="landscape" r:id="rId2"/>
  <drawing r:id="rId3"/>
  <legacyDrawing r:id="rId4"/>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96"/>
  <sheetViews>
    <sheetView workbookViewId="0">
      <selection activeCell="E81" sqref="E81"/>
    </sheetView>
  </sheetViews>
  <sheetFormatPr defaultRowHeight="15" x14ac:dyDescent="0.25"/>
  <cols>
    <col min="1" max="1" width="4.42578125" customWidth="1"/>
    <col min="2" max="2" width="7.85546875" bestFit="1" customWidth="1"/>
    <col min="3" max="3" width="12.140625" customWidth="1"/>
    <col min="4" max="4" width="10.140625" bestFit="1" customWidth="1"/>
    <col min="5" max="5" width="12.85546875" bestFit="1" customWidth="1"/>
    <col min="6" max="6" width="13.5703125" bestFit="1" customWidth="1"/>
    <col min="7" max="7" width="14.85546875" bestFit="1" customWidth="1"/>
    <col min="8" max="8" width="25.7109375" customWidth="1"/>
    <col min="9" max="10" width="3.85546875" customWidth="1"/>
    <col min="11" max="11" width="8.7109375" style="28" customWidth="1"/>
    <col min="12" max="12" width="16.140625" customWidth="1"/>
    <col min="13" max="14" width="6.28515625" style="21" customWidth="1"/>
    <col min="15" max="15" width="5.140625" customWidth="1"/>
    <col min="16" max="16" width="80.5703125" bestFit="1" customWidth="1"/>
  </cols>
  <sheetData>
    <row r="1" spans="1:16" ht="51.4" customHeight="1" x14ac:dyDescent="0.25">
      <c r="A1" t="s">
        <v>101</v>
      </c>
      <c r="B1" t="s">
        <v>9</v>
      </c>
      <c r="C1" t="s">
        <v>10</v>
      </c>
      <c r="D1" t="s">
        <v>177</v>
      </c>
      <c r="E1" t="s">
        <v>178</v>
      </c>
      <c r="F1" t="s">
        <v>179</v>
      </c>
      <c r="G1" t="s">
        <v>180</v>
      </c>
      <c r="H1" t="s">
        <v>181</v>
      </c>
      <c r="I1" t="s">
        <v>182</v>
      </c>
      <c r="J1" t="s">
        <v>183</v>
      </c>
      <c r="K1" s="28" t="s">
        <v>184</v>
      </c>
      <c r="L1" t="s">
        <v>185</v>
      </c>
      <c r="M1" s="21" t="s">
        <v>186</v>
      </c>
      <c r="N1" s="21" t="s">
        <v>187</v>
      </c>
      <c r="O1" t="s">
        <v>188</v>
      </c>
      <c r="P1" t="s">
        <v>189</v>
      </c>
    </row>
    <row r="2" spans="1:16" x14ac:dyDescent="0.25">
      <c r="A2">
        <f t="shared" ref="A2:A33" si="0">A1+(B2&lt;&gt;B1)</f>
        <v>1</v>
      </c>
      <c r="B2" t="s">
        <v>539</v>
      </c>
      <c r="C2" t="s">
        <v>540</v>
      </c>
      <c r="D2" t="s">
        <v>495</v>
      </c>
      <c r="E2" t="s">
        <v>541</v>
      </c>
      <c r="F2" t="s">
        <v>542</v>
      </c>
      <c r="G2" t="s">
        <v>543</v>
      </c>
      <c r="H2" t="s">
        <v>544</v>
      </c>
      <c r="I2" t="s">
        <v>498</v>
      </c>
      <c r="K2" s="30">
        <v>43052</v>
      </c>
      <c r="L2" s="8">
        <v>43052.579988425925</v>
      </c>
      <c r="M2" s="21">
        <f>LEN(ProjTextTable[[#This Row],[text]])</f>
        <v>1</v>
      </c>
      <c r="N2" s="21">
        <f>LEN(TRIM(CLEAN(SUBSTITUTE(ProjTextTable[[#This Row],[text]],CHAR(10)," "))))+1 - LEN(SUBSTITUTE(CLEAN(SUBSTITUTE(ProjTextTable[[#This Row],[text]],CHAR(10)," "))," ",""))</f>
        <v>1</v>
      </c>
      <c r="O2" t="s">
        <v>545</v>
      </c>
      <c r="P2" t="s">
        <v>13</v>
      </c>
    </row>
    <row r="3" spans="1:16" x14ac:dyDescent="0.25">
      <c r="A3">
        <f t="shared" si="0"/>
        <v>1</v>
      </c>
      <c r="B3" t="s">
        <v>539</v>
      </c>
      <c r="C3" t="s">
        <v>540</v>
      </c>
      <c r="D3" t="s">
        <v>190</v>
      </c>
      <c r="E3" t="s">
        <v>541</v>
      </c>
      <c r="F3" t="s">
        <v>546</v>
      </c>
      <c r="G3" t="s">
        <v>547</v>
      </c>
      <c r="H3" t="s">
        <v>548</v>
      </c>
      <c r="I3" t="s">
        <v>496</v>
      </c>
      <c r="J3" t="s">
        <v>173</v>
      </c>
      <c r="K3" s="30">
        <v>43052</v>
      </c>
      <c r="L3" s="8">
        <v>43051.028055555558</v>
      </c>
      <c r="M3" s="21">
        <f>LEN(ProjTextTable[[#This Row],[text]])</f>
        <v>3792</v>
      </c>
      <c r="N3" s="21">
        <f>LEN(TRIM(CLEAN(SUBSTITUTE(ProjTextTable[[#This Row],[text]],CHAR(10)," "))))+1 - LEN(SUBSTITUTE(CLEAN(SUBSTITUTE(ProjTextTable[[#This Row],[text]],CHAR(10)," "))," ",""))</f>
        <v>540</v>
      </c>
      <c r="O3" t="s">
        <v>196</v>
      </c>
      <c r="P3" t="s">
        <v>549</v>
      </c>
    </row>
    <row r="4" spans="1:16" x14ac:dyDescent="0.25">
      <c r="A4">
        <f t="shared" si="0"/>
        <v>1</v>
      </c>
      <c r="B4" t="s">
        <v>539</v>
      </c>
      <c r="C4" t="s">
        <v>540</v>
      </c>
      <c r="D4" t="s">
        <v>190</v>
      </c>
      <c r="E4" t="s">
        <v>541</v>
      </c>
      <c r="F4" t="s">
        <v>550</v>
      </c>
      <c r="G4" t="s">
        <v>551</v>
      </c>
      <c r="H4" t="s">
        <v>552</v>
      </c>
      <c r="I4" t="s">
        <v>496</v>
      </c>
      <c r="J4" t="s">
        <v>173</v>
      </c>
      <c r="K4" s="30">
        <v>43052</v>
      </c>
      <c r="L4" s="8">
        <v>43051.851134259261</v>
      </c>
      <c r="M4" s="21">
        <f>LEN(ProjTextTable[[#This Row],[text]])</f>
        <v>3414</v>
      </c>
      <c r="N4" s="21">
        <f>LEN(TRIM(CLEAN(SUBSTITUTE(ProjTextTable[[#This Row],[text]],CHAR(10)," "))))+1 - LEN(SUBSTITUTE(CLEAN(SUBSTITUTE(ProjTextTable[[#This Row],[text]],CHAR(10)," "))," ",""))</f>
        <v>481</v>
      </c>
      <c r="O4" t="s">
        <v>194</v>
      </c>
      <c r="P4" t="s">
        <v>553</v>
      </c>
    </row>
    <row r="5" spans="1:16" x14ac:dyDescent="0.25">
      <c r="A5">
        <f t="shared" si="0"/>
        <v>1</v>
      </c>
      <c r="B5" t="s">
        <v>539</v>
      </c>
      <c r="C5" t="s">
        <v>540</v>
      </c>
      <c r="D5" t="s">
        <v>190</v>
      </c>
      <c r="E5" t="s">
        <v>541</v>
      </c>
      <c r="F5" t="s">
        <v>554</v>
      </c>
      <c r="G5" t="s">
        <v>555</v>
      </c>
      <c r="H5" t="s">
        <v>556</v>
      </c>
      <c r="I5" t="s">
        <v>496</v>
      </c>
      <c r="J5" t="s">
        <v>173</v>
      </c>
      <c r="K5" s="30">
        <v>43052</v>
      </c>
      <c r="L5" s="8">
        <v>43052.306712962964</v>
      </c>
      <c r="M5" s="21">
        <f>LEN(ProjTextTable[[#This Row],[text]])</f>
        <v>1202</v>
      </c>
      <c r="N5" s="21">
        <f>LEN(TRIM(CLEAN(SUBSTITUTE(ProjTextTable[[#This Row],[text]],CHAR(10)," "))))+1 - LEN(SUBSTITUTE(CLEAN(SUBSTITUTE(ProjTextTable[[#This Row],[text]],CHAR(10)," "))," ",""))</f>
        <v>181</v>
      </c>
      <c r="O5" t="s">
        <v>194</v>
      </c>
      <c r="P5" t="s">
        <v>557</v>
      </c>
    </row>
    <row r="6" spans="1:16" x14ac:dyDescent="0.25">
      <c r="A6">
        <f t="shared" si="0"/>
        <v>1</v>
      </c>
      <c r="B6" t="s">
        <v>539</v>
      </c>
      <c r="C6" t="s">
        <v>540</v>
      </c>
      <c r="D6" t="s">
        <v>192</v>
      </c>
      <c r="E6" t="s">
        <v>541</v>
      </c>
      <c r="F6" t="s">
        <v>13</v>
      </c>
      <c r="G6" t="s">
        <v>13</v>
      </c>
      <c r="H6" t="s">
        <v>13</v>
      </c>
      <c r="K6" s="30"/>
      <c r="L6" s="8">
        <v>42985.042627314811</v>
      </c>
      <c r="M6" s="21">
        <f>LEN(ProjTextTable[[#This Row],[text]])</f>
        <v>4139</v>
      </c>
      <c r="N6" s="21">
        <f>LEN(TRIM(CLEAN(SUBSTITUTE(ProjTextTable[[#This Row],[text]],CHAR(10)," "))))+1 - LEN(SUBSTITUTE(CLEAN(SUBSTITUTE(ProjTextTable[[#This Row],[text]],CHAR(10)," "))," ",""))</f>
        <v>539</v>
      </c>
      <c r="O6" t="s">
        <v>13</v>
      </c>
      <c r="P6" t="s">
        <v>558</v>
      </c>
    </row>
    <row r="7" spans="1:16" x14ac:dyDescent="0.25">
      <c r="A7">
        <f t="shared" si="0"/>
        <v>1</v>
      </c>
      <c r="B7" t="s">
        <v>539</v>
      </c>
      <c r="C7" t="s">
        <v>540</v>
      </c>
      <c r="D7" t="s">
        <v>508</v>
      </c>
      <c r="E7" t="s">
        <v>541</v>
      </c>
      <c r="F7" t="s">
        <v>539</v>
      </c>
      <c r="G7" t="s">
        <v>559</v>
      </c>
      <c r="H7" t="s">
        <v>560</v>
      </c>
      <c r="K7" s="30"/>
      <c r="L7" s="8">
        <v>43028.530393518522</v>
      </c>
      <c r="M7" s="21">
        <f>LEN(ProjTextTable[[#This Row],[text]])</f>
        <v>15</v>
      </c>
      <c r="N7" s="21">
        <f>LEN(TRIM(CLEAN(SUBSTITUTE(ProjTextTable[[#This Row],[text]],CHAR(10)," "))))+1 - LEN(SUBSTITUTE(CLEAN(SUBSTITUTE(ProjTextTable[[#This Row],[text]],CHAR(10)," "))," ",""))</f>
        <v>2</v>
      </c>
      <c r="O7" t="s">
        <v>13</v>
      </c>
      <c r="P7" t="s">
        <v>560</v>
      </c>
    </row>
    <row r="8" spans="1:16" x14ac:dyDescent="0.25">
      <c r="A8">
        <f t="shared" si="0"/>
        <v>2</v>
      </c>
      <c r="B8" t="s">
        <v>561</v>
      </c>
      <c r="C8" t="s">
        <v>562</v>
      </c>
      <c r="D8" t="s">
        <v>495</v>
      </c>
      <c r="E8" t="s">
        <v>541</v>
      </c>
      <c r="F8" t="s">
        <v>542</v>
      </c>
      <c r="G8" t="s">
        <v>543</v>
      </c>
      <c r="H8" t="s">
        <v>544</v>
      </c>
      <c r="I8" t="s">
        <v>498</v>
      </c>
      <c r="K8" s="30">
        <v>43052</v>
      </c>
      <c r="L8" s="8">
        <v>43052.579988425925</v>
      </c>
      <c r="M8" s="21">
        <f>LEN(ProjTextTable[[#This Row],[text]])</f>
        <v>1</v>
      </c>
      <c r="N8" s="21">
        <f>LEN(TRIM(CLEAN(SUBSTITUTE(ProjTextTable[[#This Row],[text]],CHAR(10)," "))))+1 - LEN(SUBSTITUTE(CLEAN(SUBSTITUTE(ProjTextTable[[#This Row],[text]],CHAR(10)," "))," ",""))</f>
        <v>1</v>
      </c>
      <c r="O8" t="s">
        <v>545</v>
      </c>
      <c r="P8" t="s">
        <v>13</v>
      </c>
    </row>
    <row r="9" spans="1:16" x14ac:dyDescent="0.25">
      <c r="A9">
        <f t="shared" si="0"/>
        <v>2</v>
      </c>
      <c r="B9" t="s">
        <v>561</v>
      </c>
      <c r="C9" t="s">
        <v>562</v>
      </c>
      <c r="D9" t="s">
        <v>190</v>
      </c>
      <c r="E9" t="s">
        <v>541</v>
      </c>
      <c r="F9" t="s">
        <v>563</v>
      </c>
      <c r="G9" t="s">
        <v>564</v>
      </c>
      <c r="H9" t="s">
        <v>565</v>
      </c>
      <c r="I9" t="s">
        <v>496</v>
      </c>
      <c r="J9" t="s">
        <v>173</v>
      </c>
      <c r="K9" s="30">
        <v>43052</v>
      </c>
      <c r="L9" s="8">
        <v>43035.399548611109</v>
      </c>
      <c r="M9" s="21">
        <f>LEN(ProjTextTable[[#This Row],[text]])</f>
        <v>5893</v>
      </c>
      <c r="N9" s="21">
        <f>LEN(TRIM(CLEAN(SUBSTITUTE(ProjTextTable[[#This Row],[text]],CHAR(10)," "))))+1 - LEN(SUBSTITUTE(CLEAN(SUBSTITUTE(ProjTextTable[[#This Row],[text]],CHAR(10)," "))," ",""))</f>
        <v>914</v>
      </c>
      <c r="O9" t="s">
        <v>194</v>
      </c>
      <c r="P9" t="s">
        <v>566</v>
      </c>
    </row>
    <row r="10" spans="1:16" x14ac:dyDescent="0.25">
      <c r="A10">
        <f t="shared" si="0"/>
        <v>2</v>
      </c>
      <c r="B10" t="s">
        <v>561</v>
      </c>
      <c r="C10" t="s">
        <v>562</v>
      </c>
      <c r="D10" t="s">
        <v>190</v>
      </c>
      <c r="E10" t="s">
        <v>541</v>
      </c>
      <c r="F10" t="s">
        <v>567</v>
      </c>
      <c r="G10" t="s">
        <v>568</v>
      </c>
      <c r="H10" t="s">
        <v>569</v>
      </c>
      <c r="I10" t="s">
        <v>496</v>
      </c>
      <c r="J10" t="s">
        <v>173</v>
      </c>
      <c r="K10" s="30">
        <v>43052</v>
      </c>
      <c r="L10" s="8">
        <v>43052.559467592589</v>
      </c>
      <c r="M10" s="21">
        <f>LEN(ProjTextTable[[#This Row],[text]])</f>
        <v>2477</v>
      </c>
      <c r="N10" s="21">
        <f>LEN(TRIM(CLEAN(SUBSTITUTE(ProjTextTable[[#This Row],[text]],CHAR(10)," "))))+1 - LEN(SUBSTITUTE(CLEAN(SUBSTITUTE(ProjTextTable[[#This Row],[text]],CHAR(10)," "))," ",""))</f>
        <v>359</v>
      </c>
      <c r="O10" t="s">
        <v>194</v>
      </c>
      <c r="P10" t="s">
        <v>570</v>
      </c>
    </row>
    <row r="11" spans="1:16" x14ac:dyDescent="0.25">
      <c r="A11">
        <f t="shared" si="0"/>
        <v>2</v>
      </c>
      <c r="B11" t="s">
        <v>561</v>
      </c>
      <c r="C11" t="s">
        <v>562</v>
      </c>
      <c r="D11" t="s">
        <v>190</v>
      </c>
      <c r="E11" t="s">
        <v>541</v>
      </c>
      <c r="F11" t="s">
        <v>550</v>
      </c>
      <c r="G11" t="s">
        <v>551</v>
      </c>
      <c r="H11" t="s">
        <v>552</v>
      </c>
      <c r="I11" t="s">
        <v>496</v>
      </c>
      <c r="J11" t="s">
        <v>173</v>
      </c>
      <c r="K11" s="30">
        <v>43052</v>
      </c>
      <c r="L11" s="8">
        <v>43050.744976851849</v>
      </c>
      <c r="M11" s="21">
        <f>LEN(ProjTextTable[[#This Row],[text]])</f>
        <v>2146</v>
      </c>
      <c r="N11" s="21">
        <f>LEN(TRIM(CLEAN(SUBSTITUTE(ProjTextTable[[#This Row],[text]],CHAR(10)," "))))+1 - LEN(SUBSTITUTE(CLEAN(SUBSTITUTE(ProjTextTable[[#This Row],[text]],CHAR(10)," "))," ",""))</f>
        <v>298</v>
      </c>
      <c r="O11" t="s">
        <v>191</v>
      </c>
      <c r="P11" t="s">
        <v>571</v>
      </c>
    </row>
    <row r="12" spans="1:16" x14ac:dyDescent="0.25">
      <c r="A12">
        <f t="shared" si="0"/>
        <v>2</v>
      </c>
      <c r="B12" t="s">
        <v>561</v>
      </c>
      <c r="C12" t="s">
        <v>562</v>
      </c>
      <c r="D12" t="s">
        <v>192</v>
      </c>
      <c r="E12" t="s">
        <v>541</v>
      </c>
      <c r="F12" t="s">
        <v>13</v>
      </c>
      <c r="G12" t="s">
        <v>13</v>
      </c>
      <c r="H12" t="s">
        <v>13</v>
      </c>
      <c r="K12" s="30"/>
      <c r="L12" s="8">
        <v>42990.042719907404</v>
      </c>
      <c r="M12" s="21">
        <f>LEN(ProjTextTable[[#This Row],[text]])</f>
        <v>4027</v>
      </c>
      <c r="N12" s="21">
        <f>LEN(TRIM(CLEAN(SUBSTITUTE(ProjTextTable[[#This Row],[text]],CHAR(10)," "))))+1 - LEN(SUBSTITUTE(CLEAN(SUBSTITUTE(ProjTextTable[[#This Row],[text]],CHAR(10)," "))," ",""))</f>
        <v>548</v>
      </c>
      <c r="O12" t="s">
        <v>13</v>
      </c>
      <c r="P12" t="s">
        <v>572</v>
      </c>
    </row>
    <row r="13" spans="1:16" x14ac:dyDescent="0.25">
      <c r="A13">
        <f t="shared" si="0"/>
        <v>2</v>
      </c>
      <c r="B13" t="s">
        <v>561</v>
      </c>
      <c r="C13" t="s">
        <v>562</v>
      </c>
      <c r="D13" t="s">
        <v>508</v>
      </c>
      <c r="E13" t="s">
        <v>541</v>
      </c>
      <c r="F13" t="s">
        <v>561</v>
      </c>
      <c r="G13" t="s">
        <v>559</v>
      </c>
      <c r="H13" t="s">
        <v>560</v>
      </c>
      <c r="K13" s="30"/>
      <c r="L13" s="8">
        <v>43028.520810185182</v>
      </c>
      <c r="M13" s="21">
        <f>LEN(ProjTextTable[[#This Row],[text]])</f>
        <v>15</v>
      </c>
      <c r="N13" s="21">
        <f>LEN(TRIM(CLEAN(SUBSTITUTE(ProjTextTable[[#This Row],[text]],CHAR(10)," "))))+1 - LEN(SUBSTITUTE(CLEAN(SUBSTITUTE(ProjTextTable[[#This Row],[text]],CHAR(10)," "))," ",""))</f>
        <v>2</v>
      </c>
      <c r="O13" t="s">
        <v>13</v>
      </c>
      <c r="P13" t="s">
        <v>560</v>
      </c>
    </row>
    <row r="14" spans="1:16" x14ac:dyDescent="0.25">
      <c r="A14">
        <f t="shared" si="0"/>
        <v>3</v>
      </c>
      <c r="B14" t="s">
        <v>573</v>
      </c>
      <c r="C14" t="s">
        <v>512</v>
      </c>
      <c r="D14" t="s">
        <v>495</v>
      </c>
      <c r="E14" t="s">
        <v>574</v>
      </c>
      <c r="F14" t="s">
        <v>542</v>
      </c>
      <c r="G14" t="s">
        <v>543</v>
      </c>
      <c r="H14" t="s">
        <v>544</v>
      </c>
      <c r="I14" t="s">
        <v>498</v>
      </c>
      <c r="K14" s="30">
        <v>43052</v>
      </c>
      <c r="L14" s="8">
        <v>43052.579988425925</v>
      </c>
      <c r="M14" s="21">
        <f>LEN(ProjTextTable[[#This Row],[text]])</f>
        <v>1</v>
      </c>
      <c r="N14" s="21">
        <f>LEN(TRIM(CLEAN(SUBSTITUTE(ProjTextTable[[#This Row],[text]],CHAR(10)," "))))+1 - LEN(SUBSTITUTE(CLEAN(SUBSTITUTE(ProjTextTable[[#This Row],[text]],CHAR(10)," "))," ",""))</f>
        <v>1</v>
      </c>
      <c r="O14" t="s">
        <v>545</v>
      </c>
      <c r="P14" t="s">
        <v>13</v>
      </c>
    </row>
    <row r="15" spans="1:16" x14ac:dyDescent="0.25">
      <c r="A15">
        <f t="shared" si="0"/>
        <v>3</v>
      </c>
      <c r="B15" t="s">
        <v>573</v>
      </c>
      <c r="C15" t="s">
        <v>512</v>
      </c>
      <c r="D15" t="s">
        <v>190</v>
      </c>
      <c r="E15" t="s">
        <v>574</v>
      </c>
      <c r="F15" t="s">
        <v>575</v>
      </c>
      <c r="G15" t="s">
        <v>576</v>
      </c>
      <c r="H15" t="s">
        <v>577</v>
      </c>
      <c r="I15" t="s">
        <v>496</v>
      </c>
      <c r="J15" t="s">
        <v>173</v>
      </c>
      <c r="K15" s="30">
        <v>43052</v>
      </c>
      <c r="L15" s="8">
        <v>43045.61146990741</v>
      </c>
      <c r="M15" s="21">
        <f>LEN(ProjTextTable[[#This Row],[text]])</f>
        <v>2028</v>
      </c>
      <c r="N15" s="21">
        <f>LEN(TRIM(CLEAN(SUBSTITUTE(ProjTextTable[[#This Row],[text]],CHAR(10)," "))))+1 - LEN(SUBSTITUTE(CLEAN(SUBSTITUTE(ProjTextTable[[#This Row],[text]],CHAR(10)," "))," ",""))</f>
        <v>296</v>
      </c>
      <c r="O15" t="s">
        <v>198</v>
      </c>
      <c r="P15" t="s">
        <v>578</v>
      </c>
    </row>
    <row r="16" spans="1:16" x14ac:dyDescent="0.25">
      <c r="A16">
        <f t="shared" si="0"/>
        <v>3</v>
      </c>
      <c r="B16" t="s">
        <v>573</v>
      </c>
      <c r="C16" t="s">
        <v>512</v>
      </c>
      <c r="D16" t="s">
        <v>190</v>
      </c>
      <c r="E16" t="s">
        <v>574</v>
      </c>
      <c r="F16" t="s">
        <v>567</v>
      </c>
      <c r="G16" t="s">
        <v>568</v>
      </c>
      <c r="H16" t="s">
        <v>569</v>
      </c>
      <c r="I16" t="s">
        <v>496</v>
      </c>
      <c r="J16" t="s">
        <v>173</v>
      </c>
      <c r="K16" s="30">
        <v>43052</v>
      </c>
      <c r="L16" s="8">
        <v>43051.790289351855</v>
      </c>
      <c r="M16" s="21">
        <f>LEN(ProjTextTable[[#This Row],[text]])</f>
        <v>1503</v>
      </c>
      <c r="N16" s="21">
        <f>LEN(TRIM(CLEAN(SUBSTITUTE(ProjTextTable[[#This Row],[text]],CHAR(10)," "))))+1 - LEN(SUBSTITUTE(CLEAN(SUBSTITUTE(ProjTextTable[[#This Row],[text]],CHAR(10)," "))," ",""))</f>
        <v>216</v>
      </c>
      <c r="O16" t="s">
        <v>198</v>
      </c>
      <c r="P16" t="s">
        <v>579</v>
      </c>
    </row>
    <row r="17" spans="1:16" x14ac:dyDescent="0.25">
      <c r="A17">
        <f t="shared" si="0"/>
        <v>3</v>
      </c>
      <c r="B17" t="s">
        <v>573</v>
      </c>
      <c r="C17" t="s">
        <v>512</v>
      </c>
      <c r="D17" t="s">
        <v>190</v>
      </c>
      <c r="E17" t="s">
        <v>574</v>
      </c>
      <c r="F17" t="s">
        <v>550</v>
      </c>
      <c r="G17" t="s">
        <v>551</v>
      </c>
      <c r="H17" t="s">
        <v>552</v>
      </c>
      <c r="I17" t="s">
        <v>496</v>
      </c>
      <c r="J17" t="s">
        <v>173</v>
      </c>
      <c r="K17" s="30">
        <v>43052</v>
      </c>
      <c r="L17" s="8">
        <v>43051.846770833334</v>
      </c>
      <c r="M17" s="21">
        <f>LEN(ProjTextTable[[#This Row],[text]])</f>
        <v>2095</v>
      </c>
      <c r="N17" s="21">
        <f>LEN(TRIM(CLEAN(SUBSTITUTE(ProjTextTable[[#This Row],[text]],CHAR(10)," "))))+1 - LEN(SUBSTITUTE(CLEAN(SUBSTITUTE(ProjTextTable[[#This Row],[text]],CHAR(10)," "))," ",""))</f>
        <v>292</v>
      </c>
      <c r="O17" t="s">
        <v>194</v>
      </c>
      <c r="P17" t="s">
        <v>580</v>
      </c>
    </row>
    <row r="18" spans="1:16" x14ac:dyDescent="0.25">
      <c r="A18">
        <f t="shared" si="0"/>
        <v>3</v>
      </c>
      <c r="B18" t="s">
        <v>573</v>
      </c>
      <c r="C18" t="s">
        <v>512</v>
      </c>
      <c r="D18" t="s">
        <v>192</v>
      </c>
      <c r="E18" t="s">
        <v>574</v>
      </c>
      <c r="F18" t="s">
        <v>13</v>
      </c>
      <c r="G18" t="s">
        <v>13</v>
      </c>
      <c r="H18" t="s">
        <v>13</v>
      </c>
      <c r="K18" s="30"/>
      <c r="L18" s="8">
        <v>42992.043194444443</v>
      </c>
      <c r="M18" s="21">
        <f>LEN(ProjTextTable[[#This Row],[text]])</f>
        <v>4622</v>
      </c>
      <c r="N18" s="21">
        <f>LEN(TRIM(CLEAN(SUBSTITUTE(ProjTextTable[[#This Row],[text]],CHAR(10)," "))))+1 - LEN(SUBSTITUTE(CLEAN(SUBSTITUTE(ProjTextTable[[#This Row],[text]],CHAR(10)," "))," ",""))</f>
        <v>590</v>
      </c>
      <c r="O18" t="s">
        <v>13</v>
      </c>
      <c r="P18" t="s">
        <v>581</v>
      </c>
    </row>
    <row r="19" spans="1:16" x14ac:dyDescent="0.25">
      <c r="A19">
        <f t="shared" si="0"/>
        <v>3</v>
      </c>
      <c r="B19" t="s">
        <v>573</v>
      </c>
      <c r="C19" t="s">
        <v>512</v>
      </c>
      <c r="D19" t="s">
        <v>508</v>
      </c>
      <c r="E19" t="s">
        <v>574</v>
      </c>
      <c r="F19" t="s">
        <v>573</v>
      </c>
      <c r="G19" t="s">
        <v>559</v>
      </c>
      <c r="H19" t="s">
        <v>560</v>
      </c>
      <c r="K19" s="30"/>
      <c r="L19" s="8">
        <v>43028.531550925924</v>
      </c>
      <c r="M19" s="21">
        <f>LEN(ProjTextTable[[#This Row],[text]])</f>
        <v>15</v>
      </c>
      <c r="N19" s="21">
        <f>LEN(TRIM(CLEAN(SUBSTITUTE(ProjTextTable[[#This Row],[text]],CHAR(10)," "))))+1 - LEN(SUBSTITUTE(CLEAN(SUBSTITUTE(ProjTextTable[[#This Row],[text]],CHAR(10)," "))," ",""))</f>
        <v>2</v>
      </c>
      <c r="O19" t="s">
        <v>13</v>
      </c>
      <c r="P19" t="s">
        <v>560</v>
      </c>
    </row>
    <row r="20" spans="1:16" x14ac:dyDescent="0.25">
      <c r="A20">
        <f t="shared" si="0"/>
        <v>4</v>
      </c>
      <c r="B20" t="s">
        <v>582</v>
      </c>
      <c r="C20" t="s">
        <v>514</v>
      </c>
      <c r="D20" t="s">
        <v>495</v>
      </c>
      <c r="E20" t="s">
        <v>574</v>
      </c>
      <c r="F20" t="s">
        <v>542</v>
      </c>
      <c r="G20" t="s">
        <v>543</v>
      </c>
      <c r="H20" t="s">
        <v>544</v>
      </c>
      <c r="I20" t="s">
        <v>498</v>
      </c>
      <c r="K20" s="30">
        <v>43052</v>
      </c>
      <c r="L20" s="8">
        <v>43052.579988425925</v>
      </c>
      <c r="M20" s="21">
        <f>LEN(ProjTextTable[[#This Row],[text]])</f>
        <v>1</v>
      </c>
      <c r="N20" s="21">
        <f>LEN(TRIM(CLEAN(SUBSTITUTE(ProjTextTable[[#This Row],[text]],CHAR(10)," "))))+1 - LEN(SUBSTITUTE(CLEAN(SUBSTITUTE(ProjTextTable[[#This Row],[text]],CHAR(10)," "))," ",""))</f>
        <v>1</v>
      </c>
      <c r="O20" t="s">
        <v>545</v>
      </c>
      <c r="P20" t="s">
        <v>13</v>
      </c>
    </row>
    <row r="21" spans="1:16" x14ac:dyDescent="0.25">
      <c r="A21">
        <f t="shared" si="0"/>
        <v>4</v>
      </c>
      <c r="B21" t="s">
        <v>582</v>
      </c>
      <c r="C21" t="s">
        <v>514</v>
      </c>
      <c r="D21" t="s">
        <v>190</v>
      </c>
      <c r="E21" t="s">
        <v>574</v>
      </c>
      <c r="F21" t="s">
        <v>583</v>
      </c>
      <c r="G21" t="s">
        <v>584</v>
      </c>
      <c r="H21" t="s">
        <v>585</v>
      </c>
      <c r="I21" t="s">
        <v>496</v>
      </c>
      <c r="J21" t="s">
        <v>173</v>
      </c>
      <c r="K21" s="30">
        <v>43052</v>
      </c>
      <c r="L21" s="8">
        <v>43044.602025462962</v>
      </c>
      <c r="M21" s="21">
        <f>LEN(ProjTextTable[[#This Row],[text]])</f>
        <v>2853</v>
      </c>
      <c r="N21" s="21">
        <f>LEN(TRIM(CLEAN(SUBSTITUTE(ProjTextTable[[#This Row],[text]],CHAR(10)," "))))+1 - LEN(SUBSTITUTE(CLEAN(SUBSTITUTE(ProjTextTable[[#This Row],[text]],CHAR(10)," "))," ",""))</f>
        <v>429</v>
      </c>
      <c r="O21" t="s">
        <v>194</v>
      </c>
      <c r="P21" t="s">
        <v>586</v>
      </c>
    </row>
    <row r="22" spans="1:16" x14ac:dyDescent="0.25">
      <c r="A22">
        <f t="shared" si="0"/>
        <v>4</v>
      </c>
      <c r="B22" t="s">
        <v>582</v>
      </c>
      <c r="C22" t="s">
        <v>514</v>
      </c>
      <c r="D22" t="s">
        <v>190</v>
      </c>
      <c r="E22" t="s">
        <v>574</v>
      </c>
      <c r="F22" t="s">
        <v>567</v>
      </c>
      <c r="G22" t="s">
        <v>568</v>
      </c>
      <c r="H22" t="s">
        <v>569</v>
      </c>
      <c r="I22" t="s">
        <v>496</v>
      </c>
      <c r="J22" t="s">
        <v>173</v>
      </c>
      <c r="K22" s="30">
        <v>43052</v>
      </c>
      <c r="L22" s="8">
        <v>43051.795949074076</v>
      </c>
      <c r="M22" s="21">
        <f>LEN(ProjTextTable[[#This Row],[text]])</f>
        <v>3072</v>
      </c>
      <c r="N22" s="21">
        <f>LEN(TRIM(CLEAN(SUBSTITUTE(ProjTextTable[[#This Row],[text]],CHAR(10)," "))))+1 - LEN(SUBSTITUTE(CLEAN(SUBSTITUTE(ProjTextTable[[#This Row],[text]],CHAR(10)," "))," ",""))</f>
        <v>458</v>
      </c>
      <c r="O22" t="s">
        <v>196</v>
      </c>
      <c r="P22" t="s">
        <v>587</v>
      </c>
    </row>
    <row r="23" spans="1:16" x14ac:dyDescent="0.25">
      <c r="A23">
        <f t="shared" si="0"/>
        <v>4</v>
      </c>
      <c r="B23" t="s">
        <v>582</v>
      </c>
      <c r="C23" t="s">
        <v>514</v>
      </c>
      <c r="D23" t="s">
        <v>190</v>
      </c>
      <c r="E23" t="s">
        <v>574</v>
      </c>
      <c r="F23" t="s">
        <v>550</v>
      </c>
      <c r="G23" t="s">
        <v>551</v>
      </c>
      <c r="H23" t="s">
        <v>552</v>
      </c>
      <c r="I23" t="s">
        <v>496</v>
      </c>
      <c r="J23" t="s">
        <v>173</v>
      </c>
      <c r="K23" s="30">
        <v>43052</v>
      </c>
      <c r="L23" s="8">
        <v>43050.564479166664</v>
      </c>
      <c r="M23" s="21">
        <f>LEN(ProjTextTable[[#This Row],[text]])</f>
        <v>2428</v>
      </c>
      <c r="N23" s="21">
        <f>LEN(TRIM(CLEAN(SUBSTITUTE(ProjTextTable[[#This Row],[text]],CHAR(10)," "))))+1 - LEN(SUBSTITUTE(CLEAN(SUBSTITUTE(ProjTextTable[[#This Row],[text]],CHAR(10)," "))," ",""))</f>
        <v>346</v>
      </c>
      <c r="O23" t="s">
        <v>194</v>
      </c>
      <c r="P23" t="s">
        <v>588</v>
      </c>
    </row>
    <row r="24" spans="1:16" x14ac:dyDescent="0.25">
      <c r="A24">
        <f t="shared" si="0"/>
        <v>4</v>
      </c>
      <c r="B24" t="s">
        <v>582</v>
      </c>
      <c r="C24" t="s">
        <v>514</v>
      </c>
      <c r="D24" t="s">
        <v>192</v>
      </c>
      <c r="E24" t="s">
        <v>574</v>
      </c>
      <c r="F24" t="s">
        <v>13</v>
      </c>
      <c r="G24" t="s">
        <v>13</v>
      </c>
      <c r="H24" t="s">
        <v>13</v>
      </c>
      <c r="K24" s="30"/>
      <c r="L24" s="8">
        <v>42993.042870370373</v>
      </c>
      <c r="M24" s="21">
        <f>LEN(ProjTextTable[[#This Row],[text]])</f>
        <v>4503</v>
      </c>
      <c r="N24" s="21">
        <f>LEN(TRIM(CLEAN(SUBSTITUTE(ProjTextTable[[#This Row],[text]],CHAR(10)," "))))+1 - LEN(SUBSTITUTE(CLEAN(SUBSTITUTE(ProjTextTable[[#This Row],[text]],CHAR(10)," "))," ",""))</f>
        <v>653</v>
      </c>
      <c r="O24" t="s">
        <v>13</v>
      </c>
      <c r="P24" t="s">
        <v>589</v>
      </c>
    </row>
    <row r="25" spans="1:16" x14ac:dyDescent="0.25">
      <c r="A25">
        <f t="shared" si="0"/>
        <v>4</v>
      </c>
      <c r="B25" t="s">
        <v>582</v>
      </c>
      <c r="C25" t="s">
        <v>514</v>
      </c>
      <c r="D25" t="s">
        <v>508</v>
      </c>
      <c r="E25" t="s">
        <v>574</v>
      </c>
      <c r="F25" t="s">
        <v>582</v>
      </c>
      <c r="G25" t="s">
        <v>559</v>
      </c>
      <c r="H25" t="s">
        <v>560</v>
      </c>
      <c r="K25" s="30"/>
      <c r="L25" s="8">
        <v>43028.538495370369</v>
      </c>
      <c r="M25" s="21">
        <f>LEN(ProjTextTable[[#This Row],[text]])</f>
        <v>15</v>
      </c>
      <c r="N25" s="21">
        <f>LEN(TRIM(CLEAN(SUBSTITUTE(ProjTextTable[[#This Row],[text]],CHAR(10)," "))))+1 - LEN(SUBSTITUTE(CLEAN(SUBSTITUTE(ProjTextTable[[#This Row],[text]],CHAR(10)," "))," ",""))</f>
        <v>2</v>
      </c>
      <c r="O25" t="s">
        <v>13</v>
      </c>
      <c r="P25" t="s">
        <v>560</v>
      </c>
    </row>
    <row r="26" spans="1:16" x14ac:dyDescent="0.25">
      <c r="A26">
        <f t="shared" si="0"/>
        <v>5</v>
      </c>
      <c r="B26" t="s">
        <v>590</v>
      </c>
      <c r="C26" t="s">
        <v>591</v>
      </c>
      <c r="D26" t="s">
        <v>495</v>
      </c>
      <c r="E26" t="s">
        <v>574</v>
      </c>
      <c r="F26" t="s">
        <v>542</v>
      </c>
      <c r="G26" t="s">
        <v>543</v>
      </c>
      <c r="H26" t="s">
        <v>544</v>
      </c>
      <c r="I26" t="s">
        <v>498</v>
      </c>
      <c r="K26" s="30">
        <v>43052</v>
      </c>
      <c r="L26" s="8">
        <v>43052.623043981483</v>
      </c>
      <c r="M26" s="21">
        <f>LEN(ProjTextTable[[#This Row],[text]])</f>
        <v>2146</v>
      </c>
      <c r="N26" s="21">
        <f>LEN(TRIM(CLEAN(SUBSTITUTE(ProjTextTable[[#This Row],[text]],CHAR(10)," "))))+1 - LEN(SUBSTITUTE(CLEAN(SUBSTITUTE(ProjTextTable[[#This Row],[text]],CHAR(10)," "))," ",""))</f>
        <v>302</v>
      </c>
      <c r="O26" t="s">
        <v>545</v>
      </c>
      <c r="P26" t="s">
        <v>592</v>
      </c>
    </row>
    <row r="27" spans="1:16" x14ac:dyDescent="0.25">
      <c r="A27">
        <f t="shared" si="0"/>
        <v>5</v>
      </c>
      <c r="B27" t="s">
        <v>590</v>
      </c>
      <c r="C27" t="s">
        <v>591</v>
      </c>
      <c r="D27" t="s">
        <v>190</v>
      </c>
      <c r="E27" t="s">
        <v>574</v>
      </c>
      <c r="F27" t="s">
        <v>575</v>
      </c>
      <c r="G27" t="s">
        <v>576</v>
      </c>
      <c r="H27" t="s">
        <v>577</v>
      </c>
      <c r="I27" t="s">
        <v>198</v>
      </c>
      <c r="J27" t="s">
        <v>499</v>
      </c>
      <c r="K27" s="30">
        <v>43052</v>
      </c>
      <c r="L27" s="8">
        <v>43045.642314814817</v>
      </c>
      <c r="M27" s="21">
        <f>LEN(ProjTextTable[[#This Row],[text]])</f>
        <v>2119</v>
      </c>
      <c r="N27" s="21">
        <f>LEN(TRIM(CLEAN(SUBSTITUTE(ProjTextTable[[#This Row],[text]],CHAR(10)," "))))+1 - LEN(SUBSTITUTE(CLEAN(SUBSTITUTE(ProjTextTable[[#This Row],[text]],CHAR(10)," "))," ",""))</f>
        <v>314</v>
      </c>
      <c r="O27" t="s">
        <v>226</v>
      </c>
      <c r="P27" t="s">
        <v>593</v>
      </c>
    </row>
    <row r="28" spans="1:16" x14ac:dyDescent="0.25">
      <c r="A28">
        <f t="shared" si="0"/>
        <v>5</v>
      </c>
      <c r="B28" t="s">
        <v>590</v>
      </c>
      <c r="C28" t="s">
        <v>591</v>
      </c>
      <c r="D28" t="s">
        <v>190</v>
      </c>
      <c r="E28" t="s">
        <v>574</v>
      </c>
      <c r="F28" t="s">
        <v>546</v>
      </c>
      <c r="G28" t="s">
        <v>547</v>
      </c>
      <c r="H28" t="s">
        <v>548</v>
      </c>
      <c r="I28" t="s">
        <v>198</v>
      </c>
      <c r="J28" t="s">
        <v>173</v>
      </c>
      <c r="K28" s="30">
        <v>43052</v>
      </c>
      <c r="L28" s="8">
        <v>43052.602106481485</v>
      </c>
      <c r="M28" s="21">
        <f>LEN(ProjTextTable[[#This Row],[text]])</f>
        <v>4929</v>
      </c>
      <c r="N28" s="21">
        <f>LEN(TRIM(CLEAN(SUBSTITUTE(ProjTextTable[[#This Row],[text]],CHAR(10)," "))))+1 - LEN(SUBSTITUTE(CLEAN(SUBSTITUTE(ProjTextTable[[#This Row],[text]],CHAR(10)," "))," ",""))</f>
        <v>718</v>
      </c>
      <c r="O28" t="s">
        <v>196</v>
      </c>
      <c r="P28" t="s">
        <v>594</v>
      </c>
    </row>
    <row r="29" spans="1:16" x14ac:dyDescent="0.25">
      <c r="A29">
        <f t="shared" si="0"/>
        <v>5</v>
      </c>
      <c r="B29" t="s">
        <v>590</v>
      </c>
      <c r="C29" t="s">
        <v>591</v>
      </c>
      <c r="D29" t="s">
        <v>190</v>
      </c>
      <c r="E29" t="s">
        <v>574</v>
      </c>
      <c r="F29" t="s">
        <v>567</v>
      </c>
      <c r="G29" t="s">
        <v>568</v>
      </c>
      <c r="H29" t="s">
        <v>569</v>
      </c>
      <c r="I29" t="s">
        <v>496</v>
      </c>
      <c r="J29" t="s">
        <v>173</v>
      </c>
      <c r="K29" s="30">
        <v>43052</v>
      </c>
      <c r="L29" s="8">
        <v>43052.565092592595</v>
      </c>
      <c r="M29" s="21">
        <f>LEN(ProjTextTable[[#This Row],[text]])</f>
        <v>2769</v>
      </c>
      <c r="N29" s="21">
        <f>LEN(TRIM(CLEAN(SUBSTITUTE(ProjTextTable[[#This Row],[text]],CHAR(10)," "))))+1 - LEN(SUBSTITUTE(CLEAN(SUBSTITUTE(ProjTextTable[[#This Row],[text]],CHAR(10)," "))," ",""))</f>
        <v>419</v>
      </c>
      <c r="O29" t="s">
        <v>196</v>
      </c>
      <c r="P29" t="s">
        <v>595</v>
      </c>
    </row>
    <row r="30" spans="1:16" x14ac:dyDescent="0.25">
      <c r="A30">
        <f t="shared" si="0"/>
        <v>5</v>
      </c>
      <c r="B30" t="s">
        <v>590</v>
      </c>
      <c r="C30" t="s">
        <v>591</v>
      </c>
      <c r="D30" t="s">
        <v>190</v>
      </c>
      <c r="E30" t="s">
        <v>574</v>
      </c>
      <c r="F30" t="s">
        <v>550</v>
      </c>
      <c r="G30" t="s">
        <v>551</v>
      </c>
      <c r="H30" t="s">
        <v>552</v>
      </c>
      <c r="I30" t="s">
        <v>496</v>
      </c>
      <c r="J30" t="s">
        <v>173</v>
      </c>
      <c r="K30" s="30">
        <v>43052</v>
      </c>
      <c r="L30" s="8">
        <v>43050.507754629631</v>
      </c>
      <c r="M30" s="21">
        <f>LEN(ProjTextTable[[#This Row],[text]])</f>
        <v>2982</v>
      </c>
      <c r="N30" s="21">
        <f>LEN(TRIM(CLEAN(SUBSTITUTE(ProjTextTable[[#This Row],[text]],CHAR(10)," "))))+1 - LEN(SUBSTITUTE(CLEAN(SUBSTITUTE(ProjTextTable[[#This Row],[text]],CHAR(10)," "))," ",""))</f>
        <v>424</v>
      </c>
      <c r="O30" t="s">
        <v>191</v>
      </c>
      <c r="P30" t="s">
        <v>596</v>
      </c>
    </row>
    <row r="31" spans="1:16" x14ac:dyDescent="0.25">
      <c r="A31">
        <f t="shared" si="0"/>
        <v>5</v>
      </c>
      <c r="B31" t="s">
        <v>590</v>
      </c>
      <c r="C31" t="s">
        <v>591</v>
      </c>
      <c r="D31" t="s">
        <v>192</v>
      </c>
      <c r="E31" t="s">
        <v>574</v>
      </c>
      <c r="F31" t="s">
        <v>13</v>
      </c>
      <c r="G31" t="s">
        <v>13</v>
      </c>
      <c r="H31" t="s">
        <v>13</v>
      </c>
      <c r="K31" s="30"/>
      <c r="L31" s="8">
        <v>42994.042592592596</v>
      </c>
      <c r="M31" s="21">
        <f>LEN(ProjTextTable[[#This Row],[text]])</f>
        <v>3966</v>
      </c>
      <c r="N31" s="21">
        <f>LEN(TRIM(CLEAN(SUBSTITUTE(ProjTextTable[[#This Row],[text]],CHAR(10)," "))))+1 - LEN(SUBSTITUTE(CLEAN(SUBSTITUTE(ProjTextTable[[#This Row],[text]],CHAR(10)," "))," ",""))</f>
        <v>528</v>
      </c>
      <c r="O31" t="s">
        <v>13</v>
      </c>
      <c r="P31" t="s">
        <v>597</v>
      </c>
    </row>
    <row r="32" spans="1:16" x14ac:dyDescent="0.25">
      <c r="A32">
        <f t="shared" si="0"/>
        <v>5</v>
      </c>
      <c r="B32" t="s">
        <v>590</v>
      </c>
      <c r="C32" t="s">
        <v>591</v>
      </c>
      <c r="D32" t="s">
        <v>508</v>
      </c>
      <c r="E32" t="s">
        <v>574</v>
      </c>
      <c r="F32" t="s">
        <v>590</v>
      </c>
      <c r="G32" t="s">
        <v>559</v>
      </c>
      <c r="H32" t="s">
        <v>560</v>
      </c>
      <c r="K32" s="30"/>
      <c r="L32" s="8">
        <v>43028.521087962959</v>
      </c>
      <c r="M32" s="21">
        <f>LEN(ProjTextTable[[#This Row],[text]])</f>
        <v>15</v>
      </c>
      <c r="N32" s="21">
        <f>LEN(TRIM(CLEAN(SUBSTITUTE(ProjTextTable[[#This Row],[text]],CHAR(10)," "))))+1 - LEN(SUBSTITUTE(CLEAN(SUBSTITUTE(ProjTextTable[[#This Row],[text]],CHAR(10)," "))," ",""))</f>
        <v>2</v>
      </c>
      <c r="O32" t="s">
        <v>13</v>
      </c>
      <c r="P32" t="s">
        <v>560</v>
      </c>
    </row>
    <row r="33" spans="1:16" x14ac:dyDescent="0.25">
      <c r="A33">
        <f t="shared" si="0"/>
        <v>6</v>
      </c>
      <c r="B33" t="s">
        <v>598</v>
      </c>
      <c r="C33" t="s">
        <v>599</v>
      </c>
      <c r="D33" t="s">
        <v>495</v>
      </c>
      <c r="E33" t="s">
        <v>574</v>
      </c>
      <c r="F33" t="s">
        <v>542</v>
      </c>
      <c r="G33" t="s">
        <v>543</v>
      </c>
      <c r="H33" t="s">
        <v>544</v>
      </c>
      <c r="I33" t="s">
        <v>498</v>
      </c>
      <c r="K33" s="30">
        <v>43052</v>
      </c>
      <c r="L33" s="8">
        <v>43052.579988425925</v>
      </c>
      <c r="M33" s="21">
        <f>LEN(ProjTextTable[[#This Row],[text]])</f>
        <v>1</v>
      </c>
      <c r="N33" s="21">
        <f>LEN(TRIM(CLEAN(SUBSTITUTE(ProjTextTable[[#This Row],[text]],CHAR(10)," "))))+1 - LEN(SUBSTITUTE(CLEAN(SUBSTITUTE(ProjTextTable[[#This Row],[text]],CHAR(10)," "))," ",""))</f>
        <v>1</v>
      </c>
      <c r="O33" t="s">
        <v>545</v>
      </c>
      <c r="P33" t="s">
        <v>13</v>
      </c>
    </row>
    <row r="34" spans="1:16" x14ac:dyDescent="0.25">
      <c r="A34">
        <f t="shared" ref="A34:A65" si="1">A33+(B34&lt;&gt;B33)</f>
        <v>6</v>
      </c>
      <c r="B34" t="s">
        <v>598</v>
      </c>
      <c r="C34" t="s">
        <v>599</v>
      </c>
      <c r="D34" t="s">
        <v>190</v>
      </c>
      <c r="E34" t="s">
        <v>574</v>
      </c>
      <c r="F34" t="s">
        <v>575</v>
      </c>
      <c r="G34" t="s">
        <v>576</v>
      </c>
      <c r="H34" t="s">
        <v>577</v>
      </c>
      <c r="I34" t="s">
        <v>496</v>
      </c>
      <c r="J34" t="s">
        <v>173</v>
      </c>
      <c r="K34" s="30">
        <v>43052</v>
      </c>
      <c r="L34" s="8">
        <v>43046.314201388886</v>
      </c>
      <c r="M34" s="21">
        <f>LEN(ProjTextTable[[#This Row],[text]])</f>
        <v>1869</v>
      </c>
      <c r="N34" s="21">
        <f>LEN(TRIM(CLEAN(SUBSTITUTE(ProjTextTable[[#This Row],[text]],CHAR(10)," "))))+1 - LEN(SUBSTITUTE(CLEAN(SUBSTITUTE(ProjTextTable[[#This Row],[text]],CHAR(10)," "))," ",""))</f>
        <v>291</v>
      </c>
      <c r="O34" t="s">
        <v>194</v>
      </c>
      <c r="P34" t="s">
        <v>600</v>
      </c>
    </row>
    <row r="35" spans="1:16" x14ac:dyDescent="0.25">
      <c r="A35">
        <f t="shared" si="1"/>
        <v>6</v>
      </c>
      <c r="B35" t="s">
        <v>598</v>
      </c>
      <c r="C35" t="s">
        <v>599</v>
      </c>
      <c r="D35" t="s">
        <v>190</v>
      </c>
      <c r="E35" t="s">
        <v>574</v>
      </c>
      <c r="F35" t="s">
        <v>546</v>
      </c>
      <c r="G35" t="s">
        <v>547</v>
      </c>
      <c r="H35" t="s">
        <v>548</v>
      </c>
      <c r="I35" t="s">
        <v>496</v>
      </c>
      <c r="J35" t="s">
        <v>173</v>
      </c>
      <c r="K35" s="30">
        <v>43052</v>
      </c>
      <c r="L35" s="8">
        <v>43051.021354166667</v>
      </c>
      <c r="M35" s="21">
        <f>LEN(ProjTextTable[[#This Row],[text]])</f>
        <v>4318</v>
      </c>
      <c r="N35" s="21">
        <f>LEN(TRIM(CLEAN(SUBSTITUTE(ProjTextTable[[#This Row],[text]],CHAR(10)," "))))+1 - LEN(SUBSTITUTE(CLEAN(SUBSTITUTE(ProjTextTable[[#This Row],[text]],CHAR(10)," "))," ",""))</f>
        <v>620</v>
      </c>
      <c r="O35" t="s">
        <v>194</v>
      </c>
      <c r="P35" t="s">
        <v>601</v>
      </c>
    </row>
    <row r="36" spans="1:16" x14ac:dyDescent="0.25">
      <c r="A36">
        <f t="shared" si="1"/>
        <v>6</v>
      </c>
      <c r="B36" t="s">
        <v>598</v>
      </c>
      <c r="C36" t="s">
        <v>599</v>
      </c>
      <c r="D36" t="s">
        <v>190</v>
      </c>
      <c r="E36" t="s">
        <v>574</v>
      </c>
      <c r="F36" t="s">
        <v>583</v>
      </c>
      <c r="G36" t="s">
        <v>584</v>
      </c>
      <c r="H36" t="s">
        <v>585</v>
      </c>
      <c r="I36" t="s">
        <v>496</v>
      </c>
      <c r="J36" t="s">
        <v>173</v>
      </c>
      <c r="K36" s="30">
        <v>43052</v>
      </c>
      <c r="L36" s="8">
        <v>43047.620370370372</v>
      </c>
      <c r="M36" s="21">
        <f>LEN(ProjTextTable[[#This Row],[text]])</f>
        <v>4479</v>
      </c>
      <c r="N36" s="21">
        <f>LEN(TRIM(CLEAN(SUBSTITUTE(ProjTextTable[[#This Row],[text]],CHAR(10)," "))))+1 - LEN(SUBSTITUTE(CLEAN(SUBSTITUTE(ProjTextTable[[#This Row],[text]],CHAR(10)," "))," ",""))</f>
        <v>658</v>
      </c>
      <c r="O36" t="s">
        <v>191</v>
      </c>
      <c r="P36" t="s">
        <v>602</v>
      </c>
    </row>
    <row r="37" spans="1:16" x14ac:dyDescent="0.25">
      <c r="A37">
        <f t="shared" si="1"/>
        <v>6</v>
      </c>
      <c r="B37" t="s">
        <v>598</v>
      </c>
      <c r="C37" t="s">
        <v>599</v>
      </c>
      <c r="D37" t="s">
        <v>192</v>
      </c>
      <c r="E37" t="s">
        <v>574</v>
      </c>
      <c r="F37" t="s">
        <v>13</v>
      </c>
      <c r="G37" t="s">
        <v>13</v>
      </c>
      <c r="H37" t="s">
        <v>13</v>
      </c>
      <c r="K37" s="30"/>
      <c r="L37" s="8">
        <v>42993.043402777781</v>
      </c>
      <c r="M37" s="21">
        <f>LEN(ProjTextTable[[#This Row],[text]])</f>
        <v>2898</v>
      </c>
      <c r="N37" s="21">
        <f>LEN(TRIM(CLEAN(SUBSTITUTE(ProjTextTable[[#This Row],[text]],CHAR(10)," "))))+1 - LEN(SUBSTITUTE(CLEAN(SUBSTITUTE(ProjTextTable[[#This Row],[text]],CHAR(10)," "))," ",""))</f>
        <v>416</v>
      </c>
      <c r="O37" t="s">
        <v>13</v>
      </c>
      <c r="P37" t="s">
        <v>603</v>
      </c>
    </row>
    <row r="38" spans="1:16" x14ac:dyDescent="0.25">
      <c r="A38">
        <f t="shared" si="1"/>
        <v>6</v>
      </c>
      <c r="B38" t="s">
        <v>598</v>
      </c>
      <c r="C38" t="s">
        <v>599</v>
      </c>
      <c r="D38" t="s">
        <v>508</v>
      </c>
      <c r="E38" t="s">
        <v>574</v>
      </c>
      <c r="F38" t="s">
        <v>598</v>
      </c>
      <c r="G38" t="s">
        <v>559</v>
      </c>
      <c r="H38" t="s">
        <v>560</v>
      </c>
      <c r="K38" s="30"/>
      <c r="L38" s="8">
        <v>43028.512060185189</v>
      </c>
      <c r="M38" s="21">
        <f>LEN(ProjTextTable[[#This Row],[text]])</f>
        <v>15</v>
      </c>
      <c r="N38" s="21">
        <f>LEN(TRIM(CLEAN(SUBSTITUTE(ProjTextTable[[#This Row],[text]],CHAR(10)," "))))+1 - LEN(SUBSTITUTE(CLEAN(SUBSTITUTE(ProjTextTable[[#This Row],[text]],CHAR(10)," "))," ",""))</f>
        <v>2</v>
      </c>
      <c r="O38" t="s">
        <v>13</v>
      </c>
      <c r="P38" t="s">
        <v>560</v>
      </c>
    </row>
    <row r="39" spans="1:16" x14ac:dyDescent="0.25">
      <c r="A39">
        <f t="shared" si="1"/>
        <v>7</v>
      </c>
      <c r="B39" t="s">
        <v>604</v>
      </c>
      <c r="C39" t="s">
        <v>605</v>
      </c>
      <c r="D39" t="s">
        <v>495</v>
      </c>
      <c r="E39" t="s">
        <v>574</v>
      </c>
      <c r="F39" t="s">
        <v>542</v>
      </c>
      <c r="G39" t="s">
        <v>543</v>
      </c>
      <c r="H39" t="s">
        <v>544</v>
      </c>
      <c r="I39" t="s">
        <v>498</v>
      </c>
      <c r="K39" s="30">
        <v>43052</v>
      </c>
      <c r="L39" s="8">
        <v>43052.579988425925</v>
      </c>
      <c r="M39" s="21">
        <f>LEN(ProjTextTable[[#This Row],[text]])</f>
        <v>1</v>
      </c>
      <c r="N39" s="21">
        <f>LEN(TRIM(CLEAN(SUBSTITUTE(ProjTextTable[[#This Row],[text]],CHAR(10)," "))))+1 - LEN(SUBSTITUTE(CLEAN(SUBSTITUTE(ProjTextTable[[#This Row],[text]],CHAR(10)," "))," ",""))</f>
        <v>1</v>
      </c>
      <c r="O39" t="s">
        <v>545</v>
      </c>
      <c r="P39" t="s">
        <v>13</v>
      </c>
    </row>
    <row r="40" spans="1:16" x14ac:dyDescent="0.25">
      <c r="A40">
        <f t="shared" si="1"/>
        <v>7</v>
      </c>
      <c r="B40" t="s">
        <v>604</v>
      </c>
      <c r="C40" t="s">
        <v>605</v>
      </c>
      <c r="D40" t="s">
        <v>190</v>
      </c>
      <c r="E40" t="s">
        <v>574</v>
      </c>
      <c r="F40" t="s">
        <v>563</v>
      </c>
      <c r="G40" t="s">
        <v>564</v>
      </c>
      <c r="H40" t="s">
        <v>565</v>
      </c>
      <c r="I40" t="s">
        <v>496</v>
      </c>
      <c r="J40" t="s">
        <v>173</v>
      </c>
      <c r="K40" s="30">
        <v>43052</v>
      </c>
      <c r="L40" s="8">
        <v>43035.393541666665</v>
      </c>
      <c r="M40" s="21">
        <f>LEN(ProjTextTable[[#This Row],[text]])</f>
        <v>7685</v>
      </c>
      <c r="N40" s="21">
        <f>LEN(TRIM(CLEAN(SUBSTITUTE(ProjTextTable[[#This Row],[text]],CHAR(10)," "))))+1 - LEN(SUBSTITUTE(CLEAN(SUBSTITUTE(ProjTextTable[[#This Row],[text]],CHAR(10)," "))," ",""))</f>
        <v>1248</v>
      </c>
      <c r="O40" t="s">
        <v>196</v>
      </c>
      <c r="P40" t="s">
        <v>606</v>
      </c>
    </row>
    <row r="41" spans="1:16" x14ac:dyDescent="0.25">
      <c r="A41">
        <f t="shared" si="1"/>
        <v>7</v>
      </c>
      <c r="B41" t="s">
        <v>604</v>
      </c>
      <c r="C41" t="s">
        <v>605</v>
      </c>
      <c r="D41" t="s">
        <v>190</v>
      </c>
      <c r="E41" t="s">
        <v>574</v>
      </c>
      <c r="F41" t="s">
        <v>583</v>
      </c>
      <c r="G41" t="s">
        <v>584</v>
      </c>
      <c r="H41" t="s">
        <v>585</v>
      </c>
      <c r="I41" t="s">
        <v>496</v>
      </c>
      <c r="J41" t="s">
        <v>173</v>
      </c>
      <c r="K41" s="30">
        <v>43052</v>
      </c>
      <c r="L41" s="8">
        <v>43045.465821759259</v>
      </c>
      <c r="M41" s="21">
        <f>LEN(ProjTextTable[[#This Row],[text]])</f>
        <v>4028</v>
      </c>
      <c r="N41" s="21">
        <f>LEN(TRIM(CLEAN(SUBSTITUTE(ProjTextTable[[#This Row],[text]],CHAR(10)," "))))+1 - LEN(SUBSTITUTE(CLEAN(SUBSTITUTE(ProjTextTable[[#This Row],[text]],CHAR(10)," "))," ",""))</f>
        <v>584</v>
      </c>
      <c r="O41" t="s">
        <v>191</v>
      </c>
      <c r="P41" t="s">
        <v>607</v>
      </c>
    </row>
    <row r="42" spans="1:16" x14ac:dyDescent="0.25">
      <c r="A42">
        <f t="shared" si="1"/>
        <v>7</v>
      </c>
      <c r="B42" t="s">
        <v>604</v>
      </c>
      <c r="C42" t="s">
        <v>605</v>
      </c>
      <c r="D42" t="s">
        <v>190</v>
      </c>
      <c r="E42" t="s">
        <v>574</v>
      </c>
      <c r="F42" t="s">
        <v>550</v>
      </c>
      <c r="G42" t="s">
        <v>551</v>
      </c>
      <c r="H42" t="s">
        <v>552</v>
      </c>
      <c r="I42" t="s">
        <v>496</v>
      </c>
      <c r="J42" t="s">
        <v>173</v>
      </c>
      <c r="K42" s="30">
        <v>43052</v>
      </c>
      <c r="L42" s="8">
        <v>43050.636712962965</v>
      </c>
      <c r="M42" s="21">
        <f>LEN(ProjTextTable[[#This Row],[text]])</f>
        <v>3330</v>
      </c>
      <c r="N42" s="21">
        <f>LEN(TRIM(CLEAN(SUBSTITUTE(ProjTextTable[[#This Row],[text]],CHAR(10)," "))))+1 - LEN(SUBSTITUTE(CLEAN(SUBSTITUTE(ProjTextTable[[#This Row],[text]],CHAR(10)," "))," ",""))</f>
        <v>492</v>
      </c>
      <c r="O42" t="s">
        <v>194</v>
      </c>
      <c r="P42" t="s">
        <v>608</v>
      </c>
    </row>
    <row r="43" spans="1:16" x14ac:dyDescent="0.25">
      <c r="A43">
        <f t="shared" si="1"/>
        <v>7</v>
      </c>
      <c r="B43" t="s">
        <v>604</v>
      </c>
      <c r="C43" t="s">
        <v>605</v>
      </c>
      <c r="D43" t="s">
        <v>508</v>
      </c>
      <c r="E43" t="s">
        <v>574</v>
      </c>
      <c r="F43" t="s">
        <v>604</v>
      </c>
      <c r="G43" t="s">
        <v>559</v>
      </c>
      <c r="H43" t="s">
        <v>560</v>
      </c>
      <c r="K43" s="30"/>
      <c r="L43" s="8">
        <v>43028.533888888887</v>
      </c>
      <c r="M43" s="21">
        <f>LEN(ProjTextTable[[#This Row],[text]])</f>
        <v>15</v>
      </c>
      <c r="N43" s="21">
        <f>LEN(TRIM(CLEAN(SUBSTITUTE(ProjTextTable[[#This Row],[text]],CHAR(10)," "))))+1 - LEN(SUBSTITUTE(CLEAN(SUBSTITUTE(ProjTextTable[[#This Row],[text]],CHAR(10)," "))," ",""))</f>
        <v>2</v>
      </c>
      <c r="O43" t="s">
        <v>13</v>
      </c>
      <c r="P43" t="s">
        <v>560</v>
      </c>
    </row>
    <row r="44" spans="1:16" x14ac:dyDescent="0.25">
      <c r="A44">
        <f t="shared" si="1"/>
        <v>8</v>
      </c>
      <c r="B44" t="s">
        <v>609</v>
      </c>
      <c r="C44" t="s">
        <v>605</v>
      </c>
      <c r="D44" t="s">
        <v>495</v>
      </c>
      <c r="E44" t="s">
        <v>574</v>
      </c>
      <c r="F44" t="s">
        <v>542</v>
      </c>
      <c r="G44" t="s">
        <v>543</v>
      </c>
      <c r="H44" t="s">
        <v>544</v>
      </c>
      <c r="I44" t="s">
        <v>498</v>
      </c>
      <c r="K44" s="30">
        <v>43052</v>
      </c>
      <c r="L44" s="8">
        <v>43052.579988425925</v>
      </c>
      <c r="M44" s="21">
        <f>LEN(ProjTextTable[[#This Row],[text]])</f>
        <v>1</v>
      </c>
      <c r="N44" s="21">
        <f>LEN(TRIM(CLEAN(SUBSTITUTE(ProjTextTable[[#This Row],[text]],CHAR(10)," "))))+1 - LEN(SUBSTITUTE(CLEAN(SUBSTITUTE(ProjTextTable[[#This Row],[text]],CHAR(10)," "))," ",""))</f>
        <v>1</v>
      </c>
      <c r="O44" t="s">
        <v>545</v>
      </c>
      <c r="P44" t="s">
        <v>13</v>
      </c>
    </row>
    <row r="45" spans="1:16" x14ac:dyDescent="0.25">
      <c r="A45">
        <f t="shared" si="1"/>
        <v>8</v>
      </c>
      <c r="B45" t="s">
        <v>609</v>
      </c>
      <c r="C45" t="s">
        <v>605</v>
      </c>
      <c r="D45" t="s">
        <v>190</v>
      </c>
      <c r="E45" t="s">
        <v>574</v>
      </c>
      <c r="F45" t="s">
        <v>563</v>
      </c>
      <c r="G45" t="s">
        <v>564</v>
      </c>
      <c r="H45" t="s">
        <v>565</v>
      </c>
      <c r="I45" t="s">
        <v>496</v>
      </c>
      <c r="J45" t="s">
        <v>173</v>
      </c>
      <c r="K45" s="30">
        <v>43052</v>
      </c>
      <c r="L45" s="8">
        <v>43035.38140046296</v>
      </c>
      <c r="M45" s="21">
        <f>LEN(ProjTextTable[[#This Row],[text]])</f>
        <v>4254</v>
      </c>
      <c r="N45" s="21">
        <f>LEN(TRIM(CLEAN(SUBSTITUTE(ProjTextTable[[#This Row],[text]],CHAR(10)," "))))+1 - LEN(SUBSTITUTE(CLEAN(SUBSTITUTE(ProjTextTable[[#This Row],[text]],CHAR(10)," "))," ",""))</f>
        <v>657</v>
      </c>
      <c r="O45" t="s">
        <v>191</v>
      </c>
      <c r="P45" t="s">
        <v>610</v>
      </c>
    </row>
    <row r="46" spans="1:16" x14ac:dyDescent="0.25">
      <c r="A46">
        <f t="shared" si="1"/>
        <v>8</v>
      </c>
      <c r="B46" t="s">
        <v>609</v>
      </c>
      <c r="C46" t="s">
        <v>605</v>
      </c>
      <c r="D46" t="s">
        <v>190</v>
      </c>
      <c r="E46" t="s">
        <v>574</v>
      </c>
      <c r="F46" t="s">
        <v>583</v>
      </c>
      <c r="G46" t="s">
        <v>584</v>
      </c>
      <c r="H46" t="s">
        <v>585</v>
      </c>
      <c r="I46" t="s">
        <v>496</v>
      </c>
      <c r="J46" t="s">
        <v>173</v>
      </c>
      <c r="K46" s="30">
        <v>43052</v>
      </c>
      <c r="L46" s="8">
        <v>43046.497800925928</v>
      </c>
      <c r="M46" s="21">
        <f>LEN(ProjTextTable[[#This Row],[text]])</f>
        <v>3595</v>
      </c>
      <c r="N46" s="21">
        <f>LEN(TRIM(CLEAN(SUBSTITUTE(ProjTextTable[[#This Row],[text]],CHAR(10)," "))))+1 - LEN(SUBSTITUTE(CLEAN(SUBSTITUTE(ProjTextTable[[#This Row],[text]],CHAR(10)," "))," ",""))</f>
        <v>517</v>
      </c>
      <c r="O46" t="s">
        <v>194</v>
      </c>
      <c r="P46" t="s">
        <v>611</v>
      </c>
    </row>
    <row r="47" spans="1:16" x14ac:dyDescent="0.25">
      <c r="A47">
        <f t="shared" si="1"/>
        <v>8</v>
      </c>
      <c r="B47" t="s">
        <v>609</v>
      </c>
      <c r="C47" t="s">
        <v>605</v>
      </c>
      <c r="D47" t="s">
        <v>190</v>
      </c>
      <c r="E47" t="s">
        <v>574</v>
      </c>
      <c r="F47" t="s">
        <v>612</v>
      </c>
      <c r="G47" t="s">
        <v>613</v>
      </c>
      <c r="H47" t="s">
        <v>614</v>
      </c>
      <c r="I47" t="s">
        <v>173</v>
      </c>
      <c r="J47" t="s">
        <v>173</v>
      </c>
      <c r="K47" s="30">
        <v>43048</v>
      </c>
      <c r="L47" s="8">
        <v>43038.485034722224</v>
      </c>
      <c r="M47" s="21">
        <f>LEN(ProjTextTable[[#This Row],[text]])</f>
        <v>3630</v>
      </c>
      <c r="N47" s="21">
        <f>LEN(TRIM(CLEAN(SUBSTITUTE(ProjTextTable[[#This Row],[text]],CHAR(10)," "))))+1 - LEN(SUBSTITUTE(CLEAN(SUBSTITUTE(ProjTextTable[[#This Row],[text]],CHAR(10)," "))," ",""))</f>
        <v>558</v>
      </c>
      <c r="O47" t="s">
        <v>194</v>
      </c>
      <c r="P47" t="s">
        <v>615</v>
      </c>
    </row>
    <row r="48" spans="1:16" x14ac:dyDescent="0.25">
      <c r="A48">
        <f t="shared" si="1"/>
        <v>8</v>
      </c>
      <c r="B48" t="s">
        <v>609</v>
      </c>
      <c r="C48" t="s">
        <v>605</v>
      </c>
      <c r="D48" t="s">
        <v>508</v>
      </c>
      <c r="E48" t="s">
        <v>574</v>
      </c>
      <c r="F48" t="s">
        <v>609</v>
      </c>
      <c r="G48" t="s">
        <v>559</v>
      </c>
      <c r="H48" t="s">
        <v>560</v>
      </c>
      <c r="K48" s="30"/>
      <c r="L48" s="8">
        <v>43028.533912037034</v>
      </c>
      <c r="M48" s="21">
        <f>LEN(ProjTextTable[[#This Row],[text]])</f>
        <v>15</v>
      </c>
      <c r="N48" s="21">
        <f>LEN(TRIM(CLEAN(SUBSTITUTE(ProjTextTable[[#This Row],[text]],CHAR(10)," "))))+1 - LEN(SUBSTITUTE(CLEAN(SUBSTITUTE(ProjTextTable[[#This Row],[text]],CHAR(10)," "))," ",""))</f>
        <v>2</v>
      </c>
      <c r="O48" t="s">
        <v>13</v>
      </c>
      <c r="P48" t="s">
        <v>560</v>
      </c>
    </row>
    <row r="49" spans="1:16" x14ac:dyDescent="0.25">
      <c r="A49">
        <f t="shared" si="1"/>
        <v>9</v>
      </c>
      <c r="B49" t="s">
        <v>616</v>
      </c>
      <c r="C49" t="s">
        <v>617</v>
      </c>
      <c r="D49" t="s">
        <v>495</v>
      </c>
      <c r="E49" t="s">
        <v>574</v>
      </c>
      <c r="F49" t="s">
        <v>542</v>
      </c>
      <c r="G49" t="s">
        <v>543</v>
      </c>
      <c r="H49" t="s">
        <v>544</v>
      </c>
      <c r="I49" t="s">
        <v>498</v>
      </c>
      <c r="K49" s="30">
        <v>43052</v>
      </c>
      <c r="L49" s="8">
        <v>43052.579988425925</v>
      </c>
      <c r="M49" s="21">
        <f>LEN(ProjTextTable[[#This Row],[text]])</f>
        <v>1</v>
      </c>
      <c r="N49" s="21">
        <f>LEN(TRIM(CLEAN(SUBSTITUTE(ProjTextTable[[#This Row],[text]],CHAR(10)," "))))+1 - LEN(SUBSTITUTE(CLEAN(SUBSTITUTE(ProjTextTable[[#This Row],[text]],CHAR(10)," "))," ",""))</f>
        <v>1</v>
      </c>
      <c r="O49" t="s">
        <v>545</v>
      </c>
      <c r="P49" t="s">
        <v>13</v>
      </c>
    </row>
    <row r="50" spans="1:16" x14ac:dyDescent="0.25">
      <c r="A50">
        <f t="shared" si="1"/>
        <v>9</v>
      </c>
      <c r="B50" t="s">
        <v>616</v>
      </c>
      <c r="C50" t="s">
        <v>617</v>
      </c>
      <c r="D50" t="s">
        <v>190</v>
      </c>
      <c r="E50" t="s">
        <v>574</v>
      </c>
      <c r="F50" t="s">
        <v>546</v>
      </c>
      <c r="G50" t="s">
        <v>547</v>
      </c>
      <c r="H50" t="s">
        <v>548</v>
      </c>
      <c r="I50" t="s">
        <v>496</v>
      </c>
      <c r="J50" t="s">
        <v>173</v>
      </c>
      <c r="K50" s="30">
        <v>43052</v>
      </c>
      <c r="L50" s="8">
        <v>43051.007326388892</v>
      </c>
      <c r="M50" s="21">
        <f>LEN(ProjTextTable[[#This Row],[text]])</f>
        <v>7969</v>
      </c>
      <c r="N50" s="21">
        <f>LEN(TRIM(CLEAN(SUBSTITUTE(ProjTextTable[[#This Row],[text]],CHAR(10)," "))))+1 - LEN(SUBSTITUTE(CLEAN(SUBSTITUTE(ProjTextTable[[#This Row],[text]],CHAR(10)," "))," ",""))</f>
        <v>1154</v>
      </c>
      <c r="O50" t="s">
        <v>194</v>
      </c>
      <c r="P50" t="s">
        <v>618</v>
      </c>
    </row>
    <row r="51" spans="1:16" x14ac:dyDescent="0.25">
      <c r="A51">
        <f t="shared" si="1"/>
        <v>9</v>
      </c>
      <c r="B51" t="s">
        <v>616</v>
      </c>
      <c r="C51" t="s">
        <v>617</v>
      </c>
      <c r="D51" t="s">
        <v>190</v>
      </c>
      <c r="E51" t="s">
        <v>574</v>
      </c>
      <c r="F51" t="s">
        <v>567</v>
      </c>
      <c r="G51" t="s">
        <v>568</v>
      </c>
      <c r="H51" t="s">
        <v>569</v>
      </c>
      <c r="I51" t="s">
        <v>496</v>
      </c>
      <c r="J51" t="s">
        <v>173</v>
      </c>
      <c r="K51" s="30">
        <v>43052</v>
      </c>
      <c r="L51" s="8">
        <v>43052.239178240743</v>
      </c>
      <c r="M51" s="21">
        <f>LEN(ProjTextTable[[#This Row],[text]])</f>
        <v>2442</v>
      </c>
      <c r="N51" s="21">
        <f>LEN(TRIM(CLEAN(SUBSTITUTE(ProjTextTable[[#This Row],[text]],CHAR(10)," "))))+1 - LEN(SUBSTITUTE(CLEAN(SUBSTITUTE(ProjTextTable[[#This Row],[text]],CHAR(10)," "))," ",""))</f>
        <v>347</v>
      </c>
      <c r="O51" t="s">
        <v>195</v>
      </c>
      <c r="P51" t="s">
        <v>619</v>
      </c>
    </row>
    <row r="52" spans="1:16" x14ac:dyDescent="0.25">
      <c r="A52">
        <f t="shared" si="1"/>
        <v>9</v>
      </c>
      <c r="B52" t="s">
        <v>616</v>
      </c>
      <c r="C52" t="s">
        <v>617</v>
      </c>
      <c r="D52" t="s">
        <v>190</v>
      </c>
      <c r="E52" t="s">
        <v>574</v>
      </c>
      <c r="F52" t="s">
        <v>550</v>
      </c>
      <c r="G52" t="s">
        <v>551</v>
      </c>
      <c r="H52" t="s">
        <v>552</v>
      </c>
      <c r="I52" t="s">
        <v>496</v>
      </c>
      <c r="J52" t="s">
        <v>173</v>
      </c>
      <c r="K52" s="30">
        <v>43052</v>
      </c>
      <c r="L52" s="8">
        <v>43050.509606481479</v>
      </c>
      <c r="M52" s="21">
        <f>LEN(ProjTextTable[[#This Row],[text]])</f>
        <v>3680</v>
      </c>
      <c r="N52" s="21">
        <f>LEN(TRIM(CLEAN(SUBSTITUTE(ProjTextTable[[#This Row],[text]],CHAR(10)," "))))+1 - LEN(SUBSTITUTE(CLEAN(SUBSTITUTE(ProjTextTable[[#This Row],[text]],CHAR(10)," "))," ",""))</f>
        <v>534</v>
      </c>
      <c r="O52" t="s">
        <v>194</v>
      </c>
      <c r="P52" t="s">
        <v>620</v>
      </c>
    </row>
    <row r="53" spans="1:16" x14ac:dyDescent="0.25">
      <c r="A53">
        <f t="shared" si="1"/>
        <v>9</v>
      </c>
      <c r="B53" t="s">
        <v>616</v>
      </c>
      <c r="C53" t="s">
        <v>617</v>
      </c>
      <c r="D53" t="s">
        <v>192</v>
      </c>
      <c r="E53" t="s">
        <v>574</v>
      </c>
      <c r="F53" t="s">
        <v>13</v>
      </c>
      <c r="G53" t="s">
        <v>13</v>
      </c>
      <c r="H53" t="s">
        <v>13</v>
      </c>
      <c r="K53" s="30"/>
      <c r="L53" s="8">
        <v>42994.043171296296</v>
      </c>
      <c r="M53" s="21">
        <f>LEN(ProjTextTable[[#This Row],[text]])</f>
        <v>4590</v>
      </c>
      <c r="N53" s="21">
        <f>LEN(TRIM(CLEAN(SUBSTITUTE(ProjTextTable[[#This Row],[text]],CHAR(10)," "))))+1 - LEN(SUBSTITUTE(CLEAN(SUBSTITUTE(ProjTextTable[[#This Row],[text]],CHAR(10)," "))," ",""))</f>
        <v>625</v>
      </c>
      <c r="O53" t="s">
        <v>13</v>
      </c>
      <c r="P53" t="s">
        <v>621</v>
      </c>
    </row>
    <row r="54" spans="1:16" x14ac:dyDescent="0.25">
      <c r="A54">
        <f t="shared" si="1"/>
        <v>9</v>
      </c>
      <c r="B54" t="s">
        <v>616</v>
      </c>
      <c r="C54" t="s">
        <v>617</v>
      </c>
      <c r="D54" t="s">
        <v>508</v>
      </c>
      <c r="E54" t="s">
        <v>574</v>
      </c>
      <c r="F54" t="s">
        <v>616</v>
      </c>
      <c r="G54" t="s">
        <v>559</v>
      </c>
      <c r="H54" t="s">
        <v>560</v>
      </c>
      <c r="K54" s="30"/>
      <c r="L54" s="8">
        <v>43028.519108796296</v>
      </c>
      <c r="M54" s="21">
        <f>LEN(ProjTextTable[[#This Row],[text]])</f>
        <v>15</v>
      </c>
      <c r="N54" s="21">
        <f>LEN(TRIM(CLEAN(SUBSTITUTE(ProjTextTable[[#This Row],[text]],CHAR(10)," "))))+1 - LEN(SUBSTITUTE(CLEAN(SUBSTITUTE(ProjTextTable[[#This Row],[text]],CHAR(10)," "))," ",""))</f>
        <v>2</v>
      </c>
      <c r="O54" t="s">
        <v>13</v>
      </c>
      <c r="P54" t="s">
        <v>560</v>
      </c>
    </row>
    <row r="55" spans="1:16" x14ac:dyDescent="0.25">
      <c r="A55">
        <f t="shared" si="1"/>
        <v>10</v>
      </c>
      <c r="B55" t="s">
        <v>622</v>
      </c>
      <c r="C55" t="s">
        <v>623</v>
      </c>
      <c r="D55" t="s">
        <v>495</v>
      </c>
      <c r="E55" t="s">
        <v>574</v>
      </c>
      <c r="F55" t="s">
        <v>542</v>
      </c>
      <c r="G55" t="s">
        <v>543</v>
      </c>
      <c r="H55" t="s">
        <v>624</v>
      </c>
      <c r="I55" t="s">
        <v>497</v>
      </c>
      <c r="K55" s="30">
        <v>43052</v>
      </c>
      <c r="L55" s="8">
        <v>43052.635266203702</v>
      </c>
      <c r="M55" s="21">
        <f>LEN(ProjTextTable[[#This Row],[text]])</f>
        <v>4137</v>
      </c>
      <c r="N55" s="21">
        <f>LEN(TRIM(CLEAN(SUBSTITUTE(ProjTextTable[[#This Row],[text]],CHAR(10)," "))))+1 - LEN(SUBSTITUTE(CLEAN(SUBSTITUTE(ProjTextTable[[#This Row],[text]],CHAR(10)," "))," ",""))</f>
        <v>597</v>
      </c>
      <c r="O55" t="s">
        <v>119</v>
      </c>
      <c r="P55" t="s">
        <v>625</v>
      </c>
    </row>
    <row r="56" spans="1:16" x14ac:dyDescent="0.25">
      <c r="A56">
        <f t="shared" si="1"/>
        <v>10</v>
      </c>
      <c r="B56" t="s">
        <v>622</v>
      </c>
      <c r="C56" t="s">
        <v>623</v>
      </c>
      <c r="D56" t="s">
        <v>190</v>
      </c>
      <c r="E56" t="s">
        <v>574</v>
      </c>
      <c r="F56" t="s">
        <v>546</v>
      </c>
      <c r="G56" t="s">
        <v>547</v>
      </c>
      <c r="H56" t="s">
        <v>548</v>
      </c>
      <c r="I56" t="s">
        <v>496</v>
      </c>
      <c r="J56" t="s">
        <v>173</v>
      </c>
      <c r="K56" s="30">
        <v>43052</v>
      </c>
      <c r="L56" s="8">
        <v>43051.034513888888</v>
      </c>
      <c r="M56" s="21">
        <f>LEN(ProjTextTable[[#This Row],[text]])</f>
        <v>5037</v>
      </c>
      <c r="N56" s="21">
        <f>LEN(TRIM(CLEAN(SUBSTITUTE(ProjTextTable[[#This Row],[text]],CHAR(10)," "))))+1 - LEN(SUBSTITUTE(CLEAN(SUBSTITUTE(ProjTextTable[[#This Row],[text]],CHAR(10)," "))," ",""))</f>
        <v>734</v>
      </c>
      <c r="O56" t="s">
        <v>191</v>
      </c>
      <c r="P56" t="s">
        <v>626</v>
      </c>
    </row>
    <row r="57" spans="1:16" x14ac:dyDescent="0.25">
      <c r="A57">
        <f t="shared" si="1"/>
        <v>10</v>
      </c>
      <c r="B57" t="s">
        <v>622</v>
      </c>
      <c r="C57" t="s">
        <v>623</v>
      </c>
      <c r="D57" t="s">
        <v>190</v>
      </c>
      <c r="E57" t="s">
        <v>574</v>
      </c>
      <c r="F57" t="s">
        <v>583</v>
      </c>
      <c r="G57" t="s">
        <v>584</v>
      </c>
      <c r="H57" t="s">
        <v>585</v>
      </c>
      <c r="I57" t="s">
        <v>496</v>
      </c>
      <c r="J57" t="s">
        <v>173</v>
      </c>
      <c r="K57" s="30">
        <v>43052</v>
      </c>
      <c r="L57" s="8">
        <v>43045.415509259263</v>
      </c>
      <c r="M57" s="21">
        <f>LEN(ProjTextTable[[#This Row],[text]])</f>
        <v>2250</v>
      </c>
      <c r="N57" s="21">
        <f>LEN(TRIM(CLEAN(SUBSTITUTE(ProjTextTable[[#This Row],[text]],CHAR(10)," "))))+1 - LEN(SUBSTITUTE(CLEAN(SUBSTITUTE(ProjTextTable[[#This Row],[text]],CHAR(10)," "))," ",""))</f>
        <v>348</v>
      </c>
      <c r="O57" t="s">
        <v>191</v>
      </c>
      <c r="P57" t="s">
        <v>627</v>
      </c>
    </row>
    <row r="58" spans="1:16" x14ac:dyDescent="0.25">
      <c r="A58">
        <f t="shared" si="1"/>
        <v>10</v>
      </c>
      <c r="B58" t="s">
        <v>622</v>
      </c>
      <c r="C58" t="s">
        <v>623</v>
      </c>
      <c r="D58" t="s">
        <v>190</v>
      </c>
      <c r="E58" t="s">
        <v>574</v>
      </c>
      <c r="F58" t="s">
        <v>550</v>
      </c>
      <c r="G58" t="s">
        <v>551</v>
      </c>
      <c r="H58" t="s">
        <v>552</v>
      </c>
      <c r="I58" t="s">
        <v>496</v>
      </c>
      <c r="J58" t="s">
        <v>173</v>
      </c>
      <c r="K58" s="30">
        <v>43052</v>
      </c>
      <c r="L58" s="8">
        <v>43050.712094907409</v>
      </c>
      <c r="M58" s="21">
        <f>LEN(ProjTextTable[[#This Row],[text]])</f>
        <v>2368</v>
      </c>
      <c r="N58" s="21">
        <f>LEN(TRIM(CLEAN(SUBSTITUTE(ProjTextTable[[#This Row],[text]],CHAR(10)," "))))+1 - LEN(SUBSTITUTE(CLEAN(SUBSTITUTE(ProjTextTable[[#This Row],[text]],CHAR(10)," "))," ",""))</f>
        <v>337</v>
      </c>
      <c r="O58" t="s">
        <v>226</v>
      </c>
      <c r="P58" t="s">
        <v>628</v>
      </c>
    </row>
    <row r="59" spans="1:16" x14ac:dyDescent="0.25">
      <c r="A59">
        <f t="shared" si="1"/>
        <v>10</v>
      </c>
      <c r="B59" t="s">
        <v>622</v>
      </c>
      <c r="C59" t="s">
        <v>623</v>
      </c>
      <c r="D59" t="s">
        <v>190</v>
      </c>
      <c r="E59" t="s">
        <v>574</v>
      </c>
      <c r="F59" t="s">
        <v>554</v>
      </c>
      <c r="G59" t="s">
        <v>555</v>
      </c>
      <c r="H59" t="s">
        <v>556</v>
      </c>
      <c r="I59" t="s">
        <v>496</v>
      </c>
      <c r="J59" t="s">
        <v>173</v>
      </c>
      <c r="K59" s="30">
        <v>43052</v>
      </c>
      <c r="L59" s="8">
        <v>43052.446053240739</v>
      </c>
      <c r="M59" s="21">
        <f>LEN(ProjTextTable[[#This Row],[text]])</f>
        <v>2428</v>
      </c>
      <c r="N59" s="21">
        <f>LEN(TRIM(CLEAN(SUBSTITUTE(ProjTextTable[[#This Row],[text]],CHAR(10)," "))))+1 - LEN(SUBSTITUTE(CLEAN(SUBSTITUTE(ProjTextTable[[#This Row],[text]],CHAR(10)," "))," ",""))</f>
        <v>323</v>
      </c>
      <c r="O59" t="s">
        <v>191</v>
      </c>
      <c r="P59" t="s">
        <v>629</v>
      </c>
    </row>
    <row r="60" spans="1:16" x14ac:dyDescent="0.25">
      <c r="A60">
        <f t="shared" si="1"/>
        <v>10</v>
      </c>
      <c r="B60" t="s">
        <v>622</v>
      </c>
      <c r="C60" t="s">
        <v>623</v>
      </c>
      <c r="D60" t="s">
        <v>192</v>
      </c>
      <c r="E60" t="s">
        <v>574</v>
      </c>
      <c r="F60" t="s">
        <v>13</v>
      </c>
      <c r="G60" t="s">
        <v>13</v>
      </c>
      <c r="H60" t="s">
        <v>13</v>
      </c>
      <c r="K60" s="30"/>
      <c r="L60" s="8">
        <v>42994.043506944443</v>
      </c>
      <c r="M60" s="21">
        <f>LEN(ProjTextTable[[#This Row],[text]])</f>
        <v>4594</v>
      </c>
      <c r="N60" s="21">
        <f>LEN(TRIM(CLEAN(SUBSTITUTE(ProjTextTable[[#This Row],[text]],CHAR(10)," "))))+1 - LEN(SUBSTITUTE(CLEAN(SUBSTITUTE(ProjTextTable[[#This Row],[text]],CHAR(10)," "))," ",""))</f>
        <v>643</v>
      </c>
      <c r="O60" t="s">
        <v>13</v>
      </c>
      <c r="P60" t="s">
        <v>630</v>
      </c>
    </row>
    <row r="61" spans="1:16" x14ac:dyDescent="0.25">
      <c r="A61">
        <f t="shared" si="1"/>
        <v>10</v>
      </c>
      <c r="B61" t="s">
        <v>622</v>
      </c>
      <c r="C61" t="s">
        <v>623</v>
      </c>
      <c r="D61" t="s">
        <v>508</v>
      </c>
      <c r="E61" t="s">
        <v>574</v>
      </c>
      <c r="F61" t="s">
        <v>622</v>
      </c>
      <c r="G61" t="s">
        <v>559</v>
      </c>
      <c r="H61" t="s">
        <v>560</v>
      </c>
      <c r="K61" s="30"/>
      <c r="L61" s="8">
        <v>43028.520266203705</v>
      </c>
      <c r="M61" s="21">
        <f>LEN(ProjTextTable[[#This Row],[text]])</f>
        <v>15</v>
      </c>
      <c r="N61" s="21">
        <f>LEN(TRIM(CLEAN(SUBSTITUTE(ProjTextTable[[#This Row],[text]],CHAR(10)," "))))+1 - LEN(SUBSTITUTE(CLEAN(SUBSTITUTE(ProjTextTable[[#This Row],[text]],CHAR(10)," "))," ",""))</f>
        <v>2</v>
      </c>
      <c r="O61" t="s">
        <v>13</v>
      </c>
      <c r="P61" t="s">
        <v>560</v>
      </c>
    </row>
    <row r="62" spans="1:16" x14ac:dyDescent="0.25">
      <c r="A62">
        <f t="shared" si="1"/>
        <v>11</v>
      </c>
      <c r="B62" t="s">
        <v>631</v>
      </c>
      <c r="C62" t="s">
        <v>632</v>
      </c>
      <c r="D62" t="s">
        <v>495</v>
      </c>
      <c r="E62" t="s">
        <v>574</v>
      </c>
      <c r="F62" t="s">
        <v>542</v>
      </c>
      <c r="G62" t="s">
        <v>543</v>
      </c>
      <c r="H62" t="s">
        <v>544</v>
      </c>
      <c r="I62" t="s">
        <v>498</v>
      </c>
      <c r="K62" s="30">
        <v>43052</v>
      </c>
      <c r="L62" s="8">
        <v>43052.579988425925</v>
      </c>
      <c r="M62" s="21">
        <f>LEN(ProjTextTable[[#This Row],[text]])</f>
        <v>1</v>
      </c>
      <c r="N62" s="21">
        <f>LEN(TRIM(CLEAN(SUBSTITUTE(ProjTextTable[[#This Row],[text]],CHAR(10)," "))))+1 - LEN(SUBSTITUTE(CLEAN(SUBSTITUTE(ProjTextTable[[#This Row],[text]],CHAR(10)," "))," ",""))</f>
        <v>1</v>
      </c>
      <c r="O62" t="s">
        <v>545</v>
      </c>
      <c r="P62" t="s">
        <v>13</v>
      </c>
    </row>
    <row r="63" spans="1:16" x14ac:dyDescent="0.25">
      <c r="A63">
        <f t="shared" si="1"/>
        <v>11</v>
      </c>
      <c r="B63" t="s">
        <v>631</v>
      </c>
      <c r="C63" t="s">
        <v>632</v>
      </c>
      <c r="D63" t="s">
        <v>190</v>
      </c>
      <c r="E63" t="s">
        <v>574</v>
      </c>
      <c r="F63" t="s">
        <v>583</v>
      </c>
      <c r="G63" t="s">
        <v>584</v>
      </c>
      <c r="H63" t="s">
        <v>585</v>
      </c>
      <c r="I63" t="s">
        <v>496</v>
      </c>
      <c r="J63" t="s">
        <v>173</v>
      </c>
      <c r="K63" s="30">
        <v>43052</v>
      </c>
      <c r="L63" s="8">
        <v>43045.493472222224</v>
      </c>
      <c r="M63" s="21">
        <f>LEN(ProjTextTable[[#This Row],[text]])</f>
        <v>4083</v>
      </c>
      <c r="N63" s="21">
        <f>LEN(TRIM(CLEAN(SUBSTITUTE(ProjTextTable[[#This Row],[text]],CHAR(10)," "))))+1 - LEN(SUBSTITUTE(CLEAN(SUBSTITUTE(ProjTextTable[[#This Row],[text]],CHAR(10)," "))," ",""))</f>
        <v>601</v>
      </c>
      <c r="O63" t="s">
        <v>194</v>
      </c>
      <c r="P63" t="s">
        <v>633</v>
      </c>
    </row>
    <row r="64" spans="1:16" x14ac:dyDescent="0.25">
      <c r="A64">
        <f t="shared" si="1"/>
        <v>11</v>
      </c>
      <c r="B64" t="s">
        <v>631</v>
      </c>
      <c r="C64" t="s">
        <v>632</v>
      </c>
      <c r="D64" t="s">
        <v>190</v>
      </c>
      <c r="E64" t="s">
        <v>574</v>
      </c>
      <c r="F64" t="s">
        <v>567</v>
      </c>
      <c r="G64" t="s">
        <v>568</v>
      </c>
      <c r="H64" t="s">
        <v>569</v>
      </c>
      <c r="I64" t="s">
        <v>496</v>
      </c>
      <c r="J64" t="s">
        <v>173</v>
      </c>
      <c r="K64" s="30">
        <v>43052</v>
      </c>
      <c r="L64" s="8">
        <v>43051.906828703701</v>
      </c>
      <c r="M64" s="21">
        <f>LEN(ProjTextTable[[#This Row],[text]])</f>
        <v>1943</v>
      </c>
      <c r="N64" s="21">
        <f>LEN(TRIM(CLEAN(SUBSTITUTE(ProjTextTable[[#This Row],[text]],CHAR(10)," "))))+1 - LEN(SUBSTITUTE(CLEAN(SUBSTITUTE(ProjTextTable[[#This Row],[text]],CHAR(10)," "))," ",""))</f>
        <v>267</v>
      </c>
      <c r="O64" t="s">
        <v>194</v>
      </c>
      <c r="P64" t="s">
        <v>634</v>
      </c>
    </row>
    <row r="65" spans="1:16" x14ac:dyDescent="0.25">
      <c r="A65">
        <f t="shared" si="1"/>
        <v>11</v>
      </c>
      <c r="B65" t="s">
        <v>631</v>
      </c>
      <c r="C65" t="s">
        <v>632</v>
      </c>
      <c r="D65" t="s">
        <v>190</v>
      </c>
      <c r="E65" t="s">
        <v>574</v>
      </c>
      <c r="F65" t="s">
        <v>554</v>
      </c>
      <c r="G65" t="s">
        <v>555</v>
      </c>
      <c r="H65" t="s">
        <v>556</v>
      </c>
      <c r="I65" t="s">
        <v>496</v>
      </c>
      <c r="J65" t="s">
        <v>173</v>
      </c>
      <c r="K65" s="30">
        <v>43052</v>
      </c>
      <c r="L65" s="8">
        <v>43052.349224537036</v>
      </c>
      <c r="M65" s="21">
        <f>LEN(ProjTextTable[[#This Row],[text]])</f>
        <v>1550</v>
      </c>
      <c r="N65" s="21">
        <f>LEN(TRIM(CLEAN(SUBSTITUTE(ProjTextTable[[#This Row],[text]],CHAR(10)," "))))+1 - LEN(SUBSTITUTE(CLEAN(SUBSTITUTE(ProjTextTable[[#This Row],[text]],CHAR(10)," "))," ",""))</f>
        <v>208</v>
      </c>
      <c r="O65" t="s">
        <v>194</v>
      </c>
      <c r="P65" t="s">
        <v>635</v>
      </c>
    </row>
    <row r="66" spans="1:16" x14ac:dyDescent="0.25">
      <c r="A66">
        <f t="shared" ref="A66:A97" si="2">A65+(B66&lt;&gt;B65)</f>
        <v>11</v>
      </c>
      <c r="B66" t="s">
        <v>631</v>
      </c>
      <c r="C66" t="s">
        <v>632</v>
      </c>
      <c r="D66" t="s">
        <v>192</v>
      </c>
      <c r="E66" t="s">
        <v>574</v>
      </c>
      <c r="F66" t="s">
        <v>13</v>
      </c>
      <c r="G66" t="s">
        <v>13</v>
      </c>
      <c r="H66" t="s">
        <v>13</v>
      </c>
      <c r="K66" s="30"/>
      <c r="L66" s="8">
        <v>42997.04278935185</v>
      </c>
      <c r="M66" s="21">
        <f>LEN(ProjTextTable[[#This Row],[text]])</f>
        <v>4646</v>
      </c>
      <c r="N66" s="21">
        <f>LEN(TRIM(CLEAN(SUBSTITUTE(ProjTextTable[[#This Row],[text]],CHAR(10)," "))))+1 - LEN(SUBSTITUTE(CLEAN(SUBSTITUTE(ProjTextTable[[#This Row],[text]],CHAR(10)," "))," ",""))</f>
        <v>621</v>
      </c>
      <c r="O66" t="s">
        <v>13</v>
      </c>
      <c r="P66" t="s">
        <v>636</v>
      </c>
    </row>
    <row r="67" spans="1:16" x14ac:dyDescent="0.25">
      <c r="A67">
        <f t="shared" si="2"/>
        <v>11</v>
      </c>
      <c r="B67" t="s">
        <v>631</v>
      </c>
      <c r="C67" t="s">
        <v>632</v>
      </c>
      <c r="D67" t="s">
        <v>508</v>
      </c>
      <c r="E67" t="s">
        <v>574</v>
      </c>
      <c r="F67" t="s">
        <v>631</v>
      </c>
      <c r="G67" t="s">
        <v>559</v>
      </c>
      <c r="H67" t="s">
        <v>560</v>
      </c>
      <c r="K67" s="30"/>
      <c r="L67" s="8">
        <v>43028.516759259262</v>
      </c>
      <c r="M67" s="21">
        <f>LEN(ProjTextTable[[#This Row],[text]])</f>
        <v>15</v>
      </c>
      <c r="N67" s="21">
        <f>LEN(TRIM(CLEAN(SUBSTITUTE(ProjTextTable[[#This Row],[text]],CHAR(10)," "))))+1 - LEN(SUBSTITUTE(CLEAN(SUBSTITUTE(ProjTextTable[[#This Row],[text]],CHAR(10)," "))," ",""))</f>
        <v>2</v>
      </c>
      <c r="O67" t="s">
        <v>13</v>
      </c>
      <c r="P67" t="s">
        <v>560</v>
      </c>
    </row>
    <row r="68" spans="1:16" x14ac:dyDescent="0.25">
      <c r="A68">
        <f t="shared" si="2"/>
        <v>12</v>
      </c>
      <c r="B68" t="s">
        <v>637</v>
      </c>
      <c r="C68" t="s">
        <v>513</v>
      </c>
      <c r="D68" t="s">
        <v>495</v>
      </c>
      <c r="E68" t="s">
        <v>574</v>
      </c>
      <c r="F68" t="s">
        <v>542</v>
      </c>
      <c r="G68" t="s">
        <v>543</v>
      </c>
      <c r="H68" t="s">
        <v>544</v>
      </c>
      <c r="I68" t="s">
        <v>498</v>
      </c>
      <c r="K68" s="30">
        <v>43052</v>
      </c>
      <c r="L68" s="8">
        <v>43052.579988425925</v>
      </c>
      <c r="M68" s="21">
        <f>LEN(ProjTextTable[[#This Row],[text]])</f>
        <v>1</v>
      </c>
      <c r="N68" s="21">
        <f>LEN(TRIM(CLEAN(SUBSTITUTE(ProjTextTable[[#This Row],[text]],CHAR(10)," "))))+1 - LEN(SUBSTITUTE(CLEAN(SUBSTITUTE(ProjTextTable[[#This Row],[text]],CHAR(10)," "))," ",""))</f>
        <v>1</v>
      </c>
      <c r="O68" t="s">
        <v>545</v>
      </c>
      <c r="P68" t="s">
        <v>13</v>
      </c>
    </row>
    <row r="69" spans="1:16" x14ac:dyDescent="0.25">
      <c r="A69">
        <f t="shared" si="2"/>
        <v>12</v>
      </c>
      <c r="B69" t="s">
        <v>637</v>
      </c>
      <c r="C69" t="s">
        <v>513</v>
      </c>
      <c r="D69" t="s">
        <v>190</v>
      </c>
      <c r="E69" t="s">
        <v>574</v>
      </c>
      <c r="F69" t="s">
        <v>583</v>
      </c>
      <c r="G69" t="s">
        <v>584</v>
      </c>
      <c r="H69" t="s">
        <v>585</v>
      </c>
      <c r="I69" t="s">
        <v>496</v>
      </c>
      <c r="J69" t="s">
        <v>173</v>
      </c>
      <c r="K69" s="30">
        <v>43052</v>
      </c>
      <c r="L69" s="8">
        <v>43044.619027777779</v>
      </c>
      <c r="M69" s="21">
        <f>LEN(ProjTextTable[[#This Row],[text]])</f>
        <v>2835</v>
      </c>
      <c r="N69" s="21">
        <f>LEN(TRIM(CLEAN(SUBSTITUTE(ProjTextTable[[#This Row],[text]],CHAR(10)," "))))+1 - LEN(SUBSTITUTE(CLEAN(SUBSTITUTE(ProjTextTable[[#This Row],[text]],CHAR(10)," "))," ",""))</f>
        <v>425</v>
      </c>
      <c r="O69" t="s">
        <v>194</v>
      </c>
      <c r="P69" t="s">
        <v>638</v>
      </c>
    </row>
    <row r="70" spans="1:16" x14ac:dyDescent="0.25">
      <c r="A70">
        <f t="shared" si="2"/>
        <v>12</v>
      </c>
      <c r="B70" t="s">
        <v>637</v>
      </c>
      <c r="C70" t="s">
        <v>513</v>
      </c>
      <c r="D70" t="s">
        <v>190</v>
      </c>
      <c r="E70" t="s">
        <v>574</v>
      </c>
      <c r="F70" t="s">
        <v>567</v>
      </c>
      <c r="G70" t="s">
        <v>568</v>
      </c>
      <c r="H70" t="s">
        <v>569</v>
      </c>
      <c r="I70" t="s">
        <v>496</v>
      </c>
      <c r="J70" t="s">
        <v>173</v>
      </c>
      <c r="K70" s="30">
        <v>43052</v>
      </c>
      <c r="L70" s="8">
        <v>43052.259085648147</v>
      </c>
      <c r="M70" s="21">
        <f>LEN(ProjTextTable[[#This Row],[text]])</f>
        <v>1458</v>
      </c>
      <c r="N70" s="21">
        <f>LEN(TRIM(CLEAN(SUBSTITUTE(ProjTextTable[[#This Row],[text]],CHAR(10)," "))))+1 - LEN(SUBSTITUTE(CLEAN(SUBSTITUTE(ProjTextTable[[#This Row],[text]],CHAR(10)," "))," ",""))</f>
        <v>214</v>
      </c>
      <c r="O70" t="s">
        <v>194</v>
      </c>
      <c r="P70" t="s">
        <v>639</v>
      </c>
    </row>
    <row r="71" spans="1:16" x14ac:dyDescent="0.25">
      <c r="A71">
        <f t="shared" si="2"/>
        <v>12</v>
      </c>
      <c r="B71" t="s">
        <v>637</v>
      </c>
      <c r="C71" t="s">
        <v>513</v>
      </c>
      <c r="D71" t="s">
        <v>190</v>
      </c>
      <c r="E71" t="s">
        <v>574</v>
      </c>
      <c r="F71" t="s">
        <v>550</v>
      </c>
      <c r="G71" t="s">
        <v>551</v>
      </c>
      <c r="H71" t="s">
        <v>552</v>
      </c>
      <c r="I71" t="s">
        <v>496</v>
      </c>
      <c r="J71" t="s">
        <v>173</v>
      </c>
      <c r="K71" s="30">
        <v>43052</v>
      </c>
      <c r="L71" s="8">
        <v>43050.661238425928</v>
      </c>
      <c r="M71" s="21">
        <f>LEN(ProjTextTable[[#This Row],[text]])</f>
        <v>1834</v>
      </c>
      <c r="N71" s="21">
        <f>LEN(TRIM(CLEAN(SUBSTITUTE(ProjTextTable[[#This Row],[text]],CHAR(10)," "))))+1 - LEN(SUBSTITUTE(CLEAN(SUBSTITUTE(ProjTextTable[[#This Row],[text]],CHAR(10)," "))," ",""))</f>
        <v>258</v>
      </c>
      <c r="O71" t="s">
        <v>194</v>
      </c>
      <c r="P71" t="s">
        <v>640</v>
      </c>
    </row>
    <row r="72" spans="1:16" x14ac:dyDescent="0.25">
      <c r="A72">
        <f t="shared" si="2"/>
        <v>12</v>
      </c>
      <c r="B72" t="s">
        <v>637</v>
      </c>
      <c r="C72" t="s">
        <v>513</v>
      </c>
      <c r="D72" t="s">
        <v>192</v>
      </c>
      <c r="E72" t="s">
        <v>574</v>
      </c>
      <c r="F72" t="s">
        <v>13</v>
      </c>
      <c r="G72" t="s">
        <v>13</v>
      </c>
      <c r="H72" t="s">
        <v>13</v>
      </c>
      <c r="K72" s="30"/>
      <c r="L72" s="8">
        <v>43000.04247685185</v>
      </c>
      <c r="M72" s="21">
        <f>LEN(ProjTextTable[[#This Row],[text]])</f>
        <v>3961</v>
      </c>
      <c r="N72" s="21">
        <f>LEN(TRIM(CLEAN(SUBSTITUTE(ProjTextTable[[#This Row],[text]],CHAR(10)," "))))+1 - LEN(SUBSTITUTE(CLEAN(SUBSTITUTE(ProjTextTable[[#This Row],[text]],CHAR(10)," "))," ",""))</f>
        <v>547</v>
      </c>
      <c r="O72" t="s">
        <v>13</v>
      </c>
      <c r="P72" t="s">
        <v>641</v>
      </c>
    </row>
    <row r="73" spans="1:16" x14ac:dyDescent="0.25">
      <c r="A73">
        <f t="shared" si="2"/>
        <v>12</v>
      </c>
      <c r="B73" t="s">
        <v>637</v>
      </c>
      <c r="C73" t="s">
        <v>513</v>
      </c>
      <c r="D73" t="s">
        <v>508</v>
      </c>
      <c r="E73" t="s">
        <v>574</v>
      </c>
      <c r="F73" t="s">
        <v>637</v>
      </c>
      <c r="G73" t="s">
        <v>559</v>
      </c>
      <c r="H73" t="s">
        <v>560</v>
      </c>
      <c r="K73" s="30"/>
      <c r="L73" s="8">
        <v>43028.517523148148</v>
      </c>
      <c r="M73" s="21">
        <f>LEN(ProjTextTable[[#This Row],[text]])</f>
        <v>15</v>
      </c>
      <c r="N73" s="21">
        <f>LEN(TRIM(CLEAN(SUBSTITUTE(ProjTextTable[[#This Row],[text]],CHAR(10)," "))))+1 - LEN(SUBSTITUTE(CLEAN(SUBSTITUTE(ProjTextTable[[#This Row],[text]],CHAR(10)," "))," ",""))</f>
        <v>2</v>
      </c>
      <c r="O73" t="s">
        <v>13</v>
      </c>
      <c r="P73" t="s">
        <v>560</v>
      </c>
    </row>
    <row r="74" spans="1:16" x14ac:dyDescent="0.25">
      <c r="A74">
        <f t="shared" si="2"/>
        <v>13</v>
      </c>
      <c r="B74" t="s">
        <v>642</v>
      </c>
      <c r="C74" t="s">
        <v>643</v>
      </c>
      <c r="D74" t="s">
        <v>495</v>
      </c>
      <c r="E74" t="s">
        <v>574</v>
      </c>
      <c r="F74" t="s">
        <v>542</v>
      </c>
      <c r="G74" t="s">
        <v>543</v>
      </c>
      <c r="H74" t="s">
        <v>544</v>
      </c>
      <c r="I74" t="s">
        <v>498</v>
      </c>
      <c r="K74" s="30">
        <v>43052</v>
      </c>
      <c r="L74" s="8">
        <v>43052.640590277777</v>
      </c>
      <c r="M74" s="21">
        <f>LEN(ProjTextTable[[#This Row],[text]])</f>
        <v>4319</v>
      </c>
      <c r="N74" s="21">
        <f>LEN(TRIM(CLEAN(SUBSTITUTE(ProjTextTable[[#This Row],[text]],CHAR(10)," "))))+1 - LEN(SUBSTITUTE(CLEAN(SUBSTITUTE(ProjTextTable[[#This Row],[text]],CHAR(10)," "))," ",""))</f>
        <v>631</v>
      </c>
      <c r="O74" t="s">
        <v>545</v>
      </c>
      <c r="P74" t="s">
        <v>644</v>
      </c>
    </row>
    <row r="75" spans="1:16" x14ac:dyDescent="0.25">
      <c r="A75">
        <f t="shared" si="2"/>
        <v>13</v>
      </c>
      <c r="B75" t="s">
        <v>642</v>
      </c>
      <c r="C75" t="s">
        <v>643</v>
      </c>
      <c r="D75" t="s">
        <v>190</v>
      </c>
      <c r="E75" t="s">
        <v>574</v>
      </c>
      <c r="F75" t="s">
        <v>575</v>
      </c>
      <c r="G75" t="s">
        <v>576</v>
      </c>
      <c r="H75" t="s">
        <v>577</v>
      </c>
      <c r="I75" t="s">
        <v>198</v>
      </c>
      <c r="J75" t="s">
        <v>499</v>
      </c>
      <c r="K75" s="30">
        <v>43052</v>
      </c>
      <c r="L75" s="8">
        <v>43046.486608796295</v>
      </c>
      <c r="M75" s="21">
        <f>LEN(ProjTextTable[[#This Row],[text]])</f>
        <v>1868</v>
      </c>
      <c r="N75" s="21">
        <f>LEN(TRIM(CLEAN(SUBSTITUTE(ProjTextTable[[#This Row],[text]],CHAR(10)," "))))+1 - LEN(SUBSTITUTE(CLEAN(SUBSTITUTE(ProjTextTable[[#This Row],[text]],CHAR(10)," "))," ",""))</f>
        <v>283</v>
      </c>
      <c r="O75" t="s">
        <v>194</v>
      </c>
      <c r="P75" t="s">
        <v>645</v>
      </c>
    </row>
    <row r="76" spans="1:16" x14ac:dyDescent="0.25">
      <c r="A76">
        <f t="shared" si="2"/>
        <v>13</v>
      </c>
      <c r="B76" t="s">
        <v>642</v>
      </c>
      <c r="C76" t="s">
        <v>643</v>
      </c>
      <c r="D76" t="s">
        <v>190</v>
      </c>
      <c r="E76" t="s">
        <v>574</v>
      </c>
      <c r="F76" t="s">
        <v>546</v>
      </c>
      <c r="G76" t="s">
        <v>547</v>
      </c>
      <c r="H76" t="s">
        <v>548</v>
      </c>
      <c r="I76" t="s">
        <v>496</v>
      </c>
      <c r="J76" t="s">
        <v>173</v>
      </c>
      <c r="K76" s="30">
        <v>43052</v>
      </c>
      <c r="L76" s="8">
        <v>43051.01667824074</v>
      </c>
      <c r="M76" s="21">
        <f>LEN(ProjTextTable[[#This Row],[text]])</f>
        <v>4534</v>
      </c>
      <c r="N76" s="21">
        <f>LEN(TRIM(CLEAN(SUBSTITUTE(ProjTextTable[[#This Row],[text]],CHAR(10)," "))))+1 - LEN(SUBSTITUTE(CLEAN(SUBSTITUTE(ProjTextTable[[#This Row],[text]],CHAR(10)," "))," ",""))</f>
        <v>647</v>
      </c>
      <c r="O76" t="s">
        <v>194</v>
      </c>
      <c r="P76" t="s">
        <v>646</v>
      </c>
    </row>
    <row r="77" spans="1:16" x14ac:dyDescent="0.25">
      <c r="A77">
        <f t="shared" si="2"/>
        <v>13</v>
      </c>
      <c r="B77" t="s">
        <v>642</v>
      </c>
      <c r="C77" t="s">
        <v>643</v>
      </c>
      <c r="D77" t="s">
        <v>190</v>
      </c>
      <c r="E77" t="s">
        <v>574</v>
      </c>
      <c r="F77" t="s">
        <v>583</v>
      </c>
      <c r="G77" t="s">
        <v>584</v>
      </c>
      <c r="H77" t="s">
        <v>585</v>
      </c>
      <c r="I77" t="s">
        <v>496</v>
      </c>
      <c r="J77" t="s">
        <v>173</v>
      </c>
      <c r="K77" s="30">
        <v>43052</v>
      </c>
      <c r="L77" s="8">
        <v>43046.464305555557</v>
      </c>
      <c r="M77" s="21">
        <f>LEN(ProjTextTable[[#This Row],[text]])</f>
        <v>3451</v>
      </c>
      <c r="N77" s="21">
        <f>LEN(TRIM(CLEAN(SUBSTITUTE(ProjTextTable[[#This Row],[text]],CHAR(10)," "))))+1 - LEN(SUBSTITUTE(CLEAN(SUBSTITUTE(ProjTextTable[[#This Row],[text]],CHAR(10)," "))," ",""))</f>
        <v>522</v>
      </c>
      <c r="O77" t="s">
        <v>191</v>
      </c>
      <c r="P77" t="s">
        <v>647</v>
      </c>
    </row>
    <row r="78" spans="1:16" x14ac:dyDescent="0.25">
      <c r="A78">
        <f t="shared" si="2"/>
        <v>13</v>
      </c>
      <c r="B78" t="s">
        <v>642</v>
      </c>
      <c r="C78" t="s">
        <v>643</v>
      </c>
      <c r="D78" t="s">
        <v>190</v>
      </c>
      <c r="E78" t="s">
        <v>574</v>
      </c>
      <c r="F78" t="s">
        <v>550</v>
      </c>
      <c r="G78" t="s">
        <v>551</v>
      </c>
      <c r="H78" t="s">
        <v>552</v>
      </c>
      <c r="I78" t="s">
        <v>198</v>
      </c>
      <c r="J78" t="s">
        <v>173</v>
      </c>
      <c r="K78" s="30">
        <v>43052</v>
      </c>
      <c r="L78" s="8">
        <v>43050.510567129626</v>
      </c>
      <c r="M78" s="21">
        <f>LEN(ProjTextTable[[#This Row],[text]])</f>
        <v>3444</v>
      </c>
      <c r="N78" s="21">
        <f>LEN(TRIM(CLEAN(SUBSTITUTE(ProjTextTable[[#This Row],[text]],CHAR(10)," "))))+1 - LEN(SUBSTITUTE(CLEAN(SUBSTITUTE(ProjTextTable[[#This Row],[text]],CHAR(10)," "))," ",""))</f>
        <v>492</v>
      </c>
      <c r="O78" t="s">
        <v>194</v>
      </c>
      <c r="P78" t="s">
        <v>648</v>
      </c>
    </row>
    <row r="79" spans="1:16" x14ac:dyDescent="0.25">
      <c r="A79">
        <f t="shared" si="2"/>
        <v>13</v>
      </c>
      <c r="B79" t="s">
        <v>642</v>
      </c>
      <c r="C79" t="s">
        <v>643</v>
      </c>
      <c r="D79" t="s">
        <v>190</v>
      </c>
      <c r="E79" t="s">
        <v>574</v>
      </c>
      <c r="F79" t="s">
        <v>554</v>
      </c>
      <c r="G79" t="s">
        <v>555</v>
      </c>
      <c r="H79" t="s">
        <v>556</v>
      </c>
      <c r="I79" t="s">
        <v>496</v>
      </c>
      <c r="J79" t="s">
        <v>173</v>
      </c>
      <c r="K79" s="30">
        <v>43052</v>
      </c>
      <c r="L79" s="8">
        <v>43052.247731481482</v>
      </c>
      <c r="M79" s="21">
        <f>LEN(ProjTextTable[[#This Row],[text]])</f>
        <v>4885</v>
      </c>
      <c r="N79" s="21">
        <f>LEN(TRIM(CLEAN(SUBSTITUTE(ProjTextTable[[#This Row],[text]],CHAR(10)," "))))+1 - LEN(SUBSTITUTE(CLEAN(SUBSTITUTE(ProjTextTable[[#This Row],[text]],CHAR(10)," "))," ",""))</f>
        <v>758</v>
      </c>
      <c r="O79" t="s">
        <v>193</v>
      </c>
      <c r="P79" t="s">
        <v>649</v>
      </c>
    </row>
    <row r="80" spans="1:16" x14ac:dyDescent="0.25">
      <c r="A80">
        <f t="shared" si="2"/>
        <v>13</v>
      </c>
      <c r="B80" t="s">
        <v>642</v>
      </c>
      <c r="C80" t="s">
        <v>643</v>
      </c>
      <c r="D80" t="s">
        <v>192</v>
      </c>
      <c r="E80" t="s">
        <v>574</v>
      </c>
      <c r="F80" t="s">
        <v>13</v>
      </c>
      <c r="G80" t="s">
        <v>13</v>
      </c>
      <c r="H80" t="s">
        <v>13</v>
      </c>
      <c r="K80" s="30"/>
      <c r="L80" s="8">
        <v>43000.042546296296</v>
      </c>
      <c r="M80" s="21">
        <f>LEN(ProjTextTable[[#This Row],[text]])</f>
        <v>4049</v>
      </c>
      <c r="N80" s="21">
        <f>LEN(TRIM(CLEAN(SUBSTITUTE(ProjTextTable[[#This Row],[text]],CHAR(10)," "))))+1 - LEN(SUBSTITUTE(CLEAN(SUBSTITUTE(ProjTextTable[[#This Row],[text]],CHAR(10)," "))," ",""))</f>
        <v>556</v>
      </c>
      <c r="O80" t="s">
        <v>13</v>
      </c>
      <c r="P80" t="s">
        <v>650</v>
      </c>
    </row>
    <row r="81" spans="1:16" x14ac:dyDescent="0.25">
      <c r="A81">
        <f t="shared" si="2"/>
        <v>13</v>
      </c>
      <c r="B81" t="s">
        <v>642</v>
      </c>
      <c r="C81" t="s">
        <v>643</v>
      </c>
      <c r="D81" t="s">
        <v>508</v>
      </c>
      <c r="E81" t="s">
        <v>574</v>
      </c>
      <c r="F81" t="s">
        <v>642</v>
      </c>
      <c r="G81" t="s">
        <v>559</v>
      </c>
      <c r="H81" t="s">
        <v>560</v>
      </c>
      <c r="K81" s="30"/>
      <c r="L81" s="8">
        <v>43028.514606481483</v>
      </c>
      <c r="M81" s="21">
        <f>LEN(ProjTextTable[[#This Row],[text]])</f>
        <v>15</v>
      </c>
      <c r="N81" s="21">
        <f>LEN(TRIM(CLEAN(SUBSTITUTE(ProjTextTable[[#This Row],[text]],CHAR(10)," "))))+1 - LEN(SUBSTITUTE(CLEAN(SUBSTITUTE(ProjTextTable[[#This Row],[text]],CHAR(10)," "))," ",""))</f>
        <v>2</v>
      </c>
      <c r="O81" t="s">
        <v>13</v>
      </c>
      <c r="P81" t="s">
        <v>560</v>
      </c>
    </row>
    <row r="82" spans="1:16" x14ac:dyDescent="0.25">
      <c r="A82">
        <f t="shared" si="2"/>
        <v>14</v>
      </c>
      <c r="B82" t="s">
        <v>651</v>
      </c>
      <c r="C82" t="s">
        <v>652</v>
      </c>
      <c r="D82" t="s">
        <v>495</v>
      </c>
      <c r="E82" t="s">
        <v>574</v>
      </c>
      <c r="F82" t="s">
        <v>531</v>
      </c>
      <c r="G82" t="s">
        <v>543</v>
      </c>
      <c r="H82" t="s">
        <v>544</v>
      </c>
      <c r="I82" t="s">
        <v>498</v>
      </c>
      <c r="K82" s="30">
        <v>43052</v>
      </c>
      <c r="L82" s="8">
        <v>43052.612222222226</v>
      </c>
      <c r="M82" s="21">
        <f>LEN(ProjTextTable[[#This Row],[text]])</f>
        <v>3113</v>
      </c>
      <c r="N82" s="21">
        <f>LEN(TRIM(CLEAN(SUBSTITUTE(ProjTextTable[[#This Row],[text]],CHAR(10)," "))))+1 - LEN(SUBSTITUTE(CLEAN(SUBSTITUTE(ProjTextTable[[#This Row],[text]],CHAR(10)," "))," ",""))</f>
        <v>484</v>
      </c>
      <c r="O82" t="s">
        <v>545</v>
      </c>
      <c r="P82" t="s">
        <v>653</v>
      </c>
    </row>
    <row r="83" spans="1:16" x14ac:dyDescent="0.25">
      <c r="A83">
        <f t="shared" si="2"/>
        <v>14</v>
      </c>
      <c r="B83" t="s">
        <v>651</v>
      </c>
      <c r="C83" t="s">
        <v>652</v>
      </c>
      <c r="D83" t="s">
        <v>190</v>
      </c>
      <c r="E83" t="s">
        <v>574</v>
      </c>
      <c r="F83" t="s">
        <v>546</v>
      </c>
      <c r="G83" t="s">
        <v>547</v>
      </c>
      <c r="H83" t="s">
        <v>548</v>
      </c>
      <c r="I83" t="s">
        <v>496</v>
      </c>
      <c r="J83" t="s">
        <v>173</v>
      </c>
      <c r="K83" s="30">
        <v>43052</v>
      </c>
      <c r="L83" s="8">
        <v>43051.024942129632</v>
      </c>
      <c r="M83" s="21">
        <f>LEN(ProjTextTable[[#This Row],[text]])</f>
        <v>4280</v>
      </c>
      <c r="N83" s="21">
        <f>LEN(TRIM(CLEAN(SUBSTITUTE(ProjTextTable[[#This Row],[text]],CHAR(10)," "))))+1 - LEN(SUBSTITUTE(CLEAN(SUBSTITUTE(ProjTextTable[[#This Row],[text]],CHAR(10)," "))," ",""))</f>
        <v>610</v>
      </c>
      <c r="O83" t="s">
        <v>196</v>
      </c>
      <c r="P83" t="s">
        <v>654</v>
      </c>
    </row>
    <row r="84" spans="1:16" x14ac:dyDescent="0.25">
      <c r="A84">
        <f t="shared" si="2"/>
        <v>14</v>
      </c>
      <c r="B84" t="s">
        <v>651</v>
      </c>
      <c r="C84" t="s">
        <v>652</v>
      </c>
      <c r="D84" t="s">
        <v>190</v>
      </c>
      <c r="E84" t="s">
        <v>574</v>
      </c>
      <c r="F84" t="s">
        <v>563</v>
      </c>
      <c r="G84" t="s">
        <v>564</v>
      </c>
      <c r="H84" t="s">
        <v>565</v>
      </c>
      <c r="I84" t="s">
        <v>496</v>
      </c>
      <c r="J84" t="s">
        <v>173</v>
      </c>
      <c r="K84" s="30">
        <v>43052</v>
      </c>
      <c r="L84" s="8">
        <v>43042.571550925924</v>
      </c>
      <c r="M84" s="21">
        <f>LEN(ProjTextTable[[#This Row],[text]])</f>
        <v>6669</v>
      </c>
      <c r="N84" s="21">
        <f>LEN(TRIM(CLEAN(SUBSTITUTE(ProjTextTable[[#This Row],[text]],CHAR(10)," "))))+1 - LEN(SUBSTITUTE(CLEAN(SUBSTITUTE(ProjTextTable[[#This Row],[text]],CHAR(10)," "))," ",""))</f>
        <v>1017</v>
      </c>
      <c r="O84" t="s">
        <v>194</v>
      </c>
      <c r="P84" t="s">
        <v>655</v>
      </c>
    </row>
    <row r="85" spans="1:16" x14ac:dyDescent="0.25">
      <c r="A85">
        <f t="shared" si="2"/>
        <v>14</v>
      </c>
      <c r="B85" t="s">
        <v>651</v>
      </c>
      <c r="C85" t="s">
        <v>652</v>
      </c>
      <c r="D85" t="s">
        <v>190</v>
      </c>
      <c r="E85" t="s">
        <v>574</v>
      </c>
      <c r="F85" t="s">
        <v>583</v>
      </c>
      <c r="G85" t="s">
        <v>584</v>
      </c>
      <c r="H85" t="s">
        <v>585</v>
      </c>
      <c r="I85" t="s">
        <v>496</v>
      </c>
      <c r="J85" t="s">
        <v>173</v>
      </c>
      <c r="K85" s="30">
        <v>43052</v>
      </c>
      <c r="L85" s="8">
        <v>43047.388321759259</v>
      </c>
      <c r="M85" s="21">
        <f>LEN(ProjTextTable[[#This Row],[text]])</f>
        <v>3846</v>
      </c>
      <c r="N85" s="21">
        <f>LEN(TRIM(CLEAN(SUBSTITUTE(ProjTextTable[[#This Row],[text]],CHAR(10)," "))))+1 - LEN(SUBSTITUTE(CLEAN(SUBSTITUTE(ProjTextTable[[#This Row],[text]],CHAR(10)," "))," ",""))</f>
        <v>547</v>
      </c>
      <c r="O85" t="s">
        <v>193</v>
      </c>
      <c r="P85" t="s">
        <v>656</v>
      </c>
    </row>
    <row r="86" spans="1:16" x14ac:dyDescent="0.25">
      <c r="A86">
        <f t="shared" si="2"/>
        <v>14</v>
      </c>
      <c r="B86" t="s">
        <v>651</v>
      </c>
      <c r="C86" t="s">
        <v>652</v>
      </c>
      <c r="D86" t="s">
        <v>190</v>
      </c>
      <c r="E86" t="s">
        <v>574</v>
      </c>
      <c r="F86" t="s">
        <v>567</v>
      </c>
      <c r="G86" t="s">
        <v>568</v>
      </c>
      <c r="H86" t="s">
        <v>569</v>
      </c>
      <c r="I86" t="s">
        <v>496</v>
      </c>
      <c r="J86" t="s">
        <v>173</v>
      </c>
      <c r="K86" s="30">
        <v>43052</v>
      </c>
      <c r="L86" s="8">
        <v>43051.799293981479</v>
      </c>
      <c r="M86" s="21">
        <f>LEN(ProjTextTable[[#This Row],[text]])</f>
        <v>2960</v>
      </c>
      <c r="N86" s="21">
        <f>LEN(TRIM(CLEAN(SUBSTITUTE(ProjTextTable[[#This Row],[text]],CHAR(10)," "))))+1 - LEN(SUBSTITUTE(CLEAN(SUBSTITUTE(ProjTextTable[[#This Row],[text]],CHAR(10)," "))," ",""))</f>
        <v>442</v>
      </c>
      <c r="O86" t="s">
        <v>194</v>
      </c>
      <c r="P86" t="s">
        <v>657</v>
      </c>
    </row>
    <row r="87" spans="1:16" x14ac:dyDescent="0.25">
      <c r="A87">
        <f t="shared" si="2"/>
        <v>14</v>
      </c>
      <c r="B87" t="s">
        <v>651</v>
      </c>
      <c r="C87" t="s">
        <v>652</v>
      </c>
      <c r="D87" t="s">
        <v>192</v>
      </c>
      <c r="E87" t="s">
        <v>574</v>
      </c>
      <c r="F87" t="s">
        <v>13</v>
      </c>
      <c r="G87" t="s">
        <v>13</v>
      </c>
      <c r="H87" t="s">
        <v>13</v>
      </c>
      <c r="K87" s="30"/>
      <c r="L87" s="8">
        <v>43001.078761574077</v>
      </c>
      <c r="M87" s="21">
        <f>LEN(ProjTextTable[[#This Row],[text]])</f>
        <v>4490</v>
      </c>
      <c r="N87" s="21">
        <f>LEN(TRIM(CLEAN(SUBSTITUTE(ProjTextTable[[#This Row],[text]],CHAR(10)," "))))+1 - LEN(SUBSTITUTE(CLEAN(SUBSTITUTE(ProjTextTable[[#This Row],[text]],CHAR(10)," "))," ",""))</f>
        <v>627</v>
      </c>
      <c r="O87" t="s">
        <v>13</v>
      </c>
      <c r="P87" t="s">
        <v>658</v>
      </c>
    </row>
    <row r="88" spans="1:16" x14ac:dyDescent="0.25">
      <c r="A88">
        <f t="shared" si="2"/>
        <v>14</v>
      </c>
      <c r="B88" t="s">
        <v>651</v>
      </c>
      <c r="C88" t="s">
        <v>652</v>
      </c>
      <c r="D88" t="s">
        <v>508</v>
      </c>
      <c r="E88" t="s">
        <v>574</v>
      </c>
      <c r="F88" t="s">
        <v>651</v>
      </c>
      <c r="G88" t="s">
        <v>559</v>
      </c>
      <c r="H88" t="s">
        <v>560</v>
      </c>
      <c r="K88" s="30"/>
      <c r="L88" s="8">
        <v>43028.522916666669</v>
      </c>
      <c r="M88" s="21">
        <f>LEN(ProjTextTable[[#This Row],[text]])</f>
        <v>15</v>
      </c>
      <c r="N88" s="21">
        <f>LEN(TRIM(CLEAN(SUBSTITUTE(ProjTextTable[[#This Row],[text]],CHAR(10)," "))))+1 - LEN(SUBSTITUTE(CLEAN(SUBSTITUTE(ProjTextTable[[#This Row],[text]],CHAR(10)," "))," ",""))</f>
        <v>2</v>
      </c>
      <c r="O88" t="s">
        <v>13</v>
      </c>
      <c r="P88" t="s">
        <v>560</v>
      </c>
    </row>
    <row r="89" spans="1:16" x14ac:dyDescent="0.25">
      <c r="A89">
        <f t="shared" si="2"/>
        <v>15</v>
      </c>
      <c r="B89" t="s">
        <v>659</v>
      </c>
      <c r="C89" t="s">
        <v>660</v>
      </c>
      <c r="D89" t="s">
        <v>495</v>
      </c>
      <c r="E89" t="s">
        <v>574</v>
      </c>
      <c r="F89" t="s">
        <v>542</v>
      </c>
      <c r="G89" t="s">
        <v>543</v>
      </c>
      <c r="H89" t="s">
        <v>544</v>
      </c>
      <c r="I89" t="s">
        <v>498</v>
      </c>
      <c r="K89" s="30">
        <v>43052</v>
      </c>
      <c r="L89" s="8">
        <v>43052.579988425925</v>
      </c>
      <c r="M89" s="21">
        <f>LEN(ProjTextTable[[#This Row],[text]])</f>
        <v>1</v>
      </c>
      <c r="N89" s="21">
        <f>LEN(TRIM(CLEAN(SUBSTITUTE(ProjTextTable[[#This Row],[text]],CHAR(10)," "))))+1 - LEN(SUBSTITUTE(CLEAN(SUBSTITUTE(ProjTextTable[[#This Row],[text]],CHAR(10)," "))," ",""))</f>
        <v>1</v>
      </c>
      <c r="O89" t="s">
        <v>545</v>
      </c>
      <c r="P89" t="s">
        <v>13</v>
      </c>
    </row>
    <row r="90" spans="1:16" x14ac:dyDescent="0.25">
      <c r="A90">
        <f t="shared" si="2"/>
        <v>15</v>
      </c>
      <c r="B90" t="s">
        <v>659</v>
      </c>
      <c r="C90" t="s">
        <v>660</v>
      </c>
      <c r="D90" t="s">
        <v>190</v>
      </c>
      <c r="E90" t="s">
        <v>574</v>
      </c>
      <c r="F90" t="s">
        <v>575</v>
      </c>
      <c r="G90" t="s">
        <v>576</v>
      </c>
      <c r="H90" t="s">
        <v>577</v>
      </c>
      <c r="I90" t="s">
        <v>496</v>
      </c>
      <c r="J90" t="s">
        <v>173</v>
      </c>
      <c r="K90" s="30">
        <v>43052</v>
      </c>
      <c r="L90" s="8">
        <v>43046.669039351851</v>
      </c>
      <c r="M90" s="21">
        <f>LEN(ProjTextTable[[#This Row],[text]])</f>
        <v>2067</v>
      </c>
      <c r="N90" s="21">
        <f>LEN(TRIM(CLEAN(SUBSTITUTE(ProjTextTable[[#This Row],[text]],CHAR(10)," "))))+1 - LEN(SUBSTITUTE(CLEAN(SUBSTITUTE(ProjTextTable[[#This Row],[text]],CHAR(10)," "))," ",""))</f>
        <v>306</v>
      </c>
      <c r="O90" t="s">
        <v>194</v>
      </c>
      <c r="P90" t="s">
        <v>661</v>
      </c>
    </row>
    <row r="91" spans="1:16" x14ac:dyDescent="0.25">
      <c r="A91">
        <f t="shared" si="2"/>
        <v>15</v>
      </c>
      <c r="B91" t="s">
        <v>659</v>
      </c>
      <c r="C91" t="s">
        <v>660</v>
      </c>
      <c r="D91" t="s">
        <v>190</v>
      </c>
      <c r="E91" t="s">
        <v>574</v>
      </c>
      <c r="F91" t="s">
        <v>546</v>
      </c>
      <c r="G91" t="s">
        <v>547</v>
      </c>
      <c r="H91" t="s">
        <v>548</v>
      </c>
      <c r="I91" t="s">
        <v>496</v>
      </c>
      <c r="J91" t="s">
        <v>173</v>
      </c>
      <c r="K91" s="30">
        <v>43052</v>
      </c>
      <c r="L91" s="8">
        <v>43051.018425925926</v>
      </c>
      <c r="M91" s="21">
        <f>LEN(ProjTextTable[[#This Row],[text]])</f>
        <v>4910</v>
      </c>
      <c r="N91" s="21">
        <f>LEN(TRIM(CLEAN(SUBSTITUTE(ProjTextTable[[#This Row],[text]],CHAR(10)," "))))+1 - LEN(SUBSTITUTE(CLEAN(SUBSTITUTE(ProjTextTable[[#This Row],[text]],CHAR(10)," "))," ",""))</f>
        <v>719</v>
      </c>
      <c r="O91" t="s">
        <v>511</v>
      </c>
      <c r="P91" t="s">
        <v>662</v>
      </c>
    </row>
    <row r="92" spans="1:16" x14ac:dyDescent="0.25">
      <c r="A92">
        <f t="shared" si="2"/>
        <v>15</v>
      </c>
      <c r="B92" t="s">
        <v>659</v>
      </c>
      <c r="C92" t="s">
        <v>660</v>
      </c>
      <c r="D92" t="s">
        <v>190</v>
      </c>
      <c r="E92" t="s">
        <v>574</v>
      </c>
      <c r="F92" t="s">
        <v>563</v>
      </c>
      <c r="G92" t="s">
        <v>564</v>
      </c>
      <c r="H92" t="s">
        <v>565</v>
      </c>
      <c r="I92" t="s">
        <v>496</v>
      </c>
      <c r="J92" t="s">
        <v>173</v>
      </c>
      <c r="K92" s="30">
        <v>43052</v>
      </c>
      <c r="L92" s="8">
        <v>43033.768969907411</v>
      </c>
      <c r="M92" s="21">
        <f>LEN(ProjTextTable[[#This Row],[text]])</f>
        <v>9034</v>
      </c>
      <c r="N92" s="21">
        <f>LEN(TRIM(CLEAN(SUBSTITUTE(ProjTextTable[[#This Row],[text]],CHAR(10)," "))))+1 - LEN(SUBSTITUTE(CLEAN(SUBSTITUTE(ProjTextTable[[#This Row],[text]],CHAR(10)," "))," ",""))</f>
        <v>1399</v>
      </c>
      <c r="O92" t="s">
        <v>196</v>
      </c>
      <c r="P92" t="s">
        <v>663</v>
      </c>
    </row>
    <row r="93" spans="1:16" x14ac:dyDescent="0.25">
      <c r="A93">
        <f t="shared" si="2"/>
        <v>15</v>
      </c>
      <c r="B93" t="s">
        <v>659</v>
      </c>
      <c r="C93" t="s">
        <v>660</v>
      </c>
      <c r="D93" t="s">
        <v>190</v>
      </c>
      <c r="E93" t="s">
        <v>574</v>
      </c>
      <c r="F93" t="s">
        <v>567</v>
      </c>
      <c r="G93" t="s">
        <v>568</v>
      </c>
      <c r="H93" t="s">
        <v>569</v>
      </c>
      <c r="I93" t="s">
        <v>496</v>
      </c>
      <c r="J93" t="s">
        <v>173</v>
      </c>
      <c r="K93" s="30">
        <v>43052</v>
      </c>
      <c r="L93" s="8">
        <v>43051.804745370369</v>
      </c>
      <c r="M93" s="21">
        <f>LEN(ProjTextTable[[#This Row],[text]])</f>
        <v>2950</v>
      </c>
      <c r="N93" s="21">
        <f>LEN(TRIM(CLEAN(SUBSTITUTE(ProjTextTable[[#This Row],[text]],CHAR(10)," "))))+1 - LEN(SUBSTITUTE(CLEAN(SUBSTITUTE(ProjTextTable[[#This Row],[text]],CHAR(10)," "))," ",""))</f>
        <v>429</v>
      </c>
      <c r="O93" t="s">
        <v>195</v>
      </c>
      <c r="P93" t="s">
        <v>664</v>
      </c>
    </row>
    <row r="94" spans="1:16" x14ac:dyDescent="0.25">
      <c r="A94">
        <f t="shared" si="2"/>
        <v>15</v>
      </c>
      <c r="B94" t="s">
        <v>659</v>
      </c>
      <c r="C94" t="s">
        <v>660</v>
      </c>
      <c r="D94" t="s">
        <v>192</v>
      </c>
      <c r="E94" t="s">
        <v>574</v>
      </c>
      <c r="F94" t="s">
        <v>13</v>
      </c>
      <c r="G94" t="s">
        <v>13</v>
      </c>
      <c r="H94" t="s">
        <v>13</v>
      </c>
      <c r="K94" s="30"/>
      <c r="L94" s="8">
        <v>43001.079039351855</v>
      </c>
      <c r="M94" s="21">
        <f>LEN(ProjTextTable[[#This Row],[text]])</f>
        <v>4280</v>
      </c>
      <c r="N94" s="21">
        <f>LEN(TRIM(CLEAN(SUBSTITUTE(ProjTextTable[[#This Row],[text]],CHAR(10)," "))))+1 - LEN(SUBSTITUTE(CLEAN(SUBSTITUTE(ProjTextTable[[#This Row],[text]],CHAR(10)," "))," ",""))</f>
        <v>582</v>
      </c>
      <c r="O94" t="s">
        <v>13</v>
      </c>
      <c r="P94" t="s">
        <v>665</v>
      </c>
    </row>
    <row r="95" spans="1:16" x14ac:dyDescent="0.25">
      <c r="A95">
        <f t="shared" si="2"/>
        <v>15</v>
      </c>
      <c r="B95" t="s">
        <v>659</v>
      </c>
      <c r="C95" t="s">
        <v>660</v>
      </c>
      <c r="D95" t="s">
        <v>508</v>
      </c>
      <c r="E95" t="s">
        <v>574</v>
      </c>
      <c r="F95" t="s">
        <v>659</v>
      </c>
      <c r="G95" t="s">
        <v>559</v>
      </c>
      <c r="H95" t="s">
        <v>560</v>
      </c>
      <c r="K95" s="30"/>
      <c r="L95" s="8">
        <v>43028.526076388887</v>
      </c>
      <c r="M95" s="21">
        <f>LEN(ProjTextTable[[#This Row],[text]])</f>
        <v>15</v>
      </c>
      <c r="N95" s="21">
        <f>LEN(TRIM(CLEAN(SUBSTITUTE(ProjTextTable[[#This Row],[text]],CHAR(10)," "))))+1 - LEN(SUBSTITUTE(CLEAN(SUBSTITUTE(ProjTextTable[[#This Row],[text]],CHAR(10)," "))," ",""))</f>
        <v>2</v>
      </c>
      <c r="O95" t="s">
        <v>13</v>
      </c>
      <c r="P95" t="s">
        <v>560</v>
      </c>
    </row>
    <row r="96" spans="1:16" x14ac:dyDescent="0.25">
      <c r="B96" t="s">
        <v>197</v>
      </c>
      <c r="K96" s="30"/>
      <c r="M96"/>
      <c r="N96"/>
      <c r="P96">
        <f>SUBTOTAL(103,ProjTextTable[text])</f>
        <v>94</v>
      </c>
    </row>
  </sheetData>
  <conditionalFormatting sqref="A2:P95">
    <cfRule type="expression" dxfId="230"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123825</xdr:rowOff>
                  </from>
                  <to>
                    <xdr:col>4</xdr:col>
                    <xdr:colOff>9525</xdr:colOff>
                    <xdr:row>0</xdr:row>
                    <xdr:rowOff>400050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39"/>
  <sheetViews>
    <sheetView zoomScale="80" zoomScaleNormal="80" workbookViewId="0">
      <selection activeCell="B4" sqref="B4"/>
    </sheetView>
  </sheetViews>
  <sheetFormatPr defaultColWidth="9.28515625" defaultRowHeight="15" x14ac:dyDescent="0.25"/>
  <cols>
    <col min="1" max="1" width="16.7109375" style="64" customWidth="1"/>
    <col min="2" max="2" width="16.5703125" style="64" customWidth="1"/>
    <col min="3" max="3" width="98.5703125" style="83" customWidth="1"/>
    <col min="4" max="4" width="27.85546875" style="62" customWidth="1"/>
    <col min="5" max="5" width="12.85546875" style="62" customWidth="1"/>
    <col min="6" max="16384" width="9.28515625" style="62"/>
  </cols>
  <sheetData>
    <row r="1" spans="1:5" x14ac:dyDescent="0.25">
      <c r="A1" s="64" t="s">
        <v>258</v>
      </c>
    </row>
    <row r="2" spans="1:5" x14ac:dyDescent="0.25">
      <c r="A2" s="65" t="s">
        <v>259</v>
      </c>
      <c r="B2" s="66" t="s">
        <v>260</v>
      </c>
    </row>
    <row r="3" spans="1:5" x14ac:dyDescent="0.25">
      <c r="A3" s="65" t="s">
        <v>261</v>
      </c>
      <c r="B3" s="67"/>
    </row>
    <row r="4" spans="1:5" x14ac:dyDescent="0.25">
      <c r="A4" s="64" t="s">
        <v>262</v>
      </c>
      <c r="B4" s="66" t="s">
        <v>263</v>
      </c>
    </row>
    <row r="5" spans="1:5" x14ac:dyDescent="0.25">
      <c r="A5" s="64" t="s">
        <v>264</v>
      </c>
      <c r="B5" s="66" t="s">
        <v>265</v>
      </c>
    </row>
    <row r="6" spans="1:5" x14ac:dyDescent="0.25">
      <c r="A6" s="64" t="s">
        <v>529</v>
      </c>
      <c r="B6" s="127" t="s">
        <v>530</v>
      </c>
      <c r="D6" s="62" t="s">
        <v>455</v>
      </c>
      <c r="E6" s="62">
        <v>2</v>
      </c>
    </row>
    <row r="7" spans="1:5" ht="15.75" x14ac:dyDescent="0.25">
      <c r="A7" s="68" t="s">
        <v>245</v>
      </c>
      <c r="B7" s="69" t="s">
        <v>246</v>
      </c>
      <c r="D7" s="116" t="s">
        <v>460</v>
      </c>
      <c r="E7" s="114" t="s">
        <v>458</v>
      </c>
    </row>
    <row r="8" spans="1:5" ht="15.75" x14ac:dyDescent="0.25">
      <c r="A8" s="70" t="s">
        <v>250</v>
      </c>
      <c r="B8" s="71"/>
      <c r="D8" s="116" t="s">
        <v>461</v>
      </c>
      <c r="E8" s="115" t="s">
        <v>456</v>
      </c>
    </row>
    <row r="9" spans="1:5" ht="15.75" x14ac:dyDescent="0.25">
      <c r="A9" s="70" t="s">
        <v>235</v>
      </c>
      <c r="B9" s="71"/>
      <c r="D9" s="116" t="s">
        <v>462</v>
      </c>
      <c r="E9" s="115" t="s">
        <v>457</v>
      </c>
    </row>
    <row r="10" spans="1:5" ht="15.75" x14ac:dyDescent="0.25">
      <c r="A10" s="70" t="s">
        <v>249</v>
      </c>
      <c r="B10" s="71"/>
      <c r="D10" s="116" t="s">
        <v>463</v>
      </c>
      <c r="E10" s="115" t="s">
        <v>459</v>
      </c>
    </row>
    <row r="11" spans="1:5" ht="15.75" x14ac:dyDescent="0.25">
      <c r="A11" s="70" t="s">
        <v>248</v>
      </c>
      <c r="B11" s="71"/>
      <c r="D11" s="116" t="s">
        <v>464</v>
      </c>
      <c r="E11" s="115" t="s">
        <v>454</v>
      </c>
    </row>
    <row r="12" spans="1:5" x14ac:dyDescent="0.25">
      <c r="A12" s="70" t="s">
        <v>247</v>
      </c>
      <c r="B12" s="71"/>
    </row>
    <row r="13" spans="1:5" x14ac:dyDescent="0.25">
      <c r="A13" s="70" t="s">
        <v>251</v>
      </c>
      <c r="B13" s="71"/>
    </row>
    <row r="14" spans="1:5" x14ac:dyDescent="0.25">
      <c r="A14" s="70" t="s">
        <v>252</v>
      </c>
      <c r="B14" s="71"/>
    </row>
    <row r="15" spans="1:5" x14ac:dyDescent="0.25">
      <c r="A15" s="70" t="s">
        <v>239</v>
      </c>
      <c r="B15" s="71"/>
    </row>
    <row r="16" spans="1:5" x14ac:dyDescent="0.25">
      <c r="A16" s="70" t="s">
        <v>242</v>
      </c>
      <c r="B16" s="71"/>
    </row>
    <row r="17" spans="1:5" x14ac:dyDescent="0.25">
      <c r="A17" s="72" t="s">
        <v>244</v>
      </c>
      <c r="B17" s="73"/>
      <c r="D17" s="88" t="s">
        <v>397</v>
      </c>
      <c r="E17" t="s">
        <v>434</v>
      </c>
    </row>
    <row r="18" spans="1:5" x14ac:dyDescent="0.25">
      <c r="D18" s="25" t="s">
        <v>13</v>
      </c>
      <c r="E18" s="21">
        <v>11</v>
      </c>
    </row>
    <row r="19" spans="1:5" x14ac:dyDescent="0.25">
      <c r="D19" s="25" t="s">
        <v>441</v>
      </c>
      <c r="E19" s="21">
        <v>1</v>
      </c>
    </row>
    <row r="20" spans="1:5" x14ac:dyDescent="0.25">
      <c r="D20" s="25" t="s">
        <v>488</v>
      </c>
      <c r="E20" s="21">
        <v>4</v>
      </c>
    </row>
    <row r="21" spans="1:5" x14ac:dyDescent="0.25">
      <c r="D21" s="25" t="s">
        <v>395</v>
      </c>
      <c r="E21" s="21">
        <v>16</v>
      </c>
    </row>
    <row r="22" spans="1:5" x14ac:dyDescent="0.25">
      <c r="D22"/>
      <c r="E22"/>
    </row>
    <row r="23" spans="1:5" x14ac:dyDescent="0.25">
      <c r="A23" s="74" t="s">
        <v>180</v>
      </c>
      <c r="B23" s="75" t="s">
        <v>266</v>
      </c>
      <c r="C23" s="84" t="s">
        <v>267</v>
      </c>
      <c r="D23"/>
      <c r="E23"/>
    </row>
    <row r="24" spans="1:5" ht="29.65" customHeight="1" x14ac:dyDescent="0.25">
      <c r="A24" s="64" t="s">
        <v>268</v>
      </c>
      <c r="B24" s="76">
        <v>43076.559108796297</v>
      </c>
      <c r="C24" s="85" t="s">
        <v>342</v>
      </c>
      <c r="D24"/>
      <c r="E24"/>
    </row>
    <row r="25" spans="1:5" ht="35.65" customHeight="1" x14ac:dyDescent="0.25">
      <c r="A25" s="64" t="s">
        <v>269</v>
      </c>
      <c r="B25" s="76">
        <v>43076.559108796297</v>
      </c>
      <c r="C25" s="85" t="s">
        <v>373</v>
      </c>
    </row>
    <row r="26" spans="1:5" ht="35.65" customHeight="1" x14ac:dyDescent="0.25">
      <c r="A26" s="64" t="s">
        <v>270</v>
      </c>
      <c r="B26" s="76">
        <v>43076.559108796297</v>
      </c>
      <c r="C26" s="85" t="s">
        <v>374</v>
      </c>
    </row>
    <row r="27" spans="1:5" ht="35.65" customHeight="1" x14ac:dyDescent="0.25">
      <c r="A27" s="64" t="s">
        <v>271</v>
      </c>
      <c r="B27" s="76">
        <v>43076.559108796297</v>
      </c>
      <c r="C27" s="85" t="s">
        <v>375</v>
      </c>
    </row>
    <row r="28" spans="1:5" ht="35.65" customHeight="1" x14ac:dyDescent="0.25">
      <c r="A28" s="64" t="s">
        <v>272</v>
      </c>
      <c r="B28" s="76">
        <v>43076.559108796297</v>
      </c>
      <c r="C28" s="85" t="s">
        <v>376</v>
      </c>
    </row>
    <row r="29" spans="1:5" ht="35.65" customHeight="1" x14ac:dyDescent="0.25">
      <c r="A29" s="64" t="s">
        <v>273</v>
      </c>
      <c r="B29" s="76">
        <v>43077.112500000003</v>
      </c>
      <c r="C29" s="85" t="s">
        <v>474</v>
      </c>
    </row>
    <row r="30" spans="1:5" ht="35.65" customHeight="1" x14ac:dyDescent="0.25">
      <c r="A30" s="64" t="s">
        <v>274</v>
      </c>
      <c r="B30" s="76">
        <v>43076.559108796297</v>
      </c>
      <c r="C30" s="85" t="s">
        <v>435</v>
      </c>
    </row>
    <row r="31" spans="1:5" ht="35.65" customHeight="1" x14ac:dyDescent="0.25">
      <c r="A31" s="64" t="s">
        <v>275</v>
      </c>
      <c r="B31" s="76">
        <v>43076.559108796297</v>
      </c>
      <c r="C31" s="85" t="s">
        <v>343</v>
      </c>
    </row>
    <row r="32" spans="1:5" ht="35.65" customHeight="1" x14ac:dyDescent="0.25">
      <c r="A32" s="64" t="s">
        <v>276</v>
      </c>
      <c r="B32" s="76">
        <v>43076.559108796297</v>
      </c>
      <c r="C32" s="85" t="s">
        <v>379</v>
      </c>
    </row>
    <row r="33" spans="1:3" ht="35.65" customHeight="1" x14ac:dyDescent="0.25">
      <c r="A33" s="64" t="s">
        <v>277</v>
      </c>
      <c r="B33" s="76">
        <v>43076.559108796297</v>
      </c>
      <c r="C33" s="85" t="s">
        <v>378</v>
      </c>
    </row>
    <row r="34" spans="1:3" ht="35.65" customHeight="1" x14ac:dyDescent="0.25">
      <c r="A34" s="64" t="s">
        <v>339</v>
      </c>
      <c r="B34" s="76">
        <v>43082.47148148148</v>
      </c>
      <c r="C34" s="85" t="s">
        <v>507</v>
      </c>
    </row>
    <row r="35" spans="1:3" ht="35.65" customHeight="1" x14ac:dyDescent="0.25">
      <c r="A35" s="64" t="s">
        <v>341</v>
      </c>
      <c r="B35" s="76">
        <v>43076.559108796297</v>
      </c>
      <c r="C35" s="85" t="s">
        <v>436</v>
      </c>
    </row>
    <row r="36" spans="1:3" ht="35.65" customHeight="1" x14ac:dyDescent="0.25">
      <c r="A36" s="64" t="s">
        <v>340</v>
      </c>
      <c r="B36" s="76">
        <v>43076.559108796297</v>
      </c>
      <c r="C36" s="85" t="s">
        <v>392</v>
      </c>
    </row>
    <row r="37" spans="1:3" ht="36" customHeight="1" x14ac:dyDescent="0.25">
      <c r="A37" s="64" t="s">
        <v>377</v>
      </c>
      <c r="B37" s="76">
        <v>43076.559108796297</v>
      </c>
      <c r="C37" s="85" t="s">
        <v>452</v>
      </c>
    </row>
    <row r="38" spans="1:3" ht="36" customHeight="1" x14ac:dyDescent="0.25">
      <c r="A38" s="64" t="s">
        <v>344</v>
      </c>
      <c r="B38" s="76">
        <v>43076.559108796297</v>
      </c>
      <c r="C38" s="85" t="s">
        <v>467</v>
      </c>
    </row>
    <row r="39" spans="1:3" ht="24.4" customHeight="1" x14ac:dyDescent="0.25">
      <c r="A39" s="64" t="s">
        <v>450</v>
      </c>
      <c r="B39" s="76">
        <v>43076.559108796297</v>
      </c>
      <c r="C39" s="85" t="s">
        <v>451</v>
      </c>
    </row>
  </sheetData>
  <hyperlinks>
    <hyperlink ref="B6" r:id="rId2"/>
  </hyperlinks>
  <pageMargins left="0.7" right="0.7" top="0.75" bottom="0.75" header="0.3" footer="0.3"/>
  <pageSetup orientation="portrait"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E06AAFA8F9984CAFC6287E16BADFE6" ma:contentTypeVersion="0" ma:contentTypeDescription="Create a new document." ma:contentTypeScope="" ma:versionID="3bfdfc741f4cc3bdc45d9a9ab868a840">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1D5C83E-ADB6-400A-B9F2-B1A74DA31A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2ADB11A6-7F28-4369-9B55-3636E52D10EF}">
  <ds:schemaRef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www.w3.org/XML/1998/namespace"/>
    <ds:schemaRef ds:uri="http://purl.org/dc/dcmitype/"/>
  </ds:schemaRefs>
</ds:datastoreItem>
</file>

<file path=customXml/itemProps3.xml><?xml version="1.0" encoding="utf-8"?>
<ds:datastoreItem xmlns:ds="http://schemas.openxmlformats.org/officeDocument/2006/customXml" ds:itemID="{8602AF29-2074-4C67-B827-8D84F341BCB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49</vt:i4>
      </vt:variant>
    </vt:vector>
  </HeadingPairs>
  <TitlesOfParts>
    <vt:vector size="59" baseType="lpstr">
      <vt:lpstr>RoboRA</vt:lpstr>
      <vt:lpstr>ckCoding</vt:lpstr>
      <vt:lpstr>ckAwd</vt:lpstr>
      <vt:lpstr>Budgets</vt:lpstr>
      <vt:lpstr>PRCs</vt:lpstr>
      <vt:lpstr>RAData</vt:lpstr>
      <vt:lpstr>Advanced</vt:lpstr>
      <vt:lpstr>ckSplits</vt:lpstr>
      <vt:lpstr>ProjText</vt:lpstr>
      <vt:lpstr>HiddenSettings</vt:lpstr>
      <vt:lpstr>AwdTemplate</vt:lpstr>
      <vt:lpstr>codes_prop_stts</vt:lpstr>
      <vt:lpstr>DeclTemplate</vt:lpstr>
      <vt:lpstr>delaytime</vt:lpstr>
      <vt:lpstr>dir_div_abbr</vt:lpstr>
      <vt:lpstr>dirRAoutput</vt:lpstr>
      <vt:lpstr>dirRAtemplate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PO_id</vt:lpstr>
      <vt:lpstr>prop_atr_code</vt:lpstr>
      <vt:lpstr>Advanced!prop_stts_code</vt:lpstr>
      <vt:lpstr>prop_titl_txt</vt:lpstr>
      <vt:lpstr>Advanced!query_params</vt:lpstr>
      <vt:lpstr>HiddenSettings!query_params</vt:lpstr>
      <vt:lpstr>HiddenSettings!RA_allRAdata</vt:lpstr>
      <vt:lpstr>HiddenSettings!RA_awdCheck</vt:lpstr>
      <vt:lpstr>HiddenSettings!RA_budgBlocks</vt:lpstr>
      <vt:lpstr>HiddenSettings!RA_leads</vt:lpstr>
      <vt:lpstr>HiddenSettings!RA_panl</vt:lpstr>
      <vt:lpstr>HiddenSettings!RA_PECglossary</vt:lpstr>
      <vt:lpstr>HiddenSettings!RA_pidCreate</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RoboRACleanCopy.dotm</vt:lpstr>
      <vt:lpstr>HiddenSettings!rpt_pwd</vt:lpstr>
      <vt:lpstr>select_prop_stts</vt:lpstr>
      <vt:lpstr>signer1</vt:lpstr>
      <vt:lpstr>signer2</vt:lpstr>
      <vt:lpstr>StdDeclTemplate</vt:lpstr>
      <vt:lpstr>to_date</vt:lpstr>
      <vt:lpstr>HiddenSettings!user_id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2017-12-05T19:03:22Z</cp:lastPrinted>
  <dcterms:created xsi:type="dcterms:W3CDTF">2015-12-15T02:29:55Z</dcterms:created>
  <dcterms:modified xsi:type="dcterms:W3CDTF">2017-12-15T21:53:26Z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lpwstr>#REF!</vt:lpwstr>
  </property>
  <property fmtid="{D5CDD505-2E9C-101B-9397-08002B2CF9AE}" pid="5" name="titl_txt" linkTarget="prop_titl_txt">
    <vt:lpwstr>eg: %Medium%</vt:lpwstr>
  </property>
  <property fmtid="{D5CDD505-2E9C-101B-9397-08002B2CF9AE}" pid="6" name="stts_code" linkTarget="prop_stts_code">
    <vt:lpwstr>0[01289]</vt:lpwstr>
  </property>
  <property fmtid="{D5CDD505-2E9C-101B-9397-08002B2CF9AE}" pid="7" name="ContentTypeId">
    <vt:lpwstr>0x0101008EE06AAFA8F9984CAFC6287E16BADFE6</vt:lpwstr>
  </property>
</Properties>
</file>