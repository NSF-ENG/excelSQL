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6.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10.xml" ContentType="application/vnd.openxmlformats-officedocument.spreadsheetml.table+xml"/>
  <Override PartName="/xl/queryTables/queryTable6.xml" ContentType="application/vnd.openxmlformats-officedocument.spreadsheetml.queryTable+xml"/>
  <Override PartName="/xl/comments5.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comments6.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3.xml" ContentType="application/vnd.openxmlformats-officedocument.spreadsheetml.table+xml"/>
  <Override PartName="/xl/queryTables/queryTable7.xml" ContentType="application/vnd.openxmlformats-officedocument.spreadsheetml.queryTable+xml"/>
  <Override PartName="/xl/comments7.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4.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R:\RoboRA\"/>
    </mc:Choice>
  </mc:AlternateContent>
  <bookViews>
    <workbookView xWindow="0" yWindow="0" windowWidth="7335" windowHeight="5190"/>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RoboRA!$M$8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ProjText!$B$1:$P$97</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HiddenSettings!$A$8:$B$18</definedName>
    <definedName name="RA_allRAdata" localSheetId="9">HiddenSettings!$C$29</definedName>
    <definedName name="RA_awdCheck" localSheetId="9">HiddenSettings!$C$31</definedName>
    <definedName name="RA_budgBlocks" localSheetId="9">HiddenSettings!$C$34</definedName>
    <definedName name="RA_leads" localSheetId="9">HiddenSettings!$C$24</definedName>
    <definedName name="RA_panl" localSheetId="9">HiddenSettings!$C$28</definedName>
    <definedName name="RA_PECglossary" localSheetId="9">HiddenSettings!$C$38</definedName>
    <definedName name="RA_pidCreate" localSheetId="9">HiddenSettings!$C$36</definedName>
    <definedName name="RA_pidSelect" localSheetId="9">HiddenSettings!$C$37</definedName>
    <definedName name="RA_PRCglossary" localSheetId="9">HiddenSettings!$C$30</definedName>
    <definedName name="RA_projText" localSheetId="9">HiddenSettings!$C$33</definedName>
    <definedName name="RA_prop" localSheetId="9">HiddenSettings!$C$26</definedName>
    <definedName name="RA_propCheck" localSheetId="9">HiddenSettings!$C$32</definedName>
    <definedName name="RA_propPRCs" localSheetId="9">HiddenSettings!$C$25</definedName>
    <definedName name="RA_revs" localSheetId="9">HiddenSettings!$C$27</definedName>
    <definedName name="RA_splits" localSheetId="9">HiddenSettings!$C$35</definedName>
    <definedName name="revtable" localSheetId="9">HiddenSettings!$C$23</definedName>
    <definedName name="RoboRAFolder">HiddenSettings!$B$6</definedName>
    <definedName name="rpt_pwd" comment="reportserver password" localSheetId="9">HiddenSettings!$B$3</definedName>
    <definedName name="select_prop_stts">HiddenSettings!$E$6</definedName>
    <definedName name="signer1">RoboRA!$N$11</definedName>
    <definedName name="signer2">RoboRA!$N$12</definedName>
    <definedName name="StdDeclTemplate">RoboRA!$H$11</definedName>
    <definedName name="StdNDPDeclTemplate" localSheetId="0">RoboRA!$K$11</definedName>
    <definedName name="to_date">Advanced!$E$12</definedName>
    <definedName name="user_id" comment="reportserver user_id" localSheetId="9">HiddenSettings!$B$2</definedName>
  </definedNames>
  <calcPr calcId="152511" concurrentCalc="0"/>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T2" i="10"/>
  <c r="AT3" i="10"/>
  <c r="AT4" i="10"/>
  <c r="AT5" i="10"/>
  <c r="AT6" i="10"/>
  <c r="AT7" i="10"/>
  <c r="AT8" i="10"/>
  <c r="AT9" i="10"/>
  <c r="AT10" i="10"/>
  <c r="AT11" i="10"/>
  <c r="AT12" i="10"/>
  <c r="AT13" i="10"/>
  <c r="AT14" i="10"/>
  <c r="AT15" i="10"/>
  <c r="AT16" i="10"/>
  <c r="AT17" i="10"/>
  <c r="AT18" i="10"/>
  <c r="AT19" i="10"/>
  <c r="AT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2" i="3"/>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8"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K2" i="13"/>
  <c r="N30" i="1"/>
  <c r="E23" i="1"/>
</calcChain>
</file>

<file path=xl/comments1.xml><?xml version="1.0" encoding="utf-8"?>
<comments xmlns="http://schemas.openxmlformats.org/spreadsheetml/2006/main">
  <authors>
    <author>Jack Snoeyink</author>
  </authors>
  <commentList>
    <comment ref="H12" authorId="0" shapeId="0">
      <text>
        <r>
          <rPr>
            <sz val="9"/>
            <color indexed="81"/>
            <rFont val="Tahoma"/>
            <family val="2"/>
          </rPr>
          <t xml:space="preserve">Std templates are automatically put into eJacket. </t>
        </r>
      </text>
    </comment>
    <comment ref="K12"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<sst xmlns="http://schemas.openxmlformats.org/spreadsheetml/2006/main" count="4071" uniqueCount="791">
  <si>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</si>
  <si>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</si>
  <si>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</si>
  <si>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</si>
  <si>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</si>
  <si>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</si>
  <si>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</si>
  <si>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</si>
  <si>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</si>
  <si>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</si>
  <si>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</si>
  <si>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</si>
  <si>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</si>
  <si>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</si>
  <si>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</si>
  <si>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</si>
  <si>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</si>
  <si>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</si>
  <si>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</si>
  <si>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</si>
  <si>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</si>
  <si>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</si>
  <si>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</si>
  <si>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</si>
  <si>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</si>
  <si>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</si>
  <si>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</si>
  <si>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</si>
  <si>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</si>
  <si>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</si>
  <si>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</si>
  <si>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</si>
  <si>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</si>
  <si>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</si>
  <si>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</si>
  <si>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</si>
  <si>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</si>
  <si>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</si>
  <si>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</si>
  <si>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</si>
  <si>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</si>
  <si>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</si>
  <si>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</si>
  <si>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</si>
  <si>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</si>
  <si>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</si>
  <si>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</si>
  <si>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</si>
  <si>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</si>
  <si>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</si>
  <si>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</si>
  <si>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</si>
  <si>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</si>
  <si>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</si>
  <si>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</si>
  <si>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</si>
  <si>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</si>
  <si>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</si>
  <si>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</si>
  <si>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</si>
  <si>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</si>
  <si>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</si>
  <si>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</si>
  <si>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</si>
  <si>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</si>
  <si>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</si>
  <si>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</si>
  <si>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</si>
  <si>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</si>
  <si>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</si>
  <si>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</si>
  <si>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</si>
  <si>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</si>
  <si>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</si>
  <si>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</si>
  <si>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</si>
  <si>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</si>
  <si>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</si>
  <si>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</si>
  <si>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</si>
  <si>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</si>
  <si>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</si>
  <si>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</si>
  <si>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</si>
  <si>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</si>
  <si>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</si>
  <si>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</si>
  <si>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</si>
  <si>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</si>
  <si>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</si>
  <si>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</si>
  <si>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</si>
  <si>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</si>
  <si>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</si>
  <si>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</si>
  <si>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</si>
  <si>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</si>
  <si>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</si>
  <si>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</si>
  <si>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</si>
  <si>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</si>
  <si>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</si>
  <si>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</si>
  <si>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</si>
  <si>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</si>
  <si>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</si>
  <si>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</si>
  <si>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</si>
  <si>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</si>
  <si>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</si>
  <si>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</si>
  <si>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</si>
  <si>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</si>
  <si>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</si>
  <si>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</si>
  <si>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</si>
  <si>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</si>
  <si>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</si>
  <si>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</si>
  <si>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</si>
  <si>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</si>
  <si>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</si>
  <si>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</si>
  <si>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</si>
  <si>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</si>
  <si>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</si>
  <si>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</si>
  <si>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</si>
  <si>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</si>
  <si>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</si>
  <si>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</si>
  <si>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</si>
  <si>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</si>
  <si>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</si>
  <si>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</si>
  <si>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</si>
  <si>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</si>
  <si>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</si>
  <si>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</si>
  <si>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</si>
  <si>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</si>
  <si>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</si>
  <si>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</si>
  <si>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</si>
  <si>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</si>
  <si>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</si>
  <si>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</si>
  <si>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</si>
  <si>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</si>
  <si>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</si>
  <si>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</si>
  <si>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</si>
  <si>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</si>
  <si>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</si>
  <si>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</si>
  <si>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</si>
  <si>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</si>
  <si>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</si>
  <si>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</si>
  <si>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</si>
  <si>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</si>
  <si>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</si>
  <si>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</si>
  <si>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</si>
  <si>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</si>
  <si>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</si>
  <si>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</si>
  <si>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</si>
  <si>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</si>
  <si>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</si>
  <si>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</si>
  <si>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</si>
  <si>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</si>
  <si>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</si>
  <si>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</si>
  <si>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</si>
  <si>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</si>
  <si>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</si>
  <si>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</si>
  <si>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</si>
  <si>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</si>
  <si>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</si>
  <si>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</si>
  <si>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</si>
  <si>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</si>
  <si>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</si>
  <si>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</si>
  <si>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</si>
  <si>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</si>
  <si>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</si>
  <si>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</si>
  <si>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</si>
  <si>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</si>
  <si>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</si>
  <si>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</si>
  <si>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</si>
  <si>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</si>
  <si>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</si>
  <si>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</si>
  <si>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</si>
  <si>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</si>
  <si>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</si>
  <si>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</si>
  <si>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</si>
  <si>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</si>
  <si>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</si>
  <si>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</si>
  <si>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</si>
  <si>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</si>
  <si>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</si>
  <si>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</si>
  <si>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</si>
  <si>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</si>
  <si>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</si>
  <si>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</si>
  <si>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</si>
  <si>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</si>
  <si>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</si>
  <si>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</si>
  <si>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</si>
  <si>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</si>
  <si>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</si>
  <si>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</si>
  <si>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</si>
  <si>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</si>
  <si>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</si>
  <si>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</si>
  <si>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</si>
  <si>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</si>
  <si>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</si>
  <si>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</si>
  <si>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</si>
  <si>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</si>
  <si>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</si>
  <si>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</si>
  <si>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</si>
  <si>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</si>
  <si>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</si>
  <si>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</si>
  <si>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</si>
  <si>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</si>
  <si>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</si>
  <si>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</si>
  <si>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</si>
  <si>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</si>
  <si>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</si>
  <si>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</si>
  <si>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</si>
  <si>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</si>
  <si>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</si>
  <si>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</si>
  <si>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</si>
  <si>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</si>
  <si>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</si>
  <si>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</si>
  <si>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</si>
  <si>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</si>
  <si>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</si>
  <si>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</si>
  <si>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</si>
  <si>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</si>
  <si>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</si>
  <si>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</si>
  <si>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</si>
  <si>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</si>
  <si>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</si>
  <si>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</si>
  <si>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</si>
  <si>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</si>
  <si>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</si>
  <si>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</si>
  <si>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</si>
  <si>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</si>
  <si>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</si>
  <si>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</si>
  <si>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</si>
  <si>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</si>
  <si>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</si>
  <si>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</si>
  <si>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</si>
  <si>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</si>
  <si>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</si>
  <si>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</si>
  <si>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</si>
  <si>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</si>
  <si>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</si>
  <si>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</si>
  <si>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</si>
  <si>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</si>
  <si>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</si>
  <si>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</si>
  <si>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</si>
  <si>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</si>
  <si>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</si>
  <si>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</si>
  <si>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</si>
  <si>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</si>
  <si>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</si>
  <si>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</si>
  <si>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</si>
  <si>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</si>
  <si>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</si>
  <si>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</si>
  <si>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</si>
  <si>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</si>
  <si>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</si>
  <si>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</si>
  <si>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</si>
  <si>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</si>
  <si>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</si>
  <si>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</si>
  <si>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</si>
  <si>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</si>
  <si>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</si>
  <si>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</si>
  <si>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</si>
  <si>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</si>
  <si>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</si>
  <si>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</si>
  <si>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</si>
  <si>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</si>
  <si>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</si>
  <si>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</si>
  <si>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</si>
  <si>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</si>
  <si>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</si>
  <si>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</si>
  <si>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</si>
  <si>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</si>
  <si>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</si>
  <si>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</si>
  <si>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</si>
  <si>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</si>
  <si>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</si>
  <si>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</si>
  <si>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</si>
  <si>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</si>
  <si>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</si>
  <si>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</si>
  <si>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</si>
  <si>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</si>
  <si>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</si>
  <si>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</si>
  <si>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</si>
  <si>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</si>
  <si>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</si>
  <si>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</si>
  <si>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</si>
  <si>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</si>
  <si>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</si>
  <si>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</si>
  <si>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</si>
  <si>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</si>
  <si>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</si>
  <si>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</si>
  <si>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</si>
  <si>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</si>
  <si>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</si>
  <si>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</si>
  <si>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</si>
  <si>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</si>
  <si>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</si>
  <si>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</si>
  <si>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</si>
  <si>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</si>
  <si>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</si>
  <si>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</si>
  <si>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</si>
  <si>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</si>
  <si>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</si>
  <si>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</si>
  <si>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</si>
  <si>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</si>
  <si>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</si>
  <si>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</si>
  <si>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</si>
  <si>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</si>
  <si>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</si>
  <si>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</si>
  <si>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</si>
  <si>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</si>
  <si>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</si>
  <si>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</si>
  <si>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</si>
  <si>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</si>
  <si>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</si>
  <si>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</si>
  <si>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</si>
  <si>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</si>
  <si>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</si>
  <si>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</si>
  <si>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</si>
  <si>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</si>
  <si>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</si>
  <si>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</si>
  <si>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</si>
  <si>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</si>
  <si>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</si>
  <si>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</si>
  <si>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</si>
  <si>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</si>
  <si>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</si>
  <si>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</si>
  <si>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</si>
  <si>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</si>
  <si>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</si>
  <si>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</si>
  <si>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</si>
  <si>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</si>
  <si>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</si>
  <si>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</si>
  <si>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</si>
  <si>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</si>
  <si>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</si>
  <si>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</si>
  <si>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</si>
  <si>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</si>
  <si>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</si>
  <si>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</si>
  <si>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</si>
  <si>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</si>
  <si>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</si>
  <si>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</si>
  <si>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</si>
  <si>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</si>
  <si>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</si>
  <si>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</si>
  <si>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</si>
  <si>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</si>
  <si>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</si>
  <si>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</si>
  <si>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</si>
  <si>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</si>
  <si>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</si>
  <si>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</si>
  <si>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</si>
  <si>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</si>
  <si>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</si>
  <si>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</si>
  <si>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</si>
  <si>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</si>
  <si>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</si>
  <si>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</si>
  <si>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</si>
  <si>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</si>
  <si>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</si>
  <si>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</si>
  <si>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</si>
  <si>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</si>
  <si>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</si>
  <si>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</si>
  <si>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</si>
  <si>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</si>
  <si>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</si>
  <si>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</si>
  <si>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</si>
  <si>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</si>
  <si>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</si>
  <si>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</si>
  <si>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</si>
  <si>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</si>
  <si>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</si>
  <si>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</si>
  <si>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</si>
  <si>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</si>
  <si>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</si>
  <si>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</si>
  <si>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</si>
  <si>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</si>
  <si>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</si>
  <si>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</si>
  <si>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</si>
  <si>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</si>
  <si>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</si>
  <si>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</si>
  <si>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</si>
  <si>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</si>
  <si>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</si>
  <si>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</si>
  <si>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</si>
  <si>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</si>
  <si>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</si>
  <si>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</si>
  <si>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</si>
  <si>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</si>
  <si>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</si>
  <si>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</si>
  <si>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</si>
  <si>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</si>
  <si>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</si>
  <si>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</si>
  <si>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</si>
  <si>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</si>
  <si>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</si>
  <si>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</si>
  <si>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</si>
  <si>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</si>
  <si>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</si>
  <si>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</si>
  <si>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</si>
  <si>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</si>
  <si>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</si>
  <si>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</si>
  <si>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</si>
  <si>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</si>
  <si>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</si>
  <si>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</si>
  <si>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</si>
  <si>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</si>
  <si>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</si>
  <si>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</si>
  <si>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</si>
  <si>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</si>
  <si>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</si>
  <si>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</si>
  <si>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</si>
  <si>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</si>
  <si>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</si>
  <si>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</si>
  <si>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</si>
  <si>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</si>
  <si>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</si>
  <si>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</si>
  <si>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</si>
  <si>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</si>
  <si>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</si>
  <si>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</si>
  <si>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</si>
  <si>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</si>
  <si>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</si>
  <si>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</si>
  <si>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</si>
  <si>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</si>
  <si>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</si>
  <si>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</si>
  <si>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</si>
  <si>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</si>
  <si>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</si>
  <si>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</si>
  <si>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</si>
  <si>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</si>
  <si>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</si>
  <si>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</si>
  <si>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</si>
  <si>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</si>
  <si>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</si>
  <si>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</si>
  <si>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</si>
  <si>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</si>
  <si>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</si>
  <si>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</si>
  <si>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</si>
  <si>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</si>
  <si>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</si>
  <si>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</si>
  <si>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</si>
  <si>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</si>
  <si>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</si>
  <si>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</si>
  <si>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</si>
  <si>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</si>
  <si>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</si>
  <si>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</si>
  <si>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</si>
  <si>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</si>
  <si>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</si>
  <si>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</si>
  <si>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</si>
  <si>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</si>
  <si>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</si>
  <si>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</si>
  <si>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</si>
  <si>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</si>
  <si>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</si>
  <si>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</si>
  <si>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</si>
  <si>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</si>
  <si>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</si>
  <si>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</si>
  <si>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</si>
  <si>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</si>
  <si>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</si>
  <si>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</si>
  <si>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</si>
  <si>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</si>
  <si>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</si>
  <si>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</si>
  <si>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</si>
  <si>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</si>
  <si>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</si>
  <si>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</si>
  <si>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</si>
  <si>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</si>
  <si>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</si>
  <si>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</si>
  <si>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</si>
  <si>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</si>
  <si>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</si>
  <si>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</si>
  <si>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</si>
  <si>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</si>
  <si>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</si>
  <si>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</si>
  <si>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</si>
  <si>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</si>
  <si>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</si>
  <si>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</si>
  <si>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</si>
  <si>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</si>
  <si>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</si>
  <si>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</si>
  <si>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</si>
  <si>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</si>
  <si>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</si>
  <si>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</si>
  <si>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</si>
  <si>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</si>
  <si>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</si>
  <si>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</si>
  <si>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</si>
  <si>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</si>
  <si>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</si>
  <si>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</si>
  <si>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</si>
  <si>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</si>
  <si>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</si>
  <si>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</si>
  <si>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</si>
  <si>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</si>
  <si>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</si>
  <si>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</si>
  <si>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</si>
  <si>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</si>
  <si>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</si>
  <si>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</si>
  <si>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</si>
  <si>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</si>
  <si>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</si>
  <si>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</si>
  <si>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</si>
  <si>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</si>
  <si>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</si>
  <si>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</si>
  <si>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</si>
  <si>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</si>
  <si>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</si>
  <si>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</si>
  <si>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</si>
  <si>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</si>
  <si>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</si>
  <si>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</si>
  <si>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</si>
  <si>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</si>
  <si>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</si>
  <si>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</si>
  <si>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</si>
  <si>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</si>
  <si>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</si>
  <si>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</si>
  <si>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</si>
  <si>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</si>
  <si>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</si>
  <si>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</si>
  <si>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</si>
  <si>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</si>
  <si>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</si>
  <si>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</si>
  <si>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</si>
  <si>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</si>
  <si>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</si>
  <si>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</si>
  <si>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</si>
  <si>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</si>
  <si>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</si>
  <si>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</si>
  <si>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</si>
  <si>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</si>
  <si>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</si>
  <si>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</si>
  <si>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</si>
  <si>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</si>
  <si>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</si>
  <si>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</si>
  <si>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</si>
  <si>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</si>
  <si>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</si>
  <si>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</si>
  <si>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</si>
  <si>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</si>
  <si>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</si>
  <si>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</si>
  <si>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</si>
  <si>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</si>
  <si>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</si>
  <si>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</si>
  <si>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</si>
  <si>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</si>
  <si>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</si>
  <si>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</si>
  <si>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</si>
  <si>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</si>
  <si>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</si>
  <si>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</si>
  <si>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</si>
  <si>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</si>
  <si>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</si>
  <si>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</si>
  <si>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</si>
  <si>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</si>
  <si>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</si>
  <si>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</si>
  <si>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</si>
  <si>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</si>
  <si>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</si>
  <si>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</si>
  <si>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</si>
  <si>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</si>
  <si>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</si>
  <si>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</si>
  <si>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</si>
  <si>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</si>
  <si>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</si>
  <si>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</si>
  <si>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</si>
  <si>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</si>
  <si>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</si>
  <si>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</si>
  <si>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</si>
  <si>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</si>
  <si>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</si>
  <si>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</si>
  <si>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</si>
  <si>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</si>
  <si>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</si>
  <si>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</si>
  <si>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</si>
  <si>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</si>
  <si>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</si>
  <si>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</si>
  <si>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</si>
  <si>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</si>
  <si>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</si>
  <si>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</si>
  <si>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</si>
  <si>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</si>
  <si>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</si>
  <si>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</si>
  <si>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</si>
  <si>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</si>
  <si>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</si>
  <si>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</si>
  <si>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</si>
  <si>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</si>
  <si>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</si>
  <si>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</si>
  <si>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</si>
  <si>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</si>
  <si>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</si>
  <si>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</si>
  <si>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</si>
  <si>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</si>
  <si>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</si>
  <si>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</si>
  <si>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</si>
  <si>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</si>
  <si>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</si>
  <si>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</si>
  <si>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</si>
  <si>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</si>
  <si>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</si>
  <si>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</si>
  <si>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</si>
  <si>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</si>
  <si>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</si>
  <si>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</si>
  <si>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</si>
  <si>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</si>
  <si>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</si>
  <si>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</si>
  <si>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</si>
  <si>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</si>
  <si>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R:\RAoutput</t>
  </si>
  <si>
    <t>C:\Users\JSNOEYIN\excelSQL\RoboRA\RAtemplates</t>
  </si>
  <si>
    <t>Std NC-LC RAt.docx</t>
  </si>
  <si>
    <t>Std Triage NDP RAt.docx</t>
  </si>
  <si>
    <t>ejupd</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</si>
  <si>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Spatial-Temporal Analytics to Improve Productivity and Enhance Safety in Infrastructure Construction_x000D_
_x000D_
L: 1761829 Cai, Hubo Purdue University $  398,918_x000D_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</si>
  <si>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A Smartphone-Based Human-Equipment Proximity Warning System (SHE-PWS) to Enhance Construction Jobsite Safety_x000D_
_x000D_
L: 1762328 Chen, Yunfeng Ga. Southern Univ. R&amp;S Fdn $  226,763_x000D_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</si>
  <si>
    <r>
      <t xml:space="preserve">Paste prop_id </t>
    </r>
    <r>
      <rPr>
        <sz val="10"/>
        <color theme="3" tint="-0.249977111117893"/>
        <rFont val="Calibri"/>
        <family val="2"/>
        <scheme val="minor"/>
      </rPr>
      <t>(values)</t>
    </r>
    <r>
      <rPr>
        <sz val="11"/>
        <color theme="3" tint="-0.249977111117893"/>
        <rFont val="Calibri"/>
        <family val="2"/>
        <scheme val="minor"/>
      </rPr>
      <t xml:space="preserve"> into tables </t>
    </r>
  </si>
  <si>
    <t>RoboRAFolder (sharepoint or onedrive)</t>
  </si>
  <si>
    <t>https://collaboration.inside.nsf.gov/eng/meritreview/SiteAssets/ENG%20Tools%20Websites%20and%20Best%20Practices/RoboRA/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</si>
</sst>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5"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sz val="10"/>
      <color theme="3" tint="-0.249977111117893"/>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83">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border>
        <top style="thin">
          <color auto="1"/>
        </top>
      </border>
    </dxf>
    <dxf>
      <fill>
        <patternFill>
          <fgColor indexed="64"/>
          <bgColor rgb="FFEBF5CD"/>
        </patternFill>
      </fill>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theme="6"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2"/>
      <tableStyleElement type="headerRow" dxfId="281"/>
      <tableStyleElement type="totalRow" dxfId="280"/>
      <tableStyleElement type="firstRowStripe" dxfId="279"/>
    </tableStyle>
    <tableStyle name="OmitTableStyle" pivot="0" count="6">
      <tableStyleElement type="wholeTable" dxfId="278"/>
      <tableStyleElement type="headerRow" dxfId="277"/>
      <tableStyleElement type="totalRow" dxfId="276"/>
      <tableStyleElement type="firstColumn" dxfId="275"/>
      <tableStyleElement type="lastColumn" dxfId="274"/>
      <tableStyleElement type="firstRowStripe" dxfId="273"/>
    </tableStyle>
    <tableStyle name="TableFall" pivot="0" count="4">
      <tableStyleElement type="wholeTable" dxfId="272"/>
      <tableStyleElement type="headerRow" dxfId="271"/>
      <tableStyleElement type="totalRow" dxfId="270"/>
      <tableStyleElement type="firstRowStripe" dxfId="269"/>
    </tableStyle>
    <tableStyle name="TableStyleMedium3 2" pivot="0" count="7">
      <tableStyleElement type="wholeTable" dxfId="268"/>
      <tableStyleElement type="headerRow" dxfId="267"/>
      <tableStyleElement type="totalRow" dxfId="266"/>
      <tableStyleElement type="firstColumn" dxfId="265"/>
      <tableStyleElement type="lastColumn" dxfId="264"/>
      <tableStyleElement type="firstRowStripe" dxfId="263"/>
      <tableStyleElement type="firstColumnStripe" dxfId="262"/>
    </tableStyle>
    <tableStyle name="TableStyleMedium7 2" pivot="0" count="7">
      <tableStyleElement type="wholeTable" dxfId="261"/>
      <tableStyleElement type="headerRow" dxfId="260"/>
      <tableStyleElement type="totalRow" dxfId="259"/>
      <tableStyleElement type="firstColumn" dxfId="258"/>
      <tableStyleElement type="lastColumn" dxfId="257"/>
      <tableStyleElement type="firstRowStripe" dxfId="256"/>
      <tableStyleElement type="firstColumnStripe" dxfId="255"/>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5</xdr:row>
          <xdr:rowOff>19050</xdr:rowOff>
        </xdr:from>
        <xdr:to>
          <xdr:col>5</xdr:col>
          <xdr:colOff>200025</xdr:colOff>
          <xdr:row>6</xdr:row>
          <xdr:rowOff>19050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xmlns=""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7</xdr:row>
          <xdr:rowOff>57150</xdr:rowOff>
        </xdr:from>
        <xdr:to>
          <xdr:col>5</xdr:col>
          <xdr:colOff>200025</xdr:colOff>
          <xdr:row>8</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RA Drafts</a:t>
              </a:r>
            </a:p>
          </xdr:txBody>
        </xdr:sp>
        <xdr:clientData fPrintsWithSheet="0"/>
      </xdr:twoCellAnchor>
    </mc:Choice>
    <mc:Fallback/>
  </mc:AlternateContent>
  <xdr:twoCellAnchor editAs="absolute">
    <xdr:from>
      <xdr:col>7</xdr:col>
      <xdr:colOff>474890</xdr:colOff>
      <xdr:row>0</xdr:row>
      <xdr:rowOff>0</xdr:rowOff>
    </xdr:from>
    <xdr:to>
      <xdr:col>11</xdr:col>
      <xdr:colOff>169306</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000-000006000000}"/>
            </a:ext>
          </a:extLst>
        </xdr:cNvPr>
        <xdr:cNvGrpSpPr>
          <a:grpSpLocks noChangeAspect="1"/>
        </xdr:cNvGrpSpPr>
      </xdr:nvGrpSpPr>
      <xdr:grpSpPr>
        <a:xfrm>
          <a:off x="3780065" y="0"/>
          <a:ext cx="2228066" cy="2054967"/>
          <a:chOff x="3257550" y="0"/>
          <a:chExt cx="2490684" cy="2054967"/>
        </a:xfrm>
      </xdr:grpSpPr>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180975</xdr:colOff>
          <xdr:row>3</xdr:row>
          <xdr:rowOff>180975</xdr:rowOff>
        </xdr:from>
        <xdr:to>
          <xdr:col>13</xdr:col>
          <xdr:colOff>1647825</xdr:colOff>
          <xdr:row>4</xdr:row>
          <xdr:rowOff>200025</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xmlns=""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4</xdr:row>
          <xdr:rowOff>171450</xdr:rowOff>
        </xdr:from>
        <xdr:to>
          <xdr:col>14</xdr:col>
          <xdr:colOff>38100</xdr:colOff>
          <xdr:row>5</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xmlns=""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5</xdr:row>
          <xdr:rowOff>133350</xdr:rowOff>
        </xdr:from>
        <xdr:to>
          <xdr:col>14</xdr:col>
          <xdr:colOff>142875</xdr:colOff>
          <xdr:row>6</xdr:row>
          <xdr:rowOff>66675</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xmlns=""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6</xdr:row>
          <xdr:rowOff>57150</xdr:rowOff>
        </xdr:from>
        <xdr:to>
          <xdr:col>14</xdr:col>
          <xdr:colOff>38100</xdr:colOff>
          <xdr:row>7</xdr:row>
          <xdr:rowOff>19050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xmlns=""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2</xdr:row>
          <xdr:rowOff>85725</xdr:rowOff>
        </xdr:from>
        <xdr:to>
          <xdr:col>14</xdr:col>
          <xdr:colOff>0</xdr:colOff>
          <xdr:row>3</xdr:row>
          <xdr:rowOff>66675</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xmlns=""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6</xdr:row>
          <xdr:rowOff>38100</xdr:rowOff>
        </xdr:from>
        <xdr:to>
          <xdr:col>5</xdr:col>
          <xdr:colOff>200025</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xmlns=""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190499</xdr:colOff>
          <xdr:row>1</xdr:row>
          <xdr:rowOff>152399</xdr:rowOff>
        </xdr:from>
        <xdr:to>
          <xdr:col>14</xdr:col>
          <xdr:colOff>133349</xdr:colOff>
          <xdr:row>2</xdr:row>
          <xdr:rowOff>104774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xmlns=""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xmlns=""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xmlns=""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5</xdr:row>
          <xdr:rowOff>19050</xdr:rowOff>
        </xdr:from>
        <xdr:to>
          <xdr:col>8</xdr:col>
          <xdr:colOff>171450</xdr:colOff>
          <xdr:row>6</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7</xdr:row>
          <xdr:rowOff>28575</xdr:rowOff>
        </xdr:from>
        <xdr:to>
          <xdr:col>8</xdr:col>
          <xdr:colOff>171450</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6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xmlns=""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xmlns=""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xmlns=""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xmlns=""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xmlns=""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219075</xdr:colOff>
          <xdr:row>22</xdr:row>
          <xdr:rowOff>9525</xdr:rowOff>
        </xdr:from>
        <xdr:to>
          <xdr:col>6</xdr:col>
          <xdr:colOff>257175</xdr:colOff>
          <xdr:row>23</xdr:row>
          <xdr:rowOff>9525</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xmlns=""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4</xdr:row>
          <xdr:rowOff>200025</xdr:rowOff>
        </xdr:from>
        <xdr:to>
          <xdr:col>3</xdr:col>
          <xdr:colOff>161925</xdr:colOff>
          <xdr:row>6</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xmlns=""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xmlns=""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xmlns=""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xmlns=""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7.489918055559" createdVersion="6" refreshedVersion="6"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7.586909375001" createdVersion="6" refreshedVersion="6"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17-12-15T17:09:51"/>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1">
        <s v="zztemplateFname RAt.docx"/>
        <s v="Awd RAt.docx"/>
        <s v="Std Decline RAt.docx"/>
        <s v="Std Triage NDP RAt.docx"/>
        <s v=" "/>
        <m u="1"/>
        <s v="templateFilename_RAt.docx" u="1"/>
        <s v="Decline RAt.docm" u="1"/>
        <s v="Awd RAt.docm" u="1"/>
        <s v="Decline RAt.docx" u="1"/>
        <s v="Std 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8T11:45:25"/>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Awd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8T11:45:25"/>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8T11:45:25"/>
    <s v="cdossick@uw.edu"/>
    <s v="cdossick@uw.edu      "/>
  </r>
  <r>
    <m/>
    <d v="2017-09-13T16:41:00"/>
    <s v="NSF 17-1"/>
    <s v="07030000"/>
    <s v="1631"/>
    <s v="NEW"/>
    <s v="PEND"/>
    <s v="4110"/>
    <s v="UnsolFY18"/>
    <s v="QCHEN"/>
    <m/>
    <n v="1"/>
    <n v="3"/>
    <s v="DNC"/>
    <m/>
    <m/>
    <x v="3"/>
    <s v="Std Triage NDP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8T11:45:25"/>
    <s v="yclee@lsu.edu"/>
    <s v="yclee@lsu.edu      "/>
  </r>
  <r>
    <m/>
    <d v="2017-09-14T12:29:00"/>
    <s v="PD 15-1631"/>
    <s v="07030000"/>
    <s v="1631"/>
    <s v="NEW"/>
    <s v="PEND"/>
    <s v="4110"/>
    <s v="UnsolFY18"/>
    <s v="QCHEN"/>
    <m/>
    <n v="1"/>
    <n v="3"/>
    <s v="DNC"/>
    <m/>
    <m/>
    <x v="4"/>
    <s v="RA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jee.park@unlv.edu"/>
    <s v="jee.park@unlv.edu      "/>
  </r>
  <r>
    <m/>
    <d v="2017-09-14T12:32:00"/>
    <s v="PD 15-1631"/>
    <s v="07030000"/>
    <s v="1631"/>
    <s v="NEW"/>
    <s v="PEND"/>
    <s v="4110"/>
    <s v="UnsolFY18"/>
    <s v="QCHEN"/>
    <m/>
    <n v="1"/>
    <n v="3"/>
    <s v="DNC"/>
    <m/>
    <m/>
    <x v="4"/>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ryanahn@tamu.edu"/>
    <s v="ryanahn@tamu.edu;matthew.r.johnson@unl.edu;yong.cho@ce.gatech.edu    "/>
  </r>
  <r>
    <m/>
    <d v="2017-09-14T16:14:00"/>
    <s v="PD 15-1631"/>
    <s v="07030000"/>
    <s v="1631"/>
    <s v="NEW"/>
    <s v="PEND"/>
    <s v="4110"/>
    <s v="UnsolFY18"/>
    <s v="QCHEN"/>
    <m/>
    <n v="1"/>
    <n v="3"/>
    <s v="DNC"/>
    <m/>
    <m/>
    <x v="4"/>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fernanda.leite@austin.utexas.edu"/>
    <s v="fernanda.leite@austin.utexas.edu      "/>
  </r>
  <r>
    <m/>
    <d v="2017-09-15T10:45:00"/>
    <s v="PD 15-1631"/>
    <s v="07030000"/>
    <s v="1631"/>
    <s v="NEW"/>
    <s v="PEND"/>
    <s v="4110"/>
    <s v="UnsolFY18"/>
    <s v="QCHEN"/>
    <m/>
    <n v="1"/>
    <n v="3"/>
    <s v="DNC"/>
    <m/>
    <m/>
    <x v="4"/>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lucko@cua.edu"/>
    <s v="lucko@cua.edu      "/>
  </r>
  <r>
    <m/>
    <d v="2017-09-15T10:47:00"/>
    <s v="PD 15-1631"/>
    <s v="07030000"/>
    <s v="1631"/>
    <s v="NEW"/>
    <s v="PEND"/>
    <s v="4110"/>
    <s v="UnsolFY18"/>
    <s v="QCHEN"/>
    <m/>
    <n v="1"/>
    <n v="3"/>
    <s v="DNC"/>
    <m/>
    <m/>
    <x v="4"/>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lucko@cua.edu"/>
    <s v="lucko@cua.edu      "/>
  </r>
  <r>
    <m/>
    <d v="2017-09-15T13:14:00"/>
    <s v="PD 15-1631"/>
    <s v="07030000"/>
    <s v="1631"/>
    <s v="NEW"/>
    <s v="PEND"/>
    <s v="4110"/>
    <s v="UnsolFY18"/>
    <s v="QCHEN"/>
    <m/>
    <n v="1"/>
    <n v="3"/>
    <s v="DNC"/>
    <m/>
    <m/>
    <x v="4"/>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fei.dai@mail.wvu.edu"/>
    <s v="fei.dai@mail.wvu.edu;abehzadan@tamu.edu     "/>
  </r>
  <r>
    <m/>
    <d v="2017-09-18T14:02:00"/>
    <s v="PD 15-1631"/>
    <s v="07030000"/>
    <s v="1631"/>
    <s v="NEW"/>
    <s v="PEND"/>
    <s v="4110"/>
    <s v="UnsolFY18"/>
    <s v="QCHEN"/>
    <d v="2017-12-15T17:09:47"/>
    <n v="1"/>
    <n v="3"/>
    <s v="DNC"/>
    <m/>
    <m/>
    <x v="4"/>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hubocai@ecn.purdue.edu"/>
    <s v="hubocai@ecn.purdue.edu      "/>
  </r>
  <r>
    <m/>
    <d v="2017-09-21T08:37:00"/>
    <s v="PD 15-1631"/>
    <s v="07030000"/>
    <s v="1631"/>
    <s v="NEW"/>
    <s v="PEND"/>
    <s v="4110"/>
    <s v="UnsolFY18"/>
    <s v="QCHEN"/>
    <d v="2017-12-15T17:09:51"/>
    <n v="1"/>
    <n v="3"/>
    <s v="DNC"/>
    <m/>
    <m/>
    <x v="4"/>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ychen@georgiasouthern.edu"/>
    <s v="ychen@georgiasouthern.edu      "/>
  </r>
  <r>
    <m/>
    <d v="2017-09-21T10:44:00"/>
    <s v="PD 15-1631"/>
    <s v="07030000"/>
    <s v="1631"/>
    <s v="NEW"/>
    <s v="PEND"/>
    <s v="4110"/>
    <s v="UnsolFY18"/>
    <s v="QCHEN"/>
    <m/>
    <n v="1"/>
    <n v="3"/>
    <s v="DNC"/>
    <m/>
    <m/>
    <x v="4"/>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baabak@gatech.edu"/>
    <s v="baabak@gatech.edu;mohsen@uta.edu     "/>
  </r>
  <r>
    <m/>
    <d v="2017-09-22T10:49:00"/>
    <s v="PD 15-1631"/>
    <s v="07030000"/>
    <s v="1631"/>
    <s v="NEW"/>
    <s v="PEND"/>
    <s v="4110"/>
    <s v="UnsolFY18"/>
    <s v="QCHEN"/>
    <m/>
    <n v="1"/>
    <n v="3"/>
    <s v="DNC"/>
    <m/>
    <m/>
    <x v="4"/>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bfranz@ufl.edu"/>
    <s v="bfranz@ufl.edu      "/>
  </r>
  <r>
    <m/>
    <d v="2017-09-22T13:15:00"/>
    <s v="PD 15-1631"/>
    <s v="07030000"/>
    <s v="1631"/>
    <s v="NEW"/>
    <s v="PEND"/>
    <s v="4110"/>
    <s v="UnsolFY18"/>
    <s v="QCHEN"/>
    <m/>
    <n v="1"/>
    <n v="3"/>
    <s v="DNC"/>
    <m/>
    <m/>
    <x v="4"/>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8T11:45:25"/>
    <s v="david.grau@asu.edu"/>
    <s v="david.grau@asu.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21"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2">
        <item x="4"/>
        <item x="1"/>
        <item m="1" x="9"/>
        <item x="2"/>
        <item m="1" x="6"/>
        <item x="0"/>
        <item m="1" x="5"/>
        <item m="1" x="8"/>
        <item m="1" x="7"/>
        <item m="1" x="10"/>
        <item x="3"/>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6">
    <i>
      <x/>
    </i>
    <i>
      <x v="1"/>
    </i>
    <i>
      <x v="3"/>
    </i>
    <i>
      <x v="5"/>
    </i>
    <i>
      <x v="10"/>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54">
  <autoFilter ref="B12:B13"/>
  <tableColumns count="1">
    <tableColumn id="1" name="prop_id" dataDxfId="253"/>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52">
  <autoFilter ref="E12:E13"/>
  <tableColumns count="1">
    <tableColumn id="1" name="prop_id" dataDxfId="251"/>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50">
  <autoFilter ref="H12:H13"/>
  <tableColumns count="1">
    <tableColumn id="1" name="prop_id" dataDxfId="249"/>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2:K13" insertRow="1" totalsRowShown="0" dataDxfId="248">
  <autoFilter ref="K12:K13"/>
  <tableColumns count="1">
    <tableColumn id="1" name="prop_id" dataDxfId="247"/>
  </tableColumns>
  <tableStyleInfo name="TableStyleMedium8" showFirstColumn="0" showLastColumn="0" showRowStripes="1" showColumnStripes="0"/>
</table>
</file>

<file path=xl/tables/table5.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240"/>
    <tableColumn id="124" uniqueName="124" name="nsf_rcvd_date" queryTableFieldId="2" dataDxfId="239"/>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38"/>
    <tableColumn id="131" uniqueName="131" name="bas_rsch_pct" queryTableFieldId="9" dataDxfId="237"/>
    <tableColumn id="132" uniqueName="132" name="other_pct" queryTableFieldId="10" dataDxfId="236"/>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35">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34"/>
    <tableColumn id="186" uniqueName="186" name="0" queryTableFieldId="65" dataDxfId="233">
      <calculatedColumnFormula>S1+(ckCodingTable[[#This Row],[ILN]]&lt;"M")</calculatedColumnFormula>
    </tableColumn>
    <tableColumn id="139" uniqueName="139" name="ILN" queryTableFieldId="17" dataDxfId="232"/>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1"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30"/>
    <tableColumn id="146" uniqueName="146" name="rqst_mnth_cnt" queryTableFieldId="24"/>
    <tableColumn id="147" uniqueName="147" name="nPanl" queryTableFieldId="25"/>
    <tableColumn id="149" uniqueName="149" name="nPSunrls" queryTableFieldId="27"/>
    <tableColumn id="148" uniqueName="148" name="nPSunmrkd" queryTableFieldId="26" dataDxfId="229"/>
    <tableColumn id="152" uniqueName="152" name="allReviews" queryTableFieldId="30"/>
    <tableColumn id="153" uniqueName="153" name="avg_score" queryTableFieldId="31" dataDxfId="228"/>
    <tableColumn id="154" uniqueName="154" name="last_rev_date" queryTableFieldId="32" dataDxfId="227"/>
    <tableColumn id="156" uniqueName="156" name="Nconfl" queryTableFieldId="34" dataDxfId="226"/>
    <tableColumn id="151" uniqueName="151" name="nRev" queryTableFieldId="29"/>
    <tableColumn id="157" uniqueName="157" name="Nunrlsbl" queryTableFieldId="35"/>
    <tableColumn id="155" uniqueName="155" name="Nunmkd" queryTableFieldId="33" dataDxfId="225"/>
    <tableColumn id="158" uniqueName="158" name="NrlsdCDNPS" queryTableFieldId="36" dataDxfId="224"/>
    <tableColumn id="159" uniqueName="159" name="NpendSlct" queryTableFieldId="37" dataDxfId="223"/>
    <tableColumn id="160" uniqueName="160" name="NdiffFLeJ" queryTableFieldId="38" dataDxfId="222"/>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21" dataCellStyle="Currency"/>
    <tableColumn id="165" uniqueName="165" name="budg_tot" queryTableFieldId="43" dataDxfId="220" dataCellStyle="Currency"/>
    <tableColumn id="166" uniqueName="166" name="sub_ctr_tot" queryTableFieldId="44" dataDxfId="219" dataCellStyle="Currency"/>
    <tableColumn id="167" uniqueName="167" name="frgn_trav_tot" queryTableFieldId="45" dataDxfId="218" dataCellStyle="Currency"/>
    <tableColumn id="168" uniqueName="168" name="pdoc_tot" queryTableFieldId="46" dataDxfId="217" dataCellStyle="Currency"/>
    <tableColumn id="169" uniqueName="169" name="part_tot_dol" queryTableFieldId="47" dataDxfId="216"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6.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211"/>
    <tableColumn id="4" uniqueName="4" name="nsf_rcvd_date" queryTableFieldId="4" dataDxfId="210"/>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09"/>
    <tableColumn id="39" uniqueName="39" name="natr_rqst_abbr" queryTableFieldId="280" dataDxfId="208"/>
    <tableColumn id="49" uniqueName="49" name="rcom_istr_abbr" queryTableFieldId="281" dataDxfId="207"/>
    <tableColumn id="19" uniqueName="19" name="obj_clas_code" queryTableFieldId="221"/>
    <tableColumn id="11" uniqueName="11" name="cntx_stmt_id" queryTableFieldId="11"/>
    <tableColumn id="32" uniqueName="32" name="RAupdate" queryTableFieldId="254" dataDxfId="206"/>
    <tableColumn id="25" uniqueName="25" name="0" queryTableFieldId="230" dataDxfId="205">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04" dataCellStyle="Hyperlink">
      <calculatedColumnFormula>HYPERLINK("https://www.ejacket.nsf.gov/ej/showProposal.do?ID="&amp;ckAwdTable[[#This Row],[prop_id]],"eJ")</calculatedColumnFormula>
    </tableColumn>
    <tableColumn id="27" uniqueName="27" name="Div" queryTableFieldId="282" dataDxfId="203"/>
    <tableColumn id="12" uniqueName="12" name="prop_id" queryTableFieldId="12"/>
    <tableColumn id="13" uniqueName="13" name="pi_last_name" queryTableFieldId="13"/>
    <tableColumn id="14" uniqueName="14" name="pi_frst_name" queryTableFieldId="14"/>
    <tableColumn id="24" uniqueName="24" name="inst" queryTableFieldId="283" dataDxfId="202"/>
    <tableColumn id="23" uniqueName="23" name="st_code" queryTableFieldId="225"/>
    <tableColumn id="206" uniqueName="206" name="@pi email" queryTableFieldId="212" dataDxfId="201"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00"/>
    <tableColumn id="17" uniqueName="17" name="rqst_mnth_cnt" queryTableFieldId="17"/>
    <tableColumn id="9" uniqueName="9" name="humn_date" queryTableFieldId="218"/>
    <tableColumn id="28" uniqueName="28" name="hum_asur" queryTableFieldId="301" dataDxfId="199"/>
    <tableColumn id="29" uniqueName="29" name="HUM_EXPT" queryTableFieldId="302" dataDxfId="198"/>
    <tableColumn id="10" uniqueName="10" name="vrtb_date" queryTableFieldId="219"/>
    <tableColumn id="37" uniqueName="37" name="vrtb_asur" queryTableFieldId="303" dataDxfId="197"/>
    <tableColumn id="30" uniqueName="30" name="Country" queryTableFieldId="250" dataDxfId="196"/>
    <tableColumn id="34" uniqueName="34" name="rqst_tot" queryTableFieldId="288" dataDxfId="195" dataCellStyle="Currency"/>
    <tableColumn id="35" uniqueName="35" name="brevn" queryTableFieldId="289" dataDxfId="194"/>
    <tableColumn id="36" uniqueName="36" name="budg_tot" queryTableFieldId="290" dataDxfId="193"/>
    <tableColumn id="40" uniqueName="40" name="sub_ctr_tot" queryTableFieldId="292" dataDxfId="192"/>
    <tableColumn id="41" uniqueName="41" name="frgn_trav_tot" queryTableFieldId="293" dataDxfId="191"/>
    <tableColumn id="42" uniqueName="42" name="pdoc_tot" queryTableFieldId="294" dataDxfId="190"/>
    <tableColumn id="43" uniqueName="43" name="part_tot_dol" queryTableFieldId="295" dataDxfId="189"/>
    <tableColumn id="44" uniqueName="44" name="grad_tot_cnt" queryTableFieldId="296" dataDxfId="188"/>
    <tableColumn id="45" uniqueName="45" name="sr_tot_cnt" queryTableFieldId="297" dataDxfId="187"/>
    <tableColumn id="46" uniqueName="46" name="sr_sumr_mnths" queryTableFieldId="298" dataDxfId="186"/>
    <tableColumn id="47" uniqueName="47" name="sr_acad_mnths" queryTableFieldId="299" dataDxfId="185"/>
    <tableColumn id="48" uniqueName="48" name="sr_cal_mnths" queryTableFieldId="300" dataDxfId="184"/>
    <tableColumn id="8" uniqueName="8" name="prop_stts_txt" queryTableFieldId="278" dataDxfId="183"/>
    <tableColumn id="54" uniqueName="54" name="OTH_AGCY_SUBM_FLAG" queryTableFieldId="287" dataDxfId="182"/>
    <tableColumn id="53" uniqueName="53" name="Abstr?marks" queryTableFieldId="320" dataDxfId="181">
      <calculatedColumnFormula>SummarizeQuestMarks(ckAwdTable[[#This Row],[abst_narr_txt]])</calculatedColumnFormula>
    </tableColumn>
    <tableColumn id="51" uniqueName="51" name="abst_narr_txt" queryTableFieldId="251" dataDxfId="180"/>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179"/>
  </tableColumns>
  <tableStyleInfo name="TableStyleLight11" showFirstColumn="0" showLastColumn="0" showRowStripes="0" showColumnStripes="0"/>
</table>
</file>

<file path=xl/tables/table7.xml><?xml version="1.0" encoding="utf-8"?>
<table xmlns="http://schemas.openxmlformats.org/spreadsheetml/2006/main" id="5" name="BudgetsTable" displayName="BudgetsTable" ref="A3:AD75" tableType="queryTable" totalsRowShown="0" dataDxfId="175">
  <autoFilter ref="A3:AD75"/>
  <tableColumns count="30">
    <tableColumn id="10" uniqueName="10" name="prop_id" queryTableFieldId="10" dataDxfId="174"/>
    <tableColumn id="9" uniqueName="9" name="ILN" queryTableFieldId="89" dataDxfId="173" dataCellStyle="Hyperlink"/>
    <tableColumn id="31" uniqueName="31" name="10" queryTableFieldId="98" dataDxfId="172" dataCellStyle="Hyperlink">
      <calculatedColumnFormula>C3+(BudgetsTable[[#This Row],[lead]]&lt;&gt;K3)</calculatedColumnFormula>
    </tableColumn>
    <tableColumn id="32" uniqueName="32" name="0" queryTableFieldId="97" dataDxfId="171" dataCellStyle="Hyperlink">
      <calculatedColumnFormula>D3*(BudgetsTable[[#This Row],[lead]]=K3)+(BudgetsTable[[#This Row],[prop_id]]&lt;&gt;A3)</calculatedColumnFormula>
    </tableColumn>
    <tableColumn id="3" uniqueName="3" name="nsf_rcvd_date" queryTableFieldId="63" dataDxfId="170" dataCellStyle="Hyperlink"/>
    <tableColumn id="4" uniqueName="4" name="pgm_annc_id" queryTableFieldId="64" dataDxfId="169" dataCellStyle="Hyperlink"/>
    <tableColumn id="5" uniqueName="5" name="org_code" queryTableFieldId="65" dataDxfId="168" dataCellStyle="Hyperlink"/>
    <tableColumn id="6" uniqueName="6" name="pgm_ele_code" queryTableFieldId="66" dataDxfId="167" dataCellStyle="Hyperlink"/>
    <tableColumn id="27" uniqueName="27" name="PO" queryTableFieldId="91" dataDxfId="166" dataCellStyle="Hyperlink"/>
    <tableColumn id="28" uniqueName="28" name="pi_email" queryTableFieldId="92" dataDxfId="165" dataCellStyle="Hyperlink"/>
    <tableColumn id="8" uniqueName="8" name="lead" queryTableFieldId="68" dataDxfId="164"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63"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62"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61" dataCellStyle="Hyperlink"/>
    <tableColumn id="14" uniqueName="14" name="sr_pers_cnt" queryTableFieldId="73" dataDxfId="160" dataCellStyle="Hyperlink"/>
    <tableColumn id="15" uniqueName="15" name="sr_summ_mnth_cnt" queryTableFieldId="74" dataDxfId="159" dataCellStyle="Hyperlink"/>
    <tableColumn id="16" uniqueName="16" name="pdoc_grnt_dol" queryTableFieldId="75" dataDxfId="158" dataCellStyle="Currency"/>
    <tableColumn id="17" uniqueName="17" name="frgn_trav_dol" queryTableFieldId="76" dataDxfId="157" dataCellStyle="Currency"/>
    <tableColumn id="18" uniqueName="18" name="part_dol" queryTableFieldId="77" dataDxfId="156" dataCellStyle="Currency"/>
    <tableColumn id="19" uniqueName="19" name="budg_tot_dol" queryTableFieldId="78" dataDxfId="155" dataCellStyle="Currency"/>
    <tableColumn id="20" uniqueName="20" name="revn_num" queryTableFieldId="79" dataDxfId="154" dataCellStyle="Hyperlink"/>
    <tableColumn id="21" uniqueName="21" name="budg_seq_yr" queryTableFieldId="80" dataDxfId="153" dataCellStyle="Hyperlink"/>
    <tableColumn id="26" uniqueName="26" name="Column1" queryTableFieldId="85" dataDxfId="152" dataCellStyle="Hyperlink">
      <calculatedColumnFormula>IF(ISBLANK(BudgetsTable[[#This Row],[budg_seq_yr]]),"FY"&amp;fiscalyear,"FY"&amp;fiscalyear-1+BudgetsTable[[#This Row],[budg_seq_yr]])</calculatedColumnFormula>
    </tableColumn>
    <tableColumn id="22" uniqueName="22" name="dol" queryTableFieldId="81" dataDxfId="151" dataCellStyle="Currency"/>
    <tableColumn id="23" uniqueName="23" name="org_code2" queryTableFieldId="82" dataDxfId="150" dataCellStyle="Hyperlink"/>
    <tableColumn id="24" uniqueName="24" name="PEC" queryTableFieldId="83" dataDxfId="149" dataCellStyle="Hyperlink"/>
    <tableColumn id="7" uniqueName="7" name="Obj" queryTableFieldId="99" dataDxfId="148" dataCellStyle="Hyperlink"/>
    <tableColumn id="25" uniqueName="25" name="PRCs" queryTableFieldId="84" dataDxfId="147" dataCellStyle="Hyperlink"/>
  </tableColumns>
  <tableStyleInfo name="AddTableStyle" showFirstColumn="0" showLastColumn="0" showRowStripes="0" showColumnStripes="0"/>
</table>
</file>

<file path=xl/tables/table8.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146"/>
    <tableColumn id="2" uniqueName="2" name="PRC_Description" queryTableFieldId="279"/>
  </tableColumns>
  <tableStyleInfo name="TableFall" showFirstColumn="0" showLastColumn="0" showRowStripes="1" showColumnStripes="0"/>
</table>
</file>

<file path=xl/tables/table9.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145"/>
    <tableColumn id="2" uniqueName="2" name="PEC_Description" queryTableFieldId="281"/>
  </tableColumns>
  <tableStyleInfo name="TableFall" showFirstColumn="0" showLastColumn="0" showRowStripes="1" showColumnStripes="0"/>
</table>
</file>

<file path=xl/tables/table10.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3:EC17">
    <sortCondition ref="M1:M17"/>
  </sortState>
  <tableColumns count="133">
    <tableColumn id="1" uniqueName="1" name="dd_rcom_date" queryTableFieldId="1" dataDxfId="143"/>
    <tableColumn id="2" uniqueName="2" name="nsf_rcvd_date" queryTableFieldId="2" dataDxfId="142"/>
    <tableColumn id="3" uniqueName="3" name="pgm_annc_id" queryTableFieldId="3" dataDxfId="141"/>
    <tableColumn id="4" uniqueName="4" name="org_code" queryTableFieldId="4" dataDxfId="140"/>
    <tableColumn id="5" uniqueName="5" name="pgm_ele_code" queryTableFieldId="5" dataDxfId="139"/>
    <tableColumn id="6" uniqueName="6" name="natr_rqst_abbr" queryTableFieldId="6" dataDxfId="138"/>
    <tableColumn id="7" uniqueName="7" name="prop_stts_abbr" queryTableFieldId="7" dataDxfId="137"/>
    <tableColumn id="8" uniqueName="8" name="obj_clas_code" queryTableFieldId="8"/>
    <tableColumn id="9" uniqueName="9" name="cntx_stmt_id" queryTableFieldId="9"/>
    <tableColumn id="10" uniqueName="10" name="PO" queryTableFieldId="10"/>
    <tableColumn id="11" uniqueName="11" name="RAupdate" queryTableFieldId="11" dataDxfId="136"/>
    <tableColumn id="12" uniqueName="12" name="nPanl" queryTableFieldId="12"/>
    <tableColumn id="13" uniqueName="13" name="RecRkMin" queryTableFieldId="13" dataDxfId="135"/>
    <tableColumn id="14" uniqueName="14" name="rec0" queryTableFieldId="14"/>
    <tableColumn id="15" uniqueName="15" name="rec1" queryTableFieldId="15"/>
    <tableColumn id="16" uniqueName="16" name="rec2" queryTableFieldId="16"/>
    <tableColumn id="17" uniqueName="17" name="RAtemplate" queryTableFieldId="17" dataDxfId="134"/>
    <tableColumn id="133" uniqueName="133" name="Radraft_filename" queryTableFieldId="135" dataDxfId="133">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32"/>
    <tableColumn id="137" uniqueName="137" name="RAps_note" queryTableFieldId="136" dataDxfId="131"/>
    <tableColumn id="134" uniqueName="134" name="RAsigner" queryTableFieldId="134" dataDxfId="130">
      <calculatedColumnFormula>IF(signer1="PD",IF(ISBLANK(RADataTable[[#This Row],[sign_blck_name]]),"",RADataTable[[#This Row],[sign_blck_name]]),IF(ISBLANK(signer1),"",signer1))</calculatedColumnFormula>
    </tableColumn>
    <tableColumn id="135" uniqueName="135" name="RAsigner2" queryTableFieldId="133" dataDxfId="129">
      <calculatedColumnFormula>signer2</calculatedColumnFormula>
    </tableColumn>
    <tableColumn id="138" uniqueName="138" name="ej" queryTableFieldId="142" dataDxfId="128" dataCellStyle="Hyperlink">
      <calculatedColumnFormula>HYPERLINK("https://www.ejacket.nsf.gov/ej/showProposal.do?Continue=Y&amp;ID="&amp;RADataTable[[#This Row],[prop_id0]],"eJ")</calculatedColumnFormula>
    </tableColumn>
    <tableColumn id="139" uniqueName="139" name="@PI" queryTableFieldId="141" dataDxfId="127"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26"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25">
      <calculatedColumnFormula>IF(RADataTable[[#This Row],[maxScore]]-RADataTable[[#This Row],[minScore]]&gt;4,"Y","")</calculatedColumnFormula>
    </tableColumn>
    <tableColumn id="22" uniqueName="22" name="minScore" queryTableFieldId="22" dataDxfId="124"/>
    <tableColumn id="23" uniqueName="23" name="avg_score" queryTableFieldId="23" dataDxfId="123"/>
    <tableColumn id="24" uniqueName="24" name="maxScore" queryTableFieldId="24"/>
    <tableColumn id="25" uniqueName="25" name="allReviews" queryTableFieldId="25"/>
    <tableColumn id="26" uniqueName="26" name="last_rev_date" queryTableFieldId="26" dataDxfId="122"/>
    <tableColumn id="28" uniqueName="28" name="rqst_tot" queryTableFieldId="28" dataDxfId="121" dataCellStyle="Currency"/>
    <tableColumn id="29" uniqueName="29" name="budg_tot" queryTableFieldId="29" dataDxfId="120" dataCellStyle="Currency"/>
    <tableColumn id="30" uniqueName="30" name="budRevnMax" queryTableFieldId="30"/>
    <tableColumn id="31" uniqueName="31" name="rqst_eff_date" queryTableFieldId="31" dataDxfId="119"/>
    <tableColumn id="32" uniqueName="32" name="rqst_mnth_cnt" queryTableFieldId="32" dataDxfId="118"/>
    <tableColumn id="33" uniqueName="33" name="prop_titl_txt" queryTableFieldId="33" dataDxfId="117"/>
    <tableColumn id="34" uniqueName="34" name="AhNrev" queryTableFieldId="34"/>
    <tableColumn id="35" uniqueName="35" name="AhRevs" queryTableFieldId="35"/>
    <tableColumn id="36" uniqueName="36" name="AhLast" queryTableFieldId="36" dataDxfId="116"/>
    <tableColumn id="37" uniqueName="37" name="panl_id0" queryTableFieldId="37"/>
    <tableColumn id="38" uniqueName="38" name="RCOM_TXT0" queryTableFieldId="38" dataDxfId="115"/>
    <tableColumn id="39" uniqueName="39" name="rank0" queryTableFieldId="39" dataDxfId="114"/>
    <tableColumn id="40" uniqueName="40" name="panl_name0" queryTableFieldId="40" dataDxfId="113"/>
    <tableColumn id="41" uniqueName="41" name="panl_end0" queryTableFieldId="41" dataDxfId="112"/>
    <tableColumn id="42" uniqueName="42" name="revs0" queryTableFieldId="42" dataDxfId="111"/>
    <tableColumn id="43" uniqueName="43" name="PanlString0" queryTableFieldId="43" dataDxfId="110"/>
    <tableColumn id="44" uniqueName="44" name="pnlst0" queryTableFieldId="44" dataDxfId="109"/>
    <tableColumn id="45" uniqueName="45" name="confl0" queryTableFieldId="45" dataDxfId="108"/>
    <tableColumn id="46" uniqueName="46" name="panl_id1" queryTableFieldId="46" dataDxfId="107"/>
    <tableColumn id="47" uniqueName="47" name="RCOM_TXT1" queryTableFieldId="47" dataDxfId="106"/>
    <tableColumn id="48" uniqueName="48" name="rank1" queryTableFieldId="48" dataDxfId="105"/>
    <tableColumn id="49" uniqueName="49" name="panl_name1" queryTableFieldId="49" dataDxfId="104"/>
    <tableColumn id="50" uniqueName="50" name="panl_end1" queryTableFieldId="50" dataDxfId="103"/>
    <tableColumn id="51" uniqueName="51" name="revs1" queryTableFieldId="51" dataDxfId="102"/>
    <tableColumn id="52" uniqueName="52" name="PanlString1" queryTableFieldId="52" dataDxfId="101"/>
    <tableColumn id="53" uniqueName="53" name="pnlst1" queryTableFieldId="53" dataDxfId="100"/>
    <tableColumn id="54" uniqueName="54" name="confl1" queryTableFieldId="54" dataDxfId="99"/>
    <tableColumn id="55" uniqueName="55" name="panl_id2" queryTableFieldId="55" dataDxfId="98"/>
    <tableColumn id="56" uniqueName="56" name="RCOM_TXT2" queryTableFieldId="56" dataDxfId="97"/>
    <tableColumn id="57" uniqueName="57" name="rank2" queryTableFieldId="57" dataDxfId="96"/>
    <tableColumn id="58" uniqueName="58" name="panl_name2" queryTableFieldId="58" dataDxfId="95"/>
    <tableColumn id="59" uniqueName="59" name="panl_end2" queryTableFieldId="59" dataDxfId="94"/>
    <tableColumn id="60" uniqueName="60" name="revs2" queryTableFieldId="60" dataDxfId="93"/>
    <tableColumn id="61" uniqueName="61" name="PanlString2" queryTableFieldId="61" dataDxfId="92"/>
    <tableColumn id="62" uniqueName="62" name="pnlst2" queryTableFieldId="62" dataDxfId="91"/>
    <tableColumn id="63" uniqueName="63" name="confl2" queryTableFieldId="63" dataDxfId="90"/>
    <tableColumn id="64" uniqueName="64" name="prop_id0" queryTableFieldId="64"/>
    <tableColumn id="65" uniqueName="65" name="last0" queryTableFieldId="65" dataDxfId="89"/>
    <tableColumn id="66" uniqueName="66" name="frst0" queryTableFieldId="66" dataDxfId="88"/>
    <tableColumn id="67" uniqueName="67" name="inst0" queryTableFieldId="67" dataDxfId="87"/>
    <tableColumn id="68" uniqueName="68" name="rqst0" queryTableFieldId="68" dataDxfId="86"/>
    <tableColumn id="69" uniqueName="69" name="b0tot" queryTableFieldId="69" dataDxfId="85"/>
    <tableColumn id="70" uniqueName="70" name="PRC0" queryTableFieldId="70"/>
    <tableColumn id="71" uniqueName="71" name="prop_id1" queryTableFieldId="71" dataDxfId="84"/>
    <tableColumn id="72" uniqueName="72" name="last1" queryTableFieldId="72" dataDxfId="83"/>
    <tableColumn id="73" uniqueName="73" name="frst1" queryTableFieldId="73" dataDxfId="82"/>
    <tableColumn id="74" uniqueName="74" name="inst1" queryTableFieldId="74" dataDxfId="81"/>
    <tableColumn id="75" uniqueName="75" name="rqst1" queryTableFieldId="75" dataDxfId="80"/>
    <tableColumn id="76" uniqueName="76" name="b1tot" queryTableFieldId="76" dataDxfId="79"/>
    <tableColumn id="77" uniqueName="77" name="PRC1" queryTableFieldId="77"/>
    <tableColumn id="78" uniqueName="78" name="prop_id2" queryTableFieldId="78" dataDxfId="78"/>
    <tableColumn id="79" uniqueName="79" name="last2" queryTableFieldId="79" dataDxfId="77"/>
    <tableColumn id="80" uniqueName="80" name="frst2" queryTableFieldId="80" dataDxfId="76"/>
    <tableColumn id="81" uniqueName="81" name="inst2" queryTableFieldId="81" dataDxfId="75"/>
    <tableColumn id="82" uniqueName="82" name="rqst2" queryTableFieldId="82" dataDxfId="74"/>
    <tableColumn id="83" uniqueName="83" name="b2tot" queryTableFieldId="83" dataDxfId="73"/>
    <tableColumn id="84" uniqueName="84" name="PRC2" queryTableFieldId="84"/>
    <tableColumn id="85" uniqueName="85" name="prop_id3" queryTableFieldId="85" dataDxfId="72"/>
    <tableColumn id="86" uniqueName="86" name="last3" queryTableFieldId="86" dataDxfId="71"/>
    <tableColumn id="87" uniqueName="87" name="frst3" queryTableFieldId="87" dataDxfId="70"/>
    <tableColumn id="88" uniqueName="88" name="inst3" queryTableFieldId="88" dataDxfId="69"/>
    <tableColumn id="89" uniqueName="89" name="rqst3" queryTableFieldId="89" dataDxfId="68"/>
    <tableColumn id="90" uniqueName="90" name="b3tot" queryTableFieldId="90" dataDxfId="67"/>
    <tableColumn id="91" uniqueName="91" name="PRC3" queryTableFieldId="91" dataDxfId="66"/>
    <tableColumn id="92" uniqueName="92" name="prop_id4" queryTableFieldId="92" dataDxfId="65"/>
    <tableColumn id="93" uniqueName="93" name="last4" queryTableFieldId="93" dataDxfId="64"/>
    <tableColumn id="94" uniqueName="94" name="frst4" queryTableFieldId="94" dataDxfId="63"/>
    <tableColumn id="95" uniqueName="95" name="inst4" queryTableFieldId="95" dataDxfId="62"/>
    <tableColumn id="96" uniqueName="96" name="rqst4" queryTableFieldId="96" dataDxfId="61"/>
    <tableColumn id="97" uniqueName="97" name="b4tot" queryTableFieldId="97" dataDxfId="60"/>
    <tableColumn id="98" uniqueName="98" name="PRC4" queryTableFieldId="98" dataDxfId="59"/>
    <tableColumn id="99" uniqueName="99" name="prop_id5" queryTableFieldId="99" dataDxfId="58"/>
    <tableColumn id="100" uniqueName="100" name="last5" queryTableFieldId="100" dataDxfId="57"/>
    <tableColumn id="101" uniqueName="101" name="frst5" queryTableFieldId="101" dataDxfId="56"/>
    <tableColumn id="102" uniqueName="102" name="inst5" queryTableFieldId="102" dataDxfId="55"/>
    <tableColumn id="103" uniqueName="103" name="rqst5" queryTableFieldId="103" dataDxfId="54"/>
    <tableColumn id="104" uniqueName="104" name="b5tot" queryTableFieldId="104" dataDxfId="53"/>
    <tableColumn id="105" uniqueName="105" name="PRC5" queryTableFieldId="105"/>
    <tableColumn id="106" uniqueName="106" name="prop_id6" queryTableFieldId="106" dataDxfId="52"/>
    <tableColumn id="107" uniqueName="107" name="last6" queryTableFieldId="107" dataDxfId="51"/>
    <tableColumn id="108" uniqueName="108" name="frst6" queryTableFieldId="108" dataDxfId="50"/>
    <tableColumn id="109" uniqueName="109" name="inst6" queryTableFieldId="109" dataDxfId="49"/>
    <tableColumn id="110" uniqueName="110" name="rqst6" queryTableFieldId="110" dataDxfId="48"/>
    <tableColumn id="111" uniqueName="111" name="b6tot" queryTableFieldId="111" dataDxfId="47"/>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46"/>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45"/>
    <tableColumn id="123" uniqueName="123" name="email" queryTableFieldId="123"/>
    <tableColumn id="124" uniqueName="124" name="allPIemail" queryTableFieldId="124"/>
  </tableColumns>
  <tableStyleInfo name="TableFall" showFirstColumn="0" showLastColumn="0" showRowStripes="1" showColumnStripes="0"/>
</table>
</file>

<file path=xl/tables/table11.xml><?xml version="1.0" encoding="utf-8"?>
<table xmlns="http://schemas.openxmlformats.org/spreadsheetml/2006/main" id="6" name="AvailableTemplates" displayName="AvailableTemplates" ref="J10:J15" totalsRowShown="0" headerRowDxfId="43" dataDxfId="42">
  <autoFilter ref="J10:J15"/>
  <tableColumns count="1">
    <tableColumn id="1" name="Available templates:" dataDxfId="41"/>
  </tableColumns>
  <tableStyleInfo name="TableStyleLight8" showFirstColumn="0" showLastColumn="0" showRowStripes="1" showColumnStripes="0"/>
</table>
</file>

<file path=xl/tables/table12.xml><?xml version="1.0" encoding="utf-8"?>
<table xmlns="http://schemas.openxmlformats.org/spreadsheetml/2006/main" id="4" name="EpscorTable" displayName="EpscorTable" ref="N2:N30" totalsRowCount="1" headerRowDxfId="40" dataDxfId="39">
  <autoFilter ref="N2:N29"/>
  <tableColumns count="1">
    <tableColumn id="1" name="Epscor" totalsRowFunction="count" dataDxfId="38" totalsRowDxfId="37"/>
  </tableColumns>
  <tableStyleInfo name="TableFall" showFirstColumn="0" showLastColumn="0" showRowStripes="1" showColumnStripes="0"/>
</table>
</file>

<file path=xl/tables/table13.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30"/>
    <tableColumn id="22" uniqueName="22" name="nsf_rcvd_date" queryTableFieldId="2" dataDxfId="29"/>
    <tableColumn id="23" uniqueName="23" name="cntx_stmt_id" queryTableFieldId="3"/>
    <tableColumn id="24" uniqueName="24" name="pgm_annc_id" queryTableFieldId="4"/>
    <tableColumn id="60" uniqueName="60" name="pObj" queryTableFieldId="13" dataDxfId="28"/>
    <tableColumn id="61" uniqueName="61" name="bObj" queryTableFieldId="14" dataDxfId="2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6"/>
    <tableColumn id="35" uniqueName="35" name="rcom_istr_abbr" queryTableFieldId="15" dataDxfId="25"/>
    <tableColumn id="57" uniqueName="57" name="budg_yr" queryTableFieldId="27" dataDxfId="24"/>
    <tableColumn id="58" uniqueName="58" name="splt_id" queryTableFieldId="28" dataDxfId="23"/>
    <tableColumn id="59" uniqueName="59" name="budg_splt_tot_dol" queryTableFieldId="29" dataDxfId="22"/>
    <tableColumn id="54" uniqueName="54" name="0" queryTableFieldId="35" dataDxfId="21">
      <calculatedColumnFormula>S1+(X2&lt;&gt;X1)</calculatedColumnFormula>
    </tableColumn>
    <tableColumn id="37" uniqueName="37" name="ILN" queryTableFieldId="17" dataDxfId="20"/>
    <tableColumn id="36" uniqueName="36" name="lead" queryTableFieldId="16" dataDxfId="19"/>
    <tableColumn id="55" uniqueName="55" name="eJ" queryTableFieldId="36" dataDxfId="18" dataCellStyle="Hyperlink">
      <calculatedColumnFormula>HYPERLINK("https://www.ejacket.nsf.gov/ej/showProposal.do?ID="&amp;ckSplitsTable[[#This Row],[prop_id]],"eJ")</calculatedColumnFormula>
    </tableColumn>
    <tableColumn id="38" uniqueName="38" name="Div" queryTableFieldId="18" dataDxfId="17"/>
    <tableColumn id="39" uniqueName="39" name="prop_id" queryTableFieldId="19" dataDxfId="16"/>
    <tableColumn id="40" uniqueName="40" name="pi_last_name" queryTableFieldId="20" dataDxfId="15"/>
    <tableColumn id="41" uniqueName="41" name="pi_frst_name" queryTableFieldId="21" dataDxfId="14"/>
    <tableColumn id="42" uniqueName="42" name="inst" queryTableFieldId="22" dataDxfId="13"/>
    <tableColumn id="56" uniqueName="56" name="@ pi" queryTableFieldId="37" dataDxfId="12"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11"/>
    <tableColumn id="44" uniqueName="44" name="propPRCs" queryTableFieldId="24" dataDxfId="10"/>
    <tableColumn id="45" uniqueName="45" name="bPRCs" queryTableFieldId="25" dataDxfId="9"/>
    <tableColumn id="46" uniqueName="46" name="awd_id" queryTableFieldId="26" dataDxfId="8"/>
    <tableColumn id="50" uniqueName="50" name="prop_stts_txt" queryTableFieldId="30" dataDxfId="7"/>
    <tableColumn id="51" uniqueName="51" name="prop_titl_txt" queryTableFieldId="31" dataDxfId="6"/>
  </tableColumns>
  <tableStyleInfo name="TableStyleLight11" showFirstColumn="0" showLastColumn="0" showRowStripes="0" showColumnStripes="0"/>
</table>
</file>

<file path=xl/tables/table14.xml><?xml version="1.0" encoding="utf-8"?>
<table xmlns="http://schemas.openxmlformats.org/spreadsheetml/2006/main" id="1" name="ProjTextTable" displayName="ProjTextTable" ref="A1:P98" tableType="queryTable" totalsRowCount="1">
  <autoFilter ref="A1:P9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4" totalsRowDxfId="3"/>
    <tableColumn id="11" uniqueName="11" name="returned" queryTableFieldId="11" dataDxfId="2"/>
    <tableColumn id="14" uniqueName="14" name="nchars" queryTableFieldId="15" dataDxfId="1">
      <calculatedColumnFormula>LEN(ProjTextTable[[#This Row],[text]])</calculatedColumnFormula>
    </tableColumn>
    <tableColumn id="15" uniqueName="15" name="nwords" queryTableFieldId="14" dataDxfId="0">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10.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6.xml"/><Relationship Id="rId5" Type="http://schemas.openxmlformats.org/officeDocument/2006/relationships/ctrlProp" Target="../ctrlProps/ctrlProp11.xml"/><Relationship Id="rId10" Type="http://schemas.openxmlformats.org/officeDocument/2006/relationships/table" Target="../tables/table12.xml"/><Relationship Id="rId4" Type="http://schemas.openxmlformats.org/officeDocument/2006/relationships/vmlDrawing" Target="../drawings/vmlDrawing6.v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4.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collaboration.inside.nsf.gov/eng/meritreview/SiteAssets/ENG%20Tools%20Websites%20and%20Best%20Practices/RoboRA/" TargetMode="Externa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62"/>
  <sheetViews>
    <sheetView showGridLines="0" tabSelected="1" workbookViewId="0">
      <selection activeCell="O5" sqref="O5"/>
    </sheetView>
  </sheetViews>
  <sheetFormatPr defaultRowHeight="15" x14ac:dyDescent="0.25"/>
  <cols>
    <col min="1" max="1" width="4.28515625" customWidth="1"/>
    <col min="2" max="2" width="12.85546875" customWidth="1"/>
    <col min="3" max="3" width="5.140625" customWidth="1"/>
    <col min="4" max="4" width="3.140625" customWidth="1"/>
    <col min="5" max="5" width="14.140625" customWidth="1"/>
    <col min="6" max="6" width="4.85546875" customWidth="1"/>
    <col min="7" max="7" width="5.140625" customWidth="1"/>
    <col min="8" max="8" width="14" customWidth="1"/>
    <col min="9" max="9" width="4.85546875" customWidth="1"/>
    <col min="10" max="10" width="5.140625" customWidth="1"/>
    <col min="11" max="11" width="14" customWidth="1"/>
    <col min="12" max="12" width="4.85546875" customWidth="1"/>
    <col min="13" max="13" width="4.5703125" customWidth="1"/>
    <col min="14" max="14" width="26.7109375" customWidth="1"/>
  </cols>
  <sheetData>
    <row r="1" spans="2:15" ht="18" customHeight="1" x14ac:dyDescent="0.25">
      <c r="B1" s="36" t="s">
        <v>214</v>
      </c>
      <c r="C1" s="36"/>
      <c r="D1" s="36"/>
      <c r="E1" s="36"/>
      <c r="F1" s="36"/>
      <c r="G1" s="36"/>
      <c r="M1" s="3" t="s">
        <v>203</v>
      </c>
    </row>
    <row r="2" spans="2:15" ht="18" customHeight="1" x14ac:dyDescent="0.25">
      <c r="B2" s="36" t="s">
        <v>371</v>
      </c>
      <c r="C2" s="36"/>
      <c r="D2" s="36"/>
      <c r="E2" s="36"/>
      <c r="F2" s="36"/>
      <c r="G2" s="36"/>
      <c r="I2" s="33"/>
      <c r="J2">
        <v>2</v>
      </c>
      <c r="M2" s="118" t="s">
        <v>466</v>
      </c>
    </row>
    <row r="3" spans="2:15" ht="18" customHeight="1" x14ac:dyDescent="0.25">
      <c r="B3" s="3" t="s">
        <v>205</v>
      </c>
      <c r="C3" s="3"/>
      <c r="D3" s="37" t="s">
        <v>206</v>
      </c>
      <c r="E3" s="36" t="s">
        <v>486</v>
      </c>
      <c r="F3" s="36"/>
      <c r="I3" s="33"/>
    </row>
    <row r="4" spans="2:15" ht="18" customHeight="1" x14ac:dyDescent="0.25">
      <c r="B4" s="3"/>
      <c r="C4" s="35" t="s">
        <v>212</v>
      </c>
      <c r="D4" s="38" t="s">
        <v>207</v>
      </c>
      <c r="E4" s="36" t="s">
        <v>485</v>
      </c>
      <c r="F4" s="36"/>
      <c r="I4" s="33"/>
      <c r="J4" t="b">
        <v>0</v>
      </c>
      <c r="M4" s="3" t="s">
        <v>204</v>
      </c>
    </row>
    <row r="5" spans="2:15" ht="18" customHeight="1" x14ac:dyDescent="0.25">
      <c r="B5" s="3"/>
      <c r="C5" s="35"/>
      <c r="D5" s="38" t="s">
        <v>208</v>
      </c>
      <c r="E5" s="36" t="s">
        <v>788</v>
      </c>
      <c r="F5" s="36"/>
      <c r="I5" s="33"/>
    </row>
    <row r="6" spans="2:15" ht="18" customHeight="1" x14ac:dyDescent="0.25">
      <c r="B6" s="3"/>
      <c r="C6" s="35" t="s">
        <v>213</v>
      </c>
      <c r="D6" s="38" t="s">
        <v>209</v>
      </c>
      <c r="E6" s="36"/>
      <c r="F6" s="36"/>
    </row>
    <row r="7" spans="2:15" ht="18" customHeight="1" x14ac:dyDescent="0.25">
      <c r="B7" s="3"/>
      <c r="C7" s="35" t="s">
        <v>215</v>
      </c>
      <c r="D7" s="38" t="s">
        <v>210</v>
      </c>
      <c r="E7" s="36"/>
      <c r="F7" s="36"/>
    </row>
    <row r="8" spans="2:15" ht="18" customHeight="1" x14ac:dyDescent="0.25">
      <c r="B8" s="3"/>
      <c r="C8" s="35" t="s">
        <v>216</v>
      </c>
      <c r="D8" s="38" t="s">
        <v>211</v>
      </c>
      <c r="E8" s="36"/>
      <c r="F8" s="36"/>
      <c r="M8" s="44">
        <v>50</v>
      </c>
      <c r="N8" s="45" t="s">
        <v>224</v>
      </c>
    </row>
    <row r="9" spans="2:15" ht="18" customHeight="1" x14ac:dyDescent="0.25">
      <c r="B9" s="3"/>
      <c r="C9" s="35"/>
      <c r="D9" s="38"/>
      <c r="E9" s="36"/>
      <c r="F9" s="36"/>
    </row>
    <row r="10" spans="2:15" ht="18" customHeight="1" x14ac:dyDescent="0.25">
      <c r="B10" s="3" t="s">
        <v>202</v>
      </c>
      <c r="C10" s="3"/>
      <c r="D10" s="34"/>
      <c r="E10" s="3" t="s">
        <v>201</v>
      </c>
      <c r="F10" s="3"/>
      <c r="G10" s="3"/>
      <c r="H10" s="3" t="s">
        <v>217</v>
      </c>
      <c r="M10" s="3" t="s">
        <v>484</v>
      </c>
    </row>
    <row r="11" spans="2:15" ht="18" customHeight="1" x14ac:dyDescent="0.25">
      <c r="B11" t="s">
        <v>171</v>
      </c>
      <c r="E11" t="s">
        <v>172</v>
      </c>
      <c r="H11" t="s">
        <v>174</v>
      </c>
      <c r="K11" t="s">
        <v>784</v>
      </c>
      <c r="M11" s="61" t="s">
        <v>256</v>
      </c>
      <c r="N11" s="29" t="s">
        <v>255</v>
      </c>
    </row>
    <row r="12" spans="2:15" ht="18" customHeight="1" x14ac:dyDescent="0.25">
      <c r="B12" t="s">
        <v>0</v>
      </c>
      <c r="E12" t="s">
        <v>0</v>
      </c>
      <c r="H12" t="s">
        <v>0</v>
      </c>
      <c r="K12" t="s">
        <v>0</v>
      </c>
      <c r="M12" s="61" t="s">
        <v>257</v>
      </c>
      <c r="N12" s="29" t="s">
        <v>465</v>
      </c>
    </row>
    <row r="13" spans="2:15" x14ac:dyDescent="0.25">
      <c r="B13" s="25"/>
      <c r="E13" s="25"/>
      <c r="H13" s="25"/>
      <c r="K13" s="25"/>
    </row>
    <row r="14" spans="2:15" x14ac:dyDescent="0.25">
      <c r="M14" s="3" t="s">
        <v>416</v>
      </c>
    </row>
    <row r="15" spans="2:15" x14ac:dyDescent="0.25">
      <c r="N15" s="3" t="s">
        <v>412</v>
      </c>
      <c r="O15" s="7" t="s">
        <v>414</v>
      </c>
    </row>
    <row r="16" spans="2:15" x14ac:dyDescent="0.25">
      <c r="N16" s="3" t="s">
        <v>425</v>
      </c>
      <c r="O16" s="7" t="s">
        <v>410</v>
      </c>
    </row>
    <row r="17" spans="3:15" x14ac:dyDescent="0.25">
      <c r="N17" s="3" t="s">
        <v>421</v>
      </c>
      <c r="O17" s="7" t="s">
        <v>410</v>
      </c>
    </row>
    <row r="18" spans="3:15" x14ac:dyDescent="0.25">
      <c r="N18" s="3" t="s">
        <v>411</v>
      </c>
      <c r="O18" s="7" t="s">
        <v>410</v>
      </c>
    </row>
    <row r="19" spans="3:15" x14ac:dyDescent="0.25">
      <c r="N19" s="3" t="s">
        <v>497</v>
      </c>
      <c r="O19" s="7" t="s">
        <v>410</v>
      </c>
    </row>
    <row r="20" spans="3:15" x14ac:dyDescent="0.25">
      <c r="N20" s="3" t="s">
        <v>487</v>
      </c>
      <c r="O20" s="7" t="s">
        <v>408</v>
      </c>
    </row>
    <row r="21" spans="3:15" x14ac:dyDescent="0.25">
      <c r="C21" s="43"/>
      <c r="N21" s="3" t="s">
        <v>496</v>
      </c>
      <c r="O21" s="7" t="s">
        <v>408</v>
      </c>
    </row>
    <row r="22" spans="3:15" x14ac:dyDescent="0.25">
      <c r="N22" s="3" t="s">
        <v>424</v>
      </c>
      <c r="O22" s="7" t="s">
        <v>408</v>
      </c>
    </row>
    <row r="23" spans="3:15" x14ac:dyDescent="0.25">
      <c r="N23" s="3" t="s">
        <v>449</v>
      </c>
      <c r="O23" s="7" t="s">
        <v>12</v>
      </c>
    </row>
    <row r="24" spans="3:15" x14ac:dyDescent="0.25">
      <c r="N24" s="3" t="s">
        <v>429</v>
      </c>
      <c r="O24" s="7" t="s">
        <v>418</v>
      </c>
    </row>
    <row r="25" spans="3:15" x14ac:dyDescent="0.25">
      <c r="N25" s="3" t="s">
        <v>498</v>
      </c>
      <c r="O25" s="7" t="s">
        <v>418</v>
      </c>
    </row>
    <row r="26" spans="3:15" x14ac:dyDescent="0.25">
      <c r="N26" s="3" t="s">
        <v>428</v>
      </c>
      <c r="O26" s="7" t="s">
        <v>418</v>
      </c>
    </row>
    <row r="27" spans="3:15" x14ac:dyDescent="0.25">
      <c r="N27" s="3" t="s">
        <v>446</v>
      </c>
      <c r="O27" s="7" t="s">
        <v>409</v>
      </c>
    </row>
    <row r="28" spans="3:15" x14ac:dyDescent="0.25">
      <c r="N28" s="3" t="s">
        <v>433</v>
      </c>
      <c r="O28" s="7" t="s">
        <v>432</v>
      </c>
    </row>
    <row r="29" spans="3:15" x14ac:dyDescent="0.25">
      <c r="N29" s="3" t="s">
        <v>419</v>
      </c>
      <c r="O29" s="7" t="s">
        <v>420</v>
      </c>
    </row>
    <row r="30" spans="3:15" x14ac:dyDescent="0.25">
      <c r="N30" s="3" t="s">
        <v>417</v>
      </c>
      <c r="O30" s="7" t="s">
        <v>413</v>
      </c>
    </row>
    <row r="31" spans="3:15" x14ac:dyDescent="0.25">
      <c r="N31" s="3" t="s">
        <v>423</v>
      </c>
      <c r="O31" s="7" t="s">
        <v>422</v>
      </c>
    </row>
    <row r="32" spans="3:15" x14ac:dyDescent="0.25">
      <c r="N32" s="3" t="s">
        <v>430</v>
      </c>
      <c r="O32" s="7" t="s">
        <v>431</v>
      </c>
    </row>
    <row r="35" spans="8:8" x14ac:dyDescent="0.25">
      <c r="H35" s="43"/>
    </row>
    <row r="45" spans="8:8" x14ac:dyDescent="0.25">
      <c r="H45" s="43"/>
    </row>
    <row r="46" spans="8:8" x14ac:dyDescent="0.25">
      <c r="H46" s="43"/>
    </row>
    <row r="47" spans="8:8" x14ac:dyDescent="0.25">
      <c r="H47" s="43"/>
    </row>
    <row r="48" spans="8:8" x14ac:dyDescent="0.25">
      <c r="H48" s="43"/>
    </row>
    <row r="49" spans="8:8" x14ac:dyDescent="0.25">
      <c r="H49" s="43"/>
    </row>
    <row r="50" spans="8:8" x14ac:dyDescent="0.25">
      <c r="H50" s="43"/>
    </row>
    <row r="51" spans="8:8" x14ac:dyDescent="0.25">
      <c r="H51" s="43"/>
    </row>
    <row r="52" spans="8:8" x14ac:dyDescent="0.25">
      <c r="H52" s="43"/>
    </row>
    <row r="53" spans="8:8" x14ac:dyDescent="0.25">
      <c r="H53" s="43"/>
    </row>
    <row r="54" spans="8:8" x14ac:dyDescent="0.25">
      <c r="H54" s="43"/>
    </row>
    <row r="55" spans="8:8" x14ac:dyDescent="0.25">
      <c r="H55" s="43"/>
    </row>
    <row r="56" spans="8:8" x14ac:dyDescent="0.25">
      <c r="H56" s="43"/>
    </row>
    <row r="57" spans="8:8" x14ac:dyDescent="0.25">
      <c r="H57" s="43"/>
    </row>
    <row r="58" spans="8:8" x14ac:dyDescent="0.25">
      <c r="H58" s="43"/>
    </row>
    <row r="59" spans="8:8" x14ac:dyDescent="0.25">
      <c r="H59" s="43"/>
    </row>
    <row r="60" spans="8:8" x14ac:dyDescent="0.25">
      <c r="H60" s="43"/>
    </row>
    <row r="61" spans="8:8" x14ac:dyDescent="0.25">
      <c r="H61" s="43"/>
    </row>
    <row r="62" spans="8:8" x14ac:dyDescent="0.25">
      <c r="H62" s="43"/>
    </row>
  </sheetData>
  <dataValidations count="1">
    <dataValidation type="list" allowBlank="1" showInputMessage="1" showErrorMessage="1" sqref="B11 E11 H11 K11">
      <formula1>INDIRECT("AvailableTemplates[Available templates:]")</formula1>
    </dataValidation>
  </dataValidations>
  <hyperlinks>
    <hyperlink ref="O16" location="ckCoding!I1" display="ckCoding"/>
    <hyperlink ref="O32" location="ProjText!A1" tooltip="see step 4 above; pdf with RA drafts" display="pdf from ProjText"/>
    <hyperlink ref="O31" location="RAData!T1" tooltip="Text in RAps_note is added to RA drafts after signature without modifying the template" display="RAData, or edit template"/>
    <hyperlink ref="O30" location="RAData!R1" tooltip="to change all, set above and 'Pull Data'; set individually in RAdata, or leave blank for Word to fill in." display="above, or RAData"/>
    <hyperlink ref="O29" location="ckSplits!AM1" tooltip="Feel free to edit pivot table" display="Pivot table on ckSplits"/>
    <hyperlink ref="O27" location="Budgets!L1" tooltip="Latest budget revisions shown" display="Budgets"/>
    <hyperlink ref="O24" location="Advanced!H7" tooltip="Hit Refresh to load new ones" display="Advanced"/>
    <hyperlink ref="O25" location="Advanced!H8" tooltip="Pick either your R drive or your local drive" display="Advanced"/>
    <hyperlink ref="O26" location="Advanced!M1" tooltip="Add/remove state abbreviations here" display="Advanced"/>
    <hyperlink ref="O23" location="PRCs!A1" tooltip="Shows only those in use by projects" display="PRCs"/>
    <hyperlink ref="O21" location="ckAwd!AT1" tooltip="Shows question marks except those after a letter &amp; before a space.  Non-lead abstracts highlighted if they differ from lead." display="ckAwd"/>
    <hyperlink ref="O22" location="ckAwd!AE1" tooltip="See countries from cover and total frgn_trav bugdet" display="ckAwd"/>
    <hyperlink ref="O20" location="ckAwd!Z1" tooltip="Information from the cover pages." display="ckAwd"/>
    <hyperlink ref="O15" location="RAData!W1" display="RAData"/>
    <hyperlink ref="O28" location="ckSplits!A1" tooltip="Mostly for IAS use; compare budget and proposal codes &amp; PRCs." display="ckSplits"/>
    <hyperlink ref="O17" location="ckCoding!M1" display="ckCoding"/>
    <hyperlink ref="O18" location="ckCoding!C1" tooltip="Highlights mismatches (coding, title, ...) throughout tab" display="ckCoding"/>
    <hyperlink ref="O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200025</xdr:colOff>
                    <xdr:row>5</xdr:row>
                    <xdr:rowOff>19050</xdr:rowOff>
                  </from>
                  <to>
                    <xdr:col>5</xdr:col>
                    <xdr:colOff>200025</xdr:colOff>
                    <xdr:row>6</xdr:row>
                    <xdr:rowOff>19050</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200025</xdr:colOff>
                    <xdr:row>7</xdr:row>
                    <xdr:rowOff>57150</xdr:rowOff>
                  </from>
                  <to>
                    <xdr:col>5</xdr:col>
                    <xdr:colOff>200025</xdr:colOff>
                    <xdr:row>8</xdr:row>
                    <xdr:rowOff>57150</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180975</xdr:colOff>
                    <xdr:row>3</xdr:row>
                    <xdr:rowOff>180975</xdr:rowOff>
                  </from>
                  <to>
                    <xdr:col>13</xdr:col>
                    <xdr:colOff>1647825</xdr:colOff>
                    <xdr:row>4</xdr:row>
                    <xdr:rowOff>200025</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180975</xdr:colOff>
                    <xdr:row>4</xdr:row>
                    <xdr:rowOff>171450</xdr:rowOff>
                  </from>
                  <to>
                    <xdr:col>14</xdr:col>
                    <xdr:colOff>38100</xdr:colOff>
                    <xdr:row>5</xdr:row>
                    <xdr:rowOff>133350</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180975</xdr:colOff>
                    <xdr:row>5</xdr:row>
                    <xdr:rowOff>133350</xdr:rowOff>
                  </from>
                  <to>
                    <xdr:col>14</xdr:col>
                    <xdr:colOff>142875</xdr:colOff>
                    <xdr:row>6</xdr:row>
                    <xdr:rowOff>66675</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180975</xdr:colOff>
                    <xdr:row>6</xdr:row>
                    <xdr:rowOff>57150</xdr:rowOff>
                  </from>
                  <to>
                    <xdr:col>14</xdr:col>
                    <xdr:colOff>38100</xdr:colOff>
                    <xdr:row>7</xdr:row>
                    <xdr:rowOff>19050</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12</xdr:col>
                    <xdr:colOff>171450</xdr:colOff>
                    <xdr:row>2</xdr:row>
                    <xdr:rowOff>85725</xdr:rowOff>
                  </from>
                  <to>
                    <xdr:col>14</xdr:col>
                    <xdr:colOff>0</xdr:colOff>
                    <xdr:row>3</xdr:row>
                    <xdr:rowOff>66675</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200025</xdr:colOff>
                    <xdr:row>6</xdr:row>
                    <xdr:rowOff>38100</xdr:rowOff>
                  </from>
                  <to>
                    <xdr:col>5</xdr:col>
                    <xdr:colOff>200025</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12</xdr:col>
                    <xdr:colOff>190500</xdr:colOff>
                    <xdr:row>1</xdr:row>
                    <xdr:rowOff>152400</xdr:rowOff>
                  </from>
                  <to>
                    <xdr:col>14</xdr:col>
                    <xdr:colOff>133350</xdr:colOff>
                    <xdr:row>2</xdr:row>
                    <xdr:rowOff>104775</xdr:rowOff>
                  </to>
                </anchor>
              </controlPr>
            </control>
          </mc:Choice>
        </mc:AlternateContent>
      </controls>
    </mc:Choice>
  </mc:AlternateContent>
  <tableParts count="4">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5" x14ac:dyDescent="0.25"/>
  <cols>
    <col min="1" max="1" width="8.7109375" style="17" customWidth="1"/>
    <col min="2" max="2" width="8.7109375" style="30" customWidth="1"/>
    <col min="3" max="3" width="11.28515625" customWidth="1"/>
    <col min="4" max="4" width="9.85546875" customWidth="1"/>
    <col min="5" max="5" width="5.42578125" customWidth="1"/>
    <col min="6" max="6" width="5.7109375" style="18" customWidth="1"/>
    <col min="7" max="7" width="5.5703125" style="18" customWidth="1"/>
    <col min="8" max="8" width="5.28515625" style="21" customWidth="1"/>
    <col min="9" max="9" width="5.7109375" customWidth="1"/>
    <col min="10" max="10" width="5.140625" customWidth="1"/>
    <col min="11" max="11" width="11.5703125" customWidth="1"/>
    <col min="12" max="12" width="9.28515625" bestFit="1" customWidth="1"/>
    <col min="13" max="13" width="4.28515625" customWidth="1"/>
    <col min="14" max="14" width="3.85546875" customWidth="1"/>
    <col min="15" max="15" width="5.5703125" hidden="1" customWidth="1"/>
    <col min="16" max="16" width="6.5703125" style="21" hidden="1" customWidth="1"/>
    <col min="17" max="17" width="14.140625" customWidth="1"/>
    <col min="18" max="18" width="14.28515625" style="22" customWidth="1"/>
    <col min="19" max="19" width="4.140625" style="108" customWidth="1"/>
    <col min="20" max="20" width="2.140625" style="90" customWidth="1"/>
    <col min="21" max="21" width="8.140625" style="39" customWidth="1"/>
    <col min="22" max="22" width="2.7109375" style="39" customWidth="1"/>
    <col min="23" max="23" width="3.7109375" customWidth="1"/>
    <col min="24" max="24" width="8.140625" customWidth="1"/>
    <col min="25" max="25" width="11.140625" customWidth="1"/>
    <col min="26" max="26" width="9.5703125" style="17" customWidth="1"/>
    <col min="27" max="27" width="18.42578125" customWidth="1"/>
    <col min="28" max="28" width="8.140625" style="109" customWidth="1"/>
    <col min="29" max="29" width="8.7109375" style="30" customWidth="1"/>
    <col min="30" max="30" width="3.5703125" style="18" customWidth="1"/>
    <col min="31" max="33" width="2.140625" customWidth="1"/>
    <col min="34" max="34" width="14.42578125" customWidth="1"/>
    <col min="35" max="35" width="4.5703125" customWidth="1"/>
    <col min="36" max="36" width="14.42578125" style="26" customWidth="1"/>
    <col min="37" max="37" width="2.140625" style="21" customWidth="1"/>
    <col min="38" max="44" width="2.85546875" customWidth="1"/>
    <col min="45" max="45" width="23" customWidth="1"/>
    <col min="46" max="46" width="80.5703125" bestFit="1" customWidth="1"/>
    <col min="47" max="47" width="7.85546875" hidden="1" customWidth="1"/>
    <col min="48" max="48" width="4.5703125" customWidth="1"/>
    <col min="49" max="49" width="11.7109375" customWidth="1"/>
    <col min="50" max="50" width="11.42578125" customWidth="1"/>
    <col min="51" max="51" width="10.5703125" customWidth="1"/>
    <col min="52" max="52" width="10.85546875" customWidth="1"/>
    <col min="53" max="53" width="11.140625" customWidth="1"/>
    <col min="54" max="54" width="9.85546875" customWidth="1"/>
    <col min="55" max="59" width="4.7109375" customWidth="1"/>
    <col min="60" max="63" width="4.28515625" customWidth="1"/>
    <col min="64" max="64" width="18.28515625" customWidth="1"/>
  </cols>
  <sheetData>
    <row r="1" spans="1:64" ht="53.1" customHeight="1" x14ac:dyDescent="0.25">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1"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25">
      <c r="A2" s="30"/>
      <c r="B2" s="30">
        <v>42984.665277777778</v>
      </c>
      <c r="C2" t="s">
        <v>660</v>
      </c>
      <c r="D2" t="s">
        <v>661</v>
      </c>
      <c r="E2" t="s">
        <v>526</v>
      </c>
      <c r="F2" t="s">
        <v>169</v>
      </c>
      <c r="G2" t="s">
        <v>167</v>
      </c>
      <c r="H2" s="21" t="s">
        <v>94</v>
      </c>
      <c r="I2" s="86">
        <v>0.8</v>
      </c>
      <c r="J2" s="86">
        <v>0.2</v>
      </c>
      <c r="K2" t="s">
        <v>662</v>
      </c>
      <c r="L2" t="s">
        <v>535</v>
      </c>
      <c r="M2" t="s">
        <v>511</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663</v>
      </c>
      <c r="S2" s="108">
        <f>S1+(ckCodingTable[[#This Row],[ILN]]&lt;"M")</f>
        <v>1</v>
      </c>
      <c r="T2" s="21" t="s">
        <v>95</v>
      </c>
      <c r="U2" t="s">
        <v>533</v>
      </c>
      <c r="V2" s="7" t="str">
        <f>HYPERLINK("https://www.ejacket.nsf.gov/ej/showProposal.do?ID="&amp;ckCodingTable[[#This Row],[prop_id]],"eJ")</f>
        <v>eJ</v>
      </c>
      <c r="W2" t="s">
        <v>664</v>
      </c>
      <c r="X2" t="s">
        <v>533</v>
      </c>
      <c r="Y2" t="s">
        <v>534</v>
      </c>
      <c r="Z2" t="s">
        <v>665</v>
      </c>
      <c r="AA2" t="s">
        <v>512</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666</v>
      </c>
      <c r="AI2" s="26">
        <v>3.3333333333333335</v>
      </c>
      <c r="AJ2" s="22">
        <v>43052.306250000001</v>
      </c>
      <c r="AL2">
        <v>3</v>
      </c>
      <c r="AN2" s="112"/>
      <c r="AO2" s="112"/>
      <c r="AP2" s="112"/>
      <c r="AQ2" s="112"/>
      <c r="AR2" s="7" t="str">
        <f>HYPERLINK("https://www.ejacket.nsf.gov/ej/showProposal.do?ID="&amp;ckCodingTable[[#This Row],[prop_id]],"eJ")</f>
        <v>eJ</v>
      </c>
      <c r="AS2" t="s">
        <v>667</v>
      </c>
      <c r="AT2" t="s">
        <v>668</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669</v>
      </c>
    </row>
    <row r="3" spans="1:64" x14ac:dyDescent="0.25">
      <c r="A3" s="30"/>
      <c r="B3" s="30">
        <v>42989.896527777775</v>
      </c>
      <c r="C3" t="s">
        <v>660</v>
      </c>
      <c r="D3" t="s">
        <v>661</v>
      </c>
      <c r="E3" t="s">
        <v>526</v>
      </c>
      <c r="F3" t="s">
        <v>169</v>
      </c>
      <c r="G3" t="s">
        <v>167</v>
      </c>
      <c r="H3" s="21" t="s">
        <v>94</v>
      </c>
      <c r="I3" s="86">
        <v>0.8</v>
      </c>
      <c r="J3" s="86">
        <v>0.2</v>
      </c>
      <c r="K3" t="s">
        <v>662</v>
      </c>
      <c r="L3" t="s">
        <v>535</v>
      </c>
      <c r="M3" t="s">
        <v>511</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663</v>
      </c>
      <c r="S3" s="108">
        <f>S2+(ckCodingTable[[#This Row],[ILN]]&lt;"M")</f>
        <v>2</v>
      </c>
      <c r="T3" s="21" t="s">
        <v>95</v>
      </c>
      <c r="U3" t="s">
        <v>555</v>
      </c>
      <c r="V3" s="7" t="str">
        <f>HYPERLINK("https://www.ejacket.nsf.gov/ej/showProposal.do?ID="&amp;ckCodingTable[[#This Row],[prop_id]],"eJ")</f>
        <v>eJ</v>
      </c>
      <c r="W3" t="s">
        <v>664</v>
      </c>
      <c r="X3" t="s">
        <v>555</v>
      </c>
      <c r="Y3" t="s">
        <v>556</v>
      </c>
      <c r="Z3" t="s">
        <v>670</v>
      </c>
      <c r="AA3" t="s">
        <v>512</v>
      </c>
      <c r="AB3" s="111" t="str">
        <f>HYPERLINK("mailto:"&amp;ckCodingTable[[#This Row],[email]]&amp;"&amp;subject=Your NSF Proposal:  "&amp;ckCodingTable[[#This Row],[Div]]&amp;" "&amp;ckCodingTable[[#This Row],[prop_id]], ckCodingTable[[#This Row],[email]])</f>
        <v>cdossick@uw.edu</v>
      </c>
      <c r="AC3" s="30">
        <v>43174</v>
      </c>
      <c r="AD3">
        <v>36</v>
      </c>
      <c r="AE3">
        <v>1</v>
      </c>
      <c r="AG3" s="112"/>
      <c r="AH3" t="s">
        <v>671</v>
      </c>
      <c r="AI3" s="26">
        <v>3.6666666666666665</v>
      </c>
      <c r="AJ3" s="22">
        <v>43052.559027777781</v>
      </c>
      <c r="AL3">
        <v>3</v>
      </c>
      <c r="AN3" s="112"/>
      <c r="AO3" s="112"/>
      <c r="AP3" s="112"/>
      <c r="AQ3" s="112"/>
      <c r="AR3" s="7" t="str">
        <f>HYPERLINK("https://www.ejacket.nsf.gov/ej/showProposal.do?ID="&amp;ckCodingTable[[#This Row],[prop_id]],"eJ")</f>
        <v>eJ</v>
      </c>
      <c r="AS3" t="s">
        <v>170</v>
      </c>
      <c r="AT3" t="s">
        <v>672</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673</v>
      </c>
    </row>
    <row r="4" spans="1:64" x14ac:dyDescent="0.25">
      <c r="A4" s="30"/>
      <c r="B4" s="30">
        <v>42991.695138888892</v>
      </c>
      <c r="C4" t="s">
        <v>674</v>
      </c>
      <c r="D4" t="s">
        <v>661</v>
      </c>
      <c r="E4" t="s">
        <v>526</v>
      </c>
      <c r="F4" t="s">
        <v>169</v>
      </c>
      <c r="G4" t="s">
        <v>167</v>
      </c>
      <c r="H4" s="21" t="s">
        <v>94</v>
      </c>
      <c r="I4" s="86">
        <v>0.8</v>
      </c>
      <c r="J4" s="86">
        <v>0.2</v>
      </c>
      <c r="K4" t="s">
        <v>662</v>
      </c>
      <c r="L4" t="s">
        <v>568</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675</v>
      </c>
      <c r="S4" s="108">
        <f>S3+(ckCodingTable[[#This Row],[ILN]]&lt;"M")</f>
        <v>3</v>
      </c>
      <c r="T4" s="21" t="s">
        <v>95</v>
      </c>
      <c r="U4" t="s">
        <v>567</v>
      </c>
      <c r="V4" s="7" t="str">
        <f>HYPERLINK("https://www.ejacket.nsf.gov/ej/showProposal.do?ID="&amp;ckCodingTable[[#This Row],[prop_id]],"eJ")</f>
        <v>eJ</v>
      </c>
      <c r="W4" t="s">
        <v>664</v>
      </c>
      <c r="X4" t="s">
        <v>567</v>
      </c>
      <c r="Y4" t="s">
        <v>508</v>
      </c>
      <c r="Z4" t="s">
        <v>676</v>
      </c>
      <c r="AA4" t="s">
        <v>677</v>
      </c>
      <c r="AB4" s="111" t="str">
        <f>HYPERLINK("mailto:"&amp;ckCodingTable[[#This Row],[email]]&amp;"&amp;subject=Your NSF Proposal:  "&amp;ckCodingTable[[#This Row],[Div]]&amp;" "&amp;ckCodingTable[[#This Row],[prop_id]], ckCodingTable[[#This Row],[email]])</f>
        <v>yclee@lsu.edu</v>
      </c>
      <c r="AC4" s="30">
        <v>43101</v>
      </c>
      <c r="AD4">
        <v>24</v>
      </c>
      <c r="AE4">
        <v>1</v>
      </c>
      <c r="AG4" s="112"/>
      <c r="AH4" t="s">
        <v>678</v>
      </c>
      <c r="AI4" s="26">
        <v>1.6666666666666667</v>
      </c>
      <c r="AJ4" s="22">
        <v>43051.84652777778</v>
      </c>
      <c r="AL4">
        <v>3</v>
      </c>
      <c r="AN4" s="112"/>
      <c r="AO4" s="112"/>
      <c r="AP4" s="112"/>
      <c r="AQ4" s="112"/>
      <c r="AR4" s="7" t="str">
        <f>HYPERLINK("https://www.ejacket.nsf.gov/ej/showProposal.do?ID="&amp;ckCodingTable[[#This Row],[prop_id]],"eJ")</f>
        <v>eJ</v>
      </c>
      <c r="AS4" t="s">
        <v>170</v>
      </c>
      <c r="AT4" t="s">
        <v>679</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680</v>
      </c>
    </row>
    <row r="5" spans="1:64" x14ac:dyDescent="0.25">
      <c r="A5" s="30"/>
      <c r="B5" s="30">
        <v>42992.520138888889</v>
      </c>
      <c r="C5" t="s">
        <v>660</v>
      </c>
      <c r="D5" t="s">
        <v>661</v>
      </c>
      <c r="E5" t="s">
        <v>526</v>
      </c>
      <c r="F5" t="s">
        <v>169</v>
      </c>
      <c r="G5" t="s">
        <v>167</v>
      </c>
      <c r="H5" s="21" t="s">
        <v>94</v>
      </c>
      <c r="I5" s="86">
        <v>0.8</v>
      </c>
      <c r="J5" s="86">
        <v>0.2</v>
      </c>
      <c r="K5" t="s">
        <v>662</v>
      </c>
      <c r="L5" t="s">
        <v>568</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675</v>
      </c>
      <c r="S5" s="108">
        <f>S4+(ckCodingTable[[#This Row],[ILN]]&lt;"M")</f>
        <v>4</v>
      </c>
      <c r="T5" s="21" t="s">
        <v>95</v>
      </c>
      <c r="U5" t="s">
        <v>576</v>
      </c>
      <c r="V5" s="7" t="str">
        <f>HYPERLINK("https://www.ejacket.nsf.gov/ej/showProposal.do?ID="&amp;ckCodingTable[[#This Row],[prop_id]],"eJ")</f>
        <v>eJ</v>
      </c>
      <c r="W5" t="s">
        <v>664</v>
      </c>
      <c r="X5" t="s">
        <v>576</v>
      </c>
      <c r="Y5" t="s">
        <v>510</v>
      </c>
      <c r="Z5" t="s">
        <v>681</v>
      </c>
      <c r="AA5" t="s">
        <v>682</v>
      </c>
      <c r="AB5" s="111" t="str">
        <f>HYPERLINK("mailto:"&amp;ckCodingTable[[#This Row],[email]]&amp;"&amp;subject=Your NSF Proposal:  "&amp;ckCodingTable[[#This Row],[Div]]&amp;" "&amp;ckCodingTable[[#This Row],[prop_id]], ckCodingTable[[#This Row],[email]])</f>
        <v>jee.park@unlv.edu</v>
      </c>
      <c r="AC5" s="30">
        <v>43101</v>
      </c>
      <c r="AD5">
        <v>36</v>
      </c>
      <c r="AE5">
        <v>1</v>
      </c>
      <c r="AG5" s="112"/>
      <c r="AH5" t="s">
        <v>666</v>
      </c>
      <c r="AI5" s="26">
        <v>3.3333333333333335</v>
      </c>
      <c r="AJ5" s="22">
        <v>43051.79583333333</v>
      </c>
      <c r="AL5">
        <v>3</v>
      </c>
      <c r="AN5" s="112"/>
      <c r="AO5" s="112"/>
      <c r="AP5" s="112"/>
      <c r="AQ5" s="112"/>
      <c r="AR5" s="7" t="str">
        <f>HYPERLINK("https://www.ejacket.nsf.gov/ej/showProposal.do?ID="&amp;ckCodingTable[[#This Row],[prop_id]],"eJ")</f>
        <v>eJ</v>
      </c>
      <c r="AS5" t="s">
        <v>170</v>
      </c>
      <c r="AT5" t="s">
        <v>683</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684</v>
      </c>
    </row>
    <row r="6" spans="1:64" x14ac:dyDescent="0.25">
      <c r="A6" s="30"/>
      <c r="B6" s="30">
        <v>42992.522222222222</v>
      </c>
      <c r="C6" t="s">
        <v>660</v>
      </c>
      <c r="D6" t="s">
        <v>661</v>
      </c>
      <c r="E6" t="s">
        <v>526</v>
      </c>
      <c r="F6" t="s">
        <v>169</v>
      </c>
      <c r="G6" t="s">
        <v>167</v>
      </c>
      <c r="H6" s="21" t="s">
        <v>94</v>
      </c>
      <c r="I6" s="86">
        <v>0.8</v>
      </c>
      <c r="J6" s="86">
        <v>0.2</v>
      </c>
      <c r="K6" t="s">
        <v>662</v>
      </c>
      <c r="L6" t="s">
        <v>568</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663</v>
      </c>
      <c r="S6" s="108">
        <f>S5+(ckCodingTable[[#This Row],[ILN]]&lt;"M")</f>
        <v>5</v>
      </c>
      <c r="T6" s="21" t="s">
        <v>475</v>
      </c>
      <c r="U6" t="s">
        <v>584</v>
      </c>
      <c r="V6" s="7" t="str">
        <f>HYPERLINK("https://www.ejacket.nsf.gov/ej/showProposal.do?ID="&amp;ckCodingTable[[#This Row],[prop_id]],"eJ")</f>
        <v>eJ</v>
      </c>
      <c r="W6" t="s">
        <v>664</v>
      </c>
      <c r="X6" t="s">
        <v>584</v>
      </c>
      <c r="Y6" t="s">
        <v>585</v>
      </c>
      <c r="Z6" t="s">
        <v>685</v>
      </c>
      <c r="AA6" t="s">
        <v>521</v>
      </c>
      <c r="AB6" s="111" t="str">
        <f>HYPERLINK("mailto:"&amp;ckCodingTable[[#This Row],[email]]&amp;"&amp;subject=Your NSF Proposal:  "&amp;ckCodingTable[[#This Row],[Div]]&amp;" "&amp;ckCodingTable[[#This Row],[prop_id]], ckCodingTable[[#This Row],[email]])</f>
        <v>ryanahn@tamu.edu</v>
      </c>
      <c r="AC6" s="30">
        <v>43221</v>
      </c>
      <c r="AD6">
        <v>36</v>
      </c>
      <c r="AE6">
        <v>1</v>
      </c>
      <c r="AG6" s="112"/>
      <c r="AH6" t="s">
        <v>686</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687</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688</v>
      </c>
    </row>
    <row r="7" spans="1:64" x14ac:dyDescent="0.25">
      <c r="A7" s="30"/>
      <c r="B7" s="30">
        <v>42992.522916666669</v>
      </c>
      <c r="C7" t="s">
        <v>660</v>
      </c>
      <c r="D7" t="s">
        <v>661</v>
      </c>
      <c r="E7" t="s">
        <v>526</v>
      </c>
      <c r="F7" t="s">
        <v>169</v>
      </c>
      <c r="G7" t="s">
        <v>167</v>
      </c>
      <c r="H7" s="21" t="s">
        <v>94</v>
      </c>
      <c r="I7" s="86">
        <v>0.8</v>
      </c>
      <c r="J7" s="86">
        <v>0.2</v>
      </c>
      <c r="K7" t="s">
        <v>662</v>
      </c>
      <c r="L7" t="s">
        <v>568</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675</v>
      </c>
      <c r="S7" s="108">
        <f>S6+(ckCodingTable[[#This Row],[ILN]]&lt;"M")</f>
        <v>5</v>
      </c>
      <c r="T7" s="21" t="s">
        <v>477</v>
      </c>
      <c r="U7" t="s">
        <v>584</v>
      </c>
      <c r="V7" s="7" t="str">
        <f>HYPERLINK("https://www.ejacket.nsf.gov/ej/showProposal.do?ID="&amp;ckCodingTable[[#This Row],[prop_id]],"eJ")</f>
        <v>eJ</v>
      </c>
      <c r="W7" t="s">
        <v>664</v>
      </c>
      <c r="X7" t="s">
        <v>689</v>
      </c>
      <c r="Y7" t="s">
        <v>690</v>
      </c>
      <c r="Z7" t="s">
        <v>514</v>
      </c>
      <c r="AA7" t="s">
        <v>691</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687</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692</v>
      </c>
    </row>
    <row r="8" spans="1:64" x14ac:dyDescent="0.25">
      <c r="A8" s="30"/>
      <c r="B8" s="30">
        <v>42993.367361111108</v>
      </c>
      <c r="C8" t="s">
        <v>660</v>
      </c>
      <c r="D8" t="s">
        <v>661</v>
      </c>
      <c r="E8" t="s">
        <v>526</v>
      </c>
      <c r="F8" t="s">
        <v>169</v>
      </c>
      <c r="G8" t="s">
        <v>167</v>
      </c>
      <c r="H8" s="21" t="s">
        <v>94</v>
      </c>
      <c r="I8" s="86">
        <v>0.8</v>
      </c>
      <c r="J8" s="86">
        <v>0.2</v>
      </c>
      <c r="K8" t="s">
        <v>662</v>
      </c>
      <c r="L8" t="s">
        <v>568</v>
      </c>
      <c r="M8" t="s">
        <v>516</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663</v>
      </c>
      <c r="S8" s="108">
        <f>S7+(ckCodingTable[[#This Row],[ILN]]&lt;"M")</f>
        <v>5</v>
      </c>
      <c r="T8" s="21" t="s">
        <v>477</v>
      </c>
      <c r="U8" t="s">
        <v>584</v>
      </c>
      <c r="V8" s="7" t="str">
        <f>HYPERLINK("https://www.ejacket.nsf.gov/ej/showProposal.do?ID="&amp;ckCodingTable[[#This Row],[prop_id]],"eJ")</f>
        <v>eJ</v>
      </c>
      <c r="W8" t="s">
        <v>664</v>
      </c>
      <c r="X8" t="s">
        <v>693</v>
      </c>
      <c r="Y8" t="s">
        <v>694</v>
      </c>
      <c r="Z8" t="s">
        <v>695</v>
      </c>
      <c r="AA8" t="s">
        <v>519</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687</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696</v>
      </c>
    </row>
    <row r="9" spans="1:64" x14ac:dyDescent="0.25">
      <c r="A9" s="30"/>
      <c r="B9" s="30">
        <v>42992.676388888889</v>
      </c>
      <c r="C9" t="s">
        <v>660</v>
      </c>
      <c r="D9" t="s">
        <v>661</v>
      </c>
      <c r="E9" t="s">
        <v>526</v>
      </c>
      <c r="F9" t="s">
        <v>169</v>
      </c>
      <c r="G9" t="s">
        <v>167</v>
      </c>
      <c r="H9" s="21" t="s">
        <v>94</v>
      </c>
      <c r="I9" s="86">
        <v>0.8</v>
      </c>
      <c r="J9" s="86">
        <v>0.2</v>
      </c>
      <c r="K9" t="s">
        <v>662</v>
      </c>
      <c r="L9" t="s">
        <v>568</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663</v>
      </c>
      <c r="S9" s="108">
        <f>S8+(ckCodingTable[[#This Row],[ILN]]&lt;"M")</f>
        <v>6</v>
      </c>
      <c r="T9" s="21" t="s">
        <v>95</v>
      </c>
      <c r="U9" t="s">
        <v>592</v>
      </c>
      <c r="V9" s="7" t="str">
        <f>HYPERLINK("https://www.ejacket.nsf.gov/ej/showProposal.do?ID="&amp;ckCodingTable[[#This Row],[prop_id]],"eJ")</f>
        <v>eJ</v>
      </c>
      <c r="W9" t="s">
        <v>664</v>
      </c>
      <c r="X9" t="s">
        <v>592</v>
      </c>
      <c r="Y9" t="s">
        <v>593</v>
      </c>
      <c r="Z9" t="s">
        <v>697</v>
      </c>
      <c r="AA9" t="s">
        <v>499</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671</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698</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699</v>
      </c>
    </row>
    <row r="10" spans="1:64" x14ac:dyDescent="0.25">
      <c r="A10" s="30"/>
      <c r="B10" s="30">
        <v>42993.447916666664</v>
      </c>
      <c r="C10" t="s">
        <v>660</v>
      </c>
      <c r="D10" t="s">
        <v>661</v>
      </c>
      <c r="E10" t="s">
        <v>526</v>
      </c>
      <c r="F10" t="s">
        <v>169</v>
      </c>
      <c r="G10" t="s">
        <v>167</v>
      </c>
      <c r="H10" s="21" t="s">
        <v>94</v>
      </c>
      <c r="I10" s="86">
        <v>0.8</v>
      </c>
      <c r="J10" s="86">
        <v>0.2</v>
      </c>
      <c r="K10" t="s">
        <v>662</v>
      </c>
      <c r="L10" t="s">
        <v>568</v>
      </c>
      <c r="M10" t="s">
        <v>513</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663</v>
      </c>
      <c r="S10" s="108">
        <f>S9+(ckCodingTable[[#This Row],[ILN]]&lt;"M")</f>
        <v>7</v>
      </c>
      <c r="T10" s="21" t="s">
        <v>95</v>
      </c>
      <c r="U10" t="s">
        <v>598</v>
      </c>
      <c r="V10" s="7" t="str">
        <f>HYPERLINK("https://www.ejacket.nsf.gov/ej/showProposal.do?ID="&amp;ckCodingTable[[#This Row],[prop_id]],"eJ")</f>
        <v>eJ</v>
      </c>
      <c r="W10" t="s">
        <v>664</v>
      </c>
      <c r="X10" t="s">
        <v>598</v>
      </c>
      <c r="Y10" t="s">
        <v>599</v>
      </c>
      <c r="Z10" t="s">
        <v>700</v>
      </c>
      <c r="AA10" t="s">
        <v>701</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518</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702</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703</v>
      </c>
    </row>
    <row r="11" spans="1:64" x14ac:dyDescent="0.25">
      <c r="A11" s="30"/>
      <c r="B11" s="30">
        <v>42993.449305555558</v>
      </c>
      <c r="C11" t="s">
        <v>660</v>
      </c>
      <c r="D11" t="s">
        <v>661</v>
      </c>
      <c r="E11" t="s">
        <v>526</v>
      </c>
      <c r="F11" t="s">
        <v>169</v>
      </c>
      <c r="G11" t="s">
        <v>167</v>
      </c>
      <c r="H11" s="21" t="s">
        <v>94</v>
      </c>
      <c r="I11" s="86">
        <v>0.8</v>
      </c>
      <c r="J11" s="86">
        <v>0.2</v>
      </c>
      <c r="K11" t="s">
        <v>662</v>
      </c>
      <c r="L11" t="s">
        <v>568</v>
      </c>
      <c r="M11" t="s">
        <v>513</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663</v>
      </c>
      <c r="S11" s="108">
        <f>S10+(ckCodingTable[[#This Row],[ILN]]&lt;"M")</f>
        <v>8</v>
      </c>
      <c r="T11" s="21" t="s">
        <v>95</v>
      </c>
      <c r="U11" t="s">
        <v>603</v>
      </c>
      <c r="V11" s="7" t="str">
        <f>HYPERLINK("https://www.ejacket.nsf.gov/ej/showProposal.do?ID="&amp;ckCodingTable[[#This Row],[prop_id]],"eJ")</f>
        <v>eJ</v>
      </c>
      <c r="W11" t="s">
        <v>664</v>
      </c>
      <c r="X11" t="s">
        <v>603</v>
      </c>
      <c r="Y11" t="s">
        <v>599</v>
      </c>
      <c r="Z11" t="s">
        <v>700</v>
      </c>
      <c r="AA11" t="s">
        <v>701</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671</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704</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703</v>
      </c>
    </row>
    <row r="12" spans="1:64" x14ac:dyDescent="0.25">
      <c r="A12" s="30"/>
      <c r="B12" s="30">
        <v>42993.551388888889</v>
      </c>
      <c r="C12" t="s">
        <v>660</v>
      </c>
      <c r="D12" t="s">
        <v>661</v>
      </c>
      <c r="E12" t="s">
        <v>526</v>
      </c>
      <c r="F12" t="s">
        <v>169</v>
      </c>
      <c r="G12" t="s">
        <v>167</v>
      </c>
      <c r="H12" s="21" t="s">
        <v>94</v>
      </c>
      <c r="I12" s="86">
        <v>0.8</v>
      </c>
      <c r="J12" s="86">
        <v>0.2</v>
      </c>
      <c r="K12" t="s">
        <v>662</v>
      </c>
      <c r="L12" t="s">
        <v>568</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675</v>
      </c>
      <c r="S12" s="108">
        <f>S11+(ckCodingTable[[#This Row],[ILN]]&lt;"M")</f>
        <v>9</v>
      </c>
      <c r="T12" s="21" t="s">
        <v>475</v>
      </c>
      <c r="U12" t="s">
        <v>610</v>
      </c>
      <c r="V12" s="7" t="str">
        <f>HYPERLINK("https://www.ejacket.nsf.gov/ej/showProposal.do?ID="&amp;ckCodingTable[[#This Row],[prop_id]],"eJ")</f>
        <v>eJ</v>
      </c>
      <c r="W12" t="s">
        <v>664</v>
      </c>
      <c r="X12" t="s">
        <v>610</v>
      </c>
      <c r="Y12" t="s">
        <v>611</v>
      </c>
      <c r="Z12" t="s">
        <v>705</v>
      </c>
      <c r="AA12" t="s">
        <v>706</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707</v>
      </c>
      <c r="AI12" s="26">
        <v>4</v>
      </c>
      <c r="AJ12" s="22">
        <v>43052.238888888889</v>
      </c>
      <c r="AL12">
        <v>3</v>
      </c>
      <c r="AN12" s="112"/>
      <c r="AO12" s="112"/>
      <c r="AP12" s="112"/>
      <c r="AQ12" s="112"/>
      <c r="AR12" s="7" t="str">
        <f>HYPERLINK("https://www.ejacket.nsf.gov/ej/showProposal.do?ID="&amp;ckCodingTable[[#This Row],[prop_id]],"eJ")</f>
        <v>eJ</v>
      </c>
      <c r="AS12" t="s">
        <v>170</v>
      </c>
      <c r="AT12" t="s">
        <v>708</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709</v>
      </c>
    </row>
    <row r="13" spans="1:64" x14ac:dyDescent="0.25">
      <c r="A13" s="30"/>
      <c r="B13" s="30">
        <v>42993.511805555558</v>
      </c>
      <c r="C13" t="s">
        <v>660</v>
      </c>
      <c r="D13" t="s">
        <v>661</v>
      </c>
      <c r="E13" t="s">
        <v>526</v>
      </c>
      <c r="F13" t="s">
        <v>169</v>
      </c>
      <c r="G13" t="s">
        <v>167</v>
      </c>
      <c r="H13" s="21" t="s">
        <v>94</v>
      </c>
      <c r="I13" s="86">
        <v>0.8</v>
      </c>
      <c r="J13" s="86">
        <v>0.2</v>
      </c>
      <c r="K13" t="s">
        <v>662</v>
      </c>
      <c r="L13" t="s">
        <v>568</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663</v>
      </c>
      <c r="S13" s="108">
        <f>S12+(ckCodingTable[[#This Row],[ILN]]&lt;"M")</f>
        <v>9</v>
      </c>
      <c r="T13" s="21" t="s">
        <v>477</v>
      </c>
      <c r="U13" t="s">
        <v>610</v>
      </c>
      <c r="V13" s="7" t="str">
        <f>HYPERLINK("https://www.ejacket.nsf.gov/ej/showProposal.do?ID="&amp;ckCodingTable[[#This Row],[prop_id]],"eJ")</f>
        <v>eJ</v>
      </c>
      <c r="W13" t="s">
        <v>664</v>
      </c>
      <c r="X13" t="s">
        <v>710</v>
      </c>
      <c r="Y13" t="s">
        <v>711</v>
      </c>
      <c r="Z13" t="s">
        <v>515</v>
      </c>
      <c r="AA13" t="s">
        <v>521</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708</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712</v>
      </c>
    </row>
    <row r="14" spans="1:64" x14ac:dyDescent="0.25">
      <c r="A14" s="30"/>
      <c r="B14" s="30">
        <v>42993.675000000003</v>
      </c>
      <c r="C14" t="s">
        <v>660</v>
      </c>
      <c r="D14" t="s">
        <v>661</v>
      </c>
      <c r="E14" t="s">
        <v>526</v>
      </c>
      <c r="F14" t="s">
        <v>169</v>
      </c>
      <c r="G14" t="s">
        <v>167</v>
      </c>
      <c r="H14" s="21" t="s">
        <v>94</v>
      </c>
      <c r="I14" s="86">
        <v>0.8</v>
      </c>
      <c r="J14" s="86">
        <v>0.2</v>
      </c>
      <c r="K14" t="s">
        <v>662</v>
      </c>
      <c r="L14" t="s">
        <v>568</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663</v>
      </c>
      <c r="S14" s="108">
        <f>S13+(ckCodingTable[[#This Row],[ILN]]&lt;"M")</f>
        <v>10</v>
      </c>
      <c r="T14" s="21" t="s">
        <v>95</v>
      </c>
      <c r="U14" t="s">
        <v>616</v>
      </c>
      <c r="V14" s="7" t="str">
        <f>HYPERLINK("https://www.ejacket.nsf.gov/ej/showProposal.do?ID="&amp;ckCodingTable[[#This Row],[prop_id]],"eJ")</f>
        <v>eJ</v>
      </c>
      <c r="W14" t="s">
        <v>664</v>
      </c>
      <c r="X14" t="s">
        <v>616</v>
      </c>
      <c r="Y14" t="s">
        <v>617</v>
      </c>
      <c r="Z14" t="s">
        <v>713</v>
      </c>
      <c r="AA14" t="s">
        <v>521</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714</v>
      </c>
      <c r="AI14" s="26">
        <v>6</v>
      </c>
      <c r="AJ14" s="22">
        <v>43052.445833333331</v>
      </c>
      <c r="AL14">
        <v>4</v>
      </c>
      <c r="AN14" s="112"/>
      <c r="AO14" s="112"/>
      <c r="AP14" s="112"/>
      <c r="AQ14" s="112"/>
      <c r="AR14" s="7" t="str">
        <f>HYPERLINK("https://www.ejacket.nsf.gov/ej/showProposal.do?ID="&amp;ckCodingTable[[#This Row],[prop_id]],"eJ")</f>
        <v>eJ</v>
      </c>
      <c r="AS14" t="s">
        <v>170</v>
      </c>
      <c r="AT14" t="s">
        <v>715</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716</v>
      </c>
    </row>
    <row r="15" spans="1:64" x14ac:dyDescent="0.25">
      <c r="A15" s="30"/>
      <c r="B15" s="30">
        <v>42996.584722222222</v>
      </c>
      <c r="C15" t="s">
        <v>660</v>
      </c>
      <c r="D15" t="s">
        <v>661</v>
      </c>
      <c r="E15" t="s">
        <v>526</v>
      </c>
      <c r="F15" t="s">
        <v>169</v>
      </c>
      <c r="G15" t="s">
        <v>167</v>
      </c>
      <c r="H15" s="21" t="s">
        <v>94</v>
      </c>
      <c r="I15" s="86">
        <v>0.8</v>
      </c>
      <c r="J15" s="86">
        <v>0.2</v>
      </c>
      <c r="K15" t="s">
        <v>662</v>
      </c>
      <c r="L15" t="s">
        <v>568</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663</v>
      </c>
      <c r="R15" s="22">
        <v>43084.715127314812</v>
      </c>
      <c r="S15" s="108">
        <f>S14+(ckCodingTable[[#This Row],[ILN]]&lt;"M")</f>
        <v>11</v>
      </c>
      <c r="T15" s="21" t="s">
        <v>95</v>
      </c>
      <c r="U15" t="s">
        <v>625</v>
      </c>
      <c r="V15" s="7" t="str">
        <f>HYPERLINK("https://www.ejacket.nsf.gov/ej/showProposal.do?ID="&amp;ckCodingTable[[#This Row],[prop_id]],"eJ")</f>
        <v>eJ</v>
      </c>
      <c r="W15" t="s">
        <v>664</v>
      </c>
      <c r="X15" t="s">
        <v>625</v>
      </c>
      <c r="Y15" t="s">
        <v>626</v>
      </c>
      <c r="Z15" t="s">
        <v>717</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718</v>
      </c>
      <c r="AI15" s="26">
        <v>3</v>
      </c>
      <c r="AJ15" s="22">
        <v>43052.348611111112</v>
      </c>
      <c r="AL15">
        <v>3</v>
      </c>
      <c r="AN15" s="112"/>
      <c r="AO15" s="112"/>
      <c r="AP15" s="112"/>
      <c r="AQ15" s="112"/>
      <c r="AR15" s="7" t="str">
        <f>HYPERLINK("https://www.ejacket.nsf.gov/ej/showProposal.do?ID="&amp;ckCodingTable[[#This Row],[prop_id]],"eJ")</f>
        <v>eJ</v>
      </c>
      <c r="AS15" t="s">
        <v>170</v>
      </c>
      <c r="AT15" t="s">
        <v>719</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720</v>
      </c>
    </row>
    <row r="16" spans="1:64" x14ac:dyDescent="0.25">
      <c r="A16" s="30"/>
      <c r="B16" s="30">
        <v>42999.359027777777</v>
      </c>
      <c r="C16" t="s">
        <v>660</v>
      </c>
      <c r="D16" t="s">
        <v>661</v>
      </c>
      <c r="E16" t="s">
        <v>526</v>
      </c>
      <c r="F16" t="s">
        <v>169</v>
      </c>
      <c r="G16" t="s">
        <v>167</v>
      </c>
      <c r="H16" s="21" t="s">
        <v>94</v>
      </c>
      <c r="I16" s="86">
        <v>0.8</v>
      </c>
      <c r="J16" s="86">
        <v>0.2</v>
      </c>
      <c r="K16" t="s">
        <v>662</v>
      </c>
      <c r="L16" t="s">
        <v>568</v>
      </c>
      <c r="M16" t="s">
        <v>516</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663</v>
      </c>
      <c r="R16" s="22">
        <v>43084.715173611112</v>
      </c>
      <c r="S16" s="108">
        <f>S15+(ckCodingTable[[#This Row],[ILN]]&lt;"M")</f>
        <v>12</v>
      </c>
      <c r="T16" s="21" t="s">
        <v>95</v>
      </c>
      <c r="U16" t="s">
        <v>631</v>
      </c>
      <c r="V16" s="7" t="str">
        <f>HYPERLINK("https://www.ejacket.nsf.gov/ej/showProposal.do?ID="&amp;ckCodingTable[[#This Row],[prop_id]],"eJ")</f>
        <v>eJ</v>
      </c>
      <c r="W16" t="s">
        <v>664</v>
      </c>
      <c r="X16" t="s">
        <v>631</v>
      </c>
      <c r="Y16" t="s">
        <v>509</v>
      </c>
      <c r="Z16" t="s">
        <v>721</v>
      </c>
      <c r="AA16" t="s">
        <v>517</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718</v>
      </c>
      <c r="AI16" s="26">
        <v>3</v>
      </c>
      <c r="AJ16" s="22">
        <v>43052.259027777778</v>
      </c>
      <c r="AL16">
        <v>3</v>
      </c>
      <c r="AN16" s="112"/>
      <c r="AO16" s="112"/>
      <c r="AP16" s="112"/>
      <c r="AQ16" s="112"/>
      <c r="AR16" s="7" t="str">
        <f>HYPERLINK("https://www.ejacket.nsf.gov/ej/showProposal.do?ID="&amp;ckCodingTable[[#This Row],[prop_id]],"eJ")</f>
        <v>eJ</v>
      </c>
      <c r="AS16" t="s">
        <v>170</v>
      </c>
      <c r="AT16" t="s">
        <v>722</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723</v>
      </c>
    </row>
    <row r="17" spans="1:64" x14ac:dyDescent="0.25">
      <c r="A17" s="30"/>
      <c r="B17" s="30">
        <v>42999.447222222225</v>
      </c>
      <c r="C17" t="s">
        <v>660</v>
      </c>
      <c r="D17" t="s">
        <v>661</v>
      </c>
      <c r="E17" t="s">
        <v>526</v>
      </c>
      <c r="F17" t="s">
        <v>169</v>
      </c>
      <c r="G17" t="s">
        <v>167</v>
      </c>
      <c r="H17" s="21" t="s">
        <v>94</v>
      </c>
      <c r="I17" s="86">
        <v>0.8</v>
      </c>
      <c r="J17" s="86">
        <v>0.2</v>
      </c>
      <c r="K17" t="s">
        <v>662</v>
      </c>
      <c r="L17" t="s">
        <v>568</v>
      </c>
      <c r="M17" t="s">
        <v>516</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663</v>
      </c>
      <c r="S17" s="108">
        <f>S16+(ckCodingTable[[#This Row],[ILN]]&lt;"M")</f>
        <v>13</v>
      </c>
      <c r="T17" s="21" t="s">
        <v>475</v>
      </c>
      <c r="U17" t="s">
        <v>636</v>
      </c>
      <c r="V17" s="7" t="str">
        <f>HYPERLINK("https://www.ejacket.nsf.gov/ej/showProposal.do?ID="&amp;ckCodingTable[[#This Row],[prop_id]],"eJ")</f>
        <v>eJ</v>
      </c>
      <c r="W17" t="s">
        <v>664</v>
      </c>
      <c r="X17" t="s">
        <v>636</v>
      </c>
      <c r="Y17" t="s">
        <v>637</v>
      </c>
      <c r="Z17" t="s">
        <v>724</v>
      </c>
      <c r="AA17" t="s">
        <v>519</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725</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726</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727</v>
      </c>
    </row>
    <row r="18" spans="1:64" x14ac:dyDescent="0.25">
      <c r="A18" s="30"/>
      <c r="B18" s="30">
        <v>42999.552777777775</v>
      </c>
      <c r="C18" t="s">
        <v>660</v>
      </c>
      <c r="D18" t="s">
        <v>661</v>
      </c>
      <c r="E18" t="s">
        <v>526</v>
      </c>
      <c r="F18" t="s">
        <v>169</v>
      </c>
      <c r="G18" t="s">
        <v>167</v>
      </c>
      <c r="H18" s="21" t="s">
        <v>94</v>
      </c>
      <c r="I18" s="86">
        <v>0</v>
      </c>
      <c r="J18" s="86">
        <v>0</v>
      </c>
      <c r="K18" t="s">
        <v>662</v>
      </c>
      <c r="L18" t="s">
        <v>568</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663</v>
      </c>
      <c r="S18" s="108">
        <f>S17+(ckCodingTable[[#This Row],[ILN]]&lt;"M")</f>
        <v>13</v>
      </c>
      <c r="T18" s="21" t="s">
        <v>477</v>
      </c>
      <c r="U18" t="s">
        <v>636</v>
      </c>
      <c r="V18" s="7" t="str">
        <f>HYPERLINK("https://www.ejacket.nsf.gov/ej/showProposal.do?ID="&amp;ckCodingTable[[#This Row],[prop_id]],"eJ")</f>
        <v>eJ</v>
      </c>
      <c r="W18" t="s">
        <v>664</v>
      </c>
      <c r="X18" t="s">
        <v>728</v>
      </c>
      <c r="Y18" t="s">
        <v>729</v>
      </c>
      <c r="Z18" t="s">
        <v>730</v>
      </c>
      <c r="AA18" t="s">
        <v>731</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726</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732</v>
      </c>
    </row>
    <row r="19" spans="1:64" x14ac:dyDescent="0.25">
      <c r="A19" s="30"/>
      <c r="B19" s="30">
        <v>43000.450694444444</v>
      </c>
      <c r="C19" t="s">
        <v>660</v>
      </c>
      <c r="D19" t="s">
        <v>661</v>
      </c>
      <c r="E19" t="s">
        <v>526</v>
      </c>
      <c r="F19" t="s">
        <v>169</v>
      </c>
      <c r="G19" t="s">
        <v>167</v>
      </c>
      <c r="H19" s="21" t="s">
        <v>94</v>
      </c>
      <c r="I19" s="86">
        <v>0.8</v>
      </c>
      <c r="J19" s="86">
        <v>0.2</v>
      </c>
      <c r="K19" t="s">
        <v>662</v>
      </c>
      <c r="L19" t="s">
        <v>568</v>
      </c>
      <c r="M19" t="s">
        <v>500</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663</v>
      </c>
      <c r="S19" s="108">
        <f>S18+(ckCodingTable[[#This Row],[ILN]]&lt;"M")</f>
        <v>14</v>
      </c>
      <c r="T19" s="21" t="s">
        <v>95</v>
      </c>
      <c r="U19" t="s">
        <v>645</v>
      </c>
      <c r="V19" s="7" t="str">
        <f>HYPERLINK("https://www.ejacket.nsf.gov/ej/showProposal.do?ID="&amp;ckCodingTable[[#This Row],[prop_id]],"eJ")</f>
        <v>eJ</v>
      </c>
      <c r="W19" t="s">
        <v>664</v>
      </c>
      <c r="X19" t="s">
        <v>645</v>
      </c>
      <c r="Y19" t="s">
        <v>646</v>
      </c>
      <c r="Z19" t="s">
        <v>733</v>
      </c>
      <c r="AA19" t="s">
        <v>734</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735</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736</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737</v>
      </c>
    </row>
    <row r="20" spans="1:64" x14ac:dyDescent="0.25">
      <c r="A20" s="30"/>
      <c r="B20" s="30">
        <v>43000.552083333336</v>
      </c>
      <c r="C20" t="s">
        <v>660</v>
      </c>
      <c r="D20" t="s">
        <v>661</v>
      </c>
      <c r="E20" t="s">
        <v>526</v>
      </c>
      <c r="F20" t="s">
        <v>169</v>
      </c>
      <c r="G20" t="s">
        <v>167</v>
      </c>
      <c r="H20" s="21" t="s">
        <v>94</v>
      </c>
      <c r="I20" s="86">
        <v>0.8</v>
      </c>
      <c r="J20" s="86">
        <v>0.2</v>
      </c>
      <c r="K20" t="s">
        <v>662</v>
      </c>
      <c r="L20" t="s">
        <v>568</v>
      </c>
      <c r="M20" t="s">
        <v>501</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663</v>
      </c>
      <c r="S20" s="108">
        <f>S19+(ckCodingTable[[#This Row],[ILN]]&lt;"M")</f>
        <v>15</v>
      </c>
      <c r="T20" s="21" t="s">
        <v>95</v>
      </c>
      <c r="U20" t="s">
        <v>653</v>
      </c>
      <c r="V20" s="7" t="str">
        <f>HYPERLINK("https://www.ejacket.nsf.gov/ej/showProposal.do?ID="&amp;ckCodingTable[[#This Row],[prop_id]],"eJ")</f>
        <v>eJ</v>
      </c>
      <c r="W20" t="s">
        <v>664</v>
      </c>
      <c r="X20" t="s">
        <v>653</v>
      </c>
      <c r="Y20" t="s">
        <v>654</v>
      </c>
      <c r="Z20" t="s">
        <v>490</v>
      </c>
      <c r="AA20" t="s">
        <v>520</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738</v>
      </c>
      <c r="AI20" s="26">
        <v>3.75</v>
      </c>
      <c r="AJ20" s="22">
        <v>43051.804166666669</v>
      </c>
      <c r="AL20">
        <v>4</v>
      </c>
      <c r="AN20" s="112"/>
      <c r="AO20" s="112"/>
      <c r="AP20" s="112"/>
      <c r="AQ20" s="112"/>
      <c r="AR20" s="7" t="str">
        <f>HYPERLINK("https://www.ejacket.nsf.gov/ej/showProposal.do?ID="&amp;ckCodingTable[[#This Row],[prop_id]],"eJ")</f>
        <v>eJ</v>
      </c>
      <c r="AS20" t="s">
        <v>170</v>
      </c>
      <c r="AT20" t="s">
        <v>739</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740</v>
      </c>
    </row>
  </sheetData>
  <conditionalFormatting sqref="A2:BL20">
    <cfRule type="expression" dxfId="246" priority="6">
      <formula>MOD($S2,2)</formula>
    </cfRule>
  </conditionalFormatting>
  <conditionalFormatting sqref="AL2:AM20">
    <cfRule type="expression" dxfId="245" priority="5">
      <formula>AND($T2&lt;"M",$AL2&lt;$AM2+3)</formula>
    </cfRule>
  </conditionalFormatting>
  <conditionalFormatting sqref="C2:L20">
    <cfRule type="expression" dxfId="244" priority="4">
      <formula>AND($T2="N", C2&lt;&gt;C1)</formula>
    </cfRule>
  </conditionalFormatting>
  <conditionalFormatting sqref="AT2:AT20">
    <cfRule type="expression" dxfId="243" priority="3">
      <formula>$AU2</formula>
    </cfRule>
  </conditionalFormatting>
  <conditionalFormatting sqref="I2:J20">
    <cfRule type="expression" dxfId="242" priority="2">
      <formula>($J2+$I2)&lt;&gt;1</formula>
    </cfRule>
  </conditionalFormatting>
  <conditionalFormatting sqref="M2:N20">
    <cfRule type="expression" dxfId="241"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1" zoomScale="98" workbookViewId="0">
      <selection activeCell="AT10" sqref="AT10"/>
    </sheetView>
  </sheetViews>
  <sheetFormatPr defaultRowHeight="15" x14ac:dyDescent="0.25"/>
  <cols>
    <col min="1" max="1" width="8.7109375" style="30" customWidth="1"/>
    <col min="2" max="2" width="8.5703125" customWidth="1"/>
    <col min="3" max="3" width="10.42578125" customWidth="1"/>
    <col min="4" max="4" width="8.85546875" customWidth="1"/>
    <col min="5" max="5" width="5.5703125" customWidth="1"/>
    <col min="6" max="6" width="7.7109375" style="30" customWidth="1"/>
    <col min="7" max="9" width="5.85546875" style="30" customWidth="1"/>
    <col min="10" max="10" width="5.28515625" style="30" customWidth="1"/>
    <col min="11" max="11" width="8.5703125" customWidth="1"/>
    <col min="12" max="12" width="14.28515625" customWidth="1"/>
    <col min="13" max="13" width="4.42578125" style="109" customWidth="1"/>
    <col min="14" max="14" width="1.85546875" customWidth="1"/>
    <col min="15" max="15" width="8.42578125" style="22" customWidth="1"/>
    <col min="16" max="16" width="2.85546875" style="39" customWidth="1"/>
    <col min="17" max="17" width="3.5703125" style="39" customWidth="1"/>
    <col min="18" max="18" width="8.42578125" style="39" customWidth="1"/>
    <col min="19" max="19" width="10.85546875" customWidth="1"/>
    <col min="20" max="20" width="10.28515625" customWidth="1"/>
    <col min="21" max="21" width="13.7109375" customWidth="1"/>
    <col min="22" max="22" width="3.7109375" style="30" customWidth="1"/>
    <col min="23" max="23" width="9.5703125" style="109" customWidth="1"/>
    <col min="24" max="24" width="9.28515625" style="30"/>
    <col min="25" max="25" width="4.28515625" style="30" customWidth="1"/>
    <col min="26" max="26" width="9" customWidth="1"/>
    <col min="27" max="27" width="10" customWidth="1"/>
    <col min="28" max="28" width="8.85546875" style="82" customWidth="1"/>
    <col min="29" max="30" width="8.85546875" style="21" customWidth="1"/>
    <col min="31" max="31" width="17.42578125" style="21" customWidth="1"/>
    <col min="32" max="32" width="11.7109375" customWidth="1"/>
    <col min="33" max="33" width="3.5703125" style="124" customWidth="1"/>
    <col min="34" max="34" width="10.7109375" customWidth="1"/>
    <col min="35" max="35" width="11.42578125" style="13" customWidth="1"/>
    <col min="36" max="36" width="7.5703125" customWidth="1"/>
    <col min="37" max="38" width="10.42578125" style="1" customWidth="1"/>
    <col min="39" max="41" width="4.85546875" style="1" customWidth="1"/>
    <col min="42" max="43" width="4.85546875" style="82" customWidth="1"/>
    <col min="44" max="44" width="22.140625" style="124" customWidth="1"/>
    <col min="45" max="45" width="3.5703125" customWidth="1"/>
    <col min="46" max="46" width="18.5703125" customWidth="1"/>
    <col min="47" max="47" width="5.28515625" style="29" customWidth="1"/>
    <col min="48" max="48" width="90" customWidth="1"/>
    <col min="49" max="49" width="7.28515625" hidden="1" customWidth="1"/>
    <col min="50" max="50" width="29.42578125" hidden="1" customWidth="1"/>
    <col min="51" max="51" width="10.140625" style="21" customWidth="1"/>
    <col min="52" max="52" width="58.85546875" style="21" customWidth="1"/>
    <col min="53" max="53" width="21.28515625" style="21" customWidth="1"/>
    <col min="54" max="56" width="5.5703125" style="21" customWidth="1"/>
    <col min="57" max="57" width="4.42578125" customWidth="1"/>
    <col min="58" max="63" width="3" customWidth="1"/>
    <col min="64" max="64" width="9.28515625" style="1"/>
    <col min="66" max="66" width="85.5703125" customWidth="1"/>
    <col min="67" max="67" width="10.42578125" customWidth="1"/>
    <col min="68" max="68" width="9.5703125" style="13" customWidth="1"/>
    <col min="69" max="69" width="10.42578125" customWidth="1"/>
    <col min="70" max="70" width="15.42578125" customWidth="1"/>
    <col min="71" max="71" width="11.7109375" customWidth="1"/>
    <col min="72" max="72" width="9.28515625" hidden="1" customWidth="1"/>
    <col min="73" max="73" width="11" hidden="1" customWidth="1"/>
    <col min="74" max="77" width="4.28515625" customWidth="1"/>
  </cols>
  <sheetData>
    <row r="1" spans="1:68" ht="37.35" customHeight="1" x14ac:dyDescent="0.25">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3" t="s">
        <v>290</v>
      </c>
      <c r="AH1" s="1" t="s">
        <v>22</v>
      </c>
      <c r="AI1" s="1" t="s">
        <v>291</v>
      </c>
      <c r="AJ1" s="1" t="s">
        <v>292</v>
      </c>
      <c r="AK1" s="1" t="s">
        <v>293</v>
      </c>
      <c r="AL1" s="1" t="s">
        <v>294</v>
      </c>
      <c r="AM1" s="21" t="s">
        <v>295</v>
      </c>
      <c r="AN1" s="21" t="s">
        <v>296</v>
      </c>
      <c r="AO1" s="21" t="s">
        <v>297</v>
      </c>
      <c r="AP1" s="21" t="s">
        <v>298</v>
      </c>
      <c r="AQ1" s="21" t="s">
        <v>299</v>
      </c>
      <c r="AR1" s="124" t="s">
        <v>166</v>
      </c>
      <c r="AS1" s="21" t="s">
        <v>370</v>
      </c>
      <c r="AT1" s="21" t="s">
        <v>415</v>
      </c>
      <c r="AU1" s="29" t="s">
        <v>132</v>
      </c>
      <c r="AV1" t="s">
        <v>36</v>
      </c>
      <c r="AW1" t="s">
        <v>401</v>
      </c>
      <c r="AX1" t="s">
        <v>145</v>
      </c>
      <c r="AY1"/>
      <c r="AZ1"/>
      <c r="BA1"/>
      <c r="BB1"/>
      <c r="BC1"/>
      <c r="BD1"/>
      <c r="BL1"/>
      <c r="BP1"/>
    </row>
    <row r="2" spans="1:68" ht="14.65" customHeight="1" x14ac:dyDescent="0.25">
      <c r="B2" s="30">
        <v>42984.665277777778</v>
      </c>
      <c r="C2" t="s">
        <v>660</v>
      </c>
      <c r="D2" t="s">
        <v>661</v>
      </c>
      <c r="E2" t="s">
        <v>526</v>
      </c>
      <c r="F2" t="s">
        <v>535</v>
      </c>
      <c r="G2" s="8" t="s">
        <v>169</v>
      </c>
      <c r="H2" s="8" t="s">
        <v>167</v>
      </c>
      <c r="I2" s="8" t="s">
        <v>480</v>
      </c>
      <c r="J2" t="s">
        <v>94</v>
      </c>
      <c r="K2" t="s">
        <v>662</v>
      </c>
      <c r="L2" s="22"/>
      <c r="M2" s="109">
        <f xml:space="preserve"> M1+(ckAwdTable[ILN]&lt;"M")</f>
        <v>1</v>
      </c>
      <c r="N2" t="s">
        <v>95</v>
      </c>
      <c r="O2" t="s">
        <v>533</v>
      </c>
      <c r="P2" s="15" t="str">
        <f>HYPERLINK("https://www.ejacket.nsf.gov/ej/showProposal.do?ID="&amp;ckAwdTable[[#This Row],[prop_id]],"eJ")</f>
        <v>eJ</v>
      </c>
      <c r="Q2" s="8" t="s">
        <v>664</v>
      </c>
      <c r="R2" t="s">
        <v>533</v>
      </c>
      <c r="S2" t="s">
        <v>534</v>
      </c>
      <c r="T2" t="s">
        <v>665</v>
      </c>
      <c r="U2" s="8" t="s">
        <v>512</v>
      </c>
      <c r="V2" t="s">
        <v>511</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3">
        <v>0</v>
      </c>
      <c r="AH2" s="1">
        <v>345646</v>
      </c>
      <c r="AI2" s="1"/>
      <c r="AJ2" s="1"/>
      <c r="AM2" s="21">
        <v>6</v>
      </c>
      <c r="AN2" s="21">
        <v>6</v>
      </c>
      <c r="AO2" s="21">
        <v>4.05</v>
      </c>
      <c r="AP2" s="21"/>
      <c r="AQ2" s="21"/>
      <c r="AR2" s="125" t="s">
        <v>667</v>
      </c>
      <c r="AS2" s="21" t="s">
        <v>477</v>
      </c>
      <c r="AT2" s="21" t="str">
        <f>SummarizeQuestMarks(ckAwdTable[[#This Row],[abst_narr_txt]])</f>
        <v xml:space="preserve"> </v>
      </c>
      <c r="AU2" s="126"/>
      <c r="AV2" t="s">
        <v>668</v>
      </c>
      <c r="AW2" t="b">
        <f>AND(ckAwdTable[[#This Row],[ILN]]&gt;"M", SUBSTITUTE(ckAwdTable[[#This Row],[prop_titl_txt]]," ","")&lt;&gt;SUBSTITUTE(AV1," ",""))</f>
        <v>0</v>
      </c>
      <c r="AX2" s="8" t="s">
        <v>669</v>
      </c>
      <c r="AY2"/>
      <c r="AZ2"/>
      <c r="BA2"/>
      <c r="BB2"/>
      <c r="BC2"/>
      <c r="BD2"/>
      <c r="BL2"/>
      <c r="BP2"/>
    </row>
    <row r="3" spans="1:68" ht="15" customHeight="1" x14ac:dyDescent="0.25">
      <c r="B3" s="30">
        <v>42989.896527777775</v>
      </c>
      <c r="C3" t="s">
        <v>660</v>
      </c>
      <c r="D3" t="s">
        <v>661</v>
      </c>
      <c r="E3" t="s">
        <v>526</v>
      </c>
      <c r="F3" t="s">
        <v>535</v>
      </c>
      <c r="G3" s="8" t="s">
        <v>169</v>
      </c>
      <c r="H3" s="8" t="s">
        <v>167</v>
      </c>
      <c r="I3" s="8" t="s">
        <v>480</v>
      </c>
      <c r="J3" t="s">
        <v>94</v>
      </c>
      <c r="K3" t="s">
        <v>662</v>
      </c>
      <c r="L3" s="22"/>
      <c r="M3" s="109">
        <f xml:space="preserve"> M2+(ckAwdTable[ILN]&lt;"M")</f>
        <v>2</v>
      </c>
      <c r="N3" t="s">
        <v>95</v>
      </c>
      <c r="O3" t="s">
        <v>555</v>
      </c>
      <c r="P3" s="15" t="str">
        <f>HYPERLINK("https://www.ejacket.nsf.gov/ej/showProposal.do?ID="&amp;ckAwdTable[[#This Row],[prop_id]],"eJ")</f>
        <v>eJ</v>
      </c>
      <c r="Q3" s="8" t="s">
        <v>664</v>
      </c>
      <c r="R3" t="s">
        <v>555</v>
      </c>
      <c r="S3" t="s">
        <v>556</v>
      </c>
      <c r="T3" t="s">
        <v>670</v>
      </c>
      <c r="U3" s="8" t="s">
        <v>512</v>
      </c>
      <c r="V3" t="s">
        <v>511</v>
      </c>
      <c r="W3" s="113" t="str">
        <f>HYPERLINK("mailto:"&amp; ckAwdTable[[#This Row],[email]]&amp;"&amp;subject=Your NSF Proposal:  "&amp;ckAwdTable[[#This Row],[prop_id]], ckAwdTable[[#This Row],[email]])</f>
        <v>cdossick@uw.edu</v>
      </c>
      <c r="X3" s="30">
        <v>43174</v>
      </c>
      <c r="Y3">
        <v>36</v>
      </c>
      <c r="Z3" t="s">
        <v>524</v>
      </c>
      <c r="AA3" s="21" t="s">
        <v>13</v>
      </c>
      <c r="AB3" s="21" t="s">
        <v>372</v>
      </c>
      <c r="AC3"/>
      <c r="AD3" s="21" t="s">
        <v>13</v>
      </c>
      <c r="AF3" s="13">
        <v>455181</v>
      </c>
      <c r="AG3" s="123">
        <v>0</v>
      </c>
      <c r="AH3" s="1">
        <v>455181</v>
      </c>
      <c r="AI3" s="1"/>
      <c r="AJ3" s="1"/>
      <c r="AM3" s="21">
        <v>3</v>
      </c>
      <c r="AN3" s="21">
        <v>6</v>
      </c>
      <c r="AO3" s="21">
        <v>3</v>
      </c>
      <c r="AP3" s="21"/>
      <c r="AQ3" s="21">
        <v>12</v>
      </c>
      <c r="AR3" s="125" t="s">
        <v>170</v>
      </c>
      <c r="AS3" s="21" t="s">
        <v>477</v>
      </c>
      <c r="AT3" s="21" t="str">
        <f>SummarizeQuestMarks(ckAwdTable[[#This Row],[abst_narr_txt]])</f>
        <v xml:space="preserve"> </v>
      </c>
      <c r="AU3" s="126"/>
      <c r="AV3" t="s">
        <v>672</v>
      </c>
      <c r="AW3" t="b">
        <f>AND(ckAwdTable[[#This Row],[ILN]]&gt;"M", SUBSTITUTE(ckAwdTable[[#This Row],[prop_titl_txt]]," ","")&lt;&gt;SUBSTITUTE(AV2," ",""))</f>
        <v>0</v>
      </c>
      <c r="AX3" s="8" t="s">
        <v>673</v>
      </c>
      <c r="AY3"/>
      <c r="AZ3"/>
      <c r="BA3"/>
      <c r="BB3"/>
      <c r="BC3"/>
      <c r="BD3"/>
      <c r="BL3"/>
      <c r="BP3"/>
    </row>
    <row r="4" spans="1:68" ht="15" customHeight="1" x14ac:dyDescent="0.25">
      <c r="B4" s="30">
        <v>42991.695138888892</v>
      </c>
      <c r="C4" t="s">
        <v>674</v>
      </c>
      <c r="D4" t="s">
        <v>661</v>
      </c>
      <c r="E4" t="s">
        <v>526</v>
      </c>
      <c r="F4" t="s">
        <v>568</v>
      </c>
      <c r="G4" s="8" t="s">
        <v>169</v>
      </c>
      <c r="H4" s="8" t="s">
        <v>167</v>
      </c>
      <c r="I4" s="8" t="s">
        <v>480</v>
      </c>
      <c r="J4" t="s">
        <v>94</v>
      </c>
      <c r="K4" t="s">
        <v>662</v>
      </c>
      <c r="L4" s="22"/>
      <c r="M4" s="109">
        <f xml:space="preserve"> M3+(ckAwdTable[ILN]&lt;"M")</f>
        <v>3</v>
      </c>
      <c r="N4" t="s">
        <v>95</v>
      </c>
      <c r="O4" t="s">
        <v>567</v>
      </c>
      <c r="P4" s="15" t="str">
        <f>HYPERLINK("https://www.ejacket.nsf.gov/ej/showProposal.do?ID="&amp;ckAwdTable[[#This Row],[prop_id]],"eJ")</f>
        <v>eJ</v>
      </c>
      <c r="Q4" s="8" t="s">
        <v>664</v>
      </c>
      <c r="R4" t="s">
        <v>567</v>
      </c>
      <c r="S4" t="s">
        <v>508</v>
      </c>
      <c r="T4" t="s">
        <v>676</v>
      </c>
      <c r="U4" s="8" t="s">
        <v>677</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3">
        <v>0</v>
      </c>
      <c r="AH4" s="1">
        <v>299932</v>
      </c>
      <c r="AI4" s="1">
        <v>179832</v>
      </c>
      <c r="AJ4" s="1"/>
      <c r="AM4" s="21">
        <v>2</v>
      </c>
      <c r="AN4" s="21">
        <v>2</v>
      </c>
      <c r="AO4" s="21">
        <v>2</v>
      </c>
      <c r="AP4" s="21"/>
      <c r="AQ4" s="21"/>
      <c r="AR4" s="125" t="s">
        <v>170</v>
      </c>
      <c r="AS4" s="21" t="s">
        <v>477</v>
      </c>
      <c r="AT4" s="21" t="str">
        <f>SummarizeQuestMarks(ckAwdTable[[#This Row],[abst_narr_txt]])</f>
        <v xml:space="preserve"> </v>
      </c>
      <c r="AU4" s="126"/>
      <c r="AV4" t="s">
        <v>679</v>
      </c>
      <c r="AW4" t="b">
        <f>AND(ckAwdTable[[#This Row],[ILN]]&gt;"M", SUBSTITUTE(ckAwdTable[[#This Row],[prop_titl_txt]]," ","")&lt;&gt;SUBSTITUTE(AV3," ",""))</f>
        <v>0</v>
      </c>
      <c r="AX4" s="8" t="s">
        <v>680</v>
      </c>
      <c r="AY4"/>
      <c r="AZ4"/>
      <c r="BA4"/>
      <c r="BB4"/>
      <c r="BC4"/>
      <c r="BD4"/>
      <c r="BL4"/>
      <c r="BP4"/>
    </row>
    <row r="5" spans="1:68" x14ac:dyDescent="0.25">
      <c r="B5" s="30">
        <v>42992.520138888889</v>
      </c>
      <c r="C5" t="s">
        <v>660</v>
      </c>
      <c r="D5" t="s">
        <v>661</v>
      </c>
      <c r="E5" t="s">
        <v>526</v>
      </c>
      <c r="F5" t="s">
        <v>568</v>
      </c>
      <c r="G5" s="8" t="s">
        <v>169</v>
      </c>
      <c r="H5" s="8" t="s">
        <v>167</v>
      </c>
      <c r="I5" s="8" t="s">
        <v>480</v>
      </c>
      <c r="J5" t="s">
        <v>94</v>
      </c>
      <c r="K5" t="s">
        <v>662</v>
      </c>
      <c r="L5" s="22"/>
      <c r="M5" s="109">
        <f xml:space="preserve"> M4+(ckAwdTable[ILN]&lt;"M")</f>
        <v>4</v>
      </c>
      <c r="N5" t="s">
        <v>95</v>
      </c>
      <c r="O5" t="s">
        <v>576</v>
      </c>
      <c r="P5" s="15" t="str">
        <f>HYPERLINK("https://www.ejacket.nsf.gov/ej/showProposal.do?ID="&amp;ckAwdTable[[#This Row],[prop_id]],"eJ")</f>
        <v>eJ</v>
      </c>
      <c r="Q5" s="8" t="s">
        <v>664</v>
      </c>
      <c r="R5" t="s">
        <v>576</v>
      </c>
      <c r="S5" t="s">
        <v>510</v>
      </c>
      <c r="T5" t="s">
        <v>681</v>
      </c>
      <c r="U5" s="8" t="s">
        <v>682</v>
      </c>
      <c r="V5" t="s">
        <v>113</v>
      </c>
      <c r="W5" s="113" t="str">
        <f>HYPERLINK("mailto:"&amp; ckAwdTable[[#This Row],[email]]&amp;"&amp;subject=Your NSF Proposal:  "&amp;ckAwdTable[[#This Row],[prop_id]], ckAwdTable[[#This Row],[email]])</f>
        <v>jee.park@unlv.edu</v>
      </c>
      <c r="X5" s="30">
        <v>43101</v>
      </c>
      <c r="Y5">
        <v>36</v>
      </c>
      <c r="Z5" t="s">
        <v>524</v>
      </c>
      <c r="AA5" s="21" t="s">
        <v>774</v>
      </c>
      <c r="AB5" s="21" t="s">
        <v>372</v>
      </c>
      <c r="AC5"/>
      <c r="AD5" s="21" t="s">
        <v>13</v>
      </c>
      <c r="AF5" s="13">
        <v>411918</v>
      </c>
      <c r="AG5" s="123">
        <v>0</v>
      </c>
      <c r="AH5" s="1">
        <v>411918</v>
      </c>
      <c r="AI5" s="1"/>
      <c r="AJ5" s="1"/>
      <c r="AK5" s="1">
        <v>71050</v>
      </c>
      <c r="AM5" s="21">
        <v>4</v>
      </c>
      <c r="AN5" s="21">
        <v>3</v>
      </c>
      <c r="AO5" s="21">
        <v>3</v>
      </c>
      <c r="AP5" s="21"/>
      <c r="AQ5" s="21"/>
      <c r="AR5" s="125" t="s">
        <v>170</v>
      </c>
      <c r="AS5" s="21" t="s">
        <v>477</v>
      </c>
      <c r="AT5" s="21" t="str">
        <f>SummarizeQuestMarks(ckAwdTable[[#This Row],[abst_narr_txt]])</f>
        <v xml:space="preserve"> </v>
      </c>
      <c r="AU5" s="126"/>
      <c r="AV5" t="s">
        <v>683</v>
      </c>
      <c r="AW5" t="b">
        <f>AND(ckAwdTable[[#This Row],[ILN]]&gt;"M", SUBSTITUTE(ckAwdTable[[#This Row],[prop_titl_txt]]," ","")&lt;&gt;SUBSTITUTE(AV4," ",""))</f>
        <v>0</v>
      </c>
      <c r="AX5" s="8" t="s">
        <v>684</v>
      </c>
      <c r="AY5"/>
      <c r="AZ5"/>
      <c r="BA5"/>
      <c r="BB5"/>
      <c r="BC5"/>
      <c r="BD5"/>
      <c r="BL5"/>
      <c r="BP5"/>
    </row>
    <row r="6" spans="1:68" x14ac:dyDescent="0.25">
      <c r="B6" s="30">
        <v>42992.522222222222</v>
      </c>
      <c r="C6" t="s">
        <v>660</v>
      </c>
      <c r="D6" t="s">
        <v>661</v>
      </c>
      <c r="E6" t="s">
        <v>526</v>
      </c>
      <c r="F6" t="s">
        <v>568</v>
      </c>
      <c r="G6" s="8" t="s">
        <v>169</v>
      </c>
      <c r="H6" s="8" t="s">
        <v>167</v>
      </c>
      <c r="I6" s="8" t="s">
        <v>480</v>
      </c>
      <c r="J6" t="s">
        <v>94</v>
      </c>
      <c r="K6" t="s">
        <v>662</v>
      </c>
      <c r="L6" s="22"/>
      <c r="M6" s="109">
        <f xml:space="preserve"> M5+(ckAwdTable[ILN]&lt;"M")</f>
        <v>5</v>
      </c>
      <c r="N6" t="s">
        <v>475</v>
      </c>
      <c r="O6" t="s">
        <v>584</v>
      </c>
      <c r="P6" s="15" t="str">
        <f>HYPERLINK("https://www.ejacket.nsf.gov/ej/showProposal.do?ID="&amp;ckAwdTable[[#This Row],[prop_id]],"eJ")</f>
        <v>eJ</v>
      </c>
      <c r="Q6" s="8" t="s">
        <v>664</v>
      </c>
      <c r="R6" t="s">
        <v>584</v>
      </c>
      <c r="S6" t="s">
        <v>585</v>
      </c>
      <c r="T6" t="s">
        <v>685</v>
      </c>
      <c r="U6" s="8" t="s">
        <v>521</v>
      </c>
      <c r="V6" t="s">
        <v>300</v>
      </c>
      <c r="W6" s="113" t="str">
        <f>HYPERLINK("mailto:"&amp; ckAwdTable[[#This Row],[email]]&amp;"&amp;subject=Your NSF Proposal:  "&amp;ckAwdTable[[#This Row],[prop_id]], ckAwdTable[[#This Row],[email]])</f>
        <v>ryanahn@tamu.edu</v>
      </c>
      <c r="X6" s="30">
        <v>43221</v>
      </c>
      <c r="Y6">
        <v>36</v>
      </c>
      <c r="Z6" t="s">
        <v>524</v>
      </c>
      <c r="AA6" s="21" t="s">
        <v>775</v>
      </c>
      <c r="AB6" s="21" t="s">
        <v>372</v>
      </c>
      <c r="AC6"/>
      <c r="AD6" s="21" t="s">
        <v>13</v>
      </c>
      <c r="AE6" s="21" t="s">
        <v>776</v>
      </c>
      <c r="AF6" s="13">
        <v>255960</v>
      </c>
      <c r="AG6" s="123">
        <v>0</v>
      </c>
      <c r="AH6" s="1">
        <v>255960</v>
      </c>
      <c r="AI6" s="1"/>
      <c r="AJ6" s="1">
        <v>4000</v>
      </c>
      <c r="AM6" s="21">
        <v>3</v>
      </c>
      <c r="AN6" s="21">
        <v>3</v>
      </c>
      <c r="AO6" s="21"/>
      <c r="AP6" s="21">
        <v>3</v>
      </c>
      <c r="AQ6" s="21"/>
      <c r="AR6" s="125" t="s">
        <v>170</v>
      </c>
      <c r="AS6" s="21" t="s">
        <v>477</v>
      </c>
      <c r="AT6" s="21" t="str">
        <f>SummarizeQuestMarks(ckAwdTable[[#This Row],[abst_narr_txt]])</f>
        <v xml:space="preserve"> </v>
      </c>
      <c r="AU6" s="126"/>
      <c r="AV6" t="s">
        <v>687</v>
      </c>
      <c r="AW6" t="b">
        <f>AND(ckAwdTable[[#This Row],[ILN]]&gt;"M", SUBSTITUTE(ckAwdTable[[#This Row],[prop_titl_txt]]," ","")&lt;&gt;SUBSTITUTE(AV5," ",""))</f>
        <v>0</v>
      </c>
      <c r="AX6" s="8" t="s">
        <v>688</v>
      </c>
      <c r="AY6"/>
      <c r="AZ6"/>
      <c r="BA6"/>
      <c r="BB6"/>
      <c r="BC6"/>
      <c r="BD6"/>
      <c r="BL6"/>
      <c r="BP6"/>
    </row>
    <row r="7" spans="1:68" x14ac:dyDescent="0.25">
      <c r="B7" s="30">
        <v>42992.522916666669</v>
      </c>
      <c r="C7" t="s">
        <v>660</v>
      </c>
      <c r="D7" t="s">
        <v>661</v>
      </c>
      <c r="E7" t="s">
        <v>526</v>
      </c>
      <c r="F7" t="s">
        <v>568</v>
      </c>
      <c r="G7" s="8" t="s">
        <v>169</v>
      </c>
      <c r="H7" s="8" t="s">
        <v>167</v>
      </c>
      <c r="I7" s="8" t="s">
        <v>480</v>
      </c>
      <c r="J7" t="s">
        <v>94</v>
      </c>
      <c r="K7" t="s">
        <v>662</v>
      </c>
      <c r="L7" s="22"/>
      <c r="M7" s="109">
        <f xml:space="preserve"> M6+(ckAwdTable[ILN]&lt;"M")</f>
        <v>5</v>
      </c>
      <c r="N7" t="s">
        <v>477</v>
      </c>
      <c r="O7" t="s">
        <v>584</v>
      </c>
      <c r="P7" s="15" t="str">
        <f>HYPERLINK("https://www.ejacket.nsf.gov/ej/showProposal.do?ID="&amp;ckAwdTable[[#This Row],[prop_id]],"eJ")</f>
        <v>eJ</v>
      </c>
      <c r="Q7" s="8" t="s">
        <v>664</v>
      </c>
      <c r="R7" t="s">
        <v>689</v>
      </c>
      <c r="S7" t="s">
        <v>690</v>
      </c>
      <c r="T7" t="s">
        <v>514</v>
      </c>
      <c r="U7" s="8" t="s">
        <v>691</v>
      </c>
      <c r="V7" t="s">
        <v>112</v>
      </c>
      <c r="W7" s="113" t="str">
        <f>HYPERLINK("mailto:"&amp; ckAwdTable[[#This Row],[email]]&amp;"&amp;subject=Your NSF Proposal:  "&amp;ckAwdTable[[#This Row],[prop_id]], ckAwdTable[[#This Row],[email]])</f>
        <v>matthew.r.johnson@unl.edu</v>
      </c>
      <c r="X7" s="30">
        <v>43221</v>
      </c>
      <c r="Y7">
        <v>36</v>
      </c>
      <c r="Z7" t="s">
        <v>524</v>
      </c>
      <c r="AA7" s="21" t="s">
        <v>777</v>
      </c>
      <c r="AB7" s="21" t="s">
        <v>372</v>
      </c>
      <c r="AC7"/>
      <c r="AD7" s="21" t="s">
        <v>13</v>
      </c>
      <c r="AF7" s="13">
        <v>78072</v>
      </c>
      <c r="AG7" s="123">
        <v>0</v>
      </c>
      <c r="AH7" s="1">
        <v>78072</v>
      </c>
      <c r="AI7" s="1"/>
      <c r="AJ7" s="1"/>
      <c r="AK7" s="1">
        <v>11591</v>
      </c>
      <c r="AM7" s="21"/>
      <c r="AN7" s="21">
        <v>3</v>
      </c>
      <c r="AO7" s="21">
        <v>3</v>
      </c>
      <c r="AP7" s="21"/>
      <c r="AQ7" s="21"/>
      <c r="AR7" s="125" t="s">
        <v>170</v>
      </c>
      <c r="AS7" s="21" t="s">
        <v>477</v>
      </c>
      <c r="AT7" s="21" t="str">
        <f>SummarizeQuestMarks(ckAwdTable[[#This Row],[abst_narr_txt]])</f>
        <v xml:space="preserve"> </v>
      </c>
      <c r="AU7" s="126"/>
      <c r="AV7" t="s">
        <v>687</v>
      </c>
      <c r="AW7" t="b">
        <f>AND(ckAwdTable[[#This Row],[ILN]]&gt;"M", SUBSTITUTE(ckAwdTable[[#This Row],[prop_titl_txt]]," ","")&lt;&gt;SUBSTITUTE(AV6," ",""))</f>
        <v>0</v>
      </c>
      <c r="AX7" s="8" t="s">
        <v>692</v>
      </c>
    </row>
    <row r="8" spans="1:68" x14ac:dyDescent="0.25">
      <c r="B8" s="30">
        <v>42993.367361111108</v>
      </c>
      <c r="C8" t="s">
        <v>660</v>
      </c>
      <c r="D8" t="s">
        <v>661</v>
      </c>
      <c r="E8" t="s">
        <v>526</v>
      </c>
      <c r="F8" t="s">
        <v>568</v>
      </c>
      <c r="G8" s="8" t="s">
        <v>169</v>
      </c>
      <c r="H8" s="8" t="s">
        <v>167</v>
      </c>
      <c r="I8" s="8" t="s">
        <v>480</v>
      </c>
      <c r="J8" t="s">
        <v>94</v>
      </c>
      <c r="K8" t="s">
        <v>662</v>
      </c>
      <c r="L8" s="22"/>
      <c r="M8" s="109">
        <f xml:space="preserve"> M7+(ckAwdTable[ILN]&lt;"M")</f>
        <v>5</v>
      </c>
      <c r="N8" t="s">
        <v>477</v>
      </c>
      <c r="O8" t="s">
        <v>584</v>
      </c>
      <c r="P8" s="15" t="str">
        <f>HYPERLINK("https://www.ejacket.nsf.gov/ej/showProposal.do?ID="&amp;ckAwdTable[[#This Row],[prop_id]],"eJ")</f>
        <v>eJ</v>
      </c>
      <c r="Q8" s="8" t="s">
        <v>664</v>
      </c>
      <c r="R8" t="s">
        <v>693</v>
      </c>
      <c r="S8" t="s">
        <v>694</v>
      </c>
      <c r="T8" t="s">
        <v>695</v>
      </c>
      <c r="U8" s="8" t="s">
        <v>519</v>
      </c>
      <c r="V8" t="s">
        <v>516</v>
      </c>
      <c r="W8" s="113" t="str">
        <f>HYPERLINK("mailto:"&amp; ckAwdTable[[#This Row],[email]]&amp;"&amp;subject=Your NSF Proposal:  "&amp;ckAwdTable[[#This Row],[prop_id]], ckAwdTable[[#This Row],[email]])</f>
        <v>yong.cho@ce.gatech.edu</v>
      </c>
      <c r="X8" s="30">
        <v>43221</v>
      </c>
      <c r="Y8">
        <v>36</v>
      </c>
      <c r="Z8" t="s">
        <v>524</v>
      </c>
      <c r="AA8" s="21" t="s">
        <v>13</v>
      </c>
      <c r="AB8" s="21" t="s">
        <v>372</v>
      </c>
      <c r="AC8"/>
      <c r="AD8" s="21" t="s">
        <v>13</v>
      </c>
      <c r="AF8" s="13">
        <v>150000</v>
      </c>
      <c r="AG8" s="123">
        <v>0</v>
      </c>
      <c r="AH8" s="1">
        <v>150000</v>
      </c>
      <c r="AI8" s="1"/>
      <c r="AJ8" s="1"/>
      <c r="AM8" s="21">
        <v>2</v>
      </c>
      <c r="AN8" s="21">
        <v>3</v>
      </c>
      <c r="AO8" s="21">
        <v>1.5</v>
      </c>
      <c r="AP8" s="21"/>
      <c r="AQ8" s="21"/>
      <c r="AR8" s="125" t="s">
        <v>170</v>
      </c>
      <c r="AS8" s="21" t="s">
        <v>477</v>
      </c>
      <c r="AT8" s="21" t="str">
        <f>SummarizeQuestMarks(ckAwdTable[[#This Row],[abst_narr_txt]])</f>
        <v xml:space="preserve"> </v>
      </c>
      <c r="AU8" s="126"/>
      <c r="AV8" t="s">
        <v>687</v>
      </c>
      <c r="AW8" t="b">
        <f>AND(ckAwdTable[[#This Row],[ILN]]&gt;"M", SUBSTITUTE(ckAwdTable[[#This Row],[prop_titl_txt]]," ","")&lt;&gt;SUBSTITUTE(AV7," ",""))</f>
        <v>0</v>
      </c>
      <c r="AX8" s="8" t="s">
        <v>696</v>
      </c>
    </row>
    <row r="9" spans="1:68" x14ac:dyDescent="0.25">
      <c r="B9" s="30">
        <v>42992.676388888889</v>
      </c>
      <c r="C9" t="s">
        <v>660</v>
      </c>
      <c r="D9" t="s">
        <v>661</v>
      </c>
      <c r="E9" t="s">
        <v>526</v>
      </c>
      <c r="F9" t="s">
        <v>568</v>
      </c>
      <c r="G9" s="8" t="s">
        <v>169</v>
      </c>
      <c r="H9" s="8" t="s">
        <v>167</v>
      </c>
      <c r="I9" s="8" t="s">
        <v>480</v>
      </c>
      <c r="J9" t="s">
        <v>94</v>
      </c>
      <c r="K9" t="s">
        <v>662</v>
      </c>
      <c r="L9" s="22"/>
      <c r="M9" s="109">
        <f xml:space="preserve"> M8+(ckAwdTable[ILN]&lt;"M")</f>
        <v>6</v>
      </c>
      <c r="N9" t="s">
        <v>95</v>
      </c>
      <c r="O9" t="s">
        <v>592</v>
      </c>
      <c r="P9" s="15" t="str">
        <f>HYPERLINK("https://www.ejacket.nsf.gov/ej/showProposal.do?ID="&amp;ckAwdTable[[#This Row],[prop_id]],"eJ")</f>
        <v>eJ</v>
      </c>
      <c r="Q9" s="8" t="s">
        <v>664</v>
      </c>
      <c r="R9" t="s">
        <v>592</v>
      </c>
      <c r="S9" t="s">
        <v>593</v>
      </c>
      <c r="T9" t="s">
        <v>697</v>
      </c>
      <c r="U9" s="8" t="s">
        <v>499</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3">
        <v>0</v>
      </c>
      <c r="AH9" s="1">
        <v>446786</v>
      </c>
      <c r="AI9" s="1"/>
      <c r="AJ9" s="1"/>
      <c r="AL9" s="1">
        <v>3000</v>
      </c>
      <c r="AM9" s="21">
        <v>5</v>
      </c>
      <c r="AN9" s="21">
        <v>6</v>
      </c>
      <c r="AO9" s="21">
        <v>4.5</v>
      </c>
      <c r="AP9" s="21"/>
      <c r="AQ9" s="21"/>
      <c r="AR9" s="125" t="s">
        <v>170</v>
      </c>
      <c r="AS9" s="21" t="s">
        <v>477</v>
      </c>
      <c r="AT9" s="21" t="str">
        <f>SummarizeQuestMarks(ckAwdTable[[#This Row],[abst_narr_txt]])</f>
        <v xml:space="preserve"> </v>
      </c>
      <c r="AU9" s="126"/>
      <c r="AV9" t="s">
        <v>698</v>
      </c>
      <c r="AW9" t="b">
        <f>AND(ckAwdTable[[#This Row],[ILN]]&gt;"M", SUBSTITUTE(ckAwdTable[[#This Row],[prop_titl_txt]]," ","")&lt;&gt;SUBSTITUTE(AV8," ",""))</f>
        <v>0</v>
      </c>
      <c r="AX9" s="8" t="s">
        <v>699</v>
      </c>
    </row>
    <row r="10" spans="1:68" x14ac:dyDescent="0.25">
      <c r="B10" s="30">
        <v>42993.447916666664</v>
      </c>
      <c r="C10" t="s">
        <v>660</v>
      </c>
      <c r="D10" t="s">
        <v>661</v>
      </c>
      <c r="E10" t="s">
        <v>526</v>
      </c>
      <c r="F10" t="s">
        <v>568</v>
      </c>
      <c r="G10" s="8" t="s">
        <v>169</v>
      </c>
      <c r="H10" s="8" t="s">
        <v>167</v>
      </c>
      <c r="I10" s="8" t="s">
        <v>480</v>
      </c>
      <c r="J10" t="s">
        <v>94</v>
      </c>
      <c r="K10" t="s">
        <v>662</v>
      </c>
      <c r="L10" s="22"/>
      <c r="M10" s="109">
        <f xml:space="preserve"> M9+(ckAwdTable[ILN]&lt;"M")</f>
        <v>7</v>
      </c>
      <c r="N10" t="s">
        <v>95</v>
      </c>
      <c r="O10" t="s">
        <v>598</v>
      </c>
      <c r="P10" s="15" t="str">
        <f>HYPERLINK("https://www.ejacket.nsf.gov/ej/showProposal.do?ID="&amp;ckAwdTable[[#This Row],[prop_id]],"eJ")</f>
        <v>eJ</v>
      </c>
      <c r="Q10" s="8" t="s">
        <v>664</v>
      </c>
      <c r="R10" t="s">
        <v>598</v>
      </c>
      <c r="S10" t="s">
        <v>599</v>
      </c>
      <c r="T10" t="s">
        <v>700</v>
      </c>
      <c r="U10" s="8" t="s">
        <v>701</v>
      </c>
      <c r="V10" t="s">
        <v>513</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3">
        <v>0</v>
      </c>
      <c r="AH10" s="1">
        <v>305924</v>
      </c>
      <c r="AI10" s="1"/>
      <c r="AJ10" s="1">
        <v>2500</v>
      </c>
      <c r="AK10" s="1">
        <v>63050</v>
      </c>
      <c r="AL10" s="1">
        <v>300</v>
      </c>
      <c r="AM10" s="21">
        <v>2</v>
      </c>
      <c r="AN10" s="21">
        <v>3</v>
      </c>
      <c r="AO10" s="21">
        <v>3</v>
      </c>
      <c r="AP10" s="21"/>
      <c r="AQ10" s="21"/>
      <c r="AR10" s="125" t="s">
        <v>170</v>
      </c>
      <c r="AS10" s="21" t="s">
        <v>477</v>
      </c>
      <c r="AT10" s="21" t="str">
        <f>SummarizeQuestMarks(ckAwdTable[[#This Row],[abst_narr_txt]])</f>
        <v xml:space="preserve"> </v>
      </c>
      <c r="AU10" s="126"/>
      <c r="AV10" t="s">
        <v>702</v>
      </c>
      <c r="AW10" t="b">
        <f>AND(ckAwdTable[[#This Row],[ILN]]&gt;"M", SUBSTITUTE(ckAwdTable[[#This Row],[prop_titl_txt]]," ","")&lt;&gt;SUBSTITUTE(AV9," ",""))</f>
        <v>0</v>
      </c>
      <c r="AX10" s="8" t="s">
        <v>703</v>
      </c>
    </row>
    <row r="11" spans="1:68" x14ac:dyDescent="0.25">
      <c r="B11" s="30">
        <v>42993.449305555558</v>
      </c>
      <c r="C11" t="s">
        <v>660</v>
      </c>
      <c r="D11" t="s">
        <v>661</v>
      </c>
      <c r="E11" t="s">
        <v>526</v>
      </c>
      <c r="F11" t="s">
        <v>568</v>
      </c>
      <c r="G11" s="8" t="s">
        <v>169</v>
      </c>
      <c r="H11" s="8" t="s">
        <v>167</v>
      </c>
      <c r="I11" s="8" t="s">
        <v>480</v>
      </c>
      <c r="J11" t="s">
        <v>94</v>
      </c>
      <c r="K11" t="s">
        <v>662</v>
      </c>
      <c r="L11" s="22"/>
      <c r="M11" s="109">
        <f xml:space="preserve"> M10+(ckAwdTable[ILN]&lt;"M")</f>
        <v>8</v>
      </c>
      <c r="N11" t="s">
        <v>95</v>
      </c>
      <c r="O11" t="s">
        <v>603</v>
      </c>
      <c r="P11" s="15" t="str">
        <f>HYPERLINK("https://www.ejacket.nsf.gov/ej/showProposal.do?ID="&amp;ckAwdTable[[#This Row],[prop_id]],"eJ")</f>
        <v>eJ</v>
      </c>
      <c r="Q11" s="8" t="s">
        <v>664</v>
      </c>
      <c r="R11" t="s">
        <v>603</v>
      </c>
      <c r="S11" t="s">
        <v>599</v>
      </c>
      <c r="T11" t="s">
        <v>700</v>
      </c>
      <c r="U11" s="8" t="s">
        <v>701</v>
      </c>
      <c r="V11" t="s">
        <v>513</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3">
        <v>0</v>
      </c>
      <c r="AH11" s="1">
        <v>308306</v>
      </c>
      <c r="AI11" s="1"/>
      <c r="AJ11" s="1">
        <v>2500</v>
      </c>
      <c r="AK11" s="1">
        <v>63050</v>
      </c>
      <c r="AL11" s="1">
        <v>300</v>
      </c>
      <c r="AM11" s="21">
        <v>2</v>
      </c>
      <c r="AN11" s="21">
        <v>5</v>
      </c>
      <c r="AO11" s="21">
        <v>4</v>
      </c>
      <c r="AP11" s="21"/>
      <c r="AQ11" s="21"/>
      <c r="AR11" s="125" t="s">
        <v>170</v>
      </c>
      <c r="AS11" s="21" t="s">
        <v>477</v>
      </c>
      <c r="AT11" s="21" t="str">
        <f>SummarizeQuestMarks(ckAwdTable[[#This Row],[abst_narr_txt]])</f>
        <v xml:space="preserve"> </v>
      </c>
      <c r="AU11" s="126"/>
      <c r="AV11" t="s">
        <v>704</v>
      </c>
      <c r="AW11" t="b">
        <f>AND(ckAwdTable[[#This Row],[ILN]]&gt;"M", SUBSTITUTE(ckAwdTable[[#This Row],[prop_titl_txt]]," ","")&lt;&gt;SUBSTITUTE(AV10," ",""))</f>
        <v>0</v>
      </c>
      <c r="AX11" s="8" t="s">
        <v>703</v>
      </c>
    </row>
    <row r="12" spans="1:68" x14ac:dyDescent="0.25">
      <c r="B12" s="30">
        <v>42993.551388888889</v>
      </c>
      <c r="C12" t="s">
        <v>660</v>
      </c>
      <c r="D12" t="s">
        <v>661</v>
      </c>
      <c r="E12" t="s">
        <v>526</v>
      </c>
      <c r="F12" t="s">
        <v>568</v>
      </c>
      <c r="G12" s="8" t="s">
        <v>169</v>
      </c>
      <c r="H12" s="8" t="s">
        <v>167</v>
      </c>
      <c r="I12" s="8" t="s">
        <v>480</v>
      </c>
      <c r="J12" t="s">
        <v>94</v>
      </c>
      <c r="K12" t="s">
        <v>662</v>
      </c>
      <c r="L12" s="22"/>
      <c r="M12" s="109">
        <f xml:space="preserve"> M11+(ckAwdTable[ILN]&lt;"M")</f>
        <v>9</v>
      </c>
      <c r="N12" t="s">
        <v>475</v>
      </c>
      <c r="O12" t="s">
        <v>610</v>
      </c>
      <c r="P12" s="15" t="str">
        <f>HYPERLINK("https://www.ejacket.nsf.gov/ej/showProposal.do?ID="&amp;ckAwdTable[[#This Row],[prop_id]],"eJ")</f>
        <v>eJ</v>
      </c>
      <c r="Q12" s="8" t="s">
        <v>664</v>
      </c>
      <c r="R12" t="s">
        <v>610</v>
      </c>
      <c r="S12" t="s">
        <v>611</v>
      </c>
      <c r="T12" t="s">
        <v>705</v>
      </c>
      <c r="U12" s="8" t="s">
        <v>706</v>
      </c>
      <c r="V12" t="s">
        <v>123</v>
      </c>
      <c r="W12" s="113" t="str">
        <f>HYPERLINK("mailto:"&amp; ckAwdTable[[#This Row],[email]]&amp;"&amp;subject=Your NSF Proposal:  "&amp;ckAwdTable[[#This Row],[prop_id]], ckAwdTable[[#This Row],[email]])</f>
        <v>fei.dai@mail.wvu.edu</v>
      </c>
      <c r="X12" s="30">
        <v>43221</v>
      </c>
      <c r="Y12">
        <v>36</v>
      </c>
      <c r="Z12" t="s">
        <v>524</v>
      </c>
      <c r="AA12" s="21" t="s">
        <v>13</v>
      </c>
      <c r="AB12" s="21" t="s">
        <v>372</v>
      </c>
      <c r="AC12"/>
      <c r="AD12" s="21" t="s">
        <v>13</v>
      </c>
      <c r="AE12" s="21" t="s">
        <v>778</v>
      </c>
      <c r="AF12" s="13">
        <v>210453</v>
      </c>
      <c r="AG12" s="123">
        <v>0</v>
      </c>
      <c r="AH12" s="1">
        <v>210453</v>
      </c>
      <c r="AI12" s="1"/>
      <c r="AJ12" s="1">
        <v>10560</v>
      </c>
      <c r="AM12" s="21">
        <v>3</v>
      </c>
      <c r="AN12" s="21">
        <v>6</v>
      </c>
      <c r="AO12" s="21">
        <v>3</v>
      </c>
      <c r="AP12" s="21"/>
      <c r="AQ12" s="21"/>
      <c r="AR12" s="125" t="s">
        <v>170</v>
      </c>
      <c r="AS12" s="21" t="s">
        <v>477</v>
      </c>
      <c r="AT12" s="21" t="str">
        <f>SummarizeQuestMarks(ckAwdTable[[#This Row],[abst_narr_txt]])</f>
        <v xml:space="preserve"> </v>
      </c>
      <c r="AU12" s="126"/>
      <c r="AV12" t="s">
        <v>708</v>
      </c>
      <c r="AW12" t="b">
        <f>AND(ckAwdTable[[#This Row],[ILN]]&gt;"M", SUBSTITUTE(ckAwdTable[[#This Row],[prop_titl_txt]]," ","")&lt;&gt;SUBSTITUTE(AV11," ",""))</f>
        <v>0</v>
      </c>
      <c r="AX12" s="8" t="s">
        <v>709</v>
      </c>
    </row>
    <row r="13" spans="1:68" x14ac:dyDescent="0.25">
      <c r="B13" s="30">
        <v>42993.511805555558</v>
      </c>
      <c r="C13" t="s">
        <v>660</v>
      </c>
      <c r="D13" t="s">
        <v>661</v>
      </c>
      <c r="E13" t="s">
        <v>526</v>
      </c>
      <c r="F13" t="s">
        <v>568</v>
      </c>
      <c r="G13" s="8" t="s">
        <v>169</v>
      </c>
      <c r="H13" s="8" t="s">
        <v>167</v>
      </c>
      <c r="I13" s="8" t="s">
        <v>480</v>
      </c>
      <c r="J13" t="s">
        <v>94</v>
      </c>
      <c r="K13" t="s">
        <v>662</v>
      </c>
      <c r="L13" s="22"/>
      <c r="M13" s="109">
        <f xml:space="preserve"> M12+(ckAwdTable[ILN]&lt;"M")</f>
        <v>9</v>
      </c>
      <c r="N13" t="s">
        <v>477</v>
      </c>
      <c r="O13" t="s">
        <v>610</v>
      </c>
      <c r="P13" s="15" t="str">
        <f>HYPERLINK("https://www.ejacket.nsf.gov/ej/showProposal.do?ID="&amp;ckAwdTable[[#This Row],[prop_id]],"eJ")</f>
        <v>eJ</v>
      </c>
      <c r="Q13" s="8" t="s">
        <v>664</v>
      </c>
      <c r="R13" t="s">
        <v>710</v>
      </c>
      <c r="S13" t="s">
        <v>711</v>
      </c>
      <c r="T13" t="s">
        <v>515</v>
      </c>
      <c r="U13" s="8" t="s">
        <v>521</v>
      </c>
      <c r="V13" t="s">
        <v>300</v>
      </c>
      <c r="W13" s="113" t="str">
        <f>HYPERLINK("mailto:"&amp; ckAwdTable[[#This Row],[email]]&amp;"&amp;subject=Your NSF Proposal:  "&amp;ckAwdTable[[#This Row],[prop_id]], ckAwdTable[[#This Row],[email]])</f>
        <v>abehzadan@tamu.edu</v>
      </c>
      <c r="X13" s="30">
        <v>43221</v>
      </c>
      <c r="Y13">
        <v>36</v>
      </c>
      <c r="Z13" t="s">
        <v>524</v>
      </c>
      <c r="AA13" s="21" t="s">
        <v>13</v>
      </c>
      <c r="AB13" s="21" t="s">
        <v>372</v>
      </c>
      <c r="AC13"/>
      <c r="AD13" s="21" t="s">
        <v>13</v>
      </c>
      <c r="AF13" s="13">
        <v>150000</v>
      </c>
      <c r="AG13" s="123">
        <v>0</v>
      </c>
      <c r="AH13" s="1">
        <v>150000</v>
      </c>
      <c r="AI13" s="1"/>
      <c r="AJ13" s="1"/>
      <c r="AK13" s="1">
        <v>57855</v>
      </c>
      <c r="AM13" s="21"/>
      <c r="AN13" s="21">
        <v>3</v>
      </c>
      <c r="AO13" s="21"/>
      <c r="AP13" s="21"/>
      <c r="AQ13" s="21">
        <v>1.2</v>
      </c>
      <c r="AR13" s="125" t="s">
        <v>170</v>
      </c>
      <c r="AS13" s="21" t="s">
        <v>477</v>
      </c>
      <c r="AT13" s="21" t="str">
        <f>SummarizeQuestMarks(ckAwdTable[[#This Row],[abst_narr_txt]])</f>
        <v xml:space="preserve"> </v>
      </c>
      <c r="AU13" s="126"/>
      <c r="AV13" t="s">
        <v>708</v>
      </c>
      <c r="AW13" t="b">
        <f>AND(ckAwdTable[[#This Row],[ILN]]&gt;"M", SUBSTITUTE(ckAwdTable[[#This Row],[prop_titl_txt]]," ","")&lt;&gt;SUBSTITUTE(AV12," ",""))</f>
        <v>0</v>
      </c>
      <c r="AX13" s="8" t="s">
        <v>712</v>
      </c>
    </row>
    <row r="14" spans="1:68" x14ac:dyDescent="0.25">
      <c r="B14" s="30">
        <v>42993.675000000003</v>
      </c>
      <c r="C14" t="s">
        <v>660</v>
      </c>
      <c r="D14" t="s">
        <v>661</v>
      </c>
      <c r="E14" t="s">
        <v>526</v>
      </c>
      <c r="F14" t="s">
        <v>568</v>
      </c>
      <c r="G14" s="8" t="s">
        <v>169</v>
      </c>
      <c r="H14" s="8" t="s">
        <v>167</v>
      </c>
      <c r="I14" s="8" t="s">
        <v>480</v>
      </c>
      <c r="J14" t="s">
        <v>94</v>
      </c>
      <c r="K14" t="s">
        <v>662</v>
      </c>
      <c r="L14" s="22"/>
      <c r="M14" s="109">
        <f xml:space="preserve"> M13+(ckAwdTable[ILN]&lt;"M")</f>
        <v>10</v>
      </c>
      <c r="N14" t="s">
        <v>95</v>
      </c>
      <c r="O14" t="s">
        <v>616</v>
      </c>
      <c r="P14" s="15" t="str">
        <f>HYPERLINK("https://www.ejacket.nsf.gov/ej/showProposal.do?ID="&amp;ckAwdTable[[#This Row],[prop_id]],"eJ")</f>
        <v>eJ</v>
      </c>
      <c r="Q14" s="8" t="s">
        <v>664</v>
      </c>
      <c r="R14" t="s">
        <v>616</v>
      </c>
      <c r="S14" t="s">
        <v>617</v>
      </c>
      <c r="T14" t="s">
        <v>713</v>
      </c>
      <c r="U14" s="8" t="s">
        <v>521</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3">
        <v>0</v>
      </c>
      <c r="AH14" s="1">
        <v>350000</v>
      </c>
      <c r="AI14" s="1"/>
      <c r="AJ14" s="1"/>
      <c r="AL14" s="1">
        <v>6000</v>
      </c>
      <c r="AM14" s="21">
        <v>5</v>
      </c>
      <c r="AN14" s="21">
        <v>7</v>
      </c>
      <c r="AO14" s="21"/>
      <c r="AP14" s="21"/>
      <c r="AQ14" s="21">
        <v>5.45</v>
      </c>
      <c r="AR14" s="125" t="s">
        <v>170</v>
      </c>
      <c r="AS14" s="21" t="s">
        <v>477</v>
      </c>
      <c r="AT14" s="21" t="str">
        <f>SummarizeQuestMarks(ckAwdTable[[#This Row],[abst_narr_txt]])</f>
        <v xml:space="preserve"> </v>
      </c>
      <c r="AU14" s="126"/>
      <c r="AV14" t="s">
        <v>715</v>
      </c>
      <c r="AW14" t="b">
        <f>AND(ckAwdTable[[#This Row],[ILN]]&gt;"M", SUBSTITUTE(ckAwdTable[[#This Row],[prop_titl_txt]]," ","")&lt;&gt;SUBSTITUTE(AV13," ",""))</f>
        <v>0</v>
      </c>
      <c r="AX14" s="8" t="s">
        <v>716</v>
      </c>
    </row>
    <row r="15" spans="1:68" x14ac:dyDescent="0.25">
      <c r="B15" s="30">
        <v>42996.584722222222</v>
      </c>
      <c r="C15" t="s">
        <v>660</v>
      </c>
      <c r="D15" t="s">
        <v>661</v>
      </c>
      <c r="E15" t="s">
        <v>526</v>
      </c>
      <c r="F15" t="s">
        <v>568</v>
      </c>
      <c r="G15" s="8" t="s">
        <v>169</v>
      </c>
      <c r="H15" s="8" t="s">
        <v>167</v>
      </c>
      <c r="I15" s="8" t="s">
        <v>480</v>
      </c>
      <c r="J15" t="s">
        <v>94</v>
      </c>
      <c r="K15" t="s">
        <v>662</v>
      </c>
      <c r="L15" s="22">
        <v>43084.715127314812</v>
      </c>
      <c r="M15" s="109">
        <f xml:space="preserve"> M14+(ckAwdTable[ILN]&lt;"M")</f>
        <v>11</v>
      </c>
      <c r="N15" t="s">
        <v>95</v>
      </c>
      <c r="O15" t="s">
        <v>625</v>
      </c>
      <c r="P15" s="15" t="str">
        <f>HYPERLINK("https://www.ejacket.nsf.gov/ej/showProposal.do?ID="&amp;ckAwdTable[[#This Row],[prop_id]],"eJ")</f>
        <v>eJ</v>
      </c>
      <c r="Q15" s="8" t="s">
        <v>664</v>
      </c>
      <c r="R15" t="s">
        <v>625</v>
      </c>
      <c r="S15" t="s">
        <v>626</v>
      </c>
      <c r="T15" t="s">
        <v>717</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3">
        <v>0</v>
      </c>
      <c r="AH15" s="1">
        <v>398918</v>
      </c>
      <c r="AI15" s="1"/>
      <c r="AJ15" s="1"/>
      <c r="AM15" s="21">
        <v>6</v>
      </c>
      <c r="AN15" s="21">
        <v>6</v>
      </c>
      <c r="AO15" s="21">
        <v>3.64</v>
      </c>
      <c r="AP15" s="21"/>
      <c r="AQ15" s="21"/>
      <c r="AR15" s="125" t="s">
        <v>170</v>
      </c>
      <c r="AS15" s="21" t="s">
        <v>477</v>
      </c>
      <c r="AT15" s="21" t="str">
        <f>SummarizeQuestMarks(ckAwdTable[[#This Row],[abst_narr_txt]])</f>
        <v xml:space="preserve"> </v>
      </c>
      <c r="AU15" s="126"/>
      <c r="AV15" t="s">
        <v>719</v>
      </c>
      <c r="AW15" t="b">
        <f>AND(ckAwdTable[[#This Row],[ILN]]&gt;"M", SUBSTITUTE(ckAwdTable[[#This Row],[prop_titl_txt]]," ","")&lt;&gt;SUBSTITUTE(AV14," ",""))</f>
        <v>0</v>
      </c>
      <c r="AX15" s="8" t="s">
        <v>720</v>
      </c>
    </row>
    <row r="16" spans="1:68" x14ac:dyDescent="0.25">
      <c r="B16" s="30">
        <v>42999.359027777777</v>
      </c>
      <c r="C16" t="s">
        <v>660</v>
      </c>
      <c r="D16" t="s">
        <v>661</v>
      </c>
      <c r="E16" t="s">
        <v>526</v>
      </c>
      <c r="F16" t="s">
        <v>568</v>
      </c>
      <c r="G16" s="8" t="s">
        <v>169</v>
      </c>
      <c r="H16" s="8" t="s">
        <v>167</v>
      </c>
      <c r="I16" s="8" t="s">
        <v>480</v>
      </c>
      <c r="J16" t="s">
        <v>94</v>
      </c>
      <c r="K16" t="s">
        <v>662</v>
      </c>
      <c r="L16" s="22">
        <v>43084.715173611112</v>
      </c>
      <c r="M16" s="109">
        <f xml:space="preserve"> M15+(ckAwdTable[ILN]&lt;"M")</f>
        <v>12</v>
      </c>
      <c r="N16" t="s">
        <v>95</v>
      </c>
      <c r="O16" t="s">
        <v>631</v>
      </c>
      <c r="P16" s="15" t="str">
        <f>HYPERLINK("https://www.ejacket.nsf.gov/ej/showProposal.do?ID="&amp;ckAwdTable[[#This Row],[prop_id]],"eJ")</f>
        <v>eJ</v>
      </c>
      <c r="Q16" s="8" t="s">
        <v>664</v>
      </c>
      <c r="R16" t="s">
        <v>631</v>
      </c>
      <c r="S16" t="s">
        <v>509</v>
      </c>
      <c r="T16" t="s">
        <v>721</v>
      </c>
      <c r="U16" s="8" t="s">
        <v>517</v>
      </c>
      <c r="V16" t="s">
        <v>516</v>
      </c>
      <c r="W16" s="113" t="str">
        <f>HYPERLINK("mailto:"&amp; ckAwdTable[[#This Row],[email]]&amp;"&amp;subject=Your NSF Proposal:  "&amp;ckAwdTable[[#This Row],[prop_id]], ckAwdTable[[#This Row],[email]])</f>
        <v>ychen@georgiasouthern.edu</v>
      </c>
      <c r="X16" s="30">
        <v>43160</v>
      </c>
      <c r="Y16">
        <v>24</v>
      </c>
      <c r="Z16" t="s">
        <v>524</v>
      </c>
      <c r="AA16" s="21" t="s">
        <v>779</v>
      </c>
      <c r="AB16" s="21" t="s">
        <v>372</v>
      </c>
      <c r="AC16"/>
      <c r="AD16" s="21" t="s">
        <v>13</v>
      </c>
      <c r="AF16" s="13">
        <v>226763</v>
      </c>
      <c r="AG16" s="123">
        <v>0</v>
      </c>
      <c r="AH16" s="1">
        <v>226763</v>
      </c>
      <c r="AI16" s="1"/>
      <c r="AJ16" s="1"/>
      <c r="AM16" s="21">
        <v>4</v>
      </c>
      <c r="AN16" s="21">
        <v>4</v>
      </c>
      <c r="AO16" s="21">
        <v>4</v>
      </c>
      <c r="AP16" s="21"/>
      <c r="AQ16" s="21"/>
      <c r="AR16" s="125" t="s">
        <v>170</v>
      </c>
      <c r="AS16" s="21" t="s">
        <v>477</v>
      </c>
      <c r="AT16" s="21" t="str">
        <f>SummarizeQuestMarks(ckAwdTable[[#This Row],[abst_narr_txt]])</f>
        <v xml:space="preserve"> </v>
      </c>
      <c r="AU16" s="126"/>
      <c r="AV16" t="s">
        <v>722</v>
      </c>
      <c r="AW16" t="b">
        <f>AND(ckAwdTable[[#This Row],[ILN]]&gt;"M", SUBSTITUTE(ckAwdTable[[#This Row],[prop_titl_txt]]," ","")&lt;&gt;SUBSTITUTE(AV15," ",""))</f>
        <v>0</v>
      </c>
      <c r="AX16" s="8" t="s">
        <v>723</v>
      </c>
    </row>
    <row r="17" spans="2:50" x14ac:dyDescent="0.25">
      <c r="B17" s="30">
        <v>42999.447222222225</v>
      </c>
      <c r="C17" t="s">
        <v>660</v>
      </c>
      <c r="D17" t="s">
        <v>661</v>
      </c>
      <c r="E17" t="s">
        <v>526</v>
      </c>
      <c r="F17" t="s">
        <v>568</v>
      </c>
      <c r="G17" s="8" t="s">
        <v>169</v>
      </c>
      <c r="H17" s="8" t="s">
        <v>167</v>
      </c>
      <c r="I17" s="8" t="s">
        <v>480</v>
      </c>
      <c r="J17" t="s">
        <v>94</v>
      </c>
      <c r="K17" t="s">
        <v>662</v>
      </c>
      <c r="L17" s="22"/>
      <c r="M17" s="109">
        <f xml:space="preserve"> M16+(ckAwdTable[ILN]&lt;"M")</f>
        <v>13</v>
      </c>
      <c r="N17" t="s">
        <v>475</v>
      </c>
      <c r="O17" t="s">
        <v>636</v>
      </c>
      <c r="P17" s="15" t="str">
        <f>HYPERLINK("https://www.ejacket.nsf.gov/ej/showProposal.do?ID="&amp;ckAwdTable[[#This Row],[prop_id]],"eJ")</f>
        <v>eJ</v>
      </c>
      <c r="Q17" s="8" t="s">
        <v>664</v>
      </c>
      <c r="R17" t="s">
        <v>636</v>
      </c>
      <c r="S17" t="s">
        <v>637</v>
      </c>
      <c r="T17" t="s">
        <v>724</v>
      </c>
      <c r="U17" s="8" t="s">
        <v>519</v>
      </c>
      <c r="V17" t="s">
        <v>516</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3">
        <v>0</v>
      </c>
      <c r="AH17" s="1">
        <v>283738</v>
      </c>
      <c r="AI17" s="1"/>
      <c r="AJ17" s="1"/>
      <c r="AM17" s="21">
        <v>4</v>
      </c>
      <c r="AN17" s="21">
        <v>6</v>
      </c>
      <c r="AO17" s="21">
        <v>3.2</v>
      </c>
      <c r="AP17" s="21"/>
      <c r="AQ17" s="21"/>
      <c r="AR17" s="125" t="s">
        <v>170</v>
      </c>
      <c r="AS17" s="21" t="s">
        <v>477</v>
      </c>
      <c r="AT17" s="21" t="str">
        <f>SummarizeQuestMarks(ckAwdTable[[#This Row],[abst_narr_txt]])</f>
        <v xml:space="preserve"> </v>
      </c>
      <c r="AU17" s="126"/>
      <c r="AV17" t="s">
        <v>726</v>
      </c>
      <c r="AW17" t="b">
        <f>AND(ckAwdTable[[#This Row],[ILN]]&gt;"M", SUBSTITUTE(ckAwdTable[[#This Row],[prop_titl_txt]]," ","")&lt;&gt;SUBSTITUTE(AV16," ",""))</f>
        <v>0</v>
      </c>
      <c r="AX17" s="8" t="s">
        <v>727</v>
      </c>
    </row>
    <row r="18" spans="2:50" x14ac:dyDescent="0.25">
      <c r="B18" s="30">
        <v>42999.552777777775</v>
      </c>
      <c r="C18" t="s">
        <v>660</v>
      </c>
      <c r="D18" t="s">
        <v>661</v>
      </c>
      <c r="E18" t="s">
        <v>526</v>
      </c>
      <c r="F18" t="s">
        <v>568</v>
      </c>
      <c r="G18" s="8" t="s">
        <v>169</v>
      </c>
      <c r="H18" s="8" t="s">
        <v>167</v>
      </c>
      <c r="I18" s="8" t="s">
        <v>480</v>
      </c>
      <c r="J18" t="s">
        <v>94</v>
      </c>
      <c r="K18" t="s">
        <v>662</v>
      </c>
      <c r="L18" s="22"/>
      <c r="M18" s="109">
        <f xml:space="preserve"> M17+(ckAwdTable[ILN]&lt;"M")</f>
        <v>13</v>
      </c>
      <c r="N18" t="s">
        <v>477</v>
      </c>
      <c r="O18" t="s">
        <v>636</v>
      </c>
      <c r="P18" s="15" t="str">
        <f>HYPERLINK("https://www.ejacket.nsf.gov/ej/showProposal.do?ID="&amp;ckAwdTable[[#This Row],[prop_id]],"eJ")</f>
        <v>eJ</v>
      </c>
      <c r="Q18" s="8" t="s">
        <v>664</v>
      </c>
      <c r="R18" t="s">
        <v>728</v>
      </c>
      <c r="S18" t="s">
        <v>729</v>
      </c>
      <c r="T18" t="s">
        <v>730</v>
      </c>
      <c r="U18" s="8" t="s">
        <v>731</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3">
        <v>0</v>
      </c>
      <c r="AH18" s="1">
        <v>133993</v>
      </c>
      <c r="AI18" s="1"/>
      <c r="AJ18" s="1"/>
      <c r="AM18" s="21">
        <v>2</v>
      </c>
      <c r="AN18" s="21">
        <v>2</v>
      </c>
      <c r="AO18" s="21">
        <v>2</v>
      </c>
      <c r="AP18" s="21"/>
      <c r="AQ18" s="21"/>
      <c r="AR18" s="125" t="s">
        <v>170</v>
      </c>
      <c r="AS18" s="21" t="s">
        <v>477</v>
      </c>
      <c r="AT18" s="21" t="str">
        <f>SummarizeQuestMarks(ckAwdTable[[#This Row],[abst_narr_txt]])</f>
        <v xml:space="preserve"> </v>
      </c>
      <c r="AU18" s="126"/>
      <c r="AV18" t="s">
        <v>726</v>
      </c>
      <c r="AW18" t="b">
        <f>AND(ckAwdTable[[#This Row],[ILN]]&gt;"M", SUBSTITUTE(ckAwdTable[[#This Row],[prop_titl_txt]]," ","")&lt;&gt;SUBSTITUTE(AV17," ",""))</f>
        <v>0</v>
      </c>
      <c r="AX18" s="8" t="s">
        <v>732</v>
      </c>
    </row>
    <row r="19" spans="2:50" x14ac:dyDescent="0.25">
      <c r="B19" s="30">
        <v>43000.450694444444</v>
      </c>
      <c r="C19" t="s">
        <v>660</v>
      </c>
      <c r="D19" t="s">
        <v>661</v>
      </c>
      <c r="E19" t="s">
        <v>526</v>
      </c>
      <c r="F19" t="s">
        <v>568</v>
      </c>
      <c r="G19" s="8" t="s">
        <v>169</v>
      </c>
      <c r="H19" s="8" t="s">
        <v>167</v>
      </c>
      <c r="I19" s="8" t="s">
        <v>480</v>
      </c>
      <c r="J19" t="s">
        <v>94</v>
      </c>
      <c r="K19" t="s">
        <v>662</v>
      </c>
      <c r="L19" s="22"/>
      <c r="M19" s="109">
        <f xml:space="preserve"> M18+(ckAwdTable[ILN]&lt;"M")</f>
        <v>14</v>
      </c>
      <c r="N19" t="s">
        <v>95</v>
      </c>
      <c r="O19" t="s">
        <v>645</v>
      </c>
      <c r="P19" s="15" t="str">
        <f>HYPERLINK("https://www.ejacket.nsf.gov/ej/showProposal.do?ID="&amp;ckAwdTable[[#This Row],[prop_id]],"eJ")</f>
        <v>eJ</v>
      </c>
      <c r="Q19" s="8" t="s">
        <v>664</v>
      </c>
      <c r="R19" t="s">
        <v>645</v>
      </c>
      <c r="S19" t="s">
        <v>646</v>
      </c>
      <c r="T19" t="s">
        <v>733</v>
      </c>
      <c r="U19" s="8" t="s">
        <v>734</v>
      </c>
      <c r="V19" t="s">
        <v>500</v>
      </c>
      <c r="W19" s="113" t="str">
        <f>HYPERLINK("mailto:"&amp; ckAwdTable[[#This Row],[email]]&amp;"&amp;subject=Your NSF Proposal:  "&amp;ckAwdTable[[#This Row],[prop_id]], ckAwdTable[[#This Row],[email]])</f>
        <v>bfranz@ufl.edu</v>
      </c>
      <c r="X19" s="30">
        <v>43241</v>
      </c>
      <c r="Y19">
        <v>36</v>
      </c>
      <c r="Z19" t="s">
        <v>780</v>
      </c>
      <c r="AA19" s="21" t="s">
        <v>13</v>
      </c>
      <c r="AB19" s="21" t="s">
        <v>372</v>
      </c>
      <c r="AC19"/>
      <c r="AD19" s="21" t="s">
        <v>13</v>
      </c>
      <c r="AF19" s="13">
        <v>520802</v>
      </c>
      <c r="AG19" s="123">
        <v>0</v>
      </c>
      <c r="AH19" s="1">
        <v>520802</v>
      </c>
      <c r="AI19" s="1">
        <v>216457</v>
      </c>
      <c r="AJ19" s="1"/>
      <c r="AL19" s="1">
        <v>20000</v>
      </c>
      <c r="AM19" s="21">
        <v>1</v>
      </c>
      <c r="AN19" s="21">
        <v>9</v>
      </c>
      <c r="AO19" s="21">
        <v>5.25</v>
      </c>
      <c r="AP19" s="21"/>
      <c r="AQ19" s="21"/>
      <c r="AR19" s="125" t="s">
        <v>170</v>
      </c>
      <c r="AS19" s="21" t="s">
        <v>477</v>
      </c>
      <c r="AT19" s="21" t="str">
        <f>SummarizeQuestMarks(ckAwdTable[[#This Row],[abst_narr_txt]])</f>
        <v xml:space="preserve"> </v>
      </c>
      <c r="AU19" s="126"/>
      <c r="AV19" t="s">
        <v>736</v>
      </c>
      <c r="AW19" t="b">
        <f>AND(ckAwdTable[[#This Row],[ILN]]&gt;"M", SUBSTITUTE(ckAwdTable[[#This Row],[prop_titl_txt]]," ","")&lt;&gt;SUBSTITUTE(AV18," ",""))</f>
        <v>0</v>
      </c>
      <c r="AX19" s="8" t="s">
        <v>737</v>
      </c>
    </row>
    <row r="20" spans="2:50" x14ac:dyDescent="0.25">
      <c r="B20" s="30">
        <v>43000.552083333336</v>
      </c>
      <c r="C20" t="s">
        <v>660</v>
      </c>
      <c r="D20" t="s">
        <v>661</v>
      </c>
      <c r="E20" t="s">
        <v>526</v>
      </c>
      <c r="F20" t="s">
        <v>568</v>
      </c>
      <c r="G20" s="8" t="s">
        <v>169</v>
      </c>
      <c r="H20" s="8" t="s">
        <v>167</v>
      </c>
      <c r="I20" s="8" t="s">
        <v>480</v>
      </c>
      <c r="J20" t="s">
        <v>94</v>
      </c>
      <c r="K20" t="s">
        <v>662</v>
      </c>
      <c r="L20" s="22"/>
      <c r="M20" s="109">
        <f xml:space="preserve"> M19+(ckAwdTable[ILN]&lt;"M")</f>
        <v>15</v>
      </c>
      <c r="N20" t="s">
        <v>95</v>
      </c>
      <c r="O20" t="s">
        <v>653</v>
      </c>
      <c r="P20" s="15" t="str">
        <f>HYPERLINK("https://www.ejacket.nsf.gov/ej/showProposal.do?ID="&amp;ckAwdTable[[#This Row],[prop_id]],"eJ")</f>
        <v>eJ</v>
      </c>
      <c r="Q20" s="8" t="s">
        <v>664</v>
      </c>
      <c r="R20" t="s">
        <v>653</v>
      </c>
      <c r="S20" t="s">
        <v>654</v>
      </c>
      <c r="T20" t="s">
        <v>490</v>
      </c>
      <c r="U20" s="8" t="s">
        <v>520</v>
      </c>
      <c r="V20" t="s">
        <v>501</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3">
        <v>0</v>
      </c>
      <c r="AH20" s="1">
        <v>344462</v>
      </c>
      <c r="AI20" s="1"/>
      <c r="AJ20" s="1"/>
      <c r="AL20" s="1">
        <v>6000</v>
      </c>
      <c r="AM20" s="21">
        <v>3</v>
      </c>
      <c r="AN20" s="21">
        <v>6</v>
      </c>
      <c r="AO20" s="21">
        <v>6</v>
      </c>
      <c r="AP20" s="21"/>
      <c r="AQ20" s="21"/>
      <c r="AR20" s="125" t="s">
        <v>170</v>
      </c>
      <c r="AS20" s="21" t="s">
        <v>477</v>
      </c>
      <c r="AT20" s="21" t="str">
        <f>SummarizeQuestMarks(ckAwdTable[[#This Row],[abst_narr_txt]])</f>
        <v xml:space="preserve"> </v>
      </c>
      <c r="AU20" s="126"/>
      <c r="AV20" t="s">
        <v>739</v>
      </c>
      <c r="AW20" t="b">
        <f>AND(ckAwdTable[[#This Row],[ILN]]&gt;"M", SUBSTITUTE(ckAwdTable[[#This Row],[prop_titl_txt]]," ","")&lt;&gt;SUBSTITUTE(AV19," ",""))</f>
        <v>0</v>
      </c>
      <c r="AX20" s="8" t="s">
        <v>740</v>
      </c>
    </row>
  </sheetData>
  <conditionalFormatting sqref="A2:AX20">
    <cfRule type="expression" dxfId="215" priority="4">
      <formula>MOD($M2,2)</formula>
    </cfRule>
  </conditionalFormatting>
  <conditionalFormatting sqref="C2:K20">
    <cfRule type="expression" dxfId="214" priority="3">
      <formula>AND($N2="N",C2&lt;&gt;C1)</formula>
    </cfRule>
  </conditionalFormatting>
  <conditionalFormatting sqref="X2:AE20">
    <cfRule type="expression" dxfId="213" priority="2">
      <formula>AND($N2="N",TRIM(X2)&lt;&gt;TRIM(X1))</formula>
    </cfRule>
  </conditionalFormatting>
  <conditionalFormatting sqref="AV2:AV20">
    <cfRule type="expression" dxfId="212"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5" x14ac:dyDescent="0.2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30" customWidth="1"/>
    <col min="8" max="9" width="5.85546875" customWidth="1"/>
    <col min="10" max="10" width="5.85546875" hidden="1" customWidth="1"/>
    <col min="11" max="11" width="8.42578125" customWidth="1"/>
    <col min="12" max="12" width="8.7109375" customWidth="1"/>
    <col min="13" max="13" width="3.5703125" style="21" customWidth="1"/>
    <col min="14" max="14" width="7.85546875" customWidth="1"/>
    <col min="15" max="15" width="7.28515625" customWidth="1"/>
    <col min="16" max="16" width="4.7109375" customWidth="1"/>
    <col min="17" max="17" width="3.28515625" customWidth="1"/>
    <col min="18" max="18" width="2.42578125" customWidth="1"/>
    <col min="19" max="19" width="10.28515625" style="13" customWidth="1"/>
    <col min="20" max="21" width="10.28515625" customWidth="1"/>
    <col min="22" max="22" width="10.5703125" customWidth="1"/>
    <col min="23" max="23" width="3.7109375" customWidth="1"/>
    <col min="24" max="24" width="3.7109375" style="6" customWidth="1"/>
    <col min="25" max="25" width="4.28515625" customWidth="1"/>
    <col min="26" max="26" width="11.140625" customWidth="1"/>
    <col min="27" max="27" width="9.140625" customWidth="1"/>
    <col min="28" max="28" width="6.140625" customWidth="1"/>
    <col min="29" max="29" width="6.42578125" customWidth="1"/>
    <col min="30" max="30" width="19.5703125" customWidth="1"/>
  </cols>
  <sheetData>
    <row r="1" spans="1:30" x14ac:dyDescent="0.25">
      <c r="A1" s="6" t="s">
        <v>129</v>
      </c>
      <c r="Q1" s="3"/>
    </row>
    <row r="2" spans="1:30" s="99" customFormat="1" x14ac:dyDescent="0.25">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25">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25">
      <c r="A4" s="10" t="s">
        <v>533</v>
      </c>
      <c r="B4" s="77" t="s">
        <v>95</v>
      </c>
      <c r="C4" s="77">
        <f>C3+(BudgetsTable[[#This Row],[lead]]&lt;&gt;K3)</f>
        <v>11</v>
      </c>
      <c r="D4" s="77">
        <f>D3*(BudgetsTable[[#This Row],[lead]]=K3)+(BudgetsTable[[#This Row],[prop_id]]&lt;&gt;A3)</f>
        <v>1</v>
      </c>
      <c r="E4" s="78">
        <v>42984.665277777778</v>
      </c>
      <c r="F4" s="79" t="s">
        <v>660</v>
      </c>
      <c r="G4" s="79" t="s">
        <v>661</v>
      </c>
      <c r="H4" s="79" t="s">
        <v>526</v>
      </c>
      <c r="I4" s="77" t="s">
        <v>535</v>
      </c>
      <c r="J4" s="77" t="s">
        <v>669</v>
      </c>
      <c r="K4" s="79" t="s">
        <v>533</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#NAME?</v>
      </c>
      <c r="N4" s="79" t="s">
        <v>534</v>
      </c>
      <c r="O4" s="7" t="str">
        <f>IF(BudgetsTable[[#This Row],[pi_last_name]]=" ","",HYPERLINK("mailto:"&amp;BudgetsTable[[#This Row],[pi_email]]&amp;"&amp;subject=Your NSF Proposal:  "&amp;BudgetsTable[[#This Row],[prop_id]],BudgetsTable[[#This Row],[pi_email]]))</f>
        <v>yongkim@u.washington.edu</v>
      </c>
      <c r="P4" s="79" t="s">
        <v>512</v>
      </c>
      <c r="Q4" s="79"/>
      <c r="R4" s="79"/>
      <c r="S4" s="80"/>
      <c r="T4" s="80"/>
      <c r="U4" s="80"/>
      <c r="V4" s="81"/>
      <c r="W4" s="79">
        <v>0</v>
      </c>
      <c r="X4" s="79"/>
      <c r="Y4" s="11" t="str">
        <f ca="1">IF(ISBLANK(BudgetsTable[[#This Row],[budg_seq_yr]]),"FY"&amp;fiscalyear,"FY"&amp;fiscalyear-1+BudgetsTable[[#This Row],[budg_seq_yr]])</f>
        <v>FY18</v>
      </c>
      <c r="Z4" s="80">
        <v>345646</v>
      </c>
      <c r="AA4" s="79" t="s">
        <v>661</v>
      </c>
      <c r="AB4" s="79" t="s">
        <v>526</v>
      </c>
      <c r="AC4" s="104" t="s">
        <v>94</v>
      </c>
      <c r="AD4" s="79" t="s">
        <v>663</v>
      </c>
    </row>
    <row r="5" spans="1:30" x14ac:dyDescent="0.25">
      <c r="A5" s="10" t="s">
        <v>533</v>
      </c>
      <c r="B5" s="77" t="s">
        <v>95</v>
      </c>
      <c r="C5" s="77">
        <f>C4+(BudgetsTable[[#This Row],[lead]]&lt;&gt;K4)</f>
        <v>11</v>
      </c>
      <c r="D5" s="77">
        <f>D4*(BudgetsTable[[#This Row],[lead]]=K4)+(BudgetsTable[[#This Row],[prop_id]]&lt;&gt;A4)</f>
        <v>1</v>
      </c>
      <c r="E5" s="78">
        <v>42984.665277777778</v>
      </c>
      <c r="F5" s="79" t="s">
        <v>660</v>
      </c>
      <c r="G5" s="79" t="s">
        <v>661</v>
      </c>
      <c r="H5" s="79" t="s">
        <v>526</v>
      </c>
      <c r="I5" s="77" t="s">
        <v>535</v>
      </c>
      <c r="J5" s="77" t="s">
        <v>13</v>
      </c>
      <c r="K5" s="79" t="s">
        <v>533</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661</v>
      </c>
      <c r="AB5" s="79" t="s">
        <v>526</v>
      </c>
      <c r="AC5" s="77" t="s">
        <v>94</v>
      </c>
      <c r="AD5" s="79" t="s">
        <v>663</v>
      </c>
    </row>
    <row r="6" spans="1:30" x14ac:dyDescent="0.25">
      <c r="A6" s="10" t="s">
        <v>533</v>
      </c>
      <c r="B6" s="77" t="s">
        <v>95</v>
      </c>
      <c r="C6" s="77">
        <f>C5+(BudgetsTable[[#This Row],[lead]]&lt;&gt;K5)</f>
        <v>11</v>
      </c>
      <c r="D6" s="77">
        <f>D5*(BudgetsTable[[#This Row],[lead]]=K5)+(BudgetsTable[[#This Row],[prop_id]]&lt;&gt;A5)</f>
        <v>1</v>
      </c>
      <c r="E6" s="78">
        <v>42984.665277777778</v>
      </c>
      <c r="F6" s="79" t="s">
        <v>660</v>
      </c>
      <c r="G6" s="79" t="s">
        <v>661</v>
      </c>
      <c r="H6" s="79" t="s">
        <v>526</v>
      </c>
      <c r="I6" s="77" t="s">
        <v>535</v>
      </c>
      <c r="J6" s="77" t="s">
        <v>13</v>
      </c>
      <c r="K6" s="79" t="s">
        <v>533</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661</v>
      </c>
      <c r="AB6" s="79" t="s">
        <v>526</v>
      </c>
      <c r="AC6" s="77" t="s">
        <v>94</v>
      </c>
      <c r="AD6" s="79" t="s">
        <v>663</v>
      </c>
    </row>
    <row r="7" spans="1:30" x14ac:dyDescent="0.25">
      <c r="A7" s="10" t="s">
        <v>533</v>
      </c>
      <c r="B7" s="77" t="s">
        <v>95</v>
      </c>
      <c r="C7" s="77">
        <f>C6+(BudgetsTable[[#This Row],[lead]]&lt;&gt;K6)</f>
        <v>11</v>
      </c>
      <c r="D7" s="77">
        <f>D6*(BudgetsTable[[#This Row],[lead]]=K6)+(BudgetsTable[[#This Row],[prop_id]]&lt;&gt;A6)</f>
        <v>1</v>
      </c>
      <c r="E7" s="78">
        <v>42984.665277777778</v>
      </c>
      <c r="F7" s="79" t="s">
        <v>660</v>
      </c>
      <c r="G7" s="79" t="s">
        <v>661</v>
      </c>
      <c r="H7" s="79" t="s">
        <v>526</v>
      </c>
      <c r="I7" s="77" t="s">
        <v>535</v>
      </c>
      <c r="J7" s="77" t="s">
        <v>13</v>
      </c>
      <c r="K7" s="79" t="s">
        <v>533</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661</v>
      </c>
      <c r="AB7" s="79" t="s">
        <v>526</v>
      </c>
      <c r="AC7" s="77" t="s">
        <v>94</v>
      </c>
      <c r="AD7" s="79" t="s">
        <v>663</v>
      </c>
    </row>
    <row r="8" spans="1:30" x14ac:dyDescent="0.25">
      <c r="A8" s="10" t="s">
        <v>555</v>
      </c>
      <c r="B8" s="77" t="s">
        <v>95</v>
      </c>
      <c r="C8" s="77">
        <f>C7+(BudgetsTable[[#This Row],[lead]]&lt;&gt;K7)</f>
        <v>12</v>
      </c>
      <c r="D8" s="77">
        <f>D7*(BudgetsTable[[#This Row],[lead]]=K7)+(BudgetsTable[[#This Row],[prop_id]]&lt;&gt;A7)</f>
        <v>1</v>
      </c>
      <c r="E8" s="78">
        <v>42989.896527777775</v>
      </c>
      <c r="F8" s="79" t="s">
        <v>660</v>
      </c>
      <c r="G8" s="79" t="s">
        <v>661</v>
      </c>
      <c r="H8" s="79" t="s">
        <v>526</v>
      </c>
      <c r="I8" s="77" t="s">
        <v>535</v>
      </c>
      <c r="J8" s="77" t="s">
        <v>673</v>
      </c>
      <c r="K8" s="79" t="s">
        <v>555</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#NAME?</v>
      </c>
      <c r="N8" s="79" t="s">
        <v>556</v>
      </c>
      <c r="O8" s="7" t="str">
        <f>IF(BudgetsTable[[#This Row],[pi_last_name]]=" ","",HYPERLINK("mailto:"&amp;BudgetsTable[[#This Row],[pi_email]]&amp;"&amp;subject=Your NSF Proposal:  "&amp;BudgetsTable[[#This Row],[prop_id]],BudgetsTable[[#This Row],[pi_email]]))</f>
        <v>cdossick@uw.edu</v>
      </c>
      <c r="P8" s="79" t="s">
        <v>512</v>
      </c>
      <c r="Q8" s="79"/>
      <c r="R8" s="79"/>
      <c r="S8" s="80"/>
      <c r="T8" s="80"/>
      <c r="U8" s="80"/>
      <c r="V8" s="81"/>
      <c r="W8" s="79">
        <v>0</v>
      </c>
      <c r="X8" s="79"/>
      <c r="Y8" s="11" t="str">
        <f ca="1">IF(ISBLANK(BudgetsTable[[#This Row],[budg_seq_yr]]),"FY"&amp;fiscalyear,"FY"&amp;fiscalyear-1+BudgetsTable[[#This Row],[budg_seq_yr]])</f>
        <v>FY18</v>
      </c>
      <c r="Z8" s="80">
        <v>455181</v>
      </c>
      <c r="AA8" s="79" t="s">
        <v>661</v>
      </c>
      <c r="AB8" s="79" t="s">
        <v>526</v>
      </c>
      <c r="AC8" s="77" t="s">
        <v>94</v>
      </c>
      <c r="AD8" s="79" t="s">
        <v>663</v>
      </c>
    </row>
    <row r="9" spans="1:30" x14ac:dyDescent="0.25">
      <c r="A9" s="10" t="s">
        <v>555</v>
      </c>
      <c r="B9" s="77" t="s">
        <v>95</v>
      </c>
      <c r="C9" s="77">
        <f>C8+(BudgetsTable[[#This Row],[lead]]&lt;&gt;K8)</f>
        <v>12</v>
      </c>
      <c r="D9" s="77">
        <f>D8*(BudgetsTable[[#This Row],[lead]]=K8)+(BudgetsTable[[#This Row],[prop_id]]&lt;&gt;A8)</f>
        <v>1</v>
      </c>
      <c r="E9" s="78">
        <v>42989.896527777775</v>
      </c>
      <c r="F9" s="79" t="s">
        <v>660</v>
      </c>
      <c r="G9" s="79" t="s">
        <v>661</v>
      </c>
      <c r="H9" s="79" t="s">
        <v>526</v>
      </c>
      <c r="I9" s="77" t="s">
        <v>535</v>
      </c>
      <c r="J9" s="77" t="s">
        <v>13</v>
      </c>
      <c r="K9" s="79" t="s">
        <v>555</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661</v>
      </c>
      <c r="AB9" s="79" t="s">
        <v>526</v>
      </c>
      <c r="AC9" s="77" t="s">
        <v>94</v>
      </c>
      <c r="AD9" s="79" t="s">
        <v>663</v>
      </c>
    </row>
    <row r="10" spans="1:30" x14ac:dyDescent="0.25">
      <c r="A10" s="10" t="s">
        <v>555</v>
      </c>
      <c r="B10" s="77" t="s">
        <v>95</v>
      </c>
      <c r="C10" s="77">
        <f>C9+(BudgetsTable[[#This Row],[lead]]&lt;&gt;K9)</f>
        <v>12</v>
      </c>
      <c r="D10" s="77">
        <f>D9*(BudgetsTable[[#This Row],[lead]]=K9)+(BudgetsTable[[#This Row],[prop_id]]&lt;&gt;A9)</f>
        <v>1</v>
      </c>
      <c r="E10" s="78">
        <v>42989.896527777775</v>
      </c>
      <c r="F10" s="79" t="s">
        <v>660</v>
      </c>
      <c r="G10" s="79" t="s">
        <v>661</v>
      </c>
      <c r="H10" s="79" t="s">
        <v>526</v>
      </c>
      <c r="I10" s="77" t="s">
        <v>535</v>
      </c>
      <c r="J10" s="77" t="s">
        <v>13</v>
      </c>
      <c r="K10" s="79" t="s">
        <v>555</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661</v>
      </c>
      <c r="AB10" s="79" t="s">
        <v>526</v>
      </c>
      <c r="AC10" s="77" t="s">
        <v>94</v>
      </c>
      <c r="AD10" s="79" t="s">
        <v>663</v>
      </c>
    </row>
    <row r="11" spans="1:30" x14ac:dyDescent="0.25">
      <c r="A11" s="10" t="s">
        <v>555</v>
      </c>
      <c r="B11" s="77" t="s">
        <v>95</v>
      </c>
      <c r="C11" s="77">
        <f>C10+(BudgetsTable[[#This Row],[lead]]&lt;&gt;K10)</f>
        <v>12</v>
      </c>
      <c r="D11" s="77">
        <f>D10*(BudgetsTable[[#This Row],[lead]]=K10)+(BudgetsTable[[#This Row],[prop_id]]&lt;&gt;A10)</f>
        <v>1</v>
      </c>
      <c r="E11" s="78">
        <v>42989.896527777775</v>
      </c>
      <c r="F11" s="79" t="s">
        <v>660</v>
      </c>
      <c r="G11" s="79" t="s">
        <v>661</v>
      </c>
      <c r="H11" s="79" t="s">
        <v>526</v>
      </c>
      <c r="I11" s="77" t="s">
        <v>535</v>
      </c>
      <c r="J11" s="77" t="s">
        <v>13</v>
      </c>
      <c r="K11" s="79" t="s">
        <v>555</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661</v>
      </c>
      <c r="AB11" s="79" t="s">
        <v>526</v>
      </c>
      <c r="AC11" s="77" t="s">
        <v>94</v>
      </c>
      <c r="AD11" s="79" t="s">
        <v>663</v>
      </c>
    </row>
    <row r="12" spans="1:30" x14ac:dyDescent="0.25">
      <c r="A12" s="10" t="s">
        <v>567</v>
      </c>
      <c r="B12" s="77" t="s">
        <v>95</v>
      </c>
      <c r="C12" s="77">
        <f>C11+(BudgetsTable[[#This Row],[lead]]&lt;&gt;K11)</f>
        <v>13</v>
      </c>
      <c r="D12" s="77">
        <f>D11*(BudgetsTable[[#This Row],[lead]]=K11)+(BudgetsTable[[#This Row],[prop_id]]&lt;&gt;A11)</f>
        <v>1</v>
      </c>
      <c r="E12" s="78">
        <v>42991.695138888892</v>
      </c>
      <c r="F12" s="79" t="s">
        <v>674</v>
      </c>
      <c r="G12" s="79" t="s">
        <v>661</v>
      </c>
      <c r="H12" s="79" t="s">
        <v>526</v>
      </c>
      <c r="I12" s="77" t="s">
        <v>568</v>
      </c>
      <c r="J12" s="77" t="s">
        <v>680</v>
      </c>
      <c r="K12" s="79" t="s">
        <v>567</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#NAME?</v>
      </c>
      <c r="N12" s="79" t="s">
        <v>508</v>
      </c>
      <c r="O12" s="7" t="str">
        <f>IF(BudgetsTable[[#This Row],[pi_last_name]]=" ","",HYPERLINK("mailto:"&amp;BudgetsTable[[#This Row],[pi_email]]&amp;"&amp;subject=Your NSF Proposal:  "&amp;BudgetsTable[[#This Row],[prop_id]],BudgetsTable[[#This Row],[pi_email]]))</f>
        <v>yclee@lsu.edu</v>
      </c>
      <c r="P12" s="79" t="s">
        <v>677</v>
      </c>
      <c r="Q12" s="79"/>
      <c r="R12" s="79"/>
      <c r="S12" s="80"/>
      <c r="T12" s="80"/>
      <c r="U12" s="80"/>
      <c r="V12" s="81"/>
      <c r="W12" s="79">
        <v>0</v>
      </c>
      <c r="X12" s="79"/>
      <c r="Y12" s="11" t="str">
        <f ca="1">IF(ISBLANK(BudgetsTable[[#This Row],[budg_seq_yr]]),"FY"&amp;fiscalyear,"FY"&amp;fiscalyear-1+BudgetsTable[[#This Row],[budg_seq_yr]])</f>
        <v>FY18</v>
      </c>
      <c r="Z12" s="80">
        <v>299932</v>
      </c>
      <c r="AA12" s="79" t="s">
        <v>661</v>
      </c>
      <c r="AB12" s="79" t="s">
        <v>526</v>
      </c>
      <c r="AC12" s="77" t="s">
        <v>94</v>
      </c>
      <c r="AD12" s="79" t="s">
        <v>675</v>
      </c>
    </row>
    <row r="13" spans="1:30" x14ac:dyDescent="0.25">
      <c r="A13" s="10" t="s">
        <v>567</v>
      </c>
      <c r="B13" s="77" t="s">
        <v>95</v>
      </c>
      <c r="C13" s="77">
        <f>C12+(BudgetsTable[[#This Row],[lead]]&lt;&gt;K12)</f>
        <v>13</v>
      </c>
      <c r="D13" s="77">
        <f>D12*(BudgetsTable[[#This Row],[lead]]=K12)+(BudgetsTable[[#This Row],[prop_id]]&lt;&gt;A12)</f>
        <v>1</v>
      </c>
      <c r="E13" s="78">
        <v>42991.695138888892</v>
      </c>
      <c r="F13" s="79" t="s">
        <v>674</v>
      </c>
      <c r="G13" s="79" t="s">
        <v>661</v>
      </c>
      <c r="H13" s="79" t="s">
        <v>526</v>
      </c>
      <c r="I13" s="77" t="s">
        <v>568</v>
      </c>
      <c r="J13" s="77" t="s">
        <v>13</v>
      </c>
      <c r="K13" s="79" t="s">
        <v>567</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661</v>
      </c>
      <c r="AB13" s="79" t="s">
        <v>526</v>
      </c>
      <c r="AC13" s="77" t="s">
        <v>94</v>
      </c>
      <c r="AD13" s="79" t="s">
        <v>675</v>
      </c>
    </row>
    <row r="14" spans="1:30" x14ac:dyDescent="0.25">
      <c r="A14" s="10" t="s">
        <v>567</v>
      </c>
      <c r="B14" s="77" t="s">
        <v>95</v>
      </c>
      <c r="C14" s="77">
        <f>C13+(BudgetsTable[[#This Row],[lead]]&lt;&gt;K13)</f>
        <v>13</v>
      </c>
      <c r="D14" s="77">
        <f>D13*(BudgetsTable[[#This Row],[lead]]=K13)+(BudgetsTable[[#This Row],[prop_id]]&lt;&gt;A13)</f>
        <v>1</v>
      </c>
      <c r="E14" s="78">
        <v>42991.695138888892</v>
      </c>
      <c r="F14" s="79" t="s">
        <v>674</v>
      </c>
      <c r="G14" s="79" t="s">
        <v>661</v>
      </c>
      <c r="H14" s="79" t="s">
        <v>526</v>
      </c>
      <c r="I14" s="77" t="s">
        <v>568</v>
      </c>
      <c r="J14" s="77" t="s">
        <v>13</v>
      </c>
      <c r="K14" s="79" t="s">
        <v>567</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661</v>
      </c>
      <c r="AB14" s="79" t="s">
        <v>526</v>
      </c>
      <c r="AC14" s="77" t="s">
        <v>94</v>
      </c>
      <c r="AD14" s="79" t="s">
        <v>675</v>
      </c>
    </row>
    <row r="15" spans="1:30" x14ac:dyDescent="0.25">
      <c r="A15" s="10" t="s">
        <v>576</v>
      </c>
      <c r="B15" s="77" t="s">
        <v>95</v>
      </c>
      <c r="C15" s="77">
        <f>C14+(BudgetsTable[[#This Row],[lead]]&lt;&gt;K14)</f>
        <v>14</v>
      </c>
      <c r="D15" s="77">
        <f>D14*(BudgetsTable[[#This Row],[lead]]=K14)+(BudgetsTable[[#This Row],[prop_id]]&lt;&gt;A14)</f>
        <v>1</v>
      </c>
      <c r="E15" s="78">
        <v>42992.520138888889</v>
      </c>
      <c r="F15" s="79" t="s">
        <v>660</v>
      </c>
      <c r="G15" s="79" t="s">
        <v>661</v>
      </c>
      <c r="H15" s="79" t="s">
        <v>526</v>
      </c>
      <c r="I15" s="77" t="s">
        <v>568</v>
      </c>
      <c r="J15" s="77" t="s">
        <v>684</v>
      </c>
      <c r="K15" s="79" t="s">
        <v>576</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#NAME?</v>
      </c>
      <c r="N15" s="79" t="s">
        <v>510</v>
      </c>
      <c r="O15" s="7" t="str">
        <f>IF(BudgetsTable[[#This Row],[pi_last_name]]=" ","",HYPERLINK("mailto:"&amp;BudgetsTable[[#This Row],[pi_email]]&amp;"&amp;subject=Your NSF Proposal:  "&amp;BudgetsTable[[#This Row],[prop_id]],BudgetsTable[[#This Row],[pi_email]]))</f>
        <v>jee.park@unlv.edu</v>
      </c>
      <c r="P15" s="79" t="s">
        <v>682</v>
      </c>
      <c r="Q15" s="79"/>
      <c r="R15" s="79"/>
      <c r="S15" s="80"/>
      <c r="T15" s="80"/>
      <c r="U15" s="80"/>
      <c r="V15" s="81"/>
      <c r="W15" s="79">
        <v>0</v>
      </c>
      <c r="X15" s="79"/>
      <c r="Y15" s="11" t="str">
        <f ca="1">IF(ISBLANK(BudgetsTable[[#This Row],[budg_seq_yr]]),"FY"&amp;fiscalyear,"FY"&amp;fiscalyear-1+BudgetsTable[[#This Row],[budg_seq_yr]])</f>
        <v>FY18</v>
      </c>
      <c r="Z15" s="80">
        <v>411918</v>
      </c>
      <c r="AA15" s="79" t="s">
        <v>661</v>
      </c>
      <c r="AB15" s="79" t="s">
        <v>526</v>
      </c>
      <c r="AC15" s="77" t="s">
        <v>94</v>
      </c>
      <c r="AD15" s="79" t="s">
        <v>675</v>
      </c>
    </row>
    <row r="16" spans="1:30" x14ac:dyDescent="0.25">
      <c r="A16" s="10" t="s">
        <v>576</v>
      </c>
      <c r="B16" s="77" t="s">
        <v>95</v>
      </c>
      <c r="C16" s="77">
        <f>C15+(BudgetsTable[[#This Row],[lead]]&lt;&gt;K15)</f>
        <v>14</v>
      </c>
      <c r="D16" s="77">
        <f>D15*(BudgetsTable[[#This Row],[lead]]=K15)+(BudgetsTable[[#This Row],[prop_id]]&lt;&gt;A15)</f>
        <v>1</v>
      </c>
      <c r="E16" s="78">
        <v>42992.520138888889</v>
      </c>
      <c r="F16" s="79" t="s">
        <v>660</v>
      </c>
      <c r="G16" s="79" t="s">
        <v>661</v>
      </c>
      <c r="H16" s="79" t="s">
        <v>526</v>
      </c>
      <c r="I16" s="77" t="s">
        <v>568</v>
      </c>
      <c r="J16" s="77" t="s">
        <v>13</v>
      </c>
      <c r="K16" s="79" t="s">
        <v>576</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661</v>
      </c>
      <c r="AB16" s="79" t="s">
        <v>526</v>
      </c>
      <c r="AC16" s="77" t="s">
        <v>94</v>
      </c>
      <c r="AD16" s="79" t="s">
        <v>675</v>
      </c>
    </row>
    <row r="17" spans="1:30" x14ac:dyDescent="0.25">
      <c r="A17" s="10" t="s">
        <v>576</v>
      </c>
      <c r="B17" s="77" t="s">
        <v>95</v>
      </c>
      <c r="C17" s="77">
        <f>C16+(BudgetsTable[[#This Row],[lead]]&lt;&gt;K16)</f>
        <v>14</v>
      </c>
      <c r="D17" s="77">
        <f>D16*(BudgetsTable[[#This Row],[lead]]=K16)+(BudgetsTable[[#This Row],[prop_id]]&lt;&gt;A16)</f>
        <v>1</v>
      </c>
      <c r="E17" s="78">
        <v>42992.520138888889</v>
      </c>
      <c r="F17" s="79" t="s">
        <v>660</v>
      </c>
      <c r="G17" s="79" t="s">
        <v>661</v>
      </c>
      <c r="H17" s="79" t="s">
        <v>526</v>
      </c>
      <c r="I17" s="77" t="s">
        <v>568</v>
      </c>
      <c r="J17" s="77" t="s">
        <v>13</v>
      </c>
      <c r="K17" s="79" t="s">
        <v>576</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661</v>
      </c>
      <c r="AB17" s="79" t="s">
        <v>526</v>
      </c>
      <c r="AC17" s="77" t="s">
        <v>94</v>
      </c>
      <c r="AD17" s="79" t="s">
        <v>675</v>
      </c>
    </row>
    <row r="18" spans="1:30" x14ac:dyDescent="0.25">
      <c r="A18" s="10" t="s">
        <v>576</v>
      </c>
      <c r="B18" s="77" t="s">
        <v>95</v>
      </c>
      <c r="C18" s="77">
        <f>C17+(BudgetsTable[[#This Row],[lead]]&lt;&gt;K17)</f>
        <v>14</v>
      </c>
      <c r="D18" s="77">
        <f>D17*(BudgetsTable[[#This Row],[lead]]=K17)+(BudgetsTable[[#This Row],[prop_id]]&lt;&gt;A17)</f>
        <v>1</v>
      </c>
      <c r="E18" s="78">
        <v>42992.520138888889</v>
      </c>
      <c r="F18" s="79" t="s">
        <v>660</v>
      </c>
      <c r="G18" s="79" t="s">
        <v>661</v>
      </c>
      <c r="H18" s="79" t="s">
        <v>526</v>
      </c>
      <c r="I18" s="77" t="s">
        <v>568</v>
      </c>
      <c r="J18" s="77" t="s">
        <v>13</v>
      </c>
      <c r="K18" s="79" t="s">
        <v>576</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661</v>
      </c>
      <c r="AB18" s="79" t="s">
        <v>526</v>
      </c>
      <c r="AC18" s="77" t="s">
        <v>94</v>
      </c>
      <c r="AD18" s="79" t="s">
        <v>675</v>
      </c>
    </row>
    <row r="19" spans="1:30" x14ac:dyDescent="0.25">
      <c r="A19" s="10" t="s">
        <v>584</v>
      </c>
      <c r="B19" s="77" t="s">
        <v>475</v>
      </c>
      <c r="C19" s="77">
        <f>C18+(BudgetsTable[[#This Row],[lead]]&lt;&gt;K18)</f>
        <v>15</v>
      </c>
      <c r="D19" s="77">
        <f>D18*(BudgetsTable[[#This Row],[lead]]=K18)+(BudgetsTable[[#This Row],[prop_id]]&lt;&gt;A18)</f>
        <v>1</v>
      </c>
      <c r="E19" s="78">
        <v>42992.522222222222</v>
      </c>
      <c r="F19" s="79" t="s">
        <v>660</v>
      </c>
      <c r="G19" s="79" t="s">
        <v>661</v>
      </c>
      <c r="H19" s="79" t="s">
        <v>526</v>
      </c>
      <c r="I19" s="77" t="s">
        <v>568</v>
      </c>
      <c r="J19" s="77" t="s">
        <v>688</v>
      </c>
      <c r="K19" s="79" t="s">
        <v>584</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#NAME?</v>
      </c>
      <c r="N19" s="79" t="s">
        <v>585</v>
      </c>
      <c r="O19" s="7" t="str">
        <f>IF(BudgetsTable[[#This Row],[pi_last_name]]=" ","",HYPERLINK("mailto:"&amp;BudgetsTable[[#This Row],[pi_email]]&amp;"&amp;subject=Your NSF Proposal:  "&amp;BudgetsTable[[#This Row],[prop_id]],BudgetsTable[[#This Row],[pi_email]]))</f>
        <v>ryanahn@tamu.edu</v>
      </c>
      <c r="P19" s="79" t="s">
        <v>521</v>
      </c>
      <c r="Q19" s="79"/>
      <c r="R19" s="79"/>
      <c r="S19" s="80"/>
      <c r="T19" s="80"/>
      <c r="U19" s="80"/>
      <c r="V19" s="81"/>
      <c r="W19" s="79">
        <v>0</v>
      </c>
      <c r="X19" s="79"/>
      <c r="Y19" s="11" t="str">
        <f ca="1">IF(ISBLANK(BudgetsTable[[#This Row],[budg_seq_yr]]),"FY"&amp;fiscalyear,"FY"&amp;fiscalyear-1+BudgetsTable[[#This Row],[budg_seq_yr]])</f>
        <v>FY18</v>
      </c>
      <c r="Z19" s="80">
        <v>255960</v>
      </c>
      <c r="AA19" s="79" t="s">
        <v>661</v>
      </c>
      <c r="AB19" s="79" t="s">
        <v>526</v>
      </c>
      <c r="AC19" s="77" t="s">
        <v>94</v>
      </c>
      <c r="AD19" s="79" t="s">
        <v>663</v>
      </c>
    </row>
    <row r="20" spans="1:30" x14ac:dyDescent="0.25">
      <c r="A20" s="10" t="s">
        <v>584</v>
      </c>
      <c r="B20" s="77" t="s">
        <v>475</v>
      </c>
      <c r="C20" s="77">
        <f>C19+(BudgetsTable[[#This Row],[lead]]&lt;&gt;K19)</f>
        <v>15</v>
      </c>
      <c r="D20" s="77">
        <f>D19*(BudgetsTable[[#This Row],[lead]]=K19)+(BudgetsTable[[#This Row],[prop_id]]&lt;&gt;A19)</f>
        <v>1</v>
      </c>
      <c r="E20" s="78">
        <v>42992.522222222222</v>
      </c>
      <c r="F20" s="79" t="s">
        <v>660</v>
      </c>
      <c r="G20" s="79" t="s">
        <v>661</v>
      </c>
      <c r="H20" s="79" t="s">
        <v>526</v>
      </c>
      <c r="I20" s="77" t="s">
        <v>568</v>
      </c>
      <c r="J20" s="77" t="s">
        <v>13</v>
      </c>
      <c r="K20" s="79" t="s">
        <v>584</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661</v>
      </c>
      <c r="AB20" s="79" t="s">
        <v>526</v>
      </c>
      <c r="AC20" s="77" t="s">
        <v>94</v>
      </c>
      <c r="AD20" s="79" t="s">
        <v>663</v>
      </c>
    </row>
    <row r="21" spans="1:30" x14ac:dyDescent="0.25">
      <c r="A21" s="10" t="s">
        <v>584</v>
      </c>
      <c r="B21" s="77" t="s">
        <v>475</v>
      </c>
      <c r="C21" s="77">
        <f>C20+(BudgetsTable[[#This Row],[lead]]&lt;&gt;K20)</f>
        <v>15</v>
      </c>
      <c r="D21" s="77">
        <f>D20*(BudgetsTable[[#This Row],[lead]]=K20)+(BudgetsTable[[#This Row],[prop_id]]&lt;&gt;A20)</f>
        <v>1</v>
      </c>
      <c r="E21" s="78">
        <v>42992.522222222222</v>
      </c>
      <c r="F21" s="79" t="s">
        <v>660</v>
      </c>
      <c r="G21" s="79" t="s">
        <v>661</v>
      </c>
      <c r="H21" s="79" t="s">
        <v>526</v>
      </c>
      <c r="I21" s="77" t="s">
        <v>568</v>
      </c>
      <c r="J21" s="77" t="s">
        <v>13</v>
      </c>
      <c r="K21" s="79" t="s">
        <v>584</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661</v>
      </c>
      <c r="AB21" s="79" t="s">
        <v>526</v>
      </c>
      <c r="AC21" s="77" t="s">
        <v>94</v>
      </c>
      <c r="AD21" s="79" t="s">
        <v>663</v>
      </c>
    </row>
    <row r="22" spans="1:30" x14ac:dyDescent="0.25">
      <c r="A22" s="10" t="s">
        <v>584</v>
      </c>
      <c r="B22" s="77" t="s">
        <v>475</v>
      </c>
      <c r="C22" s="77">
        <f>C21+(BudgetsTable[[#This Row],[lead]]&lt;&gt;K21)</f>
        <v>15</v>
      </c>
      <c r="D22" s="77">
        <f>D21*(BudgetsTable[[#This Row],[lead]]=K21)+(BudgetsTable[[#This Row],[prop_id]]&lt;&gt;A21)</f>
        <v>1</v>
      </c>
      <c r="E22" s="78">
        <v>42992.522222222222</v>
      </c>
      <c r="F22" s="79" t="s">
        <v>660</v>
      </c>
      <c r="G22" s="79" t="s">
        <v>661</v>
      </c>
      <c r="H22" s="79" t="s">
        <v>526</v>
      </c>
      <c r="I22" s="77" t="s">
        <v>568</v>
      </c>
      <c r="J22" s="77" t="s">
        <v>13</v>
      </c>
      <c r="K22" s="79" t="s">
        <v>584</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661</v>
      </c>
      <c r="AB22" s="79" t="s">
        <v>526</v>
      </c>
      <c r="AC22" s="77" t="s">
        <v>94</v>
      </c>
      <c r="AD22" s="79" t="s">
        <v>663</v>
      </c>
    </row>
    <row r="23" spans="1:30" x14ac:dyDescent="0.25">
      <c r="A23" s="10" t="s">
        <v>689</v>
      </c>
      <c r="B23" s="77" t="s">
        <v>477</v>
      </c>
      <c r="C23" s="77">
        <f>C22+(BudgetsTable[[#This Row],[lead]]&lt;&gt;K22)</f>
        <v>15</v>
      </c>
      <c r="D23" s="77">
        <f>D22*(BudgetsTable[[#This Row],[lead]]=K22)+(BudgetsTable[[#This Row],[prop_id]]&lt;&gt;A22)</f>
        <v>2</v>
      </c>
      <c r="E23" s="78">
        <v>42992.522916666669</v>
      </c>
      <c r="F23" s="79" t="s">
        <v>660</v>
      </c>
      <c r="G23" s="79" t="s">
        <v>661</v>
      </c>
      <c r="H23" s="79" t="s">
        <v>526</v>
      </c>
      <c r="I23" s="77" t="s">
        <v>568</v>
      </c>
      <c r="J23" s="77" t="s">
        <v>692</v>
      </c>
      <c r="K23" s="79" t="s">
        <v>584</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#NAME?</v>
      </c>
      <c r="N23" s="79" t="s">
        <v>690</v>
      </c>
      <c r="O23" s="7" t="str">
        <f>IF(BudgetsTable[[#This Row],[pi_last_name]]=" ","",HYPERLINK("mailto:"&amp;BudgetsTable[[#This Row],[pi_email]]&amp;"&amp;subject=Your NSF Proposal:  "&amp;BudgetsTable[[#This Row],[prop_id]],BudgetsTable[[#This Row],[pi_email]]))</f>
        <v>matthew.r.johnson@unl.edu</v>
      </c>
      <c r="P23" s="79" t="s">
        <v>691</v>
      </c>
      <c r="Q23" s="79"/>
      <c r="R23" s="79"/>
      <c r="S23" s="80"/>
      <c r="T23" s="80"/>
      <c r="U23" s="80"/>
      <c r="V23" s="81"/>
      <c r="W23" s="79">
        <v>0</v>
      </c>
      <c r="X23" s="79"/>
      <c r="Y23" s="11" t="str">
        <f ca="1">IF(ISBLANK(BudgetsTable[[#This Row],[budg_seq_yr]]),"FY"&amp;fiscalyear,"FY"&amp;fiscalyear-1+BudgetsTable[[#This Row],[budg_seq_yr]])</f>
        <v>FY18</v>
      </c>
      <c r="Z23" s="80">
        <v>78072</v>
      </c>
      <c r="AA23" s="79" t="s">
        <v>661</v>
      </c>
      <c r="AB23" s="79" t="s">
        <v>526</v>
      </c>
      <c r="AC23" s="77" t="s">
        <v>94</v>
      </c>
      <c r="AD23" s="79" t="s">
        <v>675</v>
      </c>
    </row>
    <row r="24" spans="1:30" x14ac:dyDescent="0.25">
      <c r="A24" s="10" t="s">
        <v>689</v>
      </c>
      <c r="B24" s="77" t="s">
        <v>477</v>
      </c>
      <c r="C24" s="77">
        <f>C23+(BudgetsTable[[#This Row],[lead]]&lt;&gt;K23)</f>
        <v>15</v>
      </c>
      <c r="D24" s="77">
        <f>D23*(BudgetsTable[[#This Row],[lead]]=K23)+(BudgetsTable[[#This Row],[prop_id]]&lt;&gt;A23)</f>
        <v>2</v>
      </c>
      <c r="E24" s="78">
        <v>42992.522916666669</v>
      </c>
      <c r="F24" s="79" t="s">
        <v>660</v>
      </c>
      <c r="G24" s="79" t="s">
        <v>661</v>
      </c>
      <c r="H24" s="79" t="s">
        <v>526</v>
      </c>
      <c r="I24" s="77" t="s">
        <v>568</v>
      </c>
      <c r="J24" s="77" t="s">
        <v>13</v>
      </c>
      <c r="K24" s="79" t="s">
        <v>584</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661</v>
      </c>
      <c r="AB24" s="79" t="s">
        <v>526</v>
      </c>
      <c r="AC24" s="77" t="s">
        <v>94</v>
      </c>
      <c r="AD24" s="79" t="s">
        <v>675</v>
      </c>
    </row>
    <row r="25" spans="1:30" x14ac:dyDescent="0.25">
      <c r="A25" s="10" t="s">
        <v>689</v>
      </c>
      <c r="B25" s="77" t="s">
        <v>477</v>
      </c>
      <c r="C25" s="77">
        <f>C24+(BudgetsTable[[#This Row],[lead]]&lt;&gt;K24)</f>
        <v>15</v>
      </c>
      <c r="D25" s="77">
        <f>D24*(BudgetsTable[[#This Row],[lead]]=K24)+(BudgetsTable[[#This Row],[prop_id]]&lt;&gt;A24)</f>
        <v>2</v>
      </c>
      <c r="E25" s="78">
        <v>42992.522916666669</v>
      </c>
      <c r="F25" s="79" t="s">
        <v>660</v>
      </c>
      <c r="G25" s="79" t="s">
        <v>661</v>
      </c>
      <c r="H25" s="79" t="s">
        <v>526</v>
      </c>
      <c r="I25" s="77" t="s">
        <v>568</v>
      </c>
      <c r="J25" s="77" t="s">
        <v>13</v>
      </c>
      <c r="K25" s="79" t="s">
        <v>584</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661</v>
      </c>
      <c r="AB25" s="79" t="s">
        <v>526</v>
      </c>
      <c r="AC25" s="77" t="s">
        <v>94</v>
      </c>
      <c r="AD25" s="79" t="s">
        <v>675</v>
      </c>
    </row>
    <row r="26" spans="1:30" x14ac:dyDescent="0.25">
      <c r="A26" s="10" t="s">
        <v>689</v>
      </c>
      <c r="B26" s="77" t="s">
        <v>477</v>
      </c>
      <c r="C26" s="77">
        <f>C25+(BudgetsTable[[#This Row],[lead]]&lt;&gt;K25)</f>
        <v>15</v>
      </c>
      <c r="D26" s="77">
        <f>D25*(BudgetsTable[[#This Row],[lead]]=K25)+(BudgetsTable[[#This Row],[prop_id]]&lt;&gt;A25)</f>
        <v>2</v>
      </c>
      <c r="E26" s="78">
        <v>42992.522916666669</v>
      </c>
      <c r="F26" s="79" t="s">
        <v>660</v>
      </c>
      <c r="G26" s="79" t="s">
        <v>661</v>
      </c>
      <c r="H26" s="79" t="s">
        <v>526</v>
      </c>
      <c r="I26" s="77" t="s">
        <v>568</v>
      </c>
      <c r="J26" s="77" t="s">
        <v>13</v>
      </c>
      <c r="K26" s="79" t="s">
        <v>584</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661</v>
      </c>
      <c r="AB26" s="79" t="s">
        <v>526</v>
      </c>
      <c r="AC26" s="77" t="s">
        <v>94</v>
      </c>
      <c r="AD26" s="79" t="s">
        <v>675</v>
      </c>
    </row>
    <row r="27" spans="1:30" x14ac:dyDescent="0.25">
      <c r="A27" s="10" t="s">
        <v>693</v>
      </c>
      <c r="B27" s="77" t="s">
        <v>477</v>
      </c>
      <c r="C27" s="77">
        <f>C26+(BudgetsTable[[#This Row],[lead]]&lt;&gt;K26)</f>
        <v>15</v>
      </c>
      <c r="D27" s="77">
        <f>D26*(BudgetsTable[[#This Row],[lead]]=K26)+(BudgetsTable[[#This Row],[prop_id]]&lt;&gt;A26)</f>
        <v>3</v>
      </c>
      <c r="E27" s="78">
        <v>42993.367361111108</v>
      </c>
      <c r="F27" s="79" t="s">
        <v>660</v>
      </c>
      <c r="G27" s="79" t="s">
        <v>661</v>
      </c>
      <c r="H27" s="79" t="s">
        <v>526</v>
      </c>
      <c r="I27" s="77" t="s">
        <v>568</v>
      </c>
      <c r="J27" s="77" t="s">
        <v>696</v>
      </c>
      <c r="K27" s="79" t="s">
        <v>584</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#NAME?</v>
      </c>
      <c r="N27" s="79" t="s">
        <v>694</v>
      </c>
      <c r="O27" s="7" t="str">
        <f>IF(BudgetsTable[[#This Row],[pi_last_name]]=" ","",HYPERLINK("mailto:"&amp;BudgetsTable[[#This Row],[pi_email]]&amp;"&amp;subject=Your NSF Proposal:  "&amp;BudgetsTable[[#This Row],[prop_id]],BudgetsTable[[#This Row],[pi_email]]))</f>
        <v>yong.cho@ce.gatech.edu</v>
      </c>
      <c r="P27" s="79" t="s">
        <v>519</v>
      </c>
      <c r="Q27" s="79"/>
      <c r="R27" s="79"/>
      <c r="S27" s="80"/>
      <c r="T27" s="80"/>
      <c r="U27" s="80"/>
      <c r="V27" s="81"/>
      <c r="W27" s="79">
        <v>0</v>
      </c>
      <c r="X27" s="79"/>
      <c r="Y27" s="11" t="str">
        <f ca="1">IF(ISBLANK(BudgetsTable[[#This Row],[budg_seq_yr]]),"FY"&amp;fiscalyear,"FY"&amp;fiscalyear-1+BudgetsTable[[#This Row],[budg_seq_yr]])</f>
        <v>FY18</v>
      </c>
      <c r="Z27" s="80">
        <v>150000</v>
      </c>
      <c r="AA27" s="79" t="s">
        <v>661</v>
      </c>
      <c r="AB27" s="79" t="s">
        <v>526</v>
      </c>
      <c r="AC27" s="77" t="s">
        <v>94</v>
      </c>
      <c r="AD27" s="79" t="s">
        <v>663</v>
      </c>
    </row>
    <row r="28" spans="1:30" x14ac:dyDescent="0.25">
      <c r="A28" s="10" t="s">
        <v>693</v>
      </c>
      <c r="B28" s="77" t="s">
        <v>477</v>
      </c>
      <c r="C28" s="77">
        <f>C27+(BudgetsTable[[#This Row],[lead]]&lt;&gt;K27)</f>
        <v>15</v>
      </c>
      <c r="D28" s="77">
        <f>D27*(BudgetsTable[[#This Row],[lead]]=K27)+(BudgetsTable[[#This Row],[prop_id]]&lt;&gt;A27)</f>
        <v>3</v>
      </c>
      <c r="E28" s="78">
        <v>42993.367361111108</v>
      </c>
      <c r="F28" s="79" t="s">
        <v>660</v>
      </c>
      <c r="G28" s="79" t="s">
        <v>661</v>
      </c>
      <c r="H28" s="79" t="s">
        <v>526</v>
      </c>
      <c r="I28" s="77" t="s">
        <v>568</v>
      </c>
      <c r="J28" s="77" t="s">
        <v>13</v>
      </c>
      <c r="K28" s="79" t="s">
        <v>584</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661</v>
      </c>
      <c r="AB28" s="79" t="s">
        <v>526</v>
      </c>
      <c r="AC28" s="77" t="s">
        <v>94</v>
      </c>
      <c r="AD28" s="79" t="s">
        <v>663</v>
      </c>
    </row>
    <row r="29" spans="1:30" x14ac:dyDescent="0.25">
      <c r="A29" s="10" t="s">
        <v>693</v>
      </c>
      <c r="B29" s="77" t="s">
        <v>477</v>
      </c>
      <c r="C29" s="77">
        <f>C28+(BudgetsTable[[#This Row],[lead]]&lt;&gt;K28)</f>
        <v>15</v>
      </c>
      <c r="D29" s="77">
        <f>D28*(BudgetsTable[[#This Row],[lead]]=K28)+(BudgetsTable[[#This Row],[prop_id]]&lt;&gt;A28)</f>
        <v>3</v>
      </c>
      <c r="E29" s="78">
        <v>42993.367361111108</v>
      </c>
      <c r="F29" s="79" t="s">
        <v>660</v>
      </c>
      <c r="G29" s="79" t="s">
        <v>661</v>
      </c>
      <c r="H29" s="79" t="s">
        <v>526</v>
      </c>
      <c r="I29" s="77" t="s">
        <v>568</v>
      </c>
      <c r="J29" s="77" t="s">
        <v>13</v>
      </c>
      <c r="K29" s="79" t="s">
        <v>584</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661</v>
      </c>
      <c r="AB29" s="79" t="s">
        <v>526</v>
      </c>
      <c r="AC29" s="77" t="s">
        <v>94</v>
      </c>
      <c r="AD29" s="79" t="s">
        <v>663</v>
      </c>
    </row>
    <row r="30" spans="1:30" x14ac:dyDescent="0.25">
      <c r="A30" s="10" t="s">
        <v>693</v>
      </c>
      <c r="B30" s="77" t="s">
        <v>477</v>
      </c>
      <c r="C30" s="77">
        <f>C29+(BudgetsTable[[#This Row],[lead]]&lt;&gt;K29)</f>
        <v>15</v>
      </c>
      <c r="D30" s="77">
        <f>D29*(BudgetsTable[[#This Row],[lead]]=K29)+(BudgetsTable[[#This Row],[prop_id]]&lt;&gt;A29)</f>
        <v>3</v>
      </c>
      <c r="E30" s="78">
        <v>42993.367361111108</v>
      </c>
      <c r="F30" s="79" t="s">
        <v>660</v>
      </c>
      <c r="G30" s="79" t="s">
        <v>661</v>
      </c>
      <c r="H30" s="79" t="s">
        <v>526</v>
      </c>
      <c r="I30" s="77" t="s">
        <v>568</v>
      </c>
      <c r="J30" s="77" t="s">
        <v>13</v>
      </c>
      <c r="K30" s="79" t="s">
        <v>584</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661</v>
      </c>
      <c r="AB30" s="79" t="s">
        <v>526</v>
      </c>
      <c r="AC30" s="77" t="s">
        <v>94</v>
      </c>
      <c r="AD30" s="79" t="s">
        <v>663</v>
      </c>
    </row>
    <row r="31" spans="1:30" x14ac:dyDescent="0.25">
      <c r="A31" s="10" t="s">
        <v>592</v>
      </c>
      <c r="B31" s="77" t="s">
        <v>95</v>
      </c>
      <c r="C31" s="77">
        <f>C30+(BudgetsTable[[#This Row],[lead]]&lt;&gt;K30)</f>
        <v>16</v>
      </c>
      <c r="D31" s="77">
        <f>D30*(BudgetsTable[[#This Row],[lead]]=K30)+(BudgetsTable[[#This Row],[prop_id]]&lt;&gt;A30)</f>
        <v>1</v>
      </c>
      <c r="E31" s="78">
        <v>42992.676388888889</v>
      </c>
      <c r="F31" s="79" t="s">
        <v>660</v>
      </c>
      <c r="G31" s="79" t="s">
        <v>661</v>
      </c>
      <c r="H31" s="79" t="s">
        <v>526</v>
      </c>
      <c r="I31" s="77" t="s">
        <v>568</v>
      </c>
      <c r="J31" s="77" t="s">
        <v>699</v>
      </c>
      <c r="K31" s="79" t="s">
        <v>592</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#NAME?</v>
      </c>
      <c r="N31" s="79" t="s">
        <v>593</v>
      </c>
      <c r="O31" s="7" t="str">
        <f>IF(BudgetsTable[[#This Row],[pi_last_name]]=" ","",HYPERLINK("mailto:"&amp;BudgetsTable[[#This Row],[pi_email]]&amp;"&amp;subject=Your NSF Proposal:  "&amp;BudgetsTable[[#This Row],[prop_id]],BudgetsTable[[#This Row],[pi_email]]))</f>
        <v>fernanda.leite@austin.utexas.edu</v>
      </c>
      <c r="P31" s="79" t="s">
        <v>499</v>
      </c>
      <c r="Q31" s="79"/>
      <c r="R31" s="79"/>
      <c r="S31" s="80"/>
      <c r="T31" s="80"/>
      <c r="U31" s="80"/>
      <c r="V31" s="81"/>
      <c r="W31" s="79">
        <v>0</v>
      </c>
      <c r="X31" s="79"/>
      <c r="Y31" s="11" t="str">
        <f ca="1">IF(ISBLANK(BudgetsTable[[#This Row],[budg_seq_yr]]),"FY"&amp;fiscalyear,"FY"&amp;fiscalyear-1+BudgetsTable[[#This Row],[budg_seq_yr]])</f>
        <v>FY18</v>
      </c>
      <c r="Z31" s="80">
        <v>446786</v>
      </c>
      <c r="AA31" s="79" t="s">
        <v>661</v>
      </c>
      <c r="AB31" s="79" t="s">
        <v>526</v>
      </c>
      <c r="AC31" s="77" t="s">
        <v>94</v>
      </c>
      <c r="AD31" s="79" t="s">
        <v>663</v>
      </c>
    </row>
    <row r="32" spans="1:30" x14ac:dyDescent="0.25">
      <c r="A32" s="10" t="s">
        <v>592</v>
      </c>
      <c r="B32" s="77" t="s">
        <v>95</v>
      </c>
      <c r="C32" s="77">
        <f>C31+(BudgetsTable[[#This Row],[lead]]&lt;&gt;K31)</f>
        <v>16</v>
      </c>
      <c r="D32" s="77">
        <f>D31*(BudgetsTable[[#This Row],[lead]]=K31)+(BudgetsTable[[#This Row],[prop_id]]&lt;&gt;A31)</f>
        <v>1</v>
      </c>
      <c r="E32" s="78">
        <v>42992.676388888889</v>
      </c>
      <c r="F32" s="79" t="s">
        <v>660</v>
      </c>
      <c r="G32" s="79" t="s">
        <v>661</v>
      </c>
      <c r="H32" s="79" t="s">
        <v>526</v>
      </c>
      <c r="I32" s="77" t="s">
        <v>568</v>
      </c>
      <c r="J32" s="77" t="s">
        <v>13</v>
      </c>
      <c r="K32" s="79" t="s">
        <v>592</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661</v>
      </c>
      <c r="AB32" s="79" t="s">
        <v>526</v>
      </c>
      <c r="AC32" s="77" t="s">
        <v>94</v>
      </c>
      <c r="AD32" s="79" t="s">
        <v>663</v>
      </c>
    </row>
    <row r="33" spans="1:30" x14ac:dyDescent="0.25">
      <c r="A33" s="10" t="s">
        <v>592</v>
      </c>
      <c r="B33" s="77" t="s">
        <v>95</v>
      </c>
      <c r="C33" s="77">
        <f>C32+(BudgetsTable[[#This Row],[lead]]&lt;&gt;K32)</f>
        <v>16</v>
      </c>
      <c r="D33" s="77">
        <f>D32*(BudgetsTable[[#This Row],[lead]]=K32)+(BudgetsTable[[#This Row],[prop_id]]&lt;&gt;A32)</f>
        <v>1</v>
      </c>
      <c r="E33" s="78">
        <v>42992.676388888889</v>
      </c>
      <c r="F33" s="79" t="s">
        <v>660</v>
      </c>
      <c r="G33" s="79" t="s">
        <v>661</v>
      </c>
      <c r="H33" s="79" t="s">
        <v>526</v>
      </c>
      <c r="I33" s="77" t="s">
        <v>568</v>
      </c>
      <c r="J33" s="77" t="s">
        <v>13</v>
      </c>
      <c r="K33" s="79" t="s">
        <v>592</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661</v>
      </c>
      <c r="AB33" s="79" t="s">
        <v>526</v>
      </c>
      <c r="AC33" s="77" t="s">
        <v>94</v>
      </c>
      <c r="AD33" s="79" t="s">
        <v>663</v>
      </c>
    </row>
    <row r="34" spans="1:30" x14ac:dyDescent="0.25">
      <c r="A34" s="10" t="s">
        <v>592</v>
      </c>
      <c r="B34" s="77" t="s">
        <v>95</v>
      </c>
      <c r="C34" s="77">
        <f>C33+(BudgetsTable[[#This Row],[lead]]&lt;&gt;K33)</f>
        <v>16</v>
      </c>
      <c r="D34" s="77">
        <f>D33*(BudgetsTable[[#This Row],[lead]]=K33)+(BudgetsTable[[#This Row],[prop_id]]&lt;&gt;A33)</f>
        <v>1</v>
      </c>
      <c r="E34" s="78">
        <v>42992.676388888889</v>
      </c>
      <c r="F34" s="79" t="s">
        <v>660</v>
      </c>
      <c r="G34" s="79" t="s">
        <v>661</v>
      </c>
      <c r="H34" s="79" t="s">
        <v>526</v>
      </c>
      <c r="I34" s="77" t="s">
        <v>568</v>
      </c>
      <c r="J34" s="77" t="s">
        <v>13</v>
      </c>
      <c r="K34" s="79" t="s">
        <v>592</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661</v>
      </c>
      <c r="AB34" s="79" t="s">
        <v>526</v>
      </c>
      <c r="AC34" s="77" t="s">
        <v>94</v>
      </c>
      <c r="AD34" s="79" t="s">
        <v>663</v>
      </c>
    </row>
    <row r="35" spans="1:30" x14ac:dyDescent="0.25">
      <c r="A35" s="10" t="s">
        <v>598</v>
      </c>
      <c r="B35" s="77" t="s">
        <v>95</v>
      </c>
      <c r="C35" s="77">
        <f>C34+(BudgetsTable[[#This Row],[lead]]&lt;&gt;K34)</f>
        <v>17</v>
      </c>
      <c r="D35" s="77">
        <f>D34*(BudgetsTable[[#This Row],[lead]]=K34)+(BudgetsTable[[#This Row],[prop_id]]&lt;&gt;A34)</f>
        <v>1</v>
      </c>
      <c r="E35" s="78">
        <v>42993.447916666664</v>
      </c>
      <c r="F35" s="79" t="s">
        <v>660</v>
      </c>
      <c r="G35" s="79" t="s">
        <v>661</v>
      </c>
      <c r="H35" s="79" t="s">
        <v>526</v>
      </c>
      <c r="I35" s="77" t="s">
        <v>568</v>
      </c>
      <c r="J35" s="77" t="s">
        <v>703</v>
      </c>
      <c r="K35" s="79" t="s">
        <v>598</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#NAME?</v>
      </c>
      <c r="N35" s="79" t="s">
        <v>599</v>
      </c>
      <c r="O35" s="7" t="str">
        <f>IF(BudgetsTable[[#This Row],[pi_last_name]]=" ","",HYPERLINK("mailto:"&amp;BudgetsTable[[#This Row],[pi_email]]&amp;"&amp;subject=Your NSF Proposal:  "&amp;BudgetsTable[[#This Row],[prop_id]],BudgetsTable[[#This Row],[pi_email]]))</f>
        <v>lucko@cua.edu</v>
      </c>
      <c r="P35" s="79" t="s">
        <v>701</v>
      </c>
      <c r="Q35" s="79"/>
      <c r="R35" s="79"/>
      <c r="S35" s="80"/>
      <c r="T35" s="80"/>
      <c r="U35" s="80"/>
      <c r="V35" s="81"/>
      <c r="W35" s="79">
        <v>0</v>
      </c>
      <c r="X35" s="79"/>
      <c r="Y35" s="11" t="str">
        <f ca="1">IF(ISBLANK(BudgetsTable[[#This Row],[budg_seq_yr]]),"FY"&amp;fiscalyear,"FY"&amp;fiscalyear-1+BudgetsTable[[#This Row],[budg_seq_yr]])</f>
        <v>FY18</v>
      </c>
      <c r="Z35" s="80">
        <v>305924</v>
      </c>
      <c r="AA35" s="79" t="s">
        <v>661</v>
      </c>
      <c r="AB35" s="79" t="s">
        <v>526</v>
      </c>
      <c r="AC35" s="77" t="s">
        <v>94</v>
      </c>
      <c r="AD35" s="79" t="s">
        <v>663</v>
      </c>
    </row>
    <row r="36" spans="1:30" x14ac:dyDescent="0.25">
      <c r="A36" s="10" t="s">
        <v>598</v>
      </c>
      <c r="B36" s="77" t="s">
        <v>95</v>
      </c>
      <c r="C36" s="77">
        <f>C35+(BudgetsTable[[#This Row],[lead]]&lt;&gt;K35)</f>
        <v>17</v>
      </c>
      <c r="D36" s="77">
        <f>D35*(BudgetsTable[[#This Row],[lead]]=K35)+(BudgetsTable[[#This Row],[prop_id]]&lt;&gt;A35)</f>
        <v>1</v>
      </c>
      <c r="E36" s="78">
        <v>42993.447916666664</v>
      </c>
      <c r="F36" s="79" t="s">
        <v>660</v>
      </c>
      <c r="G36" s="79" t="s">
        <v>661</v>
      </c>
      <c r="H36" s="79" t="s">
        <v>526</v>
      </c>
      <c r="I36" s="77" t="s">
        <v>568</v>
      </c>
      <c r="J36" s="77" t="s">
        <v>13</v>
      </c>
      <c r="K36" s="79" t="s">
        <v>598</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661</v>
      </c>
      <c r="AB36" s="79" t="s">
        <v>526</v>
      </c>
      <c r="AC36" s="77" t="s">
        <v>94</v>
      </c>
      <c r="AD36" s="79" t="s">
        <v>663</v>
      </c>
    </row>
    <row r="37" spans="1:30" x14ac:dyDescent="0.25">
      <c r="A37" s="10" t="s">
        <v>598</v>
      </c>
      <c r="B37" s="77" t="s">
        <v>95</v>
      </c>
      <c r="C37" s="77">
        <f>C36+(BudgetsTable[[#This Row],[lead]]&lt;&gt;K36)</f>
        <v>17</v>
      </c>
      <c r="D37" s="77">
        <f>D36*(BudgetsTable[[#This Row],[lead]]=K36)+(BudgetsTable[[#This Row],[prop_id]]&lt;&gt;A36)</f>
        <v>1</v>
      </c>
      <c r="E37" s="78">
        <v>42993.447916666664</v>
      </c>
      <c r="F37" s="79" t="s">
        <v>660</v>
      </c>
      <c r="G37" s="79" t="s">
        <v>661</v>
      </c>
      <c r="H37" s="79" t="s">
        <v>526</v>
      </c>
      <c r="I37" s="77" t="s">
        <v>568</v>
      </c>
      <c r="J37" s="77" t="s">
        <v>13</v>
      </c>
      <c r="K37" s="79" t="s">
        <v>598</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661</v>
      </c>
      <c r="AB37" s="79" t="s">
        <v>526</v>
      </c>
      <c r="AC37" s="77" t="s">
        <v>94</v>
      </c>
      <c r="AD37" s="79" t="s">
        <v>663</v>
      </c>
    </row>
    <row r="38" spans="1:30" x14ac:dyDescent="0.25">
      <c r="A38" s="10" t="s">
        <v>598</v>
      </c>
      <c r="B38" s="77" t="s">
        <v>95</v>
      </c>
      <c r="C38" s="77">
        <f>C37+(BudgetsTable[[#This Row],[lead]]&lt;&gt;K37)</f>
        <v>17</v>
      </c>
      <c r="D38" s="77">
        <f>D37*(BudgetsTable[[#This Row],[lead]]=K37)+(BudgetsTable[[#This Row],[prop_id]]&lt;&gt;A37)</f>
        <v>1</v>
      </c>
      <c r="E38" s="78">
        <v>42993.447916666664</v>
      </c>
      <c r="F38" s="79" t="s">
        <v>660</v>
      </c>
      <c r="G38" s="79" t="s">
        <v>661</v>
      </c>
      <c r="H38" s="79" t="s">
        <v>526</v>
      </c>
      <c r="I38" s="77" t="s">
        <v>568</v>
      </c>
      <c r="J38" s="77" t="s">
        <v>13</v>
      </c>
      <c r="K38" s="79" t="s">
        <v>598</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661</v>
      </c>
      <c r="AB38" s="79" t="s">
        <v>526</v>
      </c>
      <c r="AC38" s="77" t="s">
        <v>94</v>
      </c>
      <c r="AD38" s="79" t="s">
        <v>663</v>
      </c>
    </row>
    <row r="39" spans="1:30" x14ac:dyDescent="0.25">
      <c r="A39" s="10" t="s">
        <v>603</v>
      </c>
      <c r="B39" s="77" t="s">
        <v>95</v>
      </c>
      <c r="C39" s="77">
        <f>C38+(BudgetsTable[[#This Row],[lead]]&lt;&gt;K38)</f>
        <v>18</v>
      </c>
      <c r="D39" s="77">
        <f>D38*(BudgetsTable[[#This Row],[lead]]=K38)+(BudgetsTable[[#This Row],[prop_id]]&lt;&gt;A38)</f>
        <v>1</v>
      </c>
      <c r="E39" s="78">
        <v>42993.449305555558</v>
      </c>
      <c r="F39" s="79" t="s">
        <v>660</v>
      </c>
      <c r="G39" s="79" t="s">
        <v>661</v>
      </c>
      <c r="H39" s="79" t="s">
        <v>526</v>
      </c>
      <c r="I39" s="77" t="s">
        <v>568</v>
      </c>
      <c r="J39" s="77" t="s">
        <v>703</v>
      </c>
      <c r="K39" s="79" t="s">
        <v>603</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#NAME?</v>
      </c>
      <c r="N39" s="79" t="s">
        <v>599</v>
      </c>
      <c r="O39" s="7" t="str">
        <f>IF(BudgetsTable[[#This Row],[pi_last_name]]=" ","",HYPERLINK("mailto:"&amp;BudgetsTable[[#This Row],[pi_email]]&amp;"&amp;subject=Your NSF Proposal:  "&amp;BudgetsTable[[#This Row],[prop_id]],BudgetsTable[[#This Row],[pi_email]]))</f>
        <v>lucko@cua.edu</v>
      </c>
      <c r="P39" s="79" t="s">
        <v>701</v>
      </c>
      <c r="Q39" s="79"/>
      <c r="R39" s="79"/>
      <c r="S39" s="80"/>
      <c r="T39" s="80"/>
      <c r="U39" s="80"/>
      <c r="V39" s="81"/>
      <c r="W39" s="79">
        <v>0</v>
      </c>
      <c r="X39" s="79"/>
      <c r="Y39" s="11" t="str">
        <f ca="1">IF(ISBLANK(BudgetsTable[[#This Row],[budg_seq_yr]]),"FY"&amp;fiscalyear,"FY"&amp;fiscalyear-1+BudgetsTable[[#This Row],[budg_seq_yr]])</f>
        <v>FY18</v>
      </c>
      <c r="Z39" s="80">
        <v>308306</v>
      </c>
      <c r="AA39" s="79" t="s">
        <v>661</v>
      </c>
      <c r="AB39" s="79" t="s">
        <v>526</v>
      </c>
      <c r="AC39" s="77" t="s">
        <v>94</v>
      </c>
      <c r="AD39" s="79" t="s">
        <v>663</v>
      </c>
    </row>
    <row r="40" spans="1:30" x14ac:dyDescent="0.25">
      <c r="A40" s="10" t="s">
        <v>603</v>
      </c>
      <c r="B40" s="77" t="s">
        <v>95</v>
      </c>
      <c r="C40" s="77">
        <f>C39+(BudgetsTable[[#This Row],[lead]]&lt;&gt;K39)</f>
        <v>18</v>
      </c>
      <c r="D40" s="77">
        <f>D39*(BudgetsTable[[#This Row],[lead]]=K39)+(BudgetsTable[[#This Row],[prop_id]]&lt;&gt;A39)</f>
        <v>1</v>
      </c>
      <c r="E40" s="78">
        <v>42993.449305555558</v>
      </c>
      <c r="F40" s="79" t="s">
        <v>660</v>
      </c>
      <c r="G40" s="79" t="s">
        <v>661</v>
      </c>
      <c r="H40" s="79" t="s">
        <v>526</v>
      </c>
      <c r="I40" s="77" t="s">
        <v>568</v>
      </c>
      <c r="J40" s="77" t="s">
        <v>13</v>
      </c>
      <c r="K40" s="79" t="s">
        <v>603</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661</v>
      </c>
      <c r="AB40" s="79" t="s">
        <v>526</v>
      </c>
      <c r="AC40" s="77" t="s">
        <v>94</v>
      </c>
      <c r="AD40" s="79" t="s">
        <v>663</v>
      </c>
    </row>
    <row r="41" spans="1:30" x14ac:dyDescent="0.25">
      <c r="A41" s="10" t="s">
        <v>603</v>
      </c>
      <c r="B41" s="77" t="s">
        <v>95</v>
      </c>
      <c r="C41" s="77">
        <f>C40+(BudgetsTable[[#This Row],[lead]]&lt;&gt;K40)</f>
        <v>18</v>
      </c>
      <c r="D41" s="77">
        <f>D40*(BudgetsTable[[#This Row],[lead]]=K40)+(BudgetsTable[[#This Row],[prop_id]]&lt;&gt;A40)</f>
        <v>1</v>
      </c>
      <c r="E41" s="78">
        <v>42993.449305555558</v>
      </c>
      <c r="F41" s="79" t="s">
        <v>660</v>
      </c>
      <c r="G41" s="79" t="s">
        <v>661</v>
      </c>
      <c r="H41" s="79" t="s">
        <v>526</v>
      </c>
      <c r="I41" s="77" t="s">
        <v>568</v>
      </c>
      <c r="J41" s="77" t="s">
        <v>13</v>
      </c>
      <c r="K41" s="79" t="s">
        <v>603</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661</v>
      </c>
      <c r="AB41" s="79" t="s">
        <v>526</v>
      </c>
      <c r="AC41" s="77" t="s">
        <v>94</v>
      </c>
      <c r="AD41" s="79" t="s">
        <v>663</v>
      </c>
    </row>
    <row r="42" spans="1:30" x14ac:dyDescent="0.25">
      <c r="A42" s="10" t="s">
        <v>603</v>
      </c>
      <c r="B42" s="77" t="s">
        <v>95</v>
      </c>
      <c r="C42" s="77">
        <f>C41+(BudgetsTable[[#This Row],[lead]]&lt;&gt;K41)</f>
        <v>18</v>
      </c>
      <c r="D42" s="77">
        <f>D41*(BudgetsTable[[#This Row],[lead]]=K41)+(BudgetsTable[[#This Row],[prop_id]]&lt;&gt;A41)</f>
        <v>1</v>
      </c>
      <c r="E42" s="78">
        <v>42993.449305555558</v>
      </c>
      <c r="F42" s="79" t="s">
        <v>660</v>
      </c>
      <c r="G42" s="79" t="s">
        <v>661</v>
      </c>
      <c r="H42" s="79" t="s">
        <v>526</v>
      </c>
      <c r="I42" s="77" t="s">
        <v>568</v>
      </c>
      <c r="J42" s="77" t="s">
        <v>13</v>
      </c>
      <c r="K42" s="79" t="s">
        <v>603</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661</v>
      </c>
      <c r="AB42" s="79" t="s">
        <v>526</v>
      </c>
      <c r="AC42" s="77" t="s">
        <v>94</v>
      </c>
      <c r="AD42" s="79" t="s">
        <v>663</v>
      </c>
    </row>
    <row r="43" spans="1:30" x14ac:dyDescent="0.25">
      <c r="A43" s="10" t="s">
        <v>610</v>
      </c>
      <c r="B43" s="77" t="s">
        <v>475</v>
      </c>
      <c r="C43" s="77">
        <f>C42+(BudgetsTable[[#This Row],[lead]]&lt;&gt;K42)</f>
        <v>19</v>
      </c>
      <c r="D43" s="77">
        <f>D42*(BudgetsTable[[#This Row],[lead]]=K42)+(BudgetsTable[[#This Row],[prop_id]]&lt;&gt;A42)</f>
        <v>1</v>
      </c>
      <c r="E43" s="78">
        <v>42993.551388888889</v>
      </c>
      <c r="F43" s="79" t="s">
        <v>660</v>
      </c>
      <c r="G43" s="79" t="s">
        <v>661</v>
      </c>
      <c r="H43" s="79" t="s">
        <v>526</v>
      </c>
      <c r="I43" s="77" t="s">
        <v>568</v>
      </c>
      <c r="J43" s="77" t="s">
        <v>709</v>
      </c>
      <c r="K43" s="79" t="s">
        <v>610</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#NAME?</v>
      </c>
      <c r="N43" s="79" t="s">
        <v>611</v>
      </c>
      <c r="O43" s="7" t="str">
        <f>IF(BudgetsTable[[#This Row],[pi_last_name]]=" ","",HYPERLINK("mailto:"&amp;BudgetsTable[[#This Row],[pi_email]]&amp;"&amp;subject=Your NSF Proposal:  "&amp;BudgetsTable[[#This Row],[prop_id]],BudgetsTable[[#This Row],[pi_email]]))</f>
        <v>fei.dai@mail.wvu.edu</v>
      </c>
      <c r="P43" s="79" t="s">
        <v>706</v>
      </c>
      <c r="Q43" s="79"/>
      <c r="R43" s="79"/>
      <c r="S43" s="80"/>
      <c r="T43" s="80"/>
      <c r="U43" s="80"/>
      <c r="V43" s="81"/>
      <c r="W43" s="79">
        <v>0</v>
      </c>
      <c r="X43" s="79"/>
      <c r="Y43" s="11" t="str">
        <f ca="1">IF(ISBLANK(BudgetsTable[[#This Row],[budg_seq_yr]]),"FY"&amp;fiscalyear,"FY"&amp;fiscalyear-1+BudgetsTable[[#This Row],[budg_seq_yr]])</f>
        <v>FY18</v>
      </c>
      <c r="Z43" s="80">
        <v>210453</v>
      </c>
      <c r="AA43" s="79" t="s">
        <v>661</v>
      </c>
      <c r="AB43" s="79" t="s">
        <v>526</v>
      </c>
      <c r="AC43" s="77" t="s">
        <v>94</v>
      </c>
      <c r="AD43" s="79" t="s">
        <v>675</v>
      </c>
    </row>
    <row r="44" spans="1:30" x14ac:dyDescent="0.25">
      <c r="A44" s="10" t="s">
        <v>610</v>
      </c>
      <c r="B44" s="77" t="s">
        <v>475</v>
      </c>
      <c r="C44" s="77">
        <f>C43+(BudgetsTable[[#This Row],[lead]]&lt;&gt;K43)</f>
        <v>19</v>
      </c>
      <c r="D44" s="77">
        <f>D43*(BudgetsTable[[#This Row],[lead]]=K43)+(BudgetsTable[[#This Row],[prop_id]]&lt;&gt;A43)</f>
        <v>1</v>
      </c>
      <c r="E44" s="78">
        <v>42993.551388888889</v>
      </c>
      <c r="F44" s="79" t="s">
        <v>660</v>
      </c>
      <c r="G44" s="79" t="s">
        <v>661</v>
      </c>
      <c r="H44" s="79" t="s">
        <v>526</v>
      </c>
      <c r="I44" s="77" t="s">
        <v>568</v>
      </c>
      <c r="J44" s="77" t="s">
        <v>13</v>
      </c>
      <c r="K44" s="79" t="s">
        <v>610</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661</v>
      </c>
      <c r="AB44" s="79" t="s">
        <v>526</v>
      </c>
      <c r="AC44" s="77" t="s">
        <v>94</v>
      </c>
      <c r="AD44" s="79" t="s">
        <v>675</v>
      </c>
    </row>
    <row r="45" spans="1:30" x14ac:dyDescent="0.25">
      <c r="A45" s="10" t="s">
        <v>610</v>
      </c>
      <c r="B45" s="77" t="s">
        <v>475</v>
      </c>
      <c r="C45" s="77">
        <f>C44+(BudgetsTable[[#This Row],[lead]]&lt;&gt;K44)</f>
        <v>19</v>
      </c>
      <c r="D45" s="77">
        <f>D44*(BudgetsTable[[#This Row],[lead]]=K44)+(BudgetsTable[[#This Row],[prop_id]]&lt;&gt;A44)</f>
        <v>1</v>
      </c>
      <c r="E45" s="78">
        <v>42993.551388888889</v>
      </c>
      <c r="F45" s="79" t="s">
        <v>660</v>
      </c>
      <c r="G45" s="79" t="s">
        <v>661</v>
      </c>
      <c r="H45" s="79" t="s">
        <v>526</v>
      </c>
      <c r="I45" s="77" t="s">
        <v>568</v>
      </c>
      <c r="J45" s="77" t="s">
        <v>13</v>
      </c>
      <c r="K45" s="79" t="s">
        <v>610</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661</v>
      </c>
      <c r="AB45" s="79" t="s">
        <v>526</v>
      </c>
      <c r="AC45" s="77" t="s">
        <v>94</v>
      </c>
      <c r="AD45" s="79" t="s">
        <v>675</v>
      </c>
    </row>
    <row r="46" spans="1:30" x14ac:dyDescent="0.25">
      <c r="A46" s="10" t="s">
        <v>610</v>
      </c>
      <c r="B46" s="77" t="s">
        <v>475</v>
      </c>
      <c r="C46" s="77">
        <f>C45+(BudgetsTable[[#This Row],[lead]]&lt;&gt;K45)</f>
        <v>19</v>
      </c>
      <c r="D46" s="77">
        <f>D45*(BudgetsTable[[#This Row],[lead]]=K45)+(BudgetsTable[[#This Row],[prop_id]]&lt;&gt;A45)</f>
        <v>1</v>
      </c>
      <c r="E46" s="78">
        <v>42993.551388888889</v>
      </c>
      <c r="F46" s="79" t="s">
        <v>660</v>
      </c>
      <c r="G46" s="79" t="s">
        <v>661</v>
      </c>
      <c r="H46" s="79" t="s">
        <v>526</v>
      </c>
      <c r="I46" s="77" t="s">
        <v>568</v>
      </c>
      <c r="J46" s="77" t="s">
        <v>13</v>
      </c>
      <c r="K46" s="79" t="s">
        <v>610</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661</v>
      </c>
      <c r="AB46" s="79" t="s">
        <v>526</v>
      </c>
      <c r="AC46" s="77" t="s">
        <v>94</v>
      </c>
      <c r="AD46" s="79" t="s">
        <v>675</v>
      </c>
    </row>
    <row r="47" spans="1:30" x14ac:dyDescent="0.25">
      <c r="A47" s="10" t="s">
        <v>710</v>
      </c>
      <c r="B47" s="77" t="s">
        <v>477</v>
      </c>
      <c r="C47" s="77">
        <f>C46+(BudgetsTable[[#This Row],[lead]]&lt;&gt;K46)</f>
        <v>19</v>
      </c>
      <c r="D47" s="77">
        <f>D46*(BudgetsTable[[#This Row],[lead]]=K46)+(BudgetsTable[[#This Row],[prop_id]]&lt;&gt;A46)</f>
        <v>2</v>
      </c>
      <c r="E47" s="78">
        <v>42993.511805555558</v>
      </c>
      <c r="F47" s="79" t="s">
        <v>660</v>
      </c>
      <c r="G47" s="79" t="s">
        <v>661</v>
      </c>
      <c r="H47" s="79" t="s">
        <v>526</v>
      </c>
      <c r="I47" s="77" t="s">
        <v>568</v>
      </c>
      <c r="J47" s="77" t="s">
        <v>712</v>
      </c>
      <c r="K47" s="79" t="s">
        <v>610</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#NAME?</v>
      </c>
      <c r="N47" s="79" t="s">
        <v>711</v>
      </c>
      <c r="O47" s="7" t="str">
        <f>IF(BudgetsTable[[#This Row],[pi_last_name]]=" ","",HYPERLINK("mailto:"&amp;BudgetsTable[[#This Row],[pi_email]]&amp;"&amp;subject=Your NSF Proposal:  "&amp;BudgetsTable[[#This Row],[prop_id]],BudgetsTable[[#This Row],[pi_email]]))</f>
        <v>abehzadan@tamu.edu</v>
      </c>
      <c r="P47" s="79" t="s">
        <v>521</v>
      </c>
      <c r="Q47" s="79"/>
      <c r="R47" s="79"/>
      <c r="S47" s="80"/>
      <c r="T47" s="80"/>
      <c r="U47" s="80"/>
      <c r="V47" s="81"/>
      <c r="W47" s="79">
        <v>0</v>
      </c>
      <c r="X47" s="79"/>
      <c r="Y47" s="11" t="str">
        <f ca="1">IF(ISBLANK(BudgetsTable[[#This Row],[budg_seq_yr]]),"FY"&amp;fiscalyear,"FY"&amp;fiscalyear-1+BudgetsTable[[#This Row],[budg_seq_yr]])</f>
        <v>FY18</v>
      </c>
      <c r="Z47" s="80">
        <v>150000</v>
      </c>
      <c r="AA47" s="79" t="s">
        <v>661</v>
      </c>
      <c r="AB47" s="79" t="s">
        <v>526</v>
      </c>
      <c r="AC47" s="77" t="s">
        <v>94</v>
      </c>
      <c r="AD47" s="79" t="s">
        <v>663</v>
      </c>
    </row>
    <row r="48" spans="1:30" x14ac:dyDescent="0.25">
      <c r="A48" s="10" t="s">
        <v>710</v>
      </c>
      <c r="B48" s="77" t="s">
        <v>477</v>
      </c>
      <c r="C48" s="77">
        <f>C47+(BudgetsTable[[#This Row],[lead]]&lt;&gt;K47)</f>
        <v>19</v>
      </c>
      <c r="D48" s="77">
        <f>D47*(BudgetsTable[[#This Row],[lead]]=K47)+(BudgetsTable[[#This Row],[prop_id]]&lt;&gt;A47)</f>
        <v>2</v>
      </c>
      <c r="E48" s="78">
        <v>42993.511805555558</v>
      </c>
      <c r="F48" s="79" t="s">
        <v>660</v>
      </c>
      <c r="G48" s="79" t="s">
        <v>661</v>
      </c>
      <c r="H48" s="79" t="s">
        <v>526</v>
      </c>
      <c r="I48" s="77" t="s">
        <v>568</v>
      </c>
      <c r="J48" s="77" t="s">
        <v>13</v>
      </c>
      <c r="K48" s="79" t="s">
        <v>610</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661</v>
      </c>
      <c r="AB48" s="79" t="s">
        <v>526</v>
      </c>
      <c r="AC48" s="77" t="s">
        <v>94</v>
      </c>
      <c r="AD48" s="79" t="s">
        <v>663</v>
      </c>
    </row>
    <row r="49" spans="1:30" x14ac:dyDescent="0.25">
      <c r="A49" s="10" t="s">
        <v>710</v>
      </c>
      <c r="B49" s="77" t="s">
        <v>477</v>
      </c>
      <c r="C49" s="77">
        <f>C48+(BudgetsTable[[#This Row],[lead]]&lt;&gt;K48)</f>
        <v>19</v>
      </c>
      <c r="D49" s="77">
        <f>D48*(BudgetsTable[[#This Row],[lead]]=K48)+(BudgetsTable[[#This Row],[prop_id]]&lt;&gt;A48)</f>
        <v>2</v>
      </c>
      <c r="E49" s="78">
        <v>42993.511805555558</v>
      </c>
      <c r="F49" s="79" t="s">
        <v>660</v>
      </c>
      <c r="G49" s="79" t="s">
        <v>661</v>
      </c>
      <c r="H49" s="79" t="s">
        <v>526</v>
      </c>
      <c r="I49" s="77" t="s">
        <v>568</v>
      </c>
      <c r="J49" s="77" t="s">
        <v>13</v>
      </c>
      <c r="K49" s="79" t="s">
        <v>610</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661</v>
      </c>
      <c r="AB49" s="79" t="s">
        <v>526</v>
      </c>
      <c r="AC49" s="77" t="s">
        <v>94</v>
      </c>
      <c r="AD49" s="79" t="s">
        <v>663</v>
      </c>
    </row>
    <row r="50" spans="1:30" x14ac:dyDescent="0.25">
      <c r="A50" s="10" t="s">
        <v>710</v>
      </c>
      <c r="B50" s="77" t="s">
        <v>477</v>
      </c>
      <c r="C50" s="77">
        <f>C49+(BudgetsTable[[#This Row],[lead]]&lt;&gt;K49)</f>
        <v>19</v>
      </c>
      <c r="D50" s="77">
        <f>D49*(BudgetsTable[[#This Row],[lead]]=K49)+(BudgetsTable[[#This Row],[prop_id]]&lt;&gt;A49)</f>
        <v>2</v>
      </c>
      <c r="E50" s="78">
        <v>42993.511805555558</v>
      </c>
      <c r="F50" s="79" t="s">
        <v>660</v>
      </c>
      <c r="G50" s="79" t="s">
        <v>661</v>
      </c>
      <c r="H50" s="79" t="s">
        <v>526</v>
      </c>
      <c r="I50" s="77" t="s">
        <v>568</v>
      </c>
      <c r="J50" s="77" t="s">
        <v>13</v>
      </c>
      <c r="K50" s="79" t="s">
        <v>610</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661</v>
      </c>
      <c r="AB50" s="79" t="s">
        <v>526</v>
      </c>
      <c r="AC50" s="77" t="s">
        <v>94</v>
      </c>
      <c r="AD50" s="79" t="s">
        <v>663</v>
      </c>
    </row>
    <row r="51" spans="1:30" x14ac:dyDescent="0.25">
      <c r="A51" s="10" t="s">
        <v>616</v>
      </c>
      <c r="B51" s="77" t="s">
        <v>95</v>
      </c>
      <c r="C51" s="77">
        <f>C50+(BudgetsTable[[#This Row],[lead]]&lt;&gt;K50)</f>
        <v>20</v>
      </c>
      <c r="D51" s="77">
        <f>D50*(BudgetsTable[[#This Row],[lead]]=K50)+(BudgetsTable[[#This Row],[prop_id]]&lt;&gt;A50)</f>
        <v>1</v>
      </c>
      <c r="E51" s="78">
        <v>42993.675000000003</v>
      </c>
      <c r="F51" s="79" t="s">
        <v>660</v>
      </c>
      <c r="G51" s="79" t="s">
        <v>661</v>
      </c>
      <c r="H51" s="79" t="s">
        <v>526</v>
      </c>
      <c r="I51" s="77" t="s">
        <v>568</v>
      </c>
      <c r="J51" s="77" t="s">
        <v>716</v>
      </c>
      <c r="K51" s="79" t="s">
        <v>616</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#NAME?</v>
      </c>
      <c r="N51" s="79" t="s">
        <v>617</v>
      </c>
      <c r="O51" s="7" t="str">
        <f>IF(BudgetsTable[[#This Row],[pi_last_name]]=" ","",HYPERLINK("mailto:"&amp;BudgetsTable[[#This Row],[pi_email]]&amp;"&amp;subject=Your NSF Proposal:  "&amp;BudgetsTable[[#This Row],[prop_id]],BudgetsTable[[#This Row],[pi_email]]))</f>
        <v>dujing@tamu.edu</v>
      </c>
      <c r="P51" s="79" t="s">
        <v>521</v>
      </c>
      <c r="Q51" s="79"/>
      <c r="R51" s="79"/>
      <c r="S51" s="80"/>
      <c r="T51" s="80"/>
      <c r="U51" s="80"/>
      <c r="V51" s="81"/>
      <c r="W51" s="79">
        <v>0</v>
      </c>
      <c r="X51" s="79"/>
      <c r="Y51" s="11" t="str">
        <f ca="1">IF(ISBLANK(BudgetsTable[[#This Row],[budg_seq_yr]]),"FY"&amp;fiscalyear,"FY"&amp;fiscalyear-1+BudgetsTable[[#This Row],[budg_seq_yr]])</f>
        <v>FY18</v>
      </c>
      <c r="Z51" s="80">
        <v>350000</v>
      </c>
      <c r="AA51" s="79" t="s">
        <v>661</v>
      </c>
      <c r="AB51" s="79" t="s">
        <v>526</v>
      </c>
      <c r="AC51" s="77" t="s">
        <v>94</v>
      </c>
      <c r="AD51" s="79" t="s">
        <v>663</v>
      </c>
    </row>
    <row r="52" spans="1:30" x14ac:dyDescent="0.25">
      <c r="A52" s="10" t="s">
        <v>616</v>
      </c>
      <c r="B52" s="77" t="s">
        <v>95</v>
      </c>
      <c r="C52" s="77">
        <f>C51+(BudgetsTable[[#This Row],[lead]]&lt;&gt;K51)</f>
        <v>20</v>
      </c>
      <c r="D52" s="77">
        <f>D51*(BudgetsTable[[#This Row],[lead]]=K51)+(BudgetsTable[[#This Row],[prop_id]]&lt;&gt;A51)</f>
        <v>1</v>
      </c>
      <c r="E52" s="78">
        <v>42993.675000000003</v>
      </c>
      <c r="F52" s="79" t="s">
        <v>660</v>
      </c>
      <c r="G52" s="79" t="s">
        <v>661</v>
      </c>
      <c r="H52" s="79" t="s">
        <v>526</v>
      </c>
      <c r="I52" s="77" t="s">
        <v>568</v>
      </c>
      <c r="J52" s="77" t="s">
        <v>13</v>
      </c>
      <c r="K52" s="79" t="s">
        <v>616</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661</v>
      </c>
      <c r="AB52" s="79" t="s">
        <v>526</v>
      </c>
      <c r="AC52" s="77" t="s">
        <v>94</v>
      </c>
      <c r="AD52" s="79" t="s">
        <v>663</v>
      </c>
    </row>
    <row r="53" spans="1:30" x14ac:dyDescent="0.25">
      <c r="A53" s="10" t="s">
        <v>616</v>
      </c>
      <c r="B53" s="77" t="s">
        <v>95</v>
      </c>
      <c r="C53" s="77">
        <f>C52+(BudgetsTable[[#This Row],[lead]]&lt;&gt;K52)</f>
        <v>20</v>
      </c>
      <c r="D53" s="77">
        <f>D52*(BudgetsTable[[#This Row],[lead]]=K52)+(BudgetsTable[[#This Row],[prop_id]]&lt;&gt;A52)</f>
        <v>1</v>
      </c>
      <c r="E53" s="78">
        <v>42993.675000000003</v>
      </c>
      <c r="F53" s="79" t="s">
        <v>660</v>
      </c>
      <c r="G53" s="79" t="s">
        <v>661</v>
      </c>
      <c r="H53" s="79" t="s">
        <v>526</v>
      </c>
      <c r="I53" s="77" t="s">
        <v>568</v>
      </c>
      <c r="J53" s="77" t="s">
        <v>13</v>
      </c>
      <c r="K53" s="79" t="s">
        <v>616</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661</v>
      </c>
      <c r="AB53" s="79" t="s">
        <v>526</v>
      </c>
      <c r="AC53" s="77" t="s">
        <v>94</v>
      </c>
      <c r="AD53" s="79" t="s">
        <v>663</v>
      </c>
    </row>
    <row r="54" spans="1:30" x14ac:dyDescent="0.25">
      <c r="A54" s="10" t="s">
        <v>616</v>
      </c>
      <c r="B54" s="77" t="s">
        <v>95</v>
      </c>
      <c r="C54" s="77">
        <f>C53+(BudgetsTable[[#This Row],[lead]]&lt;&gt;K53)</f>
        <v>20</v>
      </c>
      <c r="D54" s="77">
        <f>D53*(BudgetsTable[[#This Row],[lead]]=K53)+(BudgetsTable[[#This Row],[prop_id]]&lt;&gt;A53)</f>
        <v>1</v>
      </c>
      <c r="E54" s="78">
        <v>42993.675000000003</v>
      </c>
      <c r="F54" s="79" t="s">
        <v>660</v>
      </c>
      <c r="G54" s="79" t="s">
        <v>661</v>
      </c>
      <c r="H54" s="79" t="s">
        <v>526</v>
      </c>
      <c r="I54" s="77" t="s">
        <v>568</v>
      </c>
      <c r="J54" s="77" t="s">
        <v>13</v>
      </c>
      <c r="K54" s="79" t="s">
        <v>616</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661</v>
      </c>
      <c r="AB54" s="79" t="s">
        <v>526</v>
      </c>
      <c r="AC54" s="77" t="s">
        <v>94</v>
      </c>
      <c r="AD54" s="79" t="s">
        <v>663</v>
      </c>
    </row>
    <row r="55" spans="1:30" x14ac:dyDescent="0.25">
      <c r="A55" s="10" t="s">
        <v>625</v>
      </c>
      <c r="B55" s="77" t="s">
        <v>95</v>
      </c>
      <c r="C55" s="77">
        <f>C54+(BudgetsTable[[#This Row],[lead]]&lt;&gt;K54)</f>
        <v>21</v>
      </c>
      <c r="D55" s="77">
        <f>D54*(BudgetsTable[[#This Row],[lead]]=K54)+(BudgetsTable[[#This Row],[prop_id]]&lt;&gt;A54)</f>
        <v>1</v>
      </c>
      <c r="E55" s="78">
        <v>42996.584722222222</v>
      </c>
      <c r="F55" s="79" t="s">
        <v>660</v>
      </c>
      <c r="G55" s="79" t="s">
        <v>661</v>
      </c>
      <c r="H55" s="79" t="s">
        <v>526</v>
      </c>
      <c r="I55" s="77" t="s">
        <v>568</v>
      </c>
      <c r="J55" s="77" t="s">
        <v>720</v>
      </c>
      <c r="K55" s="79" t="s">
        <v>625</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#NAME?</v>
      </c>
      <c r="N55" s="79" t="s">
        <v>626</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661</v>
      </c>
      <c r="AB55" s="79" t="s">
        <v>526</v>
      </c>
      <c r="AC55" s="77" t="s">
        <v>94</v>
      </c>
      <c r="AD55" s="79" t="s">
        <v>663</v>
      </c>
    </row>
    <row r="56" spans="1:30" x14ac:dyDescent="0.25">
      <c r="A56" s="10" t="s">
        <v>625</v>
      </c>
      <c r="B56" s="77" t="s">
        <v>95</v>
      </c>
      <c r="C56" s="77">
        <f>C55+(BudgetsTable[[#This Row],[lead]]&lt;&gt;K55)</f>
        <v>21</v>
      </c>
      <c r="D56" s="77">
        <f>D55*(BudgetsTable[[#This Row],[lead]]=K55)+(BudgetsTable[[#This Row],[prop_id]]&lt;&gt;A55)</f>
        <v>1</v>
      </c>
      <c r="E56" s="78">
        <v>42996.584722222222</v>
      </c>
      <c r="F56" s="79" t="s">
        <v>660</v>
      </c>
      <c r="G56" s="79" t="s">
        <v>661</v>
      </c>
      <c r="H56" s="79" t="s">
        <v>526</v>
      </c>
      <c r="I56" s="77" t="s">
        <v>568</v>
      </c>
      <c r="J56" s="77" t="s">
        <v>13</v>
      </c>
      <c r="K56" s="79" t="s">
        <v>625</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661</v>
      </c>
      <c r="AB56" s="79" t="s">
        <v>526</v>
      </c>
      <c r="AC56" s="77" t="s">
        <v>94</v>
      </c>
      <c r="AD56" s="79" t="s">
        <v>663</v>
      </c>
    </row>
    <row r="57" spans="1:30" x14ac:dyDescent="0.25">
      <c r="A57" s="10" t="s">
        <v>625</v>
      </c>
      <c r="B57" s="77" t="s">
        <v>95</v>
      </c>
      <c r="C57" s="77">
        <f>C56+(BudgetsTable[[#This Row],[lead]]&lt;&gt;K56)</f>
        <v>21</v>
      </c>
      <c r="D57" s="77">
        <f>D56*(BudgetsTable[[#This Row],[lead]]=K56)+(BudgetsTable[[#This Row],[prop_id]]&lt;&gt;A56)</f>
        <v>1</v>
      </c>
      <c r="E57" s="78">
        <v>42996.584722222222</v>
      </c>
      <c r="F57" s="79" t="s">
        <v>660</v>
      </c>
      <c r="G57" s="79" t="s">
        <v>661</v>
      </c>
      <c r="H57" s="79" t="s">
        <v>526</v>
      </c>
      <c r="I57" s="77" t="s">
        <v>568</v>
      </c>
      <c r="J57" s="77" t="s">
        <v>13</v>
      </c>
      <c r="K57" s="79" t="s">
        <v>625</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661</v>
      </c>
      <c r="AB57" s="79" t="s">
        <v>526</v>
      </c>
      <c r="AC57" s="77" t="s">
        <v>94</v>
      </c>
      <c r="AD57" s="79" t="s">
        <v>663</v>
      </c>
    </row>
    <row r="58" spans="1:30" x14ac:dyDescent="0.25">
      <c r="A58" s="10" t="s">
        <v>625</v>
      </c>
      <c r="B58" s="77" t="s">
        <v>95</v>
      </c>
      <c r="C58" s="77">
        <f>C57+(BudgetsTable[[#This Row],[lead]]&lt;&gt;K57)</f>
        <v>21</v>
      </c>
      <c r="D58" s="77">
        <f>D57*(BudgetsTable[[#This Row],[lead]]=K57)+(BudgetsTable[[#This Row],[prop_id]]&lt;&gt;A57)</f>
        <v>1</v>
      </c>
      <c r="E58" s="78">
        <v>42996.584722222222</v>
      </c>
      <c r="F58" s="79" t="s">
        <v>660</v>
      </c>
      <c r="G58" s="79" t="s">
        <v>661</v>
      </c>
      <c r="H58" s="79" t="s">
        <v>526</v>
      </c>
      <c r="I58" s="77" t="s">
        <v>568</v>
      </c>
      <c r="J58" s="77" t="s">
        <v>13</v>
      </c>
      <c r="K58" s="79" t="s">
        <v>625</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661</v>
      </c>
      <c r="AB58" s="79" t="s">
        <v>526</v>
      </c>
      <c r="AC58" s="77" t="s">
        <v>94</v>
      </c>
      <c r="AD58" s="79" t="s">
        <v>663</v>
      </c>
    </row>
    <row r="59" spans="1:30" x14ac:dyDescent="0.25">
      <c r="A59" s="10" t="s">
        <v>631</v>
      </c>
      <c r="B59" s="77" t="s">
        <v>95</v>
      </c>
      <c r="C59" s="77">
        <f>C58+(BudgetsTable[[#This Row],[lead]]&lt;&gt;K58)</f>
        <v>22</v>
      </c>
      <c r="D59" s="77">
        <f>D58*(BudgetsTable[[#This Row],[lead]]=K58)+(BudgetsTable[[#This Row],[prop_id]]&lt;&gt;A58)</f>
        <v>1</v>
      </c>
      <c r="E59" s="78">
        <v>42999.359027777777</v>
      </c>
      <c r="F59" s="79" t="s">
        <v>660</v>
      </c>
      <c r="G59" s="79" t="s">
        <v>661</v>
      </c>
      <c r="H59" s="79" t="s">
        <v>526</v>
      </c>
      <c r="I59" s="77" t="s">
        <v>568</v>
      </c>
      <c r="J59" s="77" t="s">
        <v>723</v>
      </c>
      <c r="K59" s="79" t="s">
        <v>631</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#NAME?</v>
      </c>
      <c r="N59" s="79" t="s">
        <v>509</v>
      </c>
      <c r="O59" s="7" t="str">
        <f>IF(BudgetsTable[[#This Row],[pi_last_name]]=" ","",HYPERLINK("mailto:"&amp;BudgetsTable[[#This Row],[pi_email]]&amp;"&amp;subject=Your NSF Proposal:  "&amp;BudgetsTable[[#This Row],[prop_id]],BudgetsTable[[#This Row],[pi_email]]))</f>
        <v>ychen@georgiasouthern.edu</v>
      </c>
      <c r="P59" s="79" t="s">
        <v>517</v>
      </c>
      <c r="Q59" s="79"/>
      <c r="R59" s="79"/>
      <c r="S59" s="80"/>
      <c r="T59" s="80"/>
      <c r="U59" s="80"/>
      <c r="V59" s="81"/>
      <c r="W59" s="79">
        <v>0</v>
      </c>
      <c r="X59" s="79"/>
      <c r="Y59" s="11" t="str">
        <f ca="1">IF(ISBLANK(BudgetsTable[[#This Row],[budg_seq_yr]]),"FY"&amp;fiscalyear,"FY"&amp;fiscalyear-1+BudgetsTable[[#This Row],[budg_seq_yr]])</f>
        <v>FY18</v>
      </c>
      <c r="Z59" s="80">
        <v>226763</v>
      </c>
      <c r="AA59" s="79" t="s">
        <v>661</v>
      </c>
      <c r="AB59" s="79" t="s">
        <v>526</v>
      </c>
      <c r="AC59" s="77" t="s">
        <v>94</v>
      </c>
      <c r="AD59" s="79" t="s">
        <v>663</v>
      </c>
    </row>
    <row r="60" spans="1:30" x14ac:dyDescent="0.25">
      <c r="A60" s="10" t="s">
        <v>631</v>
      </c>
      <c r="B60" s="77" t="s">
        <v>95</v>
      </c>
      <c r="C60" s="77">
        <f>C59+(BudgetsTable[[#This Row],[lead]]&lt;&gt;K59)</f>
        <v>22</v>
      </c>
      <c r="D60" s="77">
        <f>D59*(BudgetsTable[[#This Row],[lead]]=K59)+(BudgetsTable[[#This Row],[prop_id]]&lt;&gt;A59)</f>
        <v>1</v>
      </c>
      <c r="E60" s="78">
        <v>42999.359027777777</v>
      </c>
      <c r="F60" s="79" t="s">
        <v>660</v>
      </c>
      <c r="G60" s="79" t="s">
        <v>661</v>
      </c>
      <c r="H60" s="79" t="s">
        <v>526</v>
      </c>
      <c r="I60" s="77" t="s">
        <v>568</v>
      </c>
      <c r="J60" s="77" t="s">
        <v>13</v>
      </c>
      <c r="K60" s="79" t="s">
        <v>631</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661</v>
      </c>
      <c r="AB60" s="79" t="s">
        <v>526</v>
      </c>
      <c r="AC60" s="77" t="s">
        <v>94</v>
      </c>
      <c r="AD60" s="79" t="s">
        <v>663</v>
      </c>
    </row>
    <row r="61" spans="1:30" x14ac:dyDescent="0.25">
      <c r="A61" s="10" t="s">
        <v>631</v>
      </c>
      <c r="B61" s="77" t="s">
        <v>95</v>
      </c>
      <c r="C61" s="77">
        <f>C60+(BudgetsTable[[#This Row],[lead]]&lt;&gt;K60)</f>
        <v>22</v>
      </c>
      <c r="D61" s="77">
        <f>D60*(BudgetsTable[[#This Row],[lead]]=K60)+(BudgetsTable[[#This Row],[prop_id]]&lt;&gt;A60)</f>
        <v>1</v>
      </c>
      <c r="E61" s="78">
        <v>42999.359027777777</v>
      </c>
      <c r="F61" s="79" t="s">
        <v>660</v>
      </c>
      <c r="G61" s="79" t="s">
        <v>661</v>
      </c>
      <c r="H61" s="79" t="s">
        <v>526</v>
      </c>
      <c r="I61" s="77" t="s">
        <v>568</v>
      </c>
      <c r="J61" s="77" t="s">
        <v>13</v>
      </c>
      <c r="K61" s="79" t="s">
        <v>631</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661</v>
      </c>
      <c r="AB61" s="79" t="s">
        <v>526</v>
      </c>
      <c r="AC61" s="77" t="s">
        <v>94</v>
      </c>
      <c r="AD61" s="79" t="s">
        <v>663</v>
      </c>
    </row>
    <row r="62" spans="1:30" x14ac:dyDescent="0.25">
      <c r="A62" s="10" t="s">
        <v>636</v>
      </c>
      <c r="B62" s="77" t="s">
        <v>475</v>
      </c>
      <c r="C62" s="77">
        <f>C61+(BudgetsTable[[#This Row],[lead]]&lt;&gt;K61)</f>
        <v>23</v>
      </c>
      <c r="D62" s="77">
        <f>D61*(BudgetsTable[[#This Row],[lead]]=K61)+(BudgetsTable[[#This Row],[prop_id]]&lt;&gt;A61)</f>
        <v>1</v>
      </c>
      <c r="E62" s="78">
        <v>42999.447222222225</v>
      </c>
      <c r="F62" s="79" t="s">
        <v>660</v>
      </c>
      <c r="G62" s="79" t="s">
        <v>661</v>
      </c>
      <c r="H62" s="79" t="s">
        <v>526</v>
      </c>
      <c r="I62" s="77" t="s">
        <v>568</v>
      </c>
      <c r="J62" s="77" t="s">
        <v>727</v>
      </c>
      <c r="K62" s="79" t="s">
        <v>636</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#NAME?</v>
      </c>
      <c r="N62" s="79" t="s">
        <v>637</v>
      </c>
      <c r="O62" s="7" t="str">
        <f>IF(BudgetsTable[[#This Row],[pi_last_name]]=" ","",HYPERLINK("mailto:"&amp;BudgetsTable[[#This Row],[pi_email]]&amp;"&amp;subject=Your NSF Proposal:  "&amp;BudgetsTable[[#This Row],[prop_id]],BudgetsTable[[#This Row],[pi_email]]))</f>
        <v>baabak@gatech.edu</v>
      </c>
      <c r="P62" s="79" t="s">
        <v>519</v>
      </c>
      <c r="Q62" s="79"/>
      <c r="R62" s="79"/>
      <c r="S62" s="80"/>
      <c r="T62" s="80"/>
      <c r="U62" s="80"/>
      <c r="V62" s="81"/>
      <c r="W62" s="79">
        <v>0</v>
      </c>
      <c r="X62" s="79"/>
      <c r="Y62" s="11" t="str">
        <f ca="1">IF(ISBLANK(BudgetsTable[[#This Row],[budg_seq_yr]]),"FY"&amp;fiscalyear,"FY"&amp;fiscalyear-1+BudgetsTable[[#This Row],[budg_seq_yr]])</f>
        <v>FY18</v>
      </c>
      <c r="Z62" s="80">
        <v>283738</v>
      </c>
      <c r="AA62" s="79" t="s">
        <v>661</v>
      </c>
      <c r="AB62" s="79" t="s">
        <v>526</v>
      </c>
      <c r="AC62" s="77" t="s">
        <v>94</v>
      </c>
      <c r="AD62" s="79" t="s">
        <v>663</v>
      </c>
    </row>
    <row r="63" spans="1:30" x14ac:dyDescent="0.25">
      <c r="A63" s="10" t="s">
        <v>636</v>
      </c>
      <c r="B63" s="77" t="s">
        <v>475</v>
      </c>
      <c r="C63" s="77">
        <f>C62+(BudgetsTable[[#This Row],[lead]]&lt;&gt;K62)</f>
        <v>23</v>
      </c>
      <c r="D63" s="77">
        <f>D62*(BudgetsTable[[#This Row],[lead]]=K62)+(BudgetsTable[[#This Row],[prop_id]]&lt;&gt;A62)</f>
        <v>1</v>
      </c>
      <c r="E63" s="78">
        <v>42999.447222222225</v>
      </c>
      <c r="F63" s="79" t="s">
        <v>660</v>
      </c>
      <c r="G63" s="79" t="s">
        <v>661</v>
      </c>
      <c r="H63" s="79" t="s">
        <v>526</v>
      </c>
      <c r="I63" s="77" t="s">
        <v>568</v>
      </c>
      <c r="J63" s="77" t="s">
        <v>13</v>
      </c>
      <c r="K63" s="79" t="s">
        <v>636</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661</v>
      </c>
      <c r="AB63" s="79" t="s">
        <v>526</v>
      </c>
      <c r="AC63" s="77" t="s">
        <v>94</v>
      </c>
      <c r="AD63" s="79" t="s">
        <v>663</v>
      </c>
    </row>
    <row r="64" spans="1:30" x14ac:dyDescent="0.25">
      <c r="A64" s="10" t="s">
        <v>636</v>
      </c>
      <c r="B64" s="77" t="s">
        <v>475</v>
      </c>
      <c r="C64" s="77">
        <f>C63+(BudgetsTable[[#This Row],[lead]]&lt;&gt;K63)</f>
        <v>23</v>
      </c>
      <c r="D64" s="77">
        <f>D63*(BudgetsTable[[#This Row],[lead]]=K63)+(BudgetsTable[[#This Row],[prop_id]]&lt;&gt;A63)</f>
        <v>1</v>
      </c>
      <c r="E64" s="78">
        <v>42999.447222222225</v>
      </c>
      <c r="F64" s="79" t="s">
        <v>660</v>
      </c>
      <c r="G64" s="79" t="s">
        <v>661</v>
      </c>
      <c r="H64" s="79" t="s">
        <v>526</v>
      </c>
      <c r="I64" s="77" t="s">
        <v>568</v>
      </c>
      <c r="J64" s="77" t="s">
        <v>13</v>
      </c>
      <c r="K64" s="79" t="s">
        <v>636</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661</v>
      </c>
      <c r="AB64" s="79" t="s">
        <v>526</v>
      </c>
      <c r="AC64" s="77" t="s">
        <v>94</v>
      </c>
      <c r="AD64" s="79" t="s">
        <v>663</v>
      </c>
    </row>
    <row r="65" spans="1:30" x14ac:dyDescent="0.25">
      <c r="A65" s="10" t="s">
        <v>728</v>
      </c>
      <c r="B65" s="77" t="s">
        <v>477</v>
      </c>
      <c r="C65" s="77">
        <f>C64+(BudgetsTable[[#This Row],[lead]]&lt;&gt;K64)</f>
        <v>23</v>
      </c>
      <c r="D65" s="77">
        <f>D64*(BudgetsTable[[#This Row],[lead]]=K64)+(BudgetsTable[[#This Row],[prop_id]]&lt;&gt;A64)</f>
        <v>2</v>
      </c>
      <c r="E65" s="78">
        <v>42999.552777777775</v>
      </c>
      <c r="F65" s="79" t="s">
        <v>660</v>
      </c>
      <c r="G65" s="79" t="s">
        <v>661</v>
      </c>
      <c r="H65" s="79" t="s">
        <v>526</v>
      </c>
      <c r="I65" s="77" t="s">
        <v>568</v>
      </c>
      <c r="J65" s="77" t="s">
        <v>732</v>
      </c>
      <c r="K65" s="79" t="s">
        <v>636</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#NAME?</v>
      </c>
      <c r="N65" s="79" t="s">
        <v>729</v>
      </c>
      <c r="O65" s="7" t="str">
        <f>IF(BudgetsTable[[#This Row],[pi_last_name]]=" ","",HYPERLINK("mailto:"&amp;BudgetsTable[[#This Row],[pi_email]]&amp;"&amp;subject=Your NSF Proposal:  "&amp;BudgetsTable[[#This Row],[prop_id]],BudgetsTable[[#This Row],[pi_email]]))</f>
        <v>mohsen@uta.edu</v>
      </c>
      <c r="P65" s="79" t="s">
        <v>731</v>
      </c>
      <c r="Q65" s="79"/>
      <c r="R65" s="79"/>
      <c r="S65" s="80"/>
      <c r="T65" s="80"/>
      <c r="U65" s="80"/>
      <c r="V65" s="81"/>
      <c r="W65" s="79">
        <v>0</v>
      </c>
      <c r="X65" s="79"/>
      <c r="Y65" s="11" t="str">
        <f ca="1">IF(ISBLANK(BudgetsTable[[#This Row],[budg_seq_yr]]),"FY"&amp;fiscalyear,"FY"&amp;fiscalyear-1+BudgetsTable[[#This Row],[budg_seq_yr]])</f>
        <v>FY18</v>
      </c>
      <c r="Z65" s="80">
        <v>133993</v>
      </c>
      <c r="AA65" s="79" t="s">
        <v>661</v>
      </c>
      <c r="AB65" s="79" t="s">
        <v>526</v>
      </c>
      <c r="AC65" s="77" t="s">
        <v>94</v>
      </c>
      <c r="AD65" s="79" t="s">
        <v>663</v>
      </c>
    </row>
    <row r="66" spans="1:30" x14ac:dyDescent="0.25">
      <c r="A66" s="10" t="s">
        <v>728</v>
      </c>
      <c r="B66" s="77" t="s">
        <v>477</v>
      </c>
      <c r="C66" s="77">
        <f>C65+(BudgetsTable[[#This Row],[lead]]&lt;&gt;K65)</f>
        <v>23</v>
      </c>
      <c r="D66" s="77">
        <f>D65*(BudgetsTable[[#This Row],[lead]]=K65)+(BudgetsTable[[#This Row],[prop_id]]&lt;&gt;A65)</f>
        <v>2</v>
      </c>
      <c r="E66" s="78">
        <v>42999.552777777775</v>
      </c>
      <c r="F66" s="79" t="s">
        <v>660</v>
      </c>
      <c r="G66" s="79" t="s">
        <v>661</v>
      </c>
      <c r="H66" s="79" t="s">
        <v>526</v>
      </c>
      <c r="I66" s="77" t="s">
        <v>568</v>
      </c>
      <c r="J66" s="77" t="s">
        <v>13</v>
      </c>
      <c r="K66" s="79" t="s">
        <v>636</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661</v>
      </c>
      <c r="AB66" s="79" t="s">
        <v>526</v>
      </c>
      <c r="AC66" s="77" t="s">
        <v>94</v>
      </c>
      <c r="AD66" s="79" t="s">
        <v>663</v>
      </c>
    </row>
    <row r="67" spans="1:30" x14ac:dyDescent="0.25">
      <c r="A67" s="10" t="s">
        <v>728</v>
      </c>
      <c r="B67" s="77" t="s">
        <v>477</v>
      </c>
      <c r="C67" s="77">
        <f>C66+(BudgetsTable[[#This Row],[lead]]&lt;&gt;K66)</f>
        <v>23</v>
      </c>
      <c r="D67" s="77">
        <f>D66*(BudgetsTable[[#This Row],[lead]]=K66)+(BudgetsTable[[#This Row],[prop_id]]&lt;&gt;A66)</f>
        <v>2</v>
      </c>
      <c r="E67" s="78">
        <v>42999.552777777775</v>
      </c>
      <c r="F67" s="79" t="s">
        <v>660</v>
      </c>
      <c r="G67" s="79" t="s">
        <v>661</v>
      </c>
      <c r="H67" s="79" t="s">
        <v>526</v>
      </c>
      <c r="I67" s="77" t="s">
        <v>568</v>
      </c>
      <c r="J67" s="77" t="s">
        <v>13</v>
      </c>
      <c r="K67" s="79" t="s">
        <v>636</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661</v>
      </c>
      <c r="AB67" s="79" t="s">
        <v>526</v>
      </c>
      <c r="AC67" s="77" t="s">
        <v>94</v>
      </c>
      <c r="AD67" s="79" t="s">
        <v>663</v>
      </c>
    </row>
    <row r="68" spans="1:30" x14ac:dyDescent="0.25">
      <c r="A68" s="10" t="s">
        <v>645</v>
      </c>
      <c r="B68" s="77" t="s">
        <v>95</v>
      </c>
      <c r="C68" s="77">
        <f>C67+(BudgetsTable[[#This Row],[lead]]&lt;&gt;K67)</f>
        <v>24</v>
      </c>
      <c r="D68" s="77">
        <f>D67*(BudgetsTable[[#This Row],[lead]]=K67)+(BudgetsTable[[#This Row],[prop_id]]&lt;&gt;A67)</f>
        <v>1</v>
      </c>
      <c r="E68" s="78">
        <v>43000.450694444444</v>
      </c>
      <c r="F68" s="79" t="s">
        <v>660</v>
      </c>
      <c r="G68" s="79" t="s">
        <v>661</v>
      </c>
      <c r="H68" s="79" t="s">
        <v>526</v>
      </c>
      <c r="I68" s="77" t="s">
        <v>568</v>
      </c>
      <c r="J68" s="77" t="s">
        <v>737</v>
      </c>
      <c r="K68" s="79" t="s">
        <v>645</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#NAME?</v>
      </c>
      <c r="N68" s="79" t="s">
        <v>646</v>
      </c>
      <c r="O68" s="7" t="str">
        <f>IF(BudgetsTable[[#This Row],[pi_last_name]]=" ","",HYPERLINK("mailto:"&amp;BudgetsTable[[#This Row],[pi_email]]&amp;"&amp;subject=Your NSF Proposal:  "&amp;BudgetsTable[[#This Row],[prop_id]],BudgetsTable[[#This Row],[pi_email]]))</f>
        <v>bfranz@ufl.edu</v>
      </c>
      <c r="P68" s="79" t="s">
        <v>734</v>
      </c>
      <c r="Q68" s="79"/>
      <c r="R68" s="79"/>
      <c r="S68" s="80"/>
      <c r="T68" s="80"/>
      <c r="U68" s="80"/>
      <c r="V68" s="81"/>
      <c r="W68" s="79">
        <v>0</v>
      </c>
      <c r="X68" s="79"/>
      <c r="Y68" s="11" t="str">
        <f ca="1">IF(ISBLANK(BudgetsTable[[#This Row],[budg_seq_yr]]),"FY"&amp;fiscalyear,"FY"&amp;fiscalyear-1+BudgetsTable[[#This Row],[budg_seq_yr]])</f>
        <v>FY18</v>
      </c>
      <c r="Z68" s="80">
        <v>520802</v>
      </c>
      <c r="AA68" s="79" t="s">
        <v>661</v>
      </c>
      <c r="AB68" s="79" t="s">
        <v>526</v>
      </c>
      <c r="AC68" s="77" t="s">
        <v>94</v>
      </c>
      <c r="AD68" s="79" t="s">
        <v>663</v>
      </c>
    </row>
    <row r="69" spans="1:30" x14ac:dyDescent="0.25">
      <c r="A69" s="10" t="s">
        <v>645</v>
      </c>
      <c r="B69" s="77" t="s">
        <v>95</v>
      </c>
      <c r="C69" s="77">
        <f>C68+(BudgetsTable[[#This Row],[lead]]&lt;&gt;K68)</f>
        <v>24</v>
      </c>
      <c r="D69" s="77">
        <f>D68*(BudgetsTable[[#This Row],[lead]]=K68)+(BudgetsTable[[#This Row],[prop_id]]&lt;&gt;A68)</f>
        <v>1</v>
      </c>
      <c r="E69" s="78">
        <v>43000.450694444444</v>
      </c>
      <c r="F69" s="79" t="s">
        <v>660</v>
      </c>
      <c r="G69" s="79" t="s">
        <v>661</v>
      </c>
      <c r="H69" s="79" t="s">
        <v>526</v>
      </c>
      <c r="I69" s="77" t="s">
        <v>568</v>
      </c>
      <c r="J69" s="77" t="s">
        <v>13</v>
      </c>
      <c r="K69" s="79" t="s">
        <v>645</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661</v>
      </c>
      <c r="AB69" s="79" t="s">
        <v>526</v>
      </c>
      <c r="AC69" s="77" t="s">
        <v>94</v>
      </c>
      <c r="AD69" s="79" t="s">
        <v>663</v>
      </c>
    </row>
    <row r="70" spans="1:30" x14ac:dyDescent="0.25">
      <c r="A70" s="10" t="s">
        <v>645</v>
      </c>
      <c r="B70" s="77" t="s">
        <v>95</v>
      </c>
      <c r="C70" s="77">
        <f>C69+(BudgetsTable[[#This Row],[lead]]&lt;&gt;K69)</f>
        <v>24</v>
      </c>
      <c r="D70" s="77">
        <f>D69*(BudgetsTable[[#This Row],[lead]]=K69)+(BudgetsTable[[#This Row],[prop_id]]&lt;&gt;A69)</f>
        <v>1</v>
      </c>
      <c r="E70" s="78">
        <v>43000.450694444444</v>
      </c>
      <c r="F70" s="79" t="s">
        <v>660</v>
      </c>
      <c r="G70" s="79" t="s">
        <v>661</v>
      </c>
      <c r="H70" s="79" t="s">
        <v>526</v>
      </c>
      <c r="I70" s="77" t="s">
        <v>568</v>
      </c>
      <c r="J70" s="77" t="s">
        <v>13</v>
      </c>
      <c r="K70" s="79" t="s">
        <v>645</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661</v>
      </c>
      <c r="AB70" s="79" t="s">
        <v>526</v>
      </c>
      <c r="AC70" s="77" t="s">
        <v>94</v>
      </c>
      <c r="AD70" s="79" t="s">
        <v>663</v>
      </c>
    </row>
    <row r="71" spans="1:30" x14ac:dyDescent="0.25">
      <c r="A71" s="10" t="s">
        <v>645</v>
      </c>
      <c r="B71" s="77" t="s">
        <v>95</v>
      </c>
      <c r="C71" s="77">
        <f>C70+(BudgetsTable[[#This Row],[lead]]&lt;&gt;K70)</f>
        <v>24</v>
      </c>
      <c r="D71" s="77">
        <f>D70*(BudgetsTable[[#This Row],[lead]]=K70)+(BudgetsTable[[#This Row],[prop_id]]&lt;&gt;A70)</f>
        <v>1</v>
      </c>
      <c r="E71" s="78">
        <v>43000.450694444444</v>
      </c>
      <c r="F71" s="79" t="s">
        <v>660</v>
      </c>
      <c r="G71" s="79" t="s">
        <v>661</v>
      </c>
      <c r="H71" s="79" t="s">
        <v>526</v>
      </c>
      <c r="I71" s="77" t="s">
        <v>568</v>
      </c>
      <c r="J71" s="77" t="s">
        <v>13</v>
      </c>
      <c r="K71" s="79" t="s">
        <v>645</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661</v>
      </c>
      <c r="AB71" s="79" t="s">
        <v>526</v>
      </c>
      <c r="AC71" s="77" t="s">
        <v>94</v>
      </c>
      <c r="AD71" s="79" t="s">
        <v>663</v>
      </c>
    </row>
    <row r="72" spans="1:30" x14ac:dyDescent="0.25">
      <c r="A72" s="10" t="s">
        <v>653</v>
      </c>
      <c r="B72" s="77" t="s">
        <v>95</v>
      </c>
      <c r="C72" s="77">
        <f>C71+(BudgetsTable[[#This Row],[lead]]&lt;&gt;K71)</f>
        <v>25</v>
      </c>
      <c r="D72" s="77">
        <f>D71*(BudgetsTable[[#This Row],[lead]]=K71)+(BudgetsTable[[#This Row],[prop_id]]&lt;&gt;A71)</f>
        <v>1</v>
      </c>
      <c r="E72" s="78">
        <v>43000.552083333336</v>
      </c>
      <c r="F72" s="79" t="s">
        <v>660</v>
      </c>
      <c r="G72" s="79" t="s">
        <v>661</v>
      </c>
      <c r="H72" s="79" t="s">
        <v>526</v>
      </c>
      <c r="I72" s="77" t="s">
        <v>568</v>
      </c>
      <c r="J72" s="77" t="s">
        <v>740</v>
      </c>
      <c r="K72" s="79" t="s">
        <v>653</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#NAME?</v>
      </c>
      <c r="N72" s="79" t="s">
        <v>654</v>
      </c>
      <c r="O72" s="7" t="str">
        <f>IF(BudgetsTable[[#This Row],[pi_last_name]]=" ","",HYPERLINK("mailto:"&amp;BudgetsTable[[#This Row],[pi_email]]&amp;"&amp;subject=Your NSF Proposal:  "&amp;BudgetsTable[[#This Row],[prop_id]],BudgetsTable[[#This Row],[pi_email]]))</f>
        <v>david.grau@asu.edu</v>
      </c>
      <c r="P72" s="79" t="s">
        <v>520</v>
      </c>
      <c r="Q72" s="79"/>
      <c r="R72" s="79"/>
      <c r="S72" s="80"/>
      <c r="T72" s="80"/>
      <c r="U72" s="80"/>
      <c r="V72" s="81"/>
      <c r="W72" s="79">
        <v>0</v>
      </c>
      <c r="X72" s="79"/>
      <c r="Y72" s="11" t="str">
        <f ca="1">IF(ISBLANK(BudgetsTable[[#This Row],[budg_seq_yr]]),"FY"&amp;fiscalyear,"FY"&amp;fiscalyear-1+BudgetsTable[[#This Row],[budg_seq_yr]])</f>
        <v>FY18</v>
      </c>
      <c r="Z72" s="80">
        <v>344462</v>
      </c>
      <c r="AA72" s="79" t="s">
        <v>661</v>
      </c>
      <c r="AB72" s="79" t="s">
        <v>526</v>
      </c>
      <c r="AC72" s="77" t="s">
        <v>94</v>
      </c>
      <c r="AD72" s="79" t="s">
        <v>663</v>
      </c>
    </row>
    <row r="73" spans="1:30" x14ac:dyDescent="0.25">
      <c r="A73" s="10" t="s">
        <v>653</v>
      </c>
      <c r="B73" s="77" t="s">
        <v>95</v>
      </c>
      <c r="C73" s="77">
        <f>C72+(BudgetsTable[[#This Row],[lead]]&lt;&gt;K72)</f>
        <v>25</v>
      </c>
      <c r="D73" s="77">
        <f>D72*(BudgetsTable[[#This Row],[lead]]=K72)+(BudgetsTable[[#This Row],[prop_id]]&lt;&gt;A72)</f>
        <v>1</v>
      </c>
      <c r="E73" s="78">
        <v>43000.552083333336</v>
      </c>
      <c r="F73" s="79" t="s">
        <v>660</v>
      </c>
      <c r="G73" s="79" t="s">
        <v>661</v>
      </c>
      <c r="H73" s="79" t="s">
        <v>526</v>
      </c>
      <c r="I73" s="77" t="s">
        <v>568</v>
      </c>
      <c r="J73" s="77" t="s">
        <v>13</v>
      </c>
      <c r="K73" s="79" t="s">
        <v>653</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661</v>
      </c>
      <c r="AB73" s="79" t="s">
        <v>526</v>
      </c>
      <c r="AC73" s="77" t="s">
        <v>94</v>
      </c>
      <c r="AD73" s="79" t="s">
        <v>663</v>
      </c>
    </row>
    <row r="74" spans="1:30" x14ac:dyDescent="0.25">
      <c r="A74" s="10" t="s">
        <v>653</v>
      </c>
      <c r="B74" s="77" t="s">
        <v>95</v>
      </c>
      <c r="C74" s="77">
        <f>C73+(BudgetsTable[[#This Row],[lead]]&lt;&gt;K73)</f>
        <v>25</v>
      </c>
      <c r="D74" s="77">
        <f>D73*(BudgetsTable[[#This Row],[lead]]=K73)+(BudgetsTable[[#This Row],[prop_id]]&lt;&gt;A73)</f>
        <v>1</v>
      </c>
      <c r="E74" s="78">
        <v>43000.552083333336</v>
      </c>
      <c r="F74" s="79" t="s">
        <v>660</v>
      </c>
      <c r="G74" s="79" t="s">
        <v>661</v>
      </c>
      <c r="H74" s="79" t="s">
        <v>526</v>
      </c>
      <c r="I74" s="77" t="s">
        <v>568</v>
      </c>
      <c r="J74" s="77" t="s">
        <v>13</v>
      </c>
      <c r="K74" s="79" t="s">
        <v>653</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661</v>
      </c>
      <c r="AB74" s="79" t="s">
        <v>526</v>
      </c>
      <c r="AC74" s="77" t="s">
        <v>94</v>
      </c>
      <c r="AD74" s="79" t="s">
        <v>663</v>
      </c>
    </row>
    <row r="75" spans="1:30" x14ac:dyDescent="0.25">
      <c r="A75" s="10" t="s">
        <v>653</v>
      </c>
      <c r="B75" s="77" t="s">
        <v>95</v>
      </c>
      <c r="C75" s="77">
        <f>C74+(BudgetsTable[[#This Row],[lead]]&lt;&gt;K74)</f>
        <v>25</v>
      </c>
      <c r="D75" s="77">
        <f>D74*(BudgetsTable[[#This Row],[lead]]=K74)+(BudgetsTable[[#This Row],[prop_id]]&lt;&gt;A74)</f>
        <v>1</v>
      </c>
      <c r="E75" s="78">
        <v>43000.552083333336</v>
      </c>
      <c r="F75" s="79" t="s">
        <v>660</v>
      </c>
      <c r="G75" s="79" t="s">
        <v>661</v>
      </c>
      <c r="H75" s="79" t="s">
        <v>526</v>
      </c>
      <c r="I75" s="77" t="s">
        <v>568</v>
      </c>
      <c r="J75" s="77" t="s">
        <v>13</v>
      </c>
      <c r="K75" s="79" t="s">
        <v>653</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661</v>
      </c>
      <c r="AB75" s="79" t="s">
        <v>526</v>
      </c>
      <c r="AC75" s="77" t="s">
        <v>94</v>
      </c>
      <c r="AD75" s="79" t="s">
        <v>663</v>
      </c>
    </row>
  </sheetData>
  <conditionalFormatting sqref="A4:AD75">
    <cfRule type="expression" dxfId="178" priority="1684">
      <formula>MOD($C4,2)</formula>
    </cfRule>
  </conditionalFormatting>
  <conditionalFormatting sqref="L4:AD75">
    <cfRule type="expression" dxfId="177" priority="1579">
      <formula>MOD($D4+1,2)</formula>
    </cfRule>
    <cfRule type="expression" dxfId="176"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5" x14ac:dyDescent="0.2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30" customWidth="1"/>
    <col min="11" max="11" width="3.28515625" style="30" customWidth="1"/>
    <col min="12" max="12" width="3.5703125" style="30" customWidth="1"/>
    <col min="13" max="13" width="13.5703125" customWidth="1"/>
    <col min="14" max="14" width="3.85546875" customWidth="1"/>
    <col min="15" max="16" width="7.42578125" hidden="1" customWidth="1"/>
    <col min="17" max="17" width="5.42578125" customWidth="1"/>
    <col min="18" max="18" width="11" customWidth="1"/>
    <col min="19" max="19" width="14.28515625" style="22" customWidth="1"/>
    <col min="20" max="20" width="5.28515625" style="39" customWidth="1"/>
    <col min="21" max="21" width="4.5703125" style="39" customWidth="1"/>
    <col min="22" max="22" width="11.85546875" customWidth="1"/>
    <col min="23" max="23" width="4.42578125" customWidth="1"/>
    <col min="24" max="24" width="3.7109375" customWidth="1"/>
    <col min="25" max="25" width="8.7109375" style="30" customWidth="1"/>
    <col min="26" max="26" width="3.7109375" customWidth="1"/>
    <col min="27" max="27" width="9.28515625" style="30"/>
    <col min="28" max="28" width="9.5703125" style="30"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3"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x14ac:dyDescent="0.25">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25">
      <c r="A2" s="25" t="s">
        <v>279</v>
      </c>
      <c r="B2" t="s">
        <v>280</v>
      </c>
      <c r="D2" s="6" t="s">
        <v>356</v>
      </c>
      <c r="E2" s="6" t="s">
        <v>448</v>
      </c>
      <c r="H2"/>
      <c r="I2"/>
      <c r="J2"/>
      <c r="K2"/>
      <c r="L2"/>
      <c r="S2"/>
      <c r="T2"/>
      <c r="U2"/>
      <c r="Y2"/>
      <c r="AA2"/>
      <c r="AB2"/>
      <c r="AN2"/>
      <c r="AR2"/>
    </row>
    <row r="3" spans="1:50" x14ac:dyDescent="0.25">
      <c r="A3" s="105" t="s">
        <v>528</v>
      </c>
      <c r="B3" t="s">
        <v>529</v>
      </c>
      <c r="D3" s="105" t="s">
        <v>526</v>
      </c>
      <c r="E3" t="s">
        <v>527</v>
      </c>
      <c r="H3"/>
      <c r="I3"/>
      <c r="J3"/>
      <c r="K3"/>
      <c r="L3"/>
      <c r="S3"/>
      <c r="T3"/>
      <c r="U3"/>
      <c r="Y3"/>
      <c r="AA3"/>
      <c r="AB3"/>
      <c r="AN3"/>
      <c r="AR3"/>
    </row>
    <row r="4" spans="1:50" x14ac:dyDescent="0.25">
      <c r="A4" s="105" t="s">
        <v>530</v>
      </c>
      <c r="B4" t="s">
        <v>531</v>
      </c>
      <c r="H4"/>
      <c r="I4"/>
      <c r="J4"/>
      <c r="K4"/>
      <c r="L4"/>
      <c r="S4"/>
      <c r="T4"/>
      <c r="U4"/>
      <c r="Y4"/>
      <c r="AA4"/>
      <c r="AB4"/>
      <c r="AN4"/>
      <c r="AR4"/>
    </row>
    <row r="5" spans="1:50" x14ac:dyDescent="0.25">
      <c r="A5" s="105" t="s">
        <v>505</v>
      </c>
      <c r="B5" t="s">
        <v>506</v>
      </c>
      <c r="H5"/>
      <c r="I5"/>
      <c r="J5"/>
      <c r="K5"/>
      <c r="L5"/>
      <c r="S5"/>
      <c r="T5"/>
      <c r="U5"/>
      <c r="Y5"/>
      <c r="AA5"/>
      <c r="AB5"/>
      <c r="AN5"/>
      <c r="AR5"/>
    </row>
    <row r="6" spans="1:50" x14ac:dyDescent="0.25">
      <c r="A6" s="105" t="s">
        <v>532</v>
      </c>
      <c r="B6" t="s">
        <v>529</v>
      </c>
      <c r="H6"/>
      <c r="I6"/>
      <c r="J6"/>
      <c r="K6"/>
      <c r="L6"/>
      <c r="S6"/>
      <c r="T6"/>
      <c r="U6"/>
      <c r="Y6"/>
      <c r="AA6"/>
      <c r="AB6"/>
      <c r="AN6"/>
      <c r="AR6"/>
    </row>
    <row r="7" spans="1:50" x14ac:dyDescent="0.25">
      <c r="H7"/>
      <c r="I7"/>
      <c r="J7"/>
      <c r="K7"/>
      <c r="L7"/>
      <c r="S7"/>
      <c r="T7"/>
      <c r="U7"/>
      <c r="Y7"/>
      <c r="AA7"/>
      <c r="AB7"/>
      <c r="AN7"/>
      <c r="AR7"/>
    </row>
    <row r="8" spans="1:50" x14ac:dyDescent="0.25">
      <c r="H8"/>
      <c r="I8"/>
      <c r="J8"/>
      <c r="K8"/>
      <c r="L8"/>
      <c r="S8"/>
      <c r="T8"/>
      <c r="U8"/>
      <c r="Y8"/>
      <c r="AA8"/>
      <c r="AB8"/>
      <c r="AN8"/>
      <c r="AR8"/>
    </row>
    <row r="9" spans="1:50" x14ac:dyDescent="0.25">
      <c r="H9"/>
      <c r="I9"/>
      <c r="J9"/>
      <c r="K9"/>
      <c r="L9"/>
      <c r="S9"/>
      <c r="T9"/>
      <c r="U9"/>
      <c r="Y9"/>
      <c r="AA9"/>
      <c r="AB9"/>
      <c r="AN9"/>
      <c r="AR9"/>
    </row>
    <row r="10" spans="1:50" x14ac:dyDescent="0.25">
      <c r="K10"/>
      <c r="L10"/>
      <c r="S10"/>
      <c r="T10"/>
      <c r="U10"/>
      <c r="Y10"/>
      <c r="AA10"/>
      <c r="AB10"/>
      <c r="AN10"/>
      <c r="AR10"/>
    </row>
    <row r="11" spans="1:50" x14ac:dyDescent="0.25">
      <c r="K11"/>
      <c r="L11"/>
      <c r="S11"/>
      <c r="T11"/>
      <c r="U11"/>
      <c r="Y11"/>
      <c r="AA11"/>
      <c r="AB11"/>
      <c r="AN11"/>
      <c r="AR11"/>
    </row>
    <row r="12" spans="1:50" x14ac:dyDescent="0.25">
      <c r="K12"/>
      <c r="L12"/>
      <c r="S12"/>
      <c r="T12"/>
      <c r="U12"/>
      <c r="Y12"/>
      <c r="AA12"/>
      <c r="AB12"/>
      <c r="AN12"/>
      <c r="AR12"/>
    </row>
    <row r="13" spans="1:50" x14ac:dyDescent="0.25">
      <c r="K13"/>
      <c r="L13"/>
      <c r="S13"/>
      <c r="T13"/>
      <c r="U13"/>
      <c r="Y13"/>
      <c r="AA13"/>
      <c r="AB13"/>
      <c r="AN13"/>
      <c r="AR13"/>
    </row>
    <row r="14" spans="1:50" x14ac:dyDescent="0.25">
      <c r="K14"/>
      <c r="L14"/>
      <c r="S14"/>
      <c r="T14"/>
      <c r="U14"/>
      <c r="Y14"/>
      <c r="AA14"/>
      <c r="AB14"/>
      <c r="AN14"/>
      <c r="AR14"/>
    </row>
    <row r="15" spans="1:50" x14ac:dyDescent="0.25">
      <c r="K15"/>
      <c r="L15"/>
      <c r="S15"/>
      <c r="T15"/>
      <c r="U15"/>
      <c r="Y15"/>
      <c r="AA15"/>
      <c r="AB15"/>
      <c r="AN15"/>
      <c r="AR15"/>
    </row>
    <row r="16" spans="1:50" x14ac:dyDescent="0.25">
      <c r="K16"/>
      <c r="L16"/>
      <c r="S16"/>
      <c r="T16"/>
      <c r="U16"/>
      <c r="Y16"/>
      <c r="AA16"/>
      <c r="AB16"/>
      <c r="AN16"/>
      <c r="AR16"/>
    </row>
    <row r="17" spans="11:44" x14ac:dyDescent="0.25">
      <c r="K17"/>
      <c r="L17"/>
      <c r="S17"/>
      <c r="T17"/>
      <c r="U17"/>
      <c r="Y17"/>
      <c r="AA17"/>
      <c r="AB17"/>
      <c r="AN17"/>
      <c r="AR17"/>
    </row>
    <row r="18" spans="11:44" x14ac:dyDescent="0.25">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Q6" sqref="Q6"/>
    </sheetView>
  </sheetViews>
  <sheetFormatPr defaultRowHeight="15" x14ac:dyDescent="0.25"/>
  <cols>
    <col min="1" max="1" width="8.42578125" customWidth="1"/>
    <col min="2" max="2" width="13.85546875" style="22" customWidth="1"/>
    <col min="3" max="3" width="11.42578125" style="22"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3.42578125" style="22" bestFit="1" customWidth="1"/>
    <col min="12" max="12" width="3.28515625" customWidth="1"/>
    <col min="13" max="13" width="6" style="26" customWidth="1"/>
    <col min="14" max="16" width="4.140625" customWidth="1"/>
    <col min="17" max="17" width="19.42578125" style="29" customWidth="1"/>
    <col min="18" max="18" width="20.5703125" style="29" customWidth="1"/>
    <col min="19" max="19" width="8.85546875" style="29" customWidth="1"/>
    <col min="20" max="22" width="7.28515625" style="29" customWidth="1"/>
    <col min="23" max="23" width="2.85546875" style="21" customWidth="1"/>
    <col min="24" max="24" width="7.28515625" style="21" customWidth="1"/>
    <col min="25" max="25" width="5.42578125" style="21" customWidth="1"/>
    <col min="26" max="26" width="5.28515625" customWidth="1"/>
    <col min="27" max="27" width="7.85546875" bestFit="1" customWidth="1"/>
    <col min="28" max="29" width="3.5703125" customWidth="1"/>
    <col min="30" max="30" width="3.5703125" style="21" customWidth="1"/>
    <col min="31" max="31" width="2.42578125" style="21" customWidth="1"/>
    <col min="32" max="32" width="3.28515625" style="26" customWidth="1"/>
    <col min="33" max="33" width="4.42578125" customWidth="1"/>
    <col min="34" max="34" width="3.42578125" customWidth="1"/>
    <col min="35" max="35" width="13.7109375" style="30" customWidth="1"/>
    <col min="36" max="36" width="9.28515625" customWidth="1"/>
    <col min="37" max="38" width="12.7109375" style="13" customWidth="1"/>
    <col min="39" max="39" width="4.5703125" style="5" customWidth="1"/>
    <col min="40" max="40" width="9.28515625" customWidth="1"/>
    <col min="41" max="41" width="4.42578125" style="21" customWidth="1"/>
    <col min="42" max="42" width="72" style="21" bestFit="1" customWidth="1"/>
    <col min="43" max="43" width="3.28515625" customWidth="1"/>
    <col min="44" max="44" width="7.7109375" customWidth="1"/>
    <col min="45" max="45" width="8.7109375" style="26" bestFit="1" customWidth="1"/>
    <col min="46" max="46" width="9.140625" customWidth="1"/>
    <col min="47" max="47" width="13.42578125" style="21" customWidth="1"/>
    <col min="48" max="48" width="4.140625" style="21" customWidth="1"/>
    <col min="49" max="49" width="17.5703125" style="21" customWidth="1"/>
    <col min="50" max="50" width="8.7109375" style="26" customWidth="1"/>
    <col min="51" max="51" width="11.5703125" style="21" customWidth="1"/>
    <col min="52" max="52" width="34.140625" style="21" customWidth="1"/>
    <col min="53" max="53" width="4.42578125" style="21" customWidth="1"/>
    <col min="54" max="54" width="3.5703125" style="21" customWidth="1"/>
    <col min="55" max="58" width="2.85546875" style="21" customWidth="1"/>
    <col min="59" max="59" width="2.85546875" customWidth="1"/>
    <col min="60" max="67" width="2.85546875" style="21" customWidth="1"/>
    <col min="68" max="68" width="2.85546875" style="27" customWidth="1"/>
    <col min="69" max="72" width="2.85546875" style="21" customWidth="1"/>
    <col min="73" max="73" width="10.5703125" bestFit="1" customWidth="1"/>
    <col min="74" max="74" width="14.42578125" style="21" customWidth="1"/>
    <col min="75" max="75" width="11.42578125" style="21" customWidth="1"/>
    <col min="76" max="76" width="24.5703125" style="21" bestFit="1" customWidth="1"/>
    <col min="77" max="77" width="12" bestFit="1" customWidth="1"/>
    <col min="78" max="78" width="12" customWidth="1"/>
    <col min="79" max="79" width="18.42578125" customWidth="1"/>
    <col min="80" max="83" width="2.7109375" style="21" customWidth="1"/>
    <col min="84" max="86" width="2.7109375" customWidth="1"/>
    <col min="87" max="90" width="2.7109375" style="21" customWidth="1"/>
    <col min="91" max="93" width="2.7109375" customWidth="1"/>
    <col min="94" max="97" width="2.7109375" style="21" customWidth="1"/>
    <col min="98" max="100" width="2.7109375" customWidth="1"/>
    <col min="101" max="104" width="2.7109375" style="21" customWidth="1"/>
    <col min="105" max="107" width="2.7109375" customWidth="1"/>
    <col min="108" max="111" width="2.7109375" style="21" customWidth="1"/>
    <col min="112" max="114" width="2.7109375" customWidth="1"/>
    <col min="115" max="118" width="2.7109375" style="21" customWidth="1"/>
    <col min="119" max="121" width="2.7109375" customWidth="1"/>
    <col min="122" max="122" width="36.5703125" customWidth="1"/>
    <col min="123" max="123" width="45.7109375" customWidth="1"/>
    <col min="124" max="124" width="27.140625" customWidth="1"/>
    <col min="125" max="125" width="15.28515625" customWidth="1"/>
    <col min="126" max="126" width="30" bestFit="1" customWidth="1"/>
    <col min="127" max="127" width="11.7109375" customWidth="1"/>
    <col min="128" max="128" width="27.28515625" bestFit="1" customWidth="1"/>
    <col min="129" max="129" width="5.42578125" bestFit="1" customWidth="1"/>
    <col min="130" max="130" width="35.140625" customWidth="1"/>
    <col min="131" max="131" width="13.42578125" style="22" bestFit="1" customWidth="1"/>
    <col min="132" max="132" width="29.28515625" hidden="1" customWidth="1"/>
    <col min="133" max="133" width="72" hidden="1" customWidth="1"/>
  </cols>
  <sheetData>
    <row r="1" spans="1:133" ht="41.65" customHeight="1" x14ac:dyDescent="0.25">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25">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25">
      <c r="A3" s="30"/>
      <c r="B3" s="22">
        <v>42993.675000000003</v>
      </c>
      <c r="C3" s="22" t="s">
        <v>660</v>
      </c>
      <c r="D3" s="30" t="s">
        <v>661</v>
      </c>
      <c r="E3" s="30" t="s">
        <v>526</v>
      </c>
      <c r="F3" s="30" t="s">
        <v>167</v>
      </c>
      <c r="G3" s="30" t="s">
        <v>169</v>
      </c>
      <c r="H3" t="s">
        <v>94</v>
      </c>
      <c r="I3" t="s">
        <v>662</v>
      </c>
      <c r="J3" t="s">
        <v>568</v>
      </c>
      <c r="L3">
        <v>1</v>
      </c>
      <c r="M3" s="26">
        <v>2</v>
      </c>
      <c r="N3" t="s">
        <v>119</v>
      </c>
      <c r="Q3" s="29" t="s">
        <v>171</v>
      </c>
      <c r="R3" s="29" t="str">
        <f>IFERROR(MID(RADataTable[[#This Row],[RAtemplate]],1,LEN(RADataTable[[#This Row],[RAtemplate]])-8),"RA") &amp; " " &amp; RADataTable[[#This Row],[prop_id0]] &amp; " " &amp; RADataTable[[#This Row],[last0]]</f>
        <v>Awd  1761623 Du</v>
      </c>
      <c r="U3" s="21" t="str">
        <f>IF(signer1="PD",IF(ISBLANK(RADataTable[[#This Row],[sign_blck_name]]),"",RADataTable[[#This Row],[sign_blck_name]]),IF(ISBLANK(signer1),"",signer1))</f>
        <v>Cynthia Chen</v>
      </c>
      <c r="V3" s="29" t="str">
        <f t="shared" ref="V3:V17" si="1">signer2</f>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664</v>
      </c>
      <c r="AA3" t="s">
        <v>616</v>
      </c>
      <c r="AB3">
        <v>4</v>
      </c>
      <c r="AD3"/>
      <c r="AE3" s="21" t="str">
        <f>IF(RADataTable[[#This Row],[maxScore]]-RADataTable[[#This Row],[minScore]]&gt;4,"Y","")</f>
        <v/>
      </c>
      <c r="AF3" s="21">
        <v>5</v>
      </c>
      <c r="AG3" s="26">
        <v>6</v>
      </c>
      <c r="AH3">
        <v>9</v>
      </c>
      <c r="AI3" t="s">
        <v>714</v>
      </c>
      <c r="AJ3" s="30">
        <v>43052.445833333331</v>
      </c>
      <c r="AK3" s="13">
        <v>350000</v>
      </c>
      <c r="AL3" s="13">
        <v>350000</v>
      </c>
      <c r="AM3">
        <v>0</v>
      </c>
      <c r="AN3" s="30">
        <v>43252</v>
      </c>
      <c r="AO3" s="21">
        <v>36</v>
      </c>
      <c r="AP3" s="21" t="s">
        <v>715</v>
      </c>
      <c r="AS3" s="30"/>
      <c r="AT3" t="s">
        <v>536</v>
      </c>
      <c r="AU3" s="21" t="s">
        <v>618</v>
      </c>
      <c r="AW3" s="21" t="s">
        <v>741</v>
      </c>
      <c r="AX3" s="30">
        <v>43052</v>
      </c>
      <c r="AY3" s="21" t="s">
        <v>763</v>
      </c>
      <c r="AZ3" s="21" t="s">
        <v>743</v>
      </c>
      <c r="BA3" s="21">
        <v>7</v>
      </c>
      <c r="BG3" s="30"/>
      <c r="BP3" s="30"/>
      <c r="BU3" t="s">
        <v>616</v>
      </c>
      <c r="BV3" s="21" t="s">
        <v>617</v>
      </c>
      <c r="BW3" s="21" t="s">
        <v>713</v>
      </c>
      <c r="BX3" s="21" t="s">
        <v>521</v>
      </c>
      <c r="BY3" s="31">
        <v>350000</v>
      </c>
      <c r="BZ3" s="31">
        <v>350000</v>
      </c>
      <c r="CA3" t="s">
        <v>663</v>
      </c>
      <c r="CF3" s="31"/>
      <c r="CG3" s="31"/>
      <c r="CM3" s="31"/>
      <c r="CN3" s="31"/>
      <c r="CT3" s="31"/>
      <c r="CU3" s="31"/>
      <c r="CV3" s="31"/>
      <c r="DA3" s="31"/>
      <c r="DB3" s="31"/>
      <c r="DC3" s="31"/>
      <c r="DH3" s="31"/>
      <c r="DI3" s="31"/>
      <c r="DO3" s="31"/>
      <c r="DP3" s="31"/>
      <c r="DR3" t="s">
        <v>744</v>
      </c>
      <c r="DS3" t="s">
        <v>745</v>
      </c>
      <c r="DT3" t="s">
        <v>527</v>
      </c>
      <c r="DU3" s="29" t="s">
        <v>753</v>
      </c>
      <c r="DV3" t="s">
        <v>170</v>
      </c>
      <c r="DW3" t="s">
        <v>317</v>
      </c>
      <c r="DX3" t="s">
        <v>168</v>
      </c>
      <c r="DY3" t="s">
        <v>747</v>
      </c>
      <c r="DZ3" t="s">
        <v>748</v>
      </c>
      <c r="EA3" s="22">
        <v>43087.489872685182</v>
      </c>
      <c r="EB3" t="s">
        <v>716</v>
      </c>
      <c r="EC3" t="s">
        <v>764</v>
      </c>
    </row>
    <row r="4" spans="1:133" x14ac:dyDescent="0.25">
      <c r="A4" s="30"/>
      <c r="B4" s="22">
        <v>42984.665277777778</v>
      </c>
      <c r="C4" s="22" t="s">
        <v>660</v>
      </c>
      <c r="D4" s="30" t="s">
        <v>661</v>
      </c>
      <c r="E4" s="30" t="s">
        <v>526</v>
      </c>
      <c r="F4" s="30" t="s">
        <v>167</v>
      </c>
      <c r="G4" s="30" t="s">
        <v>169</v>
      </c>
      <c r="H4" t="s">
        <v>94</v>
      </c>
      <c r="I4" t="s">
        <v>662</v>
      </c>
      <c r="J4" t="s">
        <v>535</v>
      </c>
      <c r="L4">
        <v>1</v>
      </c>
      <c r="M4" s="26">
        <v>3</v>
      </c>
      <c r="N4" t="s">
        <v>539</v>
      </c>
      <c r="Q4" s="29" t="s">
        <v>174</v>
      </c>
      <c r="R4" s="29" t="str">
        <f>IFERROR(MID(RADataTable[[#This Row],[RAtemplate]],1,LEN(RADataTable[[#This Row],[RAtemplate]])-8),"RA") &amp; " " &amp; RADataTable[[#This Row],[prop_id0]] &amp; " " &amp; RADataTable[[#This Row],[last0]]</f>
        <v>Std Decline  1759519 Kim</v>
      </c>
      <c r="U4" s="21" t="str">
        <f>IF(signer1="PD",IF(ISBLANK(RADataTable[[#This Row],[sign_blck_name]]),"",RADataTable[[#This Row],[sign_blck_name]]),IF(ISBLANK(signer1),"",signer1))</f>
        <v>Y. Grace Hsuan</v>
      </c>
      <c r="V4" s="29" t="str">
        <f t="shared" si="1"/>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664</v>
      </c>
      <c r="AA4" t="s">
        <v>533</v>
      </c>
      <c r="AB4">
        <v>3</v>
      </c>
      <c r="AD4"/>
      <c r="AE4" s="21" t="str">
        <f>IF(RADataTable[[#This Row],[maxScore]]-RADataTable[[#This Row],[minScore]]&gt;4,"Y","")</f>
        <v/>
      </c>
      <c r="AF4" s="21">
        <v>3</v>
      </c>
      <c r="AG4" s="26">
        <v>3.3333333333333335</v>
      </c>
      <c r="AH4">
        <v>4</v>
      </c>
      <c r="AI4" t="s">
        <v>666</v>
      </c>
      <c r="AJ4" s="30">
        <v>43052.306250000001</v>
      </c>
      <c r="AK4" s="13">
        <v>345646</v>
      </c>
      <c r="AL4" s="13">
        <v>345646</v>
      </c>
      <c r="AM4">
        <v>0</v>
      </c>
      <c r="AN4" s="30">
        <v>43191</v>
      </c>
      <c r="AO4" s="21">
        <v>33</v>
      </c>
      <c r="AP4" s="21" t="s">
        <v>668</v>
      </c>
      <c r="AS4" s="30"/>
      <c r="AT4" t="s">
        <v>536</v>
      </c>
      <c r="AU4" s="21" t="s">
        <v>538</v>
      </c>
      <c r="AW4" s="21" t="s">
        <v>741</v>
      </c>
      <c r="AX4" s="30">
        <v>43052</v>
      </c>
      <c r="AY4" s="21" t="s">
        <v>742</v>
      </c>
      <c r="AZ4" s="21" t="s">
        <v>743</v>
      </c>
      <c r="BA4" s="21">
        <v>7</v>
      </c>
      <c r="BG4" s="30"/>
      <c r="BP4" s="30"/>
      <c r="BU4" t="s">
        <v>533</v>
      </c>
      <c r="BV4" s="21" t="s">
        <v>534</v>
      </c>
      <c r="BW4" s="21" t="s">
        <v>665</v>
      </c>
      <c r="BX4" s="21" t="s">
        <v>512</v>
      </c>
      <c r="BY4" s="31">
        <v>345646</v>
      </c>
      <c r="BZ4" s="31">
        <v>345646</v>
      </c>
      <c r="CA4" t="s">
        <v>663</v>
      </c>
      <c r="CF4" s="31"/>
      <c r="CG4" s="31"/>
      <c r="CM4" s="31"/>
      <c r="CN4" s="31"/>
      <c r="CT4" s="31"/>
      <c r="CU4" s="31"/>
      <c r="CV4" s="31"/>
      <c r="DA4" s="31"/>
      <c r="DB4" s="31"/>
      <c r="DC4" s="31"/>
      <c r="DH4" s="31"/>
      <c r="DI4" s="31"/>
      <c r="DO4" s="31"/>
      <c r="DP4" s="31"/>
      <c r="DR4" t="s">
        <v>744</v>
      </c>
      <c r="DS4" t="s">
        <v>745</v>
      </c>
      <c r="DT4" t="s">
        <v>527</v>
      </c>
      <c r="DU4" s="29" t="s">
        <v>746</v>
      </c>
      <c r="DV4" t="s">
        <v>667</v>
      </c>
      <c r="DW4" t="s">
        <v>317</v>
      </c>
      <c r="DX4" t="s">
        <v>168</v>
      </c>
      <c r="DY4" t="s">
        <v>747</v>
      </c>
      <c r="DZ4" t="s">
        <v>748</v>
      </c>
      <c r="EA4" s="22">
        <v>43087.489872685182</v>
      </c>
      <c r="EB4" t="s">
        <v>669</v>
      </c>
      <c r="EC4" t="s">
        <v>749</v>
      </c>
    </row>
    <row r="5" spans="1:133" x14ac:dyDescent="0.25">
      <c r="A5" s="30"/>
      <c r="B5" s="22">
        <v>42989.896527777775</v>
      </c>
      <c r="C5" s="22" t="s">
        <v>660</v>
      </c>
      <c r="D5" s="30" t="s">
        <v>661</v>
      </c>
      <c r="E5" s="30" t="s">
        <v>526</v>
      </c>
      <c r="F5" s="30" t="s">
        <v>167</v>
      </c>
      <c r="G5" s="30" t="s">
        <v>169</v>
      </c>
      <c r="H5" t="s">
        <v>94</v>
      </c>
      <c r="I5" t="s">
        <v>662</v>
      </c>
      <c r="J5" t="s">
        <v>535</v>
      </c>
      <c r="L5">
        <v>1</v>
      </c>
      <c r="M5" s="26">
        <v>3</v>
      </c>
      <c r="N5" t="s">
        <v>539</v>
      </c>
      <c r="Q5" s="29" t="s">
        <v>174</v>
      </c>
      <c r="R5" s="29" t="str">
        <f>IFERROR(MID(RADataTable[[#This Row],[RAtemplate]],1,LEN(RADataTable[[#This Row],[RAtemplate]])-8),"RA") &amp; " " &amp; RADataTable[[#This Row],[prop_id0]] &amp; " " &amp; RADataTable[[#This Row],[last0]]</f>
        <v>Std Decline  1760110 Dossick</v>
      </c>
      <c r="U5" s="21" t="str">
        <f>IF(signer1="PD",IF(ISBLANK(RADataTable[[#This Row],[sign_blck_name]]),"",RADataTable[[#This Row],[sign_blck_name]]),IF(ISBLANK(signer1),"",signer1))</f>
        <v>Y. Grace Hsuan</v>
      </c>
      <c r="V5" s="29" t="str">
        <f t="shared" si="1"/>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664</v>
      </c>
      <c r="AA5" t="s">
        <v>555</v>
      </c>
      <c r="AB5">
        <v>3</v>
      </c>
      <c r="AD5"/>
      <c r="AE5" s="21" t="str">
        <f>IF(RADataTable[[#This Row],[maxScore]]-RADataTable[[#This Row],[minScore]]&gt;4,"Y","")</f>
        <v/>
      </c>
      <c r="AF5" s="21">
        <v>3</v>
      </c>
      <c r="AG5" s="26">
        <v>3.6666666666666665</v>
      </c>
      <c r="AH5">
        <v>5</v>
      </c>
      <c r="AI5" t="s">
        <v>671</v>
      </c>
      <c r="AJ5" s="30">
        <v>43052.559027777781</v>
      </c>
      <c r="AK5" s="13">
        <v>455181</v>
      </c>
      <c r="AL5" s="13">
        <v>455181</v>
      </c>
      <c r="AM5">
        <v>0</v>
      </c>
      <c r="AN5" s="30">
        <v>43174</v>
      </c>
      <c r="AO5" s="21">
        <v>36</v>
      </c>
      <c r="AP5" s="21" t="s">
        <v>672</v>
      </c>
      <c r="AS5" s="30"/>
      <c r="AT5" t="s">
        <v>536</v>
      </c>
      <c r="AU5" s="21" t="s">
        <v>538</v>
      </c>
      <c r="AW5" s="21" t="s">
        <v>741</v>
      </c>
      <c r="AX5" s="30">
        <v>43052</v>
      </c>
      <c r="AY5" s="21" t="s">
        <v>523</v>
      </c>
      <c r="AZ5" s="21" t="s">
        <v>743</v>
      </c>
      <c r="BA5" s="21">
        <v>7</v>
      </c>
      <c r="BG5" s="30"/>
      <c r="BP5" s="30"/>
      <c r="BU5" t="s">
        <v>555</v>
      </c>
      <c r="BV5" s="21" t="s">
        <v>556</v>
      </c>
      <c r="BW5" s="21" t="s">
        <v>670</v>
      </c>
      <c r="BX5" s="21" t="s">
        <v>512</v>
      </c>
      <c r="BY5" s="31">
        <v>455181</v>
      </c>
      <c r="BZ5" s="31">
        <v>455181</v>
      </c>
      <c r="CA5" t="s">
        <v>663</v>
      </c>
      <c r="CF5" s="31"/>
      <c r="CG5" s="31"/>
      <c r="CM5" s="31"/>
      <c r="CN5" s="31"/>
      <c r="CT5" s="31"/>
      <c r="CU5" s="31"/>
      <c r="CV5" s="31"/>
      <c r="DA5" s="31"/>
      <c r="DB5" s="31"/>
      <c r="DC5" s="31"/>
      <c r="DH5" s="31"/>
      <c r="DI5" s="31"/>
      <c r="DO5" s="31"/>
      <c r="DP5" s="31"/>
      <c r="DR5" t="s">
        <v>744</v>
      </c>
      <c r="DS5" t="s">
        <v>745</v>
      </c>
      <c r="DT5" t="s">
        <v>527</v>
      </c>
      <c r="DU5" s="29" t="s">
        <v>746</v>
      </c>
      <c r="DV5" t="s">
        <v>170</v>
      </c>
      <c r="DW5" t="s">
        <v>317</v>
      </c>
      <c r="DX5" t="s">
        <v>168</v>
      </c>
      <c r="DY5" t="s">
        <v>747</v>
      </c>
      <c r="DZ5" t="s">
        <v>748</v>
      </c>
      <c r="EA5" s="22">
        <v>43087.489872685182</v>
      </c>
      <c r="EB5" t="s">
        <v>673</v>
      </c>
      <c r="EC5" t="s">
        <v>750</v>
      </c>
    </row>
    <row r="6" spans="1:133" x14ac:dyDescent="0.25">
      <c r="A6" s="30"/>
      <c r="B6" s="22">
        <v>42991.695138888892</v>
      </c>
      <c r="C6" s="22" t="s">
        <v>674</v>
      </c>
      <c r="D6" s="30" t="s">
        <v>661</v>
      </c>
      <c r="E6" s="30" t="s">
        <v>526</v>
      </c>
      <c r="F6" s="30" t="s">
        <v>167</v>
      </c>
      <c r="G6" s="30" t="s">
        <v>169</v>
      </c>
      <c r="H6" t="s">
        <v>94</v>
      </c>
      <c r="I6" t="s">
        <v>662</v>
      </c>
      <c r="J6" t="s">
        <v>568</v>
      </c>
      <c r="L6">
        <v>1</v>
      </c>
      <c r="M6" s="26">
        <v>3</v>
      </c>
      <c r="N6" t="s">
        <v>539</v>
      </c>
      <c r="Q6" s="29" t="s">
        <v>784</v>
      </c>
      <c r="R6" s="29" t="str">
        <f>IFERROR(MID(RADataTable[[#This Row],[RAtemplate]],1,LEN(RADataTable[[#This Row],[RAtemplate]])-8),"RA") &amp; " " &amp; RADataTable[[#This Row],[prop_id0]] &amp; " " &amp; RADataTable[[#This Row],[last0]]</f>
        <v>Std Triage NDP  1760664 Lee</v>
      </c>
      <c r="U6" s="21" t="str">
        <f>IF(signer1="PD",IF(ISBLANK(RADataTable[[#This Row],[sign_blck_name]]),"",RADataTable[[#This Row],[sign_blck_name]]),IF(ISBLANK(signer1),"",signer1))</f>
        <v>Cynthia Chen</v>
      </c>
      <c r="V6" s="29" t="str">
        <f t="shared" si="1"/>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664</v>
      </c>
      <c r="AA6" t="s">
        <v>567</v>
      </c>
      <c r="AB6">
        <v>3</v>
      </c>
      <c r="AD6"/>
      <c r="AE6" s="21" t="str">
        <f>IF(RADataTable[[#This Row],[maxScore]]-RADataTable[[#This Row],[minScore]]&gt;4,"Y","")</f>
        <v/>
      </c>
      <c r="AF6" s="21">
        <v>1</v>
      </c>
      <c r="AG6" s="26">
        <v>1.6666666666666667</v>
      </c>
      <c r="AH6">
        <v>3</v>
      </c>
      <c r="AI6" t="s">
        <v>678</v>
      </c>
      <c r="AJ6" s="30">
        <v>43051.84652777778</v>
      </c>
      <c r="AK6" s="13">
        <v>299932</v>
      </c>
      <c r="AL6" s="13">
        <v>299932</v>
      </c>
      <c r="AM6">
        <v>0</v>
      </c>
      <c r="AN6" s="30">
        <v>43101</v>
      </c>
      <c r="AO6" s="21">
        <v>24</v>
      </c>
      <c r="AP6" s="21" t="s">
        <v>679</v>
      </c>
      <c r="AS6" s="30"/>
      <c r="AT6" t="s">
        <v>536</v>
      </c>
      <c r="AU6" s="21" t="s">
        <v>538</v>
      </c>
      <c r="AW6" s="21" t="s">
        <v>741</v>
      </c>
      <c r="AX6" s="30">
        <v>43052</v>
      </c>
      <c r="AY6" s="21" t="s">
        <v>751</v>
      </c>
      <c r="AZ6" s="21" t="s">
        <v>743</v>
      </c>
      <c r="BA6" s="21">
        <v>7</v>
      </c>
      <c r="BG6" s="30"/>
      <c r="BP6" s="30"/>
      <c r="BU6" t="s">
        <v>567</v>
      </c>
      <c r="BV6" s="21" t="s">
        <v>508</v>
      </c>
      <c r="BW6" s="21" t="s">
        <v>676</v>
      </c>
      <c r="BX6" s="21" t="s">
        <v>677</v>
      </c>
      <c r="BY6" s="31">
        <v>299932</v>
      </c>
      <c r="BZ6" s="31">
        <v>299932</v>
      </c>
      <c r="CA6" t="s">
        <v>675</v>
      </c>
      <c r="CF6" s="31"/>
      <c r="CG6" s="31"/>
      <c r="CM6" s="31"/>
      <c r="CN6" s="31"/>
      <c r="CT6" s="31"/>
      <c r="CU6" s="31"/>
      <c r="CV6" s="31"/>
      <c r="DA6" s="31"/>
      <c r="DB6" s="31"/>
      <c r="DC6" s="31"/>
      <c r="DH6" s="31"/>
      <c r="DI6" s="31"/>
      <c r="DO6" s="31"/>
      <c r="DP6" s="31"/>
      <c r="DR6" t="s">
        <v>752</v>
      </c>
      <c r="DS6" t="s">
        <v>745</v>
      </c>
      <c r="DT6" t="s">
        <v>527</v>
      </c>
      <c r="DU6" s="29" t="s">
        <v>753</v>
      </c>
      <c r="DV6" t="s">
        <v>170</v>
      </c>
      <c r="DW6" t="s">
        <v>317</v>
      </c>
      <c r="DX6" t="s">
        <v>168</v>
      </c>
      <c r="DY6" t="s">
        <v>747</v>
      </c>
      <c r="DZ6" t="s">
        <v>748</v>
      </c>
      <c r="EA6" s="22">
        <v>43087.489872685182</v>
      </c>
      <c r="EB6" t="s">
        <v>680</v>
      </c>
      <c r="EC6" t="s">
        <v>754</v>
      </c>
    </row>
    <row r="7" spans="1:133" x14ac:dyDescent="0.25">
      <c r="A7" s="30"/>
      <c r="B7" s="22">
        <v>42992.520138888889</v>
      </c>
      <c r="C7" s="22" t="s">
        <v>660</v>
      </c>
      <c r="D7" s="30" t="s">
        <v>661</v>
      </c>
      <c r="E7" s="30" t="s">
        <v>526</v>
      </c>
      <c r="F7" s="30" t="s">
        <v>167</v>
      </c>
      <c r="G7" s="30" t="s">
        <v>169</v>
      </c>
      <c r="H7" t="s">
        <v>94</v>
      </c>
      <c r="I7" t="s">
        <v>662</v>
      </c>
      <c r="J7" t="s">
        <v>568</v>
      </c>
      <c r="L7">
        <v>1</v>
      </c>
      <c r="M7" s="26">
        <v>3</v>
      </c>
      <c r="N7" t="s">
        <v>539</v>
      </c>
      <c r="Q7" s="29" t="s">
        <v>13</v>
      </c>
      <c r="R7" s="29" t="str">
        <f>IFERROR(MID(RADataTable[[#This Row],[RAtemplate]],1,LEN(RADataTable[[#This Row],[RAtemplate]])-8),"RA") &amp; " " &amp; RADataTable[[#This Row],[prop_id0]] &amp; " " &amp; RADataTable[[#This Row],[last0]]</f>
        <v>RA 1760896 Park</v>
      </c>
      <c r="U7" s="21" t="str">
        <f>IF(signer1="PD",IF(ISBLANK(RADataTable[[#This Row],[sign_blck_name]]),"",RADataTable[[#This Row],[sign_blck_name]]),IF(ISBLANK(signer1),"",signer1))</f>
        <v>Cynthia Chen</v>
      </c>
      <c r="V7" s="29" t="str">
        <f t="shared" si="1"/>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664</v>
      </c>
      <c r="AA7" t="s">
        <v>576</v>
      </c>
      <c r="AB7">
        <v>3</v>
      </c>
      <c r="AD7"/>
      <c r="AE7" s="21" t="str">
        <f>IF(RADataTable[[#This Row],[maxScore]]-RADataTable[[#This Row],[minScore]]&gt;4,"Y","")</f>
        <v/>
      </c>
      <c r="AF7" s="21">
        <v>3</v>
      </c>
      <c r="AG7" s="26">
        <v>3.3333333333333335</v>
      </c>
      <c r="AH7">
        <v>4</v>
      </c>
      <c r="AI7" t="s">
        <v>666</v>
      </c>
      <c r="AJ7" s="30">
        <v>43051.79583333333</v>
      </c>
      <c r="AK7" s="13">
        <v>411918</v>
      </c>
      <c r="AL7" s="13">
        <v>411918</v>
      </c>
      <c r="AM7">
        <v>0</v>
      </c>
      <c r="AN7" s="30">
        <v>43101</v>
      </c>
      <c r="AO7" s="21">
        <v>36</v>
      </c>
      <c r="AP7" s="21" t="s">
        <v>683</v>
      </c>
      <c r="AS7" s="30"/>
      <c r="AT7" t="s">
        <v>536</v>
      </c>
      <c r="AU7" s="21" t="s">
        <v>538</v>
      </c>
      <c r="AW7" s="21" t="s">
        <v>741</v>
      </c>
      <c r="AX7" s="30">
        <v>43052</v>
      </c>
      <c r="AY7" s="21" t="s">
        <v>742</v>
      </c>
      <c r="AZ7" s="21" t="s">
        <v>743</v>
      </c>
      <c r="BA7" s="21">
        <v>7</v>
      </c>
      <c r="BG7" s="30"/>
      <c r="BP7" s="30"/>
      <c r="BU7" t="s">
        <v>576</v>
      </c>
      <c r="BV7" s="21" t="s">
        <v>510</v>
      </c>
      <c r="BW7" s="21" t="s">
        <v>681</v>
      </c>
      <c r="BX7" s="21" t="s">
        <v>682</v>
      </c>
      <c r="BY7" s="31">
        <v>411918</v>
      </c>
      <c r="BZ7" s="31">
        <v>411918</v>
      </c>
      <c r="CA7" t="s">
        <v>675</v>
      </c>
      <c r="CF7" s="31"/>
      <c r="CG7" s="31"/>
      <c r="CM7" s="31"/>
      <c r="CN7" s="31"/>
      <c r="CT7" s="31"/>
      <c r="CU7" s="31"/>
      <c r="CV7" s="31"/>
      <c r="DA7" s="31"/>
      <c r="DB7" s="31"/>
      <c r="DC7" s="31"/>
      <c r="DH7" s="31"/>
      <c r="DI7" s="31"/>
      <c r="DO7" s="31"/>
      <c r="DP7" s="31"/>
      <c r="DR7" t="s">
        <v>744</v>
      </c>
      <c r="DS7" t="s">
        <v>745</v>
      </c>
      <c r="DT7" t="s">
        <v>527</v>
      </c>
      <c r="DU7" s="29" t="s">
        <v>753</v>
      </c>
      <c r="DV7" t="s">
        <v>170</v>
      </c>
      <c r="DW7" t="s">
        <v>317</v>
      </c>
      <c r="DX7" t="s">
        <v>168</v>
      </c>
      <c r="DY7" t="s">
        <v>747</v>
      </c>
      <c r="DZ7" t="s">
        <v>748</v>
      </c>
      <c r="EA7" s="22">
        <v>43087.489872685182</v>
      </c>
      <c r="EB7" t="s">
        <v>684</v>
      </c>
      <c r="EC7" t="s">
        <v>755</v>
      </c>
    </row>
    <row r="8" spans="1:133" x14ac:dyDescent="0.25">
      <c r="A8" s="30"/>
      <c r="B8" s="22">
        <v>42992.522222222222</v>
      </c>
      <c r="C8" s="22" t="s">
        <v>660</v>
      </c>
      <c r="D8" s="30" t="s">
        <v>661</v>
      </c>
      <c r="E8" s="30" t="s">
        <v>526</v>
      </c>
      <c r="F8" s="30" t="s">
        <v>167</v>
      </c>
      <c r="G8" s="30" t="s">
        <v>169</v>
      </c>
      <c r="H8" t="s">
        <v>94</v>
      </c>
      <c r="I8" t="s">
        <v>662</v>
      </c>
      <c r="J8" t="s">
        <v>568</v>
      </c>
      <c r="L8">
        <v>1</v>
      </c>
      <c r="M8" s="26">
        <v>3</v>
      </c>
      <c r="N8" t="s">
        <v>539</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 t="shared" si="1"/>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664</v>
      </c>
      <c r="AA8" t="s">
        <v>584</v>
      </c>
      <c r="AB8">
        <v>3</v>
      </c>
      <c r="AD8"/>
      <c r="AE8" s="21" t="str">
        <f>IF(RADataTable[[#This Row],[maxScore]]-RADataTable[[#This Row],[minScore]]&gt;4,"Y","")</f>
        <v/>
      </c>
      <c r="AF8" s="21">
        <v>4</v>
      </c>
      <c r="AG8" s="26">
        <v>4.333333333333333</v>
      </c>
      <c r="AH8">
        <v>5</v>
      </c>
      <c r="AI8" t="s">
        <v>686</v>
      </c>
      <c r="AJ8" s="30">
        <v>43052.602083333331</v>
      </c>
      <c r="AK8" s="13">
        <v>484032</v>
      </c>
      <c r="AL8" s="13">
        <v>484032</v>
      </c>
      <c r="AM8">
        <v>0</v>
      </c>
      <c r="AN8" s="30">
        <v>43221</v>
      </c>
      <c r="AO8" s="21">
        <v>36</v>
      </c>
      <c r="AP8" s="21" t="s">
        <v>687</v>
      </c>
      <c r="AS8" s="30"/>
      <c r="AT8" t="s">
        <v>536</v>
      </c>
      <c r="AU8" s="21" t="s">
        <v>538</v>
      </c>
      <c r="AW8" s="21" t="s">
        <v>741</v>
      </c>
      <c r="AX8" s="30">
        <v>43052</v>
      </c>
      <c r="AY8" s="21" t="s">
        <v>756</v>
      </c>
      <c r="AZ8" s="21" t="s">
        <v>743</v>
      </c>
      <c r="BA8" s="21">
        <v>7</v>
      </c>
      <c r="BB8" s="21">
        <v>1</v>
      </c>
      <c r="BG8" s="30"/>
      <c r="BP8" s="30"/>
      <c r="BU8" t="s">
        <v>584</v>
      </c>
      <c r="BV8" s="21" t="s">
        <v>585</v>
      </c>
      <c r="BW8" s="21" t="s">
        <v>685</v>
      </c>
      <c r="BX8" s="21" t="s">
        <v>521</v>
      </c>
      <c r="BY8" s="31">
        <v>255960</v>
      </c>
      <c r="BZ8" s="31">
        <v>255960</v>
      </c>
      <c r="CA8" t="s">
        <v>663</v>
      </c>
      <c r="CB8" s="21" t="s">
        <v>689</v>
      </c>
      <c r="CC8" s="21" t="s">
        <v>690</v>
      </c>
      <c r="CD8" s="21" t="s">
        <v>514</v>
      </c>
      <c r="CE8" s="21" t="s">
        <v>691</v>
      </c>
      <c r="CF8" s="31">
        <v>78072</v>
      </c>
      <c r="CG8" s="31">
        <v>78072</v>
      </c>
      <c r="CH8" t="s">
        <v>675</v>
      </c>
      <c r="CI8" s="21" t="s">
        <v>693</v>
      </c>
      <c r="CJ8" s="21" t="s">
        <v>694</v>
      </c>
      <c r="CK8" s="21" t="s">
        <v>695</v>
      </c>
      <c r="CL8" s="21" t="s">
        <v>519</v>
      </c>
      <c r="CM8" s="31">
        <v>150000</v>
      </c>
      <c r="CN8" s="31">
        <v>150000</v>
      </c>
      <c r="CO8" t="s">
        <v>663</v>
      </c>
      <c r="CT8" s="31"/>
      <c r="CU8" s="31"/>
      <c r="CV8" s="31"/>
      <c r="DA8" s="31"/>
      <c r="DB8" s="31"/>
      <c r="DC8" s="31"/>
      <c r="DH8" s="31"/>
      <c r="DI8" s="31"/>
      <c r="DO8" s="31"/>
      <c r="DP8" s="31"/>
      <c r="DR8" t="s">
        <v>744</v>
      </c>
      <c r="DS8" t="s">
        <v>745</v>
      </c>
      <c r="DT8" t="s">
        <v>527</v>
      </c>
      <c r="DU8" s="29" t="s">
        <v>753</v>
      </c>
      <c r="DV8" t="s">
        <v>170</v>
      </c>
      <c r="DW8" t="s">
        <v>317</v>
      </c>
      <c r="DX8" t="s">
        <v>168</v>
      </c>
      <c r="DY8" t="s">
        <v>747</v>
      </c>
      <c r="DZ8" t="s">
        <v>748</v>
      </c>
      <c r="EA8" s="22">
        <v>43087.489872685182</v>
      </c>
      <c r="EB8" t="s">
        <v>688</v>
      </c>
      <c r="EC8" t="s">
        <v>757</v>
      </c>
    </row>
    <row r="9" spans="1:133" x14ac:dyDescent="0.25">
      <c r="A9" s="30"/>
      <c r="B9" s="22">
        <v>42992.676388888889</v>
      </c>
      <c r="C9" s="22" t="s">
        <v>660</v>
      </c>
      <c r="D9" s="30" t="s">
        <v>661</v>
      </c>
      <c r="E9" s="30" t="s">
        <v>526</v>
      </c>
      <c r="F9" s="30" t="s">
        <v>167</v>
      </c>
      <c r="G9" s="30" t="s">
        <v>169</v>
      </c>
      <c r="H9" t="s">
        <v>94</v>
      </c>
      <c r="I9" t="s">
        <v>662</v>
      </c>
      <c r="J9" t="s">
        <v>568</v>
      </c>
      <c r="L9">
        <v>1</v>
      </c>
      <c r="M9" s="26">
        <v>3</v>
      </c>
      <c r="N9" t="s">
        <v>539</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 t="shared" si="1"/>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664</v>
      </c>
      <c r="AA9" t="s">
        <v>592</v>
      </c>
      <c r="AB9">
        <v>3</v>
      </c>
      <c r="AD9"/>
      <c r="AE9" s="21" t="str">
        <f>IF(RADataTable[[#This Row],[maxScore]]-RADataTable[[#This Row],[minScore]]&gt;4,"Y","")</f>
        <v/>
      </c>
      <c r="AF9" s="21">
        <v>3</v>
      </c>
      <c r="AG9" s="26">
        <v>3.6666666666666665</v>
      </c>
      <c r="AH9">
        <v>5</v>
      </c>
      <c r="AI9" t="s">
        <v>671</v>
      </c>
      <c r="AJ9" s="30">
        <v>43051.020833333336</v>
      </c>
      <c r="AK9" s="13">
        <v>446786</v>
      </c>
      <c r="AL9" s="13">
        <v>446786</v>
      </c>
      <c r="AM9">
        <v>0</v>
      </c>
      <c r="AN9" s="30">
        <v>43252</v>
      </c>
      <c r="AO9" s="21">
        <v>36</v>
      </c>
      <c r="AP9" s="21" t="s">
        <v>698</v>
      </c>
      <c r="AS9" s="30"/>
      <c r="AT9" t="s">
        <v>536</v>
      </c>
      <c r="AU9" s="21" t="s">
        <v>538</v>
      </c>
      <c r="AW9" s="21" t="s">
        <v>741</v>
      </c>
      <c r="AX9" s="30">
        <v>43052</v>
      </c>
      <c r="AY9" s="21" t="s">
        <v>523</v>
      </c>
      <c r="AZ9" s="21" t="s">
        <v>743</v>
      </c>
      <c r="BA9" s="21">
        <v>7</v>
      </c>
      <c r="BB9" s="21">
        <v>1</v>
      </c>
      <c r="BG9" s="30"/>
      <c r="BP9" s="30"/>
      <c r="BU9" t="s">
        <v>592</v>
      </c>
      <c r="BV9" s="21" t="s">
        <v>593</v>
      </c>
      <c r="BW9" s="21" t="s">
        <v>697</v>
      </c>
      <c r="BX9" s="21" t="s">
        <v>499</v>
      </c>
      <c r="BY9" s="31">
        <v>446786</v>
      </c>
      <c r="BZ9" s="31">
        <v>446786</v>
      </c>
      <c r="CA9" t="s">
        <v>663</v>
      </c>
      <c r="CF9" s="31"/>
      <c r="CG9" s="31"/>
      <c r="CM9" s="31"/>
      <c r="CN9" s="31"/>
      <c r="CT9" s="31"/>
      <c r="CU9" s="31"/>
      <c r="CV9" s="31"/>
      <c r="DA9" s="31"/>
      <c r="DB9" s="31"/>
      <c r="DC9" s="31"/>
      <c r="DH9" s="31"/>
      <c r="DI9" s="31"/>
      <c r="DO9" s="31"/>
      <c r="DP9" s="31"/>
      <c r="DR9" t="s">
        <v>744</v>
      </c>
      <c r="DS9" t="s">
        <v>745</v>
      </c>
      <c r="DT9" t="s">
        <v>527</v>
      </c>
      <c r="DU9" s="29" t="s">
        <v>753</v>
      </c>
      <c r="DV9" t="s">
        <v>170</v>
      </c>
      <c r="DW9" t="s">
        <v>317</v>
      </c>
      <c r="DX9" t="s">
        <v>168</v>
      </c>
      <c r="DY9" t="s">
        <v>747</v>
      </c>
      <c r="DZ9" t="s">
        <v>748</v>
      </c>
      <c r="EA9" s="22">
        <v>43087.489872685182</v>
      </c>
      <c r="EB9" t="s">
        <v>699</v>
      </c>
      <c r="EC9" t="s">
        <v>758</v>
      </c>
    </row>
    <row r="10" spans="1:133" x14ac:dyDescent="0.25">
      <c r="A10" s="30"/>
      <c r="B10" s="22">
        <v>42993.447916666664</v>
      </c>
      <c r="C10" s="22" t="s">
        <v>660</v>
      </c>
      <c r="D10" s="30" t="s">
        <v>661</v>
      </c>
      <c r="E10" s="30" t="s">
        <v>526</v>
      </c>
      <c r="F10" s="30" t="s">
        <v>167</v>
      </c>
      <c r="G10" s="30" t="s">
        <v>169</v>
      </c>
      <c r="H10" t="s">
        <v>94</v>
      </c>
      <c r="I10" t="s">
        <v>662</v>
      </c>
      <c r="J10" t="s">
        <v>568</v>
      </c>
      <c r="L10">
        <v>1</v>
      </c>
      <c r="M10" s="26">
        <v>3</v>
      </c>
      <c r="N10" t="s">
        <v>539</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 t="shared" si="1"/>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664</v>
      </c>
      <c r="AA10" t="s">
        <v>598</v>
      </c>
      <c r="AB10">
        <v>3</v>
      </c>
      <c r="AD10"/>
      <c r="AE10" s="21" t="str">
        <f>IF(RADataTable[[#This Row],[maxScore]]-RADataTable[[#This Row],[minScore]]&gt;4,"Y","")</f>
        <v/>
      </c>
      <c r="AF10" s="21">
        <v>3</v>
      </c>
      <c r="AG10" s="26">
        <v>4</v>
      </c>
      <c r="AH10">
        <v>5</v>
      </c>
      <c r="AI10" t="s">
        <v>518</v>
      </c>
      <c r="AJ10" s="30">
        <v>43050.636111111111</v>
      </c>
      <c r="AK10" s="13">
        <v>305924</v>
      </c>
      <c r="AL10" s="13">
        <v>305924</v>
      </c>
      <c r="AM10">
        <v>0</v>
      </c>
      <c r="AN10" s="30">
        <v>43221</v>
      </c>
      <c r="AO10" s="21">
        <v>36</v>
      </c>
      <c r="AP10" s="21" t="s">
        <v>702</v>
      </c>
      <c r="AS10" s="30"/>
      <c r="AT10" t="s">
        <v>536</v>
      </c>
      <c r="AU10" s="21" t="s">
        <v>538</v>
      </c>
      <c r="AW10" s="21" t="s">
        <v>741</v>
      </c>
      <c r="AX10" s="30">
        <v>43052</v>
      </c>
      <c r="AY10" s="21" t="s">
        <v>502</v>
      </c>
      <c r="AZ10" s="21" t="s">
        <v>743</v>
      </c>
      <c r="BA10" s="21">
        <v>7</v>
      </c>
      <c r="BB10" s="21">
        <v>1</v>
      </c>
      <c r="BG10" s="30"/>
      <c r="BP10" s="30"/>
      <c r="BU10" t="s">
        <v>598</v>
      </c>
      <c r="BV10" s="21" t="s">
        <v>599</v>
      </c>
      <c r="BW10" s="21" t="s">
        <v>700</v>
      </c>
      <c r="BX10" s="21" t="s">
        <v>701</v>
      </c>
      <c r="BY10" s="31">
        <v>305924</v>
      </c>
      <c r="BZ10" s="31">
        <v>305924</v>
      </c>
      <c r="CA10" t="s">
        <v>663</v>
      </c>
      <c r="CF10" s="31"/>
      <c r="CG10" s="31"/>
      <c r="CM10" s="31"/>
      <c r="CN10" s="31"/>
      <c r="CT10" s="31"/>
      <c r="CU10" s="31"/>
      <c r="CV10" s="31"/>
      <c r="DA10" s="31"/>
      <c r="DB10" s="31"/>
      <c r="DC10" s="31"/>
      <c r="DH10" s="31"/>
      <c r="DI10" s="31"/>
      <c r="DO10" s="31"/>
      <c r="DP10" s="31"/>
      <c r="DR10" t="s">
        <v>744</v>
      </c>
      <c r="DS10" t="s">
        <v>745</v>
      </c>
      <c r="DT10" t="s">
        <v>527</v>
      </c>
      <c r="DU10" s="29" t="s">
        <v>753</v>
      </c>
      <c r="DV10" t="s">
        <v>170</v>
      </c>
      <c r="DW10" t="s">
        <v>317</v>
      </c>
      <c r="DX10" t="s">
        <v>168</v>
      </c>
      <c r="DY10" t="s">
        <v>747</v>
      </c>
      <c r="DZ10" t="s">
        <v>748</v>
      </c>
      <c r="EA10" s="22">
        <v>43087.489872685182</v>
      </c>
      <c r="EB10" t="s">
        <v>703</v>
      </c>
      <c r="EC10" t="s">
        <v>759</v>
      </c>
    </row>
    <row r="11" spans="1:133" x14ac:dyDescent="0.25">
      <c r="A11" s="30"/>
      <c r="B11" s="22">
        <v>42993.449305555558</v>
      </c>
      <c r="C11" s="22" t="s">
        <v>660</v>
      </c>
      <c r="D11" s="30" t="s">
        <v>661</v>
      </c>
      <c r="E11" s="30" t="s">
        <v>526</v>
      </c>
      <c r="F11" s="30" t="s">
        <v>167</v>
      </c>
      <c r="G11" s="30" t="s">
        <v>169</v>
      </c>
      <c r="H11" t="s">
        <v>94</v>
      </c>
      <c r="I11" t="s">
        <v>662</v>
      </c>
      <c r="J11" t="s">
        <v>568</v>
      </c>
      <c r="L11">
        <v>1</v>
      </c>
      <c r="M11" s="26">
        <v>3</v>
      </c>
      <c r="N11" t="s">
        <v>539</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 t="shared" si="1"/>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664</v>
      </c>
      <c r="AA11" t="s">
        <v>603</v>
      </c>
      <c r="AB11">
        <v>3</v>
      </c>
      <c r="AD11"/>
      <c r="AE11" s="21" t="str">
        <f>IF(RADataTable[[#This Row],[maxScore]]-RADataTable[[#This Row],[minScore]]&gt;4,"Y","")</f>
        <v/>
      </c>
      <c r="AF11" s="21">
        <v>3</v>
      </c>
      <c r="AG11" s="26">
        <v>3.6666666666666665</v>
      </c>
      <c r="AH11">
        <v>5</v>
      </c>
      <c r="AI11" t="s">
        <v>671</v>
      </c>
      <c r="AJ11" s="30">
        <v>43046.49722222222</v>
      </c>
      <c r="AK11" s="13">
        <v>308306</v>
      </c>
      <c r="AL11" s="13">
        <v>308306</v>
      </c>
      <c r="AM11">
        <v>0</v>
      </c>
      <c r="AN11" s="30">
        <v>43221</v>
      </c>
      <c r="AO11" s="21">
        <v>36</v>
      </c>
      <c r="AP11" s="21" t="s">
        <v>704</v>
      </c>
      <c r="AQ11">
        <v>1</v>
      </c>
      <c r="AR11" t="s">
        <v>522</v>
      </c>
      <c r="AS11" s="30">
        <v>43038.484722222223</v>
      </c>
      <c r="AT11" t="s">
        <v>536</v>
      </c>
      <c r="AU11" s="21" t="s">
        <v>538</v>
      </c>
      <c r="AW11" s="21" t="s">
        <v>741</v>
      </c>
      <c r="AX11" s="30">
        <v>43052</v>
      </c>
      <c r="AY11" s="21" t="s">
        <v>760</v>
      </c>
      <c r="AZ11" s="21" t="s">
        <v>743</v>
      </c>
      <c r="BA11" s="21">
        <v>7</v>
      </c>
      <c r="BB11" s="21">
        <v>1</v>
      </c>
      <c r="BG11" s="30"/>
      <c r="BP11" s="30"/>
      <c r="BU11" t="s">
        <v>603</v>
      </c>
      <c r="BV11" s="21" t="s">
        <v>599</v>
      </c>
      <c r="BW11" s="21" t="s">
        <v>700</v>
      </c>
      <c r="BX11" s="21" t="s">
        <v>701</v>
      </c>
      <c r="BY11" s="31">
        <v>308306</v>
      </c>
      <c r="BZ11" s="31">
        <v>308306</v>
      </c>
      <c r="CA11" t="s">
        <v>663</v>
      </c>
      <c r="CF11" s="31"/>
      <c r="CG11" s="31"/>
      <c r="CM11" s="31"/>
      <c r="CN11" s="31"/>
      <c r="CT11" s="31"/>
      <c r="CU11" s="31"/>
      <c r="CV11" s="31"/>
      <c r="DA11" s="31"/>
      <c r="DB11" s="31"/>
      <c r="DC11" s="31"/>
      <c r="DH11" s="31"/>
      <c r="DI11" s="31"/>
      <c r="DO11" s="31"/>
      <c r="DP11" s="31"/>
      <c r="DR11" t="s">
        <v>744</v>
      </c>
      <c r="DS11" t="s">
        <v>745</v>
      </c>
      <c r="DT11" t="s">
        <v>527</v>
      </c>
      <c r="DU11" s="29" t="s">
        <v>753</v>
      </c>
      <c r="DV11" t="s">
        <v>170</v>
      </c>
      <c r="DW11" t="s">
        <v>317</v>
      </c>
      <c r="DX11" t="s">
        <v>168</v>
      </c>
      <c r="DY11" t="s">
        <v>747</v>
      </c>
      <c r="DZ11" t="s">
        <v>748</v>
      </c>
      <c r="EA11" s="22">
        <v>43087.489872685182</v>
      </c>
      <c r="EB11" t="s">
        <v>703</v>
      </c>
      <c r="EC11" t="s">
        <v>759</v>
      </c>
    </row>
    <row r="12" spans="1:133" x14ac:dyDescent="0.25">
      <c r="A12" s="30"/>
      <c r="B12" s="22">
        <v>42993.551388888889</v>
      </c>
      <c r="C12" s="22" t="s">
        <v>660</v>
      </c>
      <c r="D12" s="30" t="s">
        <v>661</v>
      </c>
      <c r="E12" s="30" t="s">
        <v>526</v>
      </c>
      <c r="F12" s="30" t="s">
        <v>167</v>
      </c>
      <c r="G12" s="30" t="s">
        <v>169</v>
      </c>
      <c r="H12" t="s">
        <v>94</v>
      </c>
      <c r="I12" t="s">
        <v>662</v>
      </c>
      <c r="J12" t="s">
        <v>568</v>
      </c>
      <c r="L12">
        <v>1</v>
      </c>
      <c r="M12" s="26">
        <v>3</v>
      </c>
      <c r="N12" t="s">
        <v>539</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 t="shared" si="1"/>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664</v>
      </c>
      <c r="AA12" t="s">
        <v>610</v>
      </c>
      <c r="AB12">
        <v>3</v>
      </c>
      <c r="AD12"/>
      <c r="AE12" s="21" t="str">
        <f>IF(RADataTable[[#This Row],[maxScore]]-RADataTable[[#This Row],[minScore]]&gt;4,"Y","")</f>
        <v/>
      </c>
      <c r="AF12" s="21">
        <v>3</v>
      </c>
      <c r="AG12" s="26">
        <v>4</v>
      </c>
      <c r="AH12">
        <v>6</v>
      </c>
      <c r="AI12" t="s">
        <v>707</v>
      </c>
      <c r="AJ12" s="30">
        <v>43052.238888888889</v>
      </c>
      <c r="AK12" s="13">
        <v>360453</v>
      </c>
      <c r="AL12" s="13">
        <v>360453</v>
      </c>
      <c r="AM12">
        <v>0</v>
      </c>
      <c r="AN12" s="30">
        <v>43221</v>
      </c>
      <c r="AO12" s="21">
        <v>36</v>
      </c>
      <c r="AP12" s="21" t="s">
        <v>708</v>
      </c>
      <c r="AS12" s="30"/>
      <c r="AT12" t="s">
        <v>536</v>
      </c>
      <c r="AU12" s="21" t="s">
        <v>538</v>
      </c>
      <c r="AW12" s="21" t="s">
        <v>741</v>
      </c>
      <c r="AX12" s="30">
        <v>43052</v>
      </c>
      <c r="AY12" s="21" t="s">
        <v>761</v>
      </c>
      <c r="AZ12" s="21" t="s">
        <v>743</v>
      </c>
      <c r="BA12" s="21">
        <v>7</v>
      </c>
      <c r="BG12" s="30"/>
      <c r="BP12" s="30"/>
      <c r="BU12" t="s">
        <v>610</v>
      </c>
      <c r="BV12" s="21" t="s">
        <v>611</v>
      </c>
      <c r="BW12" s="21" t="s">
        <v>705</v>
      </c>
      <c r="BX12" s="21" t="s">
        <v>706</v>
      </c>
      <c r="BY12" s="31">
        <v>210453</v>
      </c>
      <c r="BZ12" s="31">
        <v>210453</v>
      </c>
      <c r="CA12" t="s">
        <v>675</v>
      </c>
      <c r="CB12" s="21" t="s">
        <v>710</v>
      </c>
      <c r="CC12" s="21" t="s">
        <v>711</v>
      </c>
      <c r="CD12" s="21" t="s">
        <v>515</v>
      </c>
      <c r="CE12" s="21" t="s">
        <v>521</v>
      </c>
      <c r="CF12" s="31">
        <v>150000</v>
      </c>
      <c r="CG12" s="31">
        <v>150000</v>
      </c>
      <c r="CH12" t="s">
        <v>663</v>
      </c>
      <c r="CM12" s="31"/>
      <c r="CN12" s="31"/>
      <c r="CT12" s="31"/>
      <c r="CU12" s="31"/>
      <c r="CV12" s="31"/>
      <c r="DA12" s="31"/>
      <c r="DB12" s="31"/>
      <c r="DC12" s="31"/>
      <c r="DH12" s="31"/>
      <c r="DI12" s="31"/>
      <c r="DO12" s="31"/>
      <c r="DP12" s="31"/>
      <c r="DR12" t="s">
        <v>744</v>
      </c>
      <c r="DS12" t="s">
        <v>745</v>
      </c>
      <c r="DT12" t="s">
        <v>527</v>
      </c>
      <c r="DU12" s="29" t="s">
        <v>753</v>
      </c>
      <c r="DV12" t="s">
        <v>170</v>
      </c>
      <c r="DW12" t="s">
        <v>317</v>
      </c>
      <c r="DX12" t="s">
        <v>168</v>
      </c>
      <c r="DY12" t="s">
        <v>747</v>
      </c>
      <c r="DZ12" t="s">
        <v>748</v>
      </c>
      <c r="EA12" s="22">
        <v>43087.489872685182</v>
      </c>
      <c r="EB12" t="s">
        <v>709</v>
      </c>
      <c r="EC12" t="s">
        <v>762</v>
      </c>
    </row>
    <row r="13" spans="1:133" x14ac:dyDescent="0.25">
      <c r="A13" s="30"/>
      <c r="B13" s="22">
        <v>42996.584722222222</v>
      </c>
      <c r="C13" s="22" t="s">
        <v>660</v>
      </c>
      <c r="D13" s="30" t="s">
        <v>661</v>
      </c>
      <c r="E13" s="30" t="s">
        <v>526</v>
      </c>
      <c r="F13" s="30" t="s">
        <v>167</v>
      </c>
      <c r="G13" s="30" t="s">
        <v>169</v>
      </c>
      <c r="H13" t="s">
        <v>94</v>
      </c>
      <c r="I13" t="s">
        <v>662</v>
      </c>
      <c r="J13" t="s">
        <v>568</v>
      </c>
      <c r="K13" s="22">
        <v>43084.715127314812</v>
      </c>
      <c r="L13">
        <v>1</v>
      </c>
      <c r="M13" s="26">
        <v>3</v>
      </c>
      <c r="N13" t="s">
        <v>539</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 t="shared" si="1"/>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664</v>
      </c>
      <c r="AA13" t="s">
        <v>625</v>
      </c>
      <c r="AB13">
        <v>3</v>
      </c>
      <c r="AD13"/>
      <c r="AE13" s="21" t="str">
        <f>IF(RADataTable[[#This Row],[maxScore]]-RADataTable[[#This Row],[minScore]]&gt;4,"Y","")</f>
        <v/>
      </c>
      <c r="AF13" s="21">
        <v>3</v>
      </c>
      <c r="AG13" s="26">
        <v>3</v>
      </c>
      <c r="AH13">
        <v>3</v>
      </c>
      <c r="AI13" t="s">
        <v>718</v>
      </c>
      <c r="AJ13" s="30">
        <v>43052.348611111112</v>
      </c>
      <c r="AK13" s="13">
        <v>398918</v>
      </c>
      <c r="AL13" s="13">
        <v>398918</v>
      </c>
      <c r="AM13">
        <v>0</v>
      </c>
      <c r="AN13" s="30">
        <v>43108</v>
      </c>
      <c r="AO13" s="21">
        <v>36</v>
      </c>
      <c r="AP13" s="21" t="s">
        <v>719</v>
      </c>
      <c r="AS13" s="30"/>
      <c r="AT13" t="s">
        <v>536</v>
      </c>
      <c r="AU13" s="21" t="s">
        <v>538</v>
      </c>
      <c r="AW13" s="21" t="s">
        <v>741</v>
      </c>
      <c r="AX13" s="30">
        <v>43052</v>
      </c>
      <c r="AY13" s="21" t="s">
        <v>765</v>
      </c>
      <c r="AZ13" s="21" t="s">
        <v>743</v>
      </c>
      <c r="BA13" s="21">
        <v>7</v>
      </c>
      <c r="BG13" s="30"/>
      <c r="BP13" s="30"/>
      <c r="BU13" t="s">
        <v>625</v>
      </c>
      <c r="BV13" s="21" t="s">
        <v>626</v>
      </c>
      <c r="BW13" s="21" t="s">
        <v>717</v>
      </c>
      <c r="BX13" s="21" t="s">
        <v>479</v>
      </c>
      <c r="BY13" s="31">
        <v>398918</v>
      </c>
      <c r="BZ13" s="31">
        <v>398918</v>
      </c>
      <c r="CA13" t="s">
        <v>663</v>
      </c>
      <c r="CF13" s="31"/>
      <c r="CG13" s="31"/>
      <c r="CM13" s="31"/>
      <c r="CN13" s="31"/>
      <c r="CT13" s="31"/>
      <c r="CU13" s="31"/>
      <c r="CV13" s="31"/>
      <c r="DA13" s="31"/>
      <c r="DB13" s="31"/>
      <c r="DC13" s="31"/>
      <c r="DH13" s="31"/>
      <c r="DI13" s="31"/>
      <c r="DO13" s="31"/>
      <c r="DP13" s="31"/>
      <c r="DR13" t="s">
        <v>744</v>
      </c>
      <c r="DS13" t="s">
        <v>745</v>
      </c>
      <c r="DT13" t="s">
        <v>527</v>
      </c>
      <c r="DU13" s="29" t="s">
        <v>753</v>
      </c>
      <c r="DV13" t="s">
        <v>170</v>
      </c>
      <c r="DW13" t="s">
        <v>317</v>
      </c>
      <c r="DX13" t="s">
        <v>168</v>
      </c>
      <c r="DY13" t="s">
        <v>747</v>
      </c>
      <c r="DZ13" t="s">
        <v>748</v>
      </c>
      <c r="EA13" s="22">
        <v>43087.489872685182</v>
      </c>
      <c r="EB13" t="s">
        <v>720</v>
      </c>
      <c r="EC13" t="s">
        <v>766</v>
      </c>
    </row>
    <row r="14" spans="1:133" x14ac:dyDescent="0.25">
      <c r="A14" s="30"/>
      <c r="B14" s="22">
        <v>42999.359027777777</v>
      </c>
      <c r="C14" s="22" t="s">
        <v>660</v>
      </c>
      <c r="D14" s="30" t="s">
        <v>661</v>
      </c>
      <c r="E14" s="30" t="s">
        <v>526</v>
      </c>
      <c r="F14" s="30" t="s">
        <v>167</v>
      </c>
      <c r="G14" s="30" t="s">
        <v>169</v>
      </c>
      <c r="H14" t="s">
        <v>94</v>
      </c>
      <c r="I14" t="s">
        <v>662</v>
      </c>
      <c r="J14" t="s">
        <v>568</v>
      </c>
      <c r="K14" s="22">
        <v>43084.715173611112</v>
      </c>
      <c r="L14">
        <v>1</v>
      </c>
      <c r="M14" s="26">
        <v>3</v>
      </c>
      <c r="N14" t="s">
        <v>539</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 t="shared" si="1"/>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664</v>
      </c>
      <c r="AA14" t="s">
        <v>631</v>
      </c>
      <c r="AB14">
        <v>3</v>
      </c>
      <c r="AD14"/>
      <c r="AE14" s="21" t="str">
        <f>IF(RADataTable[[#This Row],[maxScore]]-RADataTable[[#This Row],[minScore]]&gt;4,"Y","")</f>
        <v/>
      </c>
      <c r="AF14" s="21">
        <v>3</v>
      </c>
      <c r="AG14" s="26">
        <v>3</v>
      </c>
      <c r="AH14">
        <v>3</v>
      </c>
      <c r="AI14" t="s">
        <v>718</v>
      </c>
      <c r="AJ14" s="30">
        <v>43052.259027777778</v>
      </c>
      <c r="AK14" s="13">
        <v>226763</v>
      </c>
      <c r="AL14" s="13">
        <v>226763</v>
      </c>
      <c r="AM14">
        <v>0</v>
      </c>
      <c r="AN14" s="30">
        <v>43160</v>
      </c>
      <c r="AO14" s="21">
        <v>24</v>
      </c>
      <c r="AP14" s="21" t="s">
        <v>722</v>
      </c>
      <c r="AS14" s="30"/>
      <c r="AT14" t="s">
        <v>536</v>
      </c>
      <c r="AU14" s="21" t="s">
        <v>538</v>
      </c>
      <c r="AW14" s="21" t="s">
        <v>741</v>
      </c>
      <c r="AX14" s="30">
        <v>43052</v>
      </c>
      <c r="AY14" s="21" t="s">
        <v>765</v>
      </c>
      <c r="AZ14" s="21" t="s">
        <v>743</v>
      </c>
      <c r="BA14" s="21">
        <v>7</v>
      </c>
      <c r="BG14" s="30"/>
      <c r="BP14" s="30"/>
      <c r="BU14" t="s">
        <v>631</v>
      </c>
      <c r="BV14" s="21" t="s">
        <v>509</v>
      </c>
      <c r="BW14" s="21" t="s">
        <v>721</v>
      </c>
      <c r="BX14" s="21" t="s">
        <v>517</v>
      </c>
      <c r="BY14" s="31">
        <v>226763</v>
      </c>
      <c r="BZ14" s="31">
        <v>226763</v>
      </c>
      <c r="CA14" t="s">
        <v>663</v>
      </c>
      <c r="CF14" s="31"/>
      <c r="CG14" s="31"/>
      <c r="CM14" s="31"/>
      <c r="CN14" s="31"/>
      <c r="CT14" s="31"/>
      <c r="CU14" s="31"/>
      <c r="CV14" s="31"/>
      <c r="DA14" s="31"/>
      <c r="DB14" s="31"/>
      <c r="DC14" s="31"/>
      <c r="DH14" s="31"/>
      <c r="DI14" s="31"/>
      <c r="DO14" s="31"/>
      <c r="DP14" s="31"/>
      <c r="DR14" t="s">
        <v>744</v>
      </c>
      <c r="DS14" t="s">
        <v>745</v>
      </c>
      <c r="DT14" t="s">
        <v>527</v>
      </c>
      <c r="DU14" s="29" t="s">
        <v>753</v>
      </c>
      <c r="DV14" t="s">
        <v>170</v>
      </c>
      <c r="DW14" t="s">
        <v>317</v>
      </c>
      <c r="DX14" t="s">
        <v>168</v>
      </c>
      <c r="DY14" t="s">
        <v>747</v>
      </c>
      <c r="DZ14" t="s">
        <v>748</v>
      </c>
      <c r="EA14" s="22">
        <v>43087.489872685182</v>
      </c>
      <c r="EB14" t="s">
        <v>723</v>
      </c>
      <c r="EC14" t="s">
        <v>767</v>
      </c>
    </row>
    <row r="15" spans="1:133" x14ac:dyDescent="0.25">
      <c r="A15" s="30"/>
      <c r="B15" s="22">
        <v>42999.447222222225</v>
      </c>
      <c r="C15" s="22" t="s">
        <v>660</v>
      </c>
      <c r="D15" s="30" t="s">
        <v>661</v>
      </c>
      <c r="E15" s="30" t="s">
        <v>526</v>
      </c>
      <c r="F15" s="30" t="s">
        <v>167</v>
      </c>
      <c r="G15" s="30" t="s">
        <v>169</v>
      </c>
      <c r="H15" t="s">
        <v>94</v>
      </c>
      <c r="I15" t="s">
        <v>662</v>
      </c>
      <c r="J15" t="s">
        <v>568</v>
      </c>
      <c r="L15">
        <v>1</v>
      </c>
      <c r="M15" s="26">
        <v>3</v>
      </c>
      <c r="N15" t="s">
        <v>539</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 t="shared" si="1"/>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664</v>
      </c>
      <c r="AA15" t="s">
        <v>636</v>
      </c>
      <c r="AB15">
        <v>4</v>
      </c>
      <c r="AD15"/>
      <c r="AE15" s="21" t="str">
        <f>IF(RADataTable[[#This Row],[maxScore]]-RADataTable[[#This Row],[minScore]]&gt;4,"Y","")</f>
        <v/>
      </c>
      <c r="AF15" s="21">
        <v>3</v>
      </c>
      <c r="AG15" s="26">
        <v>4.5</v>
      </c>
      <c r="AH15">
        <v>7</v>
      </c>
      <c r="AI15" t="s">
        <v>725</v>
      </c>
      <c r="AJ15" s="30">
        <v>43052.24722222222</v>
      </c>
      <c r="AK15" s="13">
        <v>417731</v>
      </c>
      <c r="AL15" s="13">
        <v>417731</v>
      </c>
      <c r="AM15">
        <v>0</v>
      </c>
      <c r="AN15" s="30">
        <v>43101</v>
      </c>
      <c r="AO15" s="21">
        <v>24</v>
      </c>
      <c r="AP15" s="21" t="s">
        <v>726</v>
      </c>
      <c r="AS15" s="30"/>
      <c r="AT15" t="s">
        <v>536</v>
      </c>
      <c r="AU15" s="21" t="s">
        <v>538</v>
      </c>
      <c r="AW15" s="21" t="s">
        <v>741</v>
      </c>
      <c r="AX15" s="30">
        <v>43052</v>
      </c>
      <c r="AY15" s="21" t="s">
        <v>768</v>
      </c>
      <c r="AZ15" s="21" t="s">
        <v>743</v>
      </c>
      <c r="BA15" s="21">
        <v>7</v>
      </c>
      <c r="BB15" s="21">
        <v>1</v>
      </c>
      <c r="BG15" s="30"/>
      <c r="BP15" s="30"/>
      <c r="BU15" t="s">
        <v>636</v>
      </c>
      <c r="BV15" s="21" t="s">
        <v>637</v>
      </c>
      <c r="BW15" s="21" t="s">
        <v>724</v>
      </c>
      <c r="BX15" s="21" t="s">
        <v>519</v>
      </c>
      <c r="BY15" s="31">
        <v>283738</v>
      </c>
      <c r="BZ15" s="31">
        <v>283738</v>
      </c>
      <c r="CA15" t="s">
        <v>663</v>
      </c>
      <c r="CB15" s="21" t="s">
        <v>728</v>
      </c>
      <c r="CC15" s="21" t="s">
        <v>729</v>
      </c>
      <c r="CD15" s="21" t="s">
        <v>730</v>
      </c>
      <c r="CE15" s="21" t="s">
        <v>731</v>
      </c>
      <c r="CF15" s="31">
        <v>133993</v>
      </c>
      <c r="CG15" s="31">
        <v>133993</v>
      </c>
      <c r="CH15" t="s">
        <v>663</v>
      </c>
      <c r="CM15" s="31"/>
      <c r="CN15" s="31"/>
      <c r="CT15" s="31"/>
      <c r="CU15" s="31"/>
      <c r="CV15" s="31"/>
      <c r="DA15" s="31"/>
      <c r="DB15" s="31"/>
      <c r="DC15" s="31"/>
      <c r="DH15" s="31"/>
      <c r="DI15" s="31"/>
      <c r="DO15" s="31"/>
      <c r="DP15" s="31"/>
      <c r="DR15" t="s">
        <v>744</v>
      </c>
      <c r="DS15" t="s">
        <v>745</v>
      </c>
      <c r="DT15" t="s">
        <v>527</v>
      </c>
      <c r="DU15" s="29" t="s">
        <v>753</v>
      </c>
      <c r="DV15" t="s">
        <v>170</v>
      </c>
      <c r="DW15" t="s">
        <v>317</v>
      </c>
      <c r="DX15" t="s">
        <v>168</v>
      </c>
      <c r="DY15" t="s">
        <v>747</v>
      </c>
      <c r="DZ15" t="s">
        <v>748</v>
      </c>
      <c r="EA15" s="22">
        <v>43087.489872685182</v>
      </c>
      <c r="EB15" t="s">
        <v>727</v>
      </c>
      <c r="EC15" t="s">
        <v>769</v>
      </c>
    </row>
    <row r="16" spans="1:133" x14ac:dyDescent="0.25">
      <c r="A16" s="30"/>
      <c r="B16" s="22">
        <v>43000.450694444444</v>
      </c>
      <c r="C16" s="22" t="s">
        <v>660</v>
      </c>
      <c r="D16" s="30" t="s">
        <v>661</v>
      </c>
      <c r="E16" s="30" t="s">
        <v>526</v>
      </c>
      <c r="F16" s="30" t="s">
        <v>167</v>
      </c>
      <c r="G16" s="30" t="s">
        <v>169</v>
      </c>
      <c r="H16" t="s">
        <v>94</v>
      </c>
      <c r="I16" t="s">
        <v>662</v>
      </c>
      <c r="J16" t="s">
        <v>568</v>
      </c>
      <c r="L16">
        <v>1</v>
      </c>
      <c r="M16" s="26">
        <v>3</v>
      </c>
      <c r="N16" t="s">
        <v>539</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 t="shared" si="1"/>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664</v>
      </c>
      <c r="AA16" t="s">
        <v>645</v>
      </c>
      <c r="AB16">
        <v>4</v>
      </c>
      <c r="AD16"/>
      <c r="AE16" s="21" t="str">
        <f>IF(RADataTable[[#This Row],[maxScore]]-RADataTable[[#This Row],[minScore]]&gt;4,"Y","")</f>
        <v/>
      </c>
      <c r="AF16" s="21">
        <v>3</v>
      </c>
      <c r="AG16" s="26">
        <v>4.25</v>
      </c>
      <c r="AH16">
        <v>7</v>
      </c>
      <c r="AI16" t="s">
        <v>735</v>
      </c>
      <c r="AJ16" s="30">
        <v>43051.798611111109</v>
      </c>
      <c r="AK16" s="13">
        <v>520802</v>
      </c>
      <c r="AL16" s="13">
        <v>520802</v>
      </c>
      <c r="AM16">
        <v>0</v>
      </c>
      <c r="AN16" s="30">
        <v>43241</v>
      </c>
      <c r="AO16" s="21">
        <v>36</v>
      </c>
      <c r="AP16" s="21" t="s">
        <v>736</v>
      </c>
      <c r="AS16" s="30"/>
      <c r="AT16" t="s">
        <v>536</v>
      </c>
      <c r="AU16" s="21" t="s">
        <v>538</v>
      </c>
      <c r="AW16" s="21" t="s">
        <v>741</v>
      </c>
      <c r="AX16" s="30">
        <v>43052</v>
      </c>
      <c r="AY16" s="21" t="s">
        <v>770</v>
      </c>
      <c r="AZ16" s="21" t="s">
        <v>743</v>
      </c>
      <c r="BA16" s="21">
        <v>7</v>
      </c>
      <c r="BB16" s="21">
        <v>1</v>
      </c>
      <c r="BG16" s="30"/>
      <c r="BP16" s="30"/>
      <c r="BU16" t="s">
        <v>645</v>
      </c>
      <c r="BV16" s="21" t="s">
        <v>646</v>
      </c>
      <c r="BW16" s="21" t="s">
        <v>733</v>
      </c>
      <c r="BX16" s="21" t="s">
        <v>734</v>
      </c>
      <c r="BY16" s="31">
        <v>520802</v>
      </c>
      <c r="BZ16" s="31">
        <v>520802</v>
      </c>
      <c r="CA16" t="s">
        <v>663</v>
      </c>
      <c r="CF16" s="31"/>
      <c r="CG16" s="31"/>
      <c r="CM16" s="31"/>
      <c r="CN16" s="31"/>
      <c r="CT16" s="31"/>
      <c r="CU16" s="31"/>
      <c r="CV16" s="31"/>
      <c r="DA16" s="31"/>
      <c r="DB16" s="31"/>
      <c r="DC16" s="31"/>
      <c r="DH16" s="31"/>
      <c r="DI16" s="31"/>
      <c r="DO16" s="31"/>
      <c r="DP16" s="31"/>
      <c r="DR16" t="s">
        <v>744</v>
      </c>
      <c r="DS16" t="s">
        <v>745</v>
      </c>
      <c r="DT16" t="s">
        <v>527</v>
      </c>
      <c r="DU16" s="29" t="s">
        <v>753</v>
      </c>
      <c r="DV16" t="s">
        <v>170</v>
      </c>
      <c r="DW16" t="s">
        <v>317</v>
      </c>
      <c r="DX16" t="s">
        <v>168</v>
      </c>
      <c r="DY16" t="s">
        <v>747</v>
      </c>
      <c r="DZ16" t="s">
        <v>748</v>
      </c>
      <c r="EA16" s="22">
        <v>43087.489872685182</v>
      </c>
      <c r="EB16" t="s">
        <v>737</v>
      </c>
      <c r="EC16" t="s">
        <v>771</v>
      </c>
    </row>
    <row r="17" spans="1:133" x14ac:dyDescent="0.25">
      <c r="A17" s="30"/>
      <c r="B17" s="22">
        <v>43000.552083333336</v>
      </c>
      <c r="C17" s="22" t="s">
        <v>660</v>
      </c>
      <c r="D17" s="30" t="s">
        <v>661</v>
      </c>
      <c r="E17" s="30" t="s">
        <v>526</v>
      </c>
      <c r="F17" s="30" t="s">
        <v>167</v>
      </c>
      <c r="G17" s="30" t="s">
        <v>169</v>
      </c>
      <c r="H17" t="s">
        <v>94</v>
      </c>
      <c r="I17" t="s">
        <v>662</v>
      </c>
      <c r="J17" t="s">
        <v>568</v>
      </c>
      <c r="L17">
        <v>1</v>
      </c>
      <c r="M17" s="26">
        <v>3</v>
      </c>
      <c r="N17" t="s">
        <v>539</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 t="shared" si="1"/>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664</v>
      </c>
      <c r="AA17" t="s">
        <v>653</v>
      </c>
      <c r="AB17">
        <v>4</v>
      </c>
      <c r="AD17"/>
      <c r="AE17" s="21" t="str">
        <f>IF(RADataTable[[#This Row],[maxScore]]-RADataTable[[#This Row],[minScore]]&gt;4,"Y","")</f>
        <v/>
      </c>
      <c r="AF17" s="21">
        <v>2</v>
      </c>
      <c r="AG17" s="26">
        <v>3.75</v>
      </c>
      <c r="AH17">
        <v>6</v>
      </c>
      <c r="AI17" t="s">
        <v>738</v>
      </c>
      <c r="AJ17" s="30">
        <v>43051.804166666669</v>
      </c>
      <c r="AK17" s="13">
        <v>344462</v>
      </c>
      <c r="AL17" s="13">
        <v>344462</v>
      </c>
      <c r="AM17">
        <v>0</v>
      </c>
      <c r="AN17" s="30">
        <v>43235</v>
      </c>
      <c r="AO17" s="21">
        <v>36</v>
      </c>
      <c r="AP17" s="21" t="s">
        <v>739</v>
      </c>
      <c r="AS17" s="30"/>
      <c r="AT17" t="s">
        <v>536</v>
      </c>
      <c r="AU17" s="21" t="s">
        <v>538</v>
      </c>
      <c r="AW17" s="21" t="s">
        <v>741</v>
      </c>
      <c r="AX17" s="30">
        <v>43052</v>
      </c>
      <c r="AY17" s="21" t="s">
        <v>772</v>
      </c>
      <c r="AZ17" s="21" t="s">
        <v>743</v>
      </c>
      <c r="BA17" s="21">
        <v>7</v>
      </c>
      <c r="BG17" s="30"/>
      <c r="BP17" s="30"/>
      <c r="BU17" t="s">
        <v>653</v>
      </c>
      <c r="BV17" s="21" t="s">
        <v>654</v>
      </c>
      <c r="BW17" s="21" t="s">
        <v>490</v>
      </c>
      <c r="BX17" s="21" t="s">
        <v>520</v>
      </c>
      <c r="BY17" s="31">
        <v>344462</v>
      </c>
      <c r="BZ17" s="31">
        <v>344462</v>
      </c>
      <c r="CA17" t="s">
        <v>663</v>
      </c>
      <c r="CF17" s="31"/>
      <c r="CG17" s="31"/>
      <c r="CM17" s="31"/>
      <c r="CN17" s="31"/>
      <c r="CT17" s="31"/>
      <c r="CU17" s="31"/>
      <c r="CV17" s="31"/>
      <c r="DA17" s="31"/>
      <c r="DB17" s="31"/>
      <c r="DC17" s="31"/>
      <c r="DH17" s="31"/>
      <c r="DI17" s="31"/>
      <c r="DO17" s="31"/>
      <c r="DP17" s="31"/>
      <c r="DR17" t="s">
        <v>744</v>
      </c>
      <c r="DS17" t="s">
        <v>745</v>
      </c>
      <c r="DT17" t="s">
        <v>527</v>
      </c>
      <c r="DU17" s="29" t="s">
        <v>753</v>
      </c>
      <c r="DV17" t="s">
        <v>170</v>
      </c>
      <c r="DW17" t="s">
        <v>317</v>
      </c>
      <c r="DX17" t="s">
        <v>168</v>
      </c>
      <c r="DY17" t="s">
        <v>747</v>
      </c>
      <c r="DZ17" t="s">
        <v>748</v>
      </c>
      <c r="EA17" s="22">
        <v>43087.489872685182</v>
      </c>
      <c r="EB17" t="s">
        <v>740</v>
      </c>
      <c r="EC17" t="s">
        <v>773</v>
      </c>
    </row>
  </sheetData>
  <conditionalFormatting sqref="Q2:Q17">
    <cfRule type="expression" dxfId="144"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66675</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heetViews>
  <sheetFormatPr defaultRowHeight="15" x14ac:dyDescent="0.25"/>
  <cols>
    <col min="1" max="1" width="4" customWidth="1"/>
    <col min="2" max="2" width="10.42578125" style="6" customWidth="1"/>
    <col min="3" max="3" width="16.28515625" customWidth="1"/>
    <col min="4" max="4" width="3.28515625" style="5" customWidth="1"/>
    <col min="5" max="5" width="15.7109375" style="23" customWidth="1"/>
    <col min="6" max="6" width="14.42578125" customWidth="1"/>
    <col min="7" max="7" width="10.7109375" customWidth="1"/>
    <col min="8" max="8" width="8.140625" customWidth="1"/>
    <col min="9" max="9" width="2.85546875" customWidth="1"/>
    <col min="10" max="10" width="24.7109375" customWidth="1"/>
    <col min="11" max="11" width="6.85546875" customWidth="1"/>
    <col min="12" max="12" width="9.85546875" customWidth="1"/>
    <col min="13" max="13" width="5.7109375" customWidth="1"/>
    <col min="14" max="14" width="12.5703125" style="6" customWidth="1"/>
    <col min="15" max="15" width="4" customWidth="1"/>
    <col min="16" max="16" width="23.42578125" customWidth="1"/>
    <col min="17" max="17" width="12" customWidth="1"/>
    <col min="18" max="18" width="9.42578125" customWidth="1"/>
    <col min="19" max="19" width="10" customWidth="1"/>
    <col min="20" max="20" width="14" customWidth="1"/>
    <col min="21" max="22" width="11.140625" customWidth="1"/>
    <col min="23" max="23" width="81.140625" bestFit="1" customWidth="1"/>
    <col min="24" max="24" width="20.5703125" bestFit="1" customWidth="1"/>
    <col min="25" max="25" width="18.28515625" bestFit="1" customWidth="1"/>
    <col min="26" max="26" width="45.85546875" bestFit="1" customWidth="1"/>
    <col min="27" max="27" width="36.7109375" bestFit="1" customWidth="1"/>
    <col min="28" max="28" width="10.5703125" bestFit="1" customWidth="1"/>
    <col min="29" max="29" width="9.85546875" bestFit="1" customWidth="1"/>
    <col min="30" max="30" width="20.5703125" customWidth="1"/>
    <col min="31" max="31" width="37.140625" customWidth="1"/>
    <col min="32" max="32" width="19" customWidth="1"/>
    <col min="33" max="33" width="19.140625" bestFit="1" customWidth="1"/>
    <col min="34" max="34" width="14.5703125" bestFit="1" customWidth="1"/>
    <col min="35" max="35" width="10" bestFit="1" customWidth="1"/>
  </cols>
  <sheetData>
    <row r="1" spans="1:14" ht="15.95" customHeight="1" x14ac:dyDescent="0.25">
      <c r="A1" s="60" t="s">
        <v>254</v>
      </c>
      <c r="I1" s="3" t="s">
        <v>223</v>
      </c>
      <c r="N1" s="20" t="s">
        <v>102</v>
      </c>
    </row>
    <row r="2" spans="1:14" ht="15.95" customHeight="1" x14ac:dyDescent="0.25">
      <c r="B2" s="9" t="s">
        <v>472</v>
      </c>
      <c r="I2" s="3" t="s">
        <v>139</v>
      </c>
      <c r="K2" s="29"/>
      <c r="N2" s="19" t="s">
        <v>103</v>
      </c>
    </row>
    <row r="3" spans="1:14" ht="15.95" customHeight="1" x14ac:dyDescent="0.25">
      <c r="B3" s="9" t="s">
        <v>471</v>
      </c>
      <c r="I3" s="3" t="s">
        <v>140</v>
      </c>
      <c r="K3" s="29"/>
      <c r="N3" s="19" t="s">
        <v>98</v>
      </c>
    </row>
    <row r="4" spans="1:14" ht="15.95" customHeight="1" x14ac:dyDescent="0.25">
      <c r="B4" s="9" t="s">
        <v>469</v>
      </c>
      <c r="D4" s="16"/>
      <c r="F4" s="4"/>
      <c r="G4" s="29"/>
      <c r="I4" s="3" t="s">
        <v>222</v>
      </c>
      <c r="K4" s="29"/>
      <c r="N4" s="19" t="s">
        <v>104</v>
      </c>
    </row>
    <row r="5" spans="1:14" ht="15.95" customHeight="1" x14ac:dyDescent="0.25">
      <c r="B5" s="9" t="s">
        <v>470</v>
      </c>
      <c r="C5" s="4"/>
      <c r="F5" s="4"/>
      <c r="G5" s="29"/>
      <c r="I5" s="119" t="s">
        <v>488</v>
      </c>
      <c r="J5" s="120"/>
      <c r="K5" s="29"/>
      <c r="N5" s="19" t="s">
        <v>99</v>
      </c>
    </row>
    <row r="6" spans="1:14" ht="15.95" customHeight="1" x14ac:dyDescent="0.25">
      <c r="B6" s="9" t="s">
        <v>473</v>
      </c>
      <c r="F6" s="4"/>
      <c r="G6" s="29"/>
      <c r="J6" s="7" t="s">
        <v>782</v>
      </c>
      <c r="K6" s="30"/>
      <c r="N6" s="19" t="s">
        <v>105</v>
      </c>
    </row>
    <row r="7" spans="1:14" ht="15.95" customHeight="1" x14ac:dyDescent="0.25">
      <c r="B7" s="9" t="s">
        <v>482</v>
      </c>
      <c r="F7" s="4"/>
      <c r="G7" s="29"/>
      <c r="I7" s="25" t="s">
        <v>489</v>
      </c>
      <c r="J7" s="24"/>
      <c r="K7" s="24"/>
      <c r="N7" s="19" t="s">
        <v>106</v>
      </c>
    </row>
    <row r="8" spans="1:14" ht="15.95" customHeight="1" x14ac:dyDescent="0.25">
      <c r="B8" s="9" t="s">
        <v>483</v>
      </c>
      <c r="F8" s="4"/>
      <c r="G8" s="43"/>
      <c r="J8" s="7" t="s">
        <v>781</v>
      </c>
      <c r="K8" s="24"/>
      <c r="N8" s="19" t="s">
        <v>100</v>
      </c>
    </row>
    <row r="9" spans="1:14" ht="15.95" customHeight="1" x14ac:dyDescent="0.25">
      <c r="B9" s="9"/>
      <c r="F9" s="4"/>
      <c r="G9" s="30"/>
      <c r="N9" s="19" t="s">
        <v>107</v>
      </c>
    </row>
    <row r="10" spans="1:14" ht="18.75" x14ac:dyDescent="0.25">
      <c r="B10" s="47"/>
      <c r="C10" s="127" t="s">
        <v>253</v>
      </c>
      <c r="D10" s="127"/>
      <c r="E10" s="127"/>
      <c r="F10" s="48"/>
      <c r="J10" s="25" t="s">
        <v>138</v>
      </c>
      <c r="L10" s="6"/>
      <c r="N10" s="19" t="s">
        <v>108</v>
      </c>
    </row>
    <row r="11" spans="1:14" ht="15.75" x14ac:dyDescent="0.25">
      <c r="B11" s="49"/>
      <c r="C11" s="50" t="s">
        <v>227</v>
      </c>
      <c r="D11" s="50"/>
      <c r="E11" s="50" t="s">
        <v>228</v>
      </c>
      <c r="F11" s="50"/>
      <c r="J11" s="25" t="s">
        <v>171</v>
      </c>
      <c r="L11" s="6"/>
      <c r="N11" s="19" t="s">
        <v>96</v>
      </c>
    </row>
    <row r="12" spans="1:14" ht="20.100000000000001" customHeight="1" x14ac:dyDescent="0.25">
      <c r="C12" s="51" t="s">
        <v>229</v>
      </c>
      <c r="D12" s="51"/>
      <c r="E12" s="59" t="s">
        <v>245</v>
      </c>
      <c r="F12" s="52" t="s">
        <v>246</v>
      </c>
      <c r="J12" s="25" t="s">
        <v>172</v>
      </c>
      <c r="L12" s="6"/>
      <c r="N12" s="19" t="s">
        <v>109</v>
      </c>
    </row>
    <row r="13" spans="1:14" ht="20.100000000000001" customHeight="1" x14ac:dyDescent="0.25">
      <c r="C13" s="51" t="s">
        <v>240</v>
      </c>
      <c r="D13" s="51"/>
      <c r="E13" s="53" t="s">
        <v>525</v>
      </c>
      <c r="F13" s="54"/>
      <c r="J13" s="25" t="s">
        <v>174</v>
      </c>
      <c r="L13" s="6"/>
      <c r="N13" s="19" t="s">
        <v>110</v>
      </c>
    </row>
    <row r="14" spans="1:14" ht="20.100000000000001" customHeight="1" x14ac:dyDescent="0.25">
      <c r="C14" s="51" t="s">
        <v>234</v>
      </c>
      <c r="D14" s="51"/>
      <c r="E14" s="53"/>
      <c r="F14" s="54"/>
      <c r="J14" s="25" t="s">
        <v>783</v>
      </c>
      <c r="L14" s="6"/>
      <c r="N14" s="19" t="s">
        <v>111</v>
      </c>
    </row>
    <row r="15" spans="1:14" ht="20.100000000000001" customHeight="1" x14ac:dyDescent="0.25">
      <c r="C15" s="51" t="s">
        <v>230</v>
      </c>
      <c r="D15" s="51"/>
      <c r="E15" s="53" t="s">
        <v>249</v>
      </c>
      <c r="F15" s="54"/>
      <c r="H15" s="21"/>
      <c r="J15" s="25" t="s">
        <v>784</v>
      </c>
      <c r="L15" s="6"/>
      <c r="N15" s="19" t="s">
        <v>476</v>
      </c>
    </row>
    <row r="16" spans="1:14" ht="20.100000000000001" customHeight="1" x14ac:dyDescent="0.25">
      <c r="C16" s="51" t="s">
        <v>231</v>
      </c>
      <c r="D16" s="51"/>
      <c r="E16" s="55" t="s">
        <v>248</v>
      </c>
      <c r="F16" s="56"/>
      <c r="H16" s="21"/>
      <c r="L16" s="6"/>
      <c r="N16" s="19" t="s">
        <v>112</v>
      </c>
    </row>
    <row r="17" spans="3:14" ht="20.100000000000001" customHeight="1" x14ac:dyDescent="0.25">
      <c r="C17" s="51" t="s">
        <v>232</v>
      </c>
      <c r="D17" s="51"/>
      <c r="E17" s="53" t="s">
        <v>247</v>
      </c>
      <c r="F17" s="54"/>
      <c r="H17" s="21"/>
      <c r="L17" s="6"/>
      <c r="N17" s="19" t="s">
        <v>113</v>
      </c>
    </row>
    <row r="18" spans="3:14" ht="20.100000000000001" customHeight="1" x14ac:dyDescent="0.25">
      <c r="C18" s="51" t="s">
        <v>233</v>
      </c>
      <c r="D18" s="51"/>
      <c r="E18" s="53" t="s">
        <v>251</v>
      </c>
      <c r="F18" s="54"/>
      <c r="L18" s="6"/>
      <c r="N18" s="19" t="s">
        <v>114</v>
      </c>
    </row>
    <row r="19" spans="3:14" ht="20.100000000000001" customHeight="1" x14ac:dyDescent="0.25">
      <c r="C19" s="51" t="s">
        <v>237</v>
      </c>
      <c r="D19" s="51"/>
      <c r="E19" s="53" t="s">
        <v>252</v>
      </c>
      <c r="F19" s="54"/>
      <c r="L19" s="6"/>
      <c r="N19" s="19" t="s">
        <v>115</v>
      </c>
    </row>
    <row r="20" spans="3:14" ht="20.100000000000001" customHeight="1" x14ac:dyDescent="0.25">
      <c r="C20" s="51" t="s">
        <v>238</v>
      </c>
      <c r="D20" s="51"/>
      <c r="E20" s="53" t="s">
        <v>239</v>
      </c>
      <c r="F20" s="54"/>
      <c r="L20" s="6"/>
      <c r="N20" s="19" t="s">
        <v>116</v>
      </c>
    </row>
    <row r="21" spans="3:14" ht="20.100000000000001" customHeight="1" x14ac:dyDescent="0.25">
      <c r="C21" s="51" t="s">
        <v>241</v>
      </c>
      <c r="D21" s="51"/>
      <c r="E21" s="53" t="s">
        <v>242</v>
      </c>
      <c r="F21" s="54"/>
      <c r="L21" s="6"/>
      <c r="N21" s="19" t="s">
        <v>117</v>
      </c>
    </row>
    <row r="22" spans="3:14" ht="20.100000000000001" customHeight="1" x14ac:dyDescent="0.25">
      <c r="C22" s="51" t="s">
        <v>243</v>
      </c>
      <c r="D22" s="51"/>
      <c r="E22" s="53" t="s">
        <v>244</v>
      </c>
      <c r="F22" s="54"/>
      <c r="L22" s="6"/>
      <c r="N22" s="19" t="s">
        <v>118</v>
      </c>
    </row>
    <row r="23" spans="3:14" ht="20.100000000000001" customHeight="1" x14ac:dyDescent="0.25">
      <c r="C23" s="51" t="s">
        <v>236</v>
      </c>
      <c r="D23" s="57"/>
      <c r="E23" s="117" t="str">
        <f>INDEX(codes_prop_stts,select_prop_stts)</f>
        <v>0[01289]</v>
      </c>
      <c r="F23" s="58"/>
      <c r="N23" s="19" t="s">
        <v>97</v>
      </c>
    </row>
    <row r="24" spans="3:14" ht="20.100000000000001" customHeight="1" x14ac:dyDescent="0.25">
      <c r="C24" s="3"/>
      <c r="D24" s="3"/>
      <c r="E24" s="3"/>
      <c r="F24" s="3"/>
      <c r="N24" s="19" t="s">
        <v>119</v>
      </c>
    </row>
    <row r="25" spans="3:14" ht="20.100000000000001" customHeight="1" x14ac:dyDescent="0.25">
      <c r="D25"/>
      <c r="E25"/>
      <c r="J25" s="23"/>
      <c r="N25" s="19" t="s">
        <v>120</v>
      </c>
    </row>
    <row r="26" spans="3:14" ht="19.7" customHeight="1" x14ac:dyDescent="0.25">
      <c r="D26"/>
      <c r="E26"/>
      <c r="J26" s="23"/>
      <c r="N26" s="19" t="s">
        <v>121</v>
      </c>
    </row>
    <row r="27" spans="3:14" x14ac:dyDescent="0.25">
      <c r="C27" s="25"/>
      <c r="D27"/>
      <c r="E27" s="25"/>
      <c r="F27" s="25"/>
      <c r="I27" s="5"/>
      <c r="J27" s="23"/>
      <c r="N27" s="19" t="s">
        <v>122</v>
      </c>
    </row>
    <row r="28" spans="3:14" x14ac:dyDescent="0.25">
      <c r="C28" s="25"/>
      <c r="D28"/>
      <c r="E28" s="25"/>
      <c r="F28" s="25"/>
      <c r="I28" s="5"/>
      <c r="J28" s="23"/>
      <c r="N28" s="19" t="s">
        <v>123</v>
      </c>
    </row>
    <row r="29" spans="3:14" x14ac:dyDescent="0.25">
      <c r="C29" s="25"/>
      <c r="D29"/>
      <c r="E29" s="25"/>
      <c r="H29" s="12"/>
      <c r="I29" s="5"/>
      <c r="N29" s="19" t="s">
        <v>124</v>
      </c>
    </row>
    <row r="30" spans="3:14" x14ac:dyDescent="0.25">
      <c r="N30" s="122">
        <f>SUBTOTAL(103,EpscorTable[Epscor])</f>
        <v>27</v>
      </c>
    </row>
  </sheetData>
  <mergeCells count="1">
    <mergeCell ref="C10:E10"/>
  </mergeCells>
  <conditionalFormatting sqref="E12:F22">
    <cfRule type="expression" dxfId="44"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180975</xdr:colOff>
                    <xdr:row>5</xdr:row>
                    <xdr:rowOff>19050</xdr:rowOff>
                  </from>
                  <to>
                    <xdr:col>8</xdr:col>
                    <xdr:colOff>171450</xdr:colOff>
                    <xdr:row>6</xdr:row>
                    <xdr:rowOff>9525</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180975</xdr:colOff>
                    <xdr:row>7</xdr:row>
                    <xdr:rowOff>28575</xdr:rowOff>
                  </from>
                  <to>
                    <xdr:col>8</xdr:col>
                    <xdr:colOff>171450</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219075</xdr:colOff>
                    <xdr:row>22</xdr:row>
                    <xdr:rowOff>9525</xdr:rowOff>
                  </from>
                  <to>
                    <xdr:col>6</xdr:col>
                    <xdr:colOff>257175</xdr:colOff>
                    <xdr:row>23</xdr:row>
                    <xdr:rowOff>9525</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95250</xdr:colOff>
                    <xdr:row>4</xdr:row>
                    <xdr:rowOff>200025</xdr:rowOff>
                  </from>
                  <to>
                    <xdr:col>3</xdr:col>
                    <xdr:colOff>161925</xdr:colOff>
                    <xdr:row>6</xdr:row>
                    <xdr:rowOff>19050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5" x14ac:dyDescent="0.25"/>
  <cols>
    <col min="1" max="2" width="8.7109375" style="30" customWidth="1"/>
    <col min="3" max="3" width="12.42578125" customWidth="1"/>
    <col min="4" max="4" width="12.140625" style="30" customWidth="1"/>
    <col min="5" max="5" width="5.42578125" style="30" customWidth="1"/>
    <col min="6" max="6" width="5.28515625" style="30" customWidth="1"/>
    <col min="7" max="7" width="8.85546875" style="30" bestFit="1" customWidth="1"/>
    <col min="8" max="8" width="8.85546875" bestFit="1" customWidth="1"/>
    <col min="9" max="9" width="5.28515625" customWidth="1"/>
    <col min="10" max="10" width="5.5703125" customWidth="1"/>
    <col min="11" max="12" width="9.28515625" bestFit="1" customWidth="1"/>
    <col min="13" max="13" width="6.28515625" style="22" customWidth="1"/>
    <col min="14" max="14" width="5.85546875" style="39" customWidth="1"/>
    <col min="15" max="16" width="6.140625" customWidth="1"/>
    <col min="17" max="17" width="3.42578125" customWidth="1"/>
    <col min="18" max="18" width="11.42578125" customWidth="1"/>
    <col min="19" max="19" width="4.42578125" style="21"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2.5703125" style="21" customWidth="1"/>
    <col min="38" max="38" width="14.28515625" style="82" customWidth="1"/>
    <col min="39" max="39" width="15.140625" style="82" customWidth="1"/>
    <col min="40" max="40" width="10.7109375" style="82" customWidth="1"/>
    <col min="41" max="41" width="11.140625" style="82" customWidth="1"/>
    <col min="42" max="42" width="12.140625" style="82" customWidth="1"/>
    <col min="43" max="43" width="9.5703125" style="21" customWidth="1"/>
    <col min="44" max="44" width="12.140625" style="21" customWidth="1"/>
    <col min="45" max="47" width="5.5703125" style="21" customWidth="1"/>
    <col min="48" max="49" width="11.85546875" customWidth="1"/>
    <col min="50" max="50" width="4.42578125" customWidth="1"/>
    <col min="51" max="51" width="3.7109375" customWidth="1"/>
    <col min="52" max="52" width="8.7109375" style="30" customWidth="1"/>
    <col min="53" max="53" width="3.7109375" customWidth="1"/>
    <col min="54" max="54" width="9.28515625" style="30"/>
    <col min="55" max="55" width="9.5703125" style="30" customWidth="1"/>
    <col min="56" max="56" width="11.5703125" customWidth="1"/>
    <col min="57" max="57" width="12.140625" customWidth="1"/>
    <col min="58" max="58" width="9.85546875" customWidth="1"/>
    <col min="59" max="59" width="10.140625" customWidth="1"/>
    <col min="60" max="60" width="4.42578125" customWidth="1"/>
    <col min="61" max="66" width="3" customWidth="1"/>
    <col min="67" max="67" width="9.28515625" style="1"/>
    <col min="69" max="69" width="85.5703125" customWidth="1"/>
    <col min="70" max="70" width="10.42578125" customWidth="1"/>
    <col min="71" max="71" width="9.5703125" style="13"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36.4" customHeight="1" x14ac:dyDescent="0.25">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25">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25">
      <c r="AK3" s="25" t="s">
        <v>468</v>
      </c>
      <c r="AL3" s="25" t="s">
        <v>468</v>
      </c>
      <c r="AM3" s="31"/>
      <c r="AN3" s="31"/>
      <c r="AO3"/>
      <c r="AP3"/>
      <c r="AQ3"/>
      <c r="AR3"/>
      <c r="AS3"/>
      <c r="AT3"/>
      <c r="AU3"/>
      <c r="AZ3"/>
      <c r="BB3"/>
      <c r="BC3"/>
      <c r="BO3"/>
      <c r="BS3"/>
    </row>
    <row r="4" spans="1:71" x14ac:dyDescent="0.25">
      <c r="AK4"/>
      <c r="AL4" s="89" t="s">
        <v>468</v>
      </c>
      <c r="AM4" s="31"/>
      <c r="AN4" s="31"/>
      <c r="AO4"/>
      <c r="AP4"/>
      <c r="AQ4"/>
      <c r="AR4"/>
      <c r="AS4"/>
      <c r="AT4"/>
      <c r="AU4"/>
      <c r="AZ4"/>
      <c r="BB4"/>
      <c r="BC4"/>
      <c r="BO4"/>
      <c r="BS4"/>
    </row>
    <row r="5" spans="1:71" x14ac:dyDescent="0.25">
      <c r="AK5" s="25" t="s">
        <v>395</v>
      </c>
      <c r="AL5"/>
      <c r="AM5" s="31"/>
      <c r="AN5" s="31"/>
      <c r="AO5"/>
      <c r="AP5"/>
      <c r="AQ5"/>
      <c r="AR5"/>
      <c r="AS5"/>
      <c r="AT5"/>
      <c r="AU5"/>
      <c r="AZ5"/>
      <c r="BB5"/>
      <c r="BC5"/>
      <c r="BO5"/>
      <c r="BS5"/>
    </row>
    <row r="6" spans="1:71" x14ac:dyDescent="0.25">
      <c r="AK6"/>
      <c r="AL6"/>
      <c r="AM6"/>
      <c r="AN6"/>
      <c r="AO6"/>
      <c r="AP6"/>
      <c r="AQ6"/>
      <c r="AR6"/>
      <c r="AS6"/>
      <c r="AT6"/>
      <c r="AU6"/>
      <c r="AZ6"/>
      <c r="BB6"/>
      <c r="BC6"/>
      <c r="BO6"/>
      <c r="BS6"/>
    </row>
    <row r="7" spans="1:71" x14ac:dyDescent="0.25">
      <c r="AK7"/>
      <c r="AL7"/>
      <c r="AM7"/>
      <c r="AN7"/>
      <c r="AO7"/>
      <c r="AP7"/>
      <c r="AQ7"/>
      <c r="AR7"/>
      <c r="AS7"/>
      <c r="AT7"/>
      <c r="AU7"/>
      <c r="AZ7"/>
      <c r="BB7"/>
      <c r="BC7"/>
      <c r="BO7"/>
      <c r="BS7"/>
    </row>
    <row r="8" spans="1:71" x14ac:dyDescent="0.25">
      <c r="AK8"/>
      <c r="AL8"/>
      <c r="AM8"/>
      <c r="AN8"/>
      <c r="AO8"/>
      <c r="AP8"/>
      <c r="AQ8"/>
      <c r="AR8"/>
      <c r="AS8"/>
      <c r="AT8"/>
      <c r="AU8"/>
      <c r="AZ8"/>
      <c r="BB8"/>
      <c r="BC8"/>
      <c r="BO8"/>
      <c r="BS8"/>
    </row>
    <row r="9" spans="1:71" x14ac:dyDescent="0.25">
      <c r="AK9"/>
      <c r="AL9"/>
      <c r="AM9"/>
      <c r="AN9"/>
      <c r="AO9"/>
      <c r="AP9"/>
      <c r="AQ9"/>
      <c r="AR9"/>
      <c r="AS9"/>
      <c r="AT9"/>
      <c r="AU9"/>
      <c r="AZ9"/>
      <c r="BB9"/>
      <c r="BC9"/>
      <c r="BO9"/>
      <c r="BS9"/>
    </row>
  </sheetData>
  <conditionalFormatting sqref="A2:AH2">
    <cfRule type="expression" dxfId="36" priority="3">
      <formula>MOD($S2,2)</formula>
    </cfRule>
    <cfRule type="expression" dxfId="35" priority="2">
      <formula>$U1&lt;&gt;$U2</formula>
    </cfRule>
  </conditionalFormatting>
  <conditionalFormatting sqref="F2 H2 J2 L2 AE2">
    <cfRule type="expression" dxfId="34"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8"/>
  <sheetViews>
    <sheetView workbookViewId="0">
      <selection activeCell="E81" sqref="E81"/>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8" customWidth="1"/>
    <col min="12" max="12" width="16.140625" customWidth="1"/>
    <col min="13" max="14" width="6.28515625" style="21" customWidth="1"/>
    <col min="15" max="15" width="5.140625" customWidth="1"/>
    <col min="16" max="16" width="80.5703125" bestFit="1" customWidth="1"/>
  </cols>
  <sheetData>
    <row r="1" spans="1:16" ht="51.4" customHeight="1" x14ac:dyDescent="0.25">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25">
      <c r="A2">
        <f t="shared" ref="A2:A33" si="0">A1+(B2&lt;&gt;B1)</f>
        <v>1</v>
      </c>
      <c r="B2" t="s">
        <v>533</v>
      </c>
      <c r="C2" t="s">
        <v>534</v>
      </c>
      <c r="D2" t="s">
        <v>491</v>
      </c>
      <c r="E2" t="s">
        <v>535</v>
      </c>
      <c r="F2" t="s">
        <v>536</v>
      </c>
      <c r="G2" t="s">
        <v>537</v>
      </c>
      <c r="H2" t="s">
        <v>538</v>
      </c>
      <c r="I2" t="s">
        <v>494</v>
      </c>
      <c r="K2" s="30">
        <v>43052</v>
      </c>
      <c r="L2" s="8">
        <v>43052.579988425925</v>
      </c>
      <c r="M2" s="21">
        <f>LEN(ProjTextTable[[#This Row],[text]])</f>
        <v>1</v>
      </c>
      <c r="N2" s="21">
        <f>LEN(TRIM(CLEAN(SUBSTITUTE(ProjTextTable[[#This Row],[text]],CHAR(10)," "))))+1 - LEN(SUBSTITUTE(CLEAN(SUBSTITUTE(ProjTextTable[[#This Row],[text]],CHAR(10)," "))," ",""))</f>
        <v>1</v>
      </c>
      <c r="O2" t="s">
        <v>539</v>
      </c>
      <c r="P2" t="s">
        <v>13</v>
      </c>
    </row>
    <row r="3" spans="1:16" x14ac:dyDescent="0.25">
      <c r="A3">
        <f t="shared" si="0"/>
        <v>1</v>
      </c>
      <c r="B3" t="s">
        <v>533</v>
      </c>
      <c r="C3" t="s">
        <v>534</v>
      </c>
      <c r="D3" t="s">
        <v>190</v>
      </c>
      <c r="E3" t="s">
        <v>535</v>
      </c>
      <c r="F3" t="s">
        <v>540</v>
      </c>
      <c r="G3" t="s">
        <v>541</v>
      </c>
      <c r="H3" t="s">
        <v>542</v>
      </c>
      <c r="I3" t="s">
        <v>492</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543</v>
      </c>
    </row>
    <row r="4" spans="1:16" x14ac:dyDescent="0.25">
      <c r="A4">
        <f t="shared" si="0"/>
        <v>1</v>
      </c>
      <c r="B4" t="s">
        <v>533</v>
      </c>
      <c r="C4" t="s">
        <v>534</v>
      </c>
      <c r="D4" t="s">
        <v>190</v>
      </c>
      <c r="E4" t="s">
        <v>535</v>
      </c>
      <c r="F4" t="s">
        <v>544</v>
      </c>
      <c r="G4" t="s">
        <v>545</v>
      </c>
      <c r="H4" t="s">
        <v>546</v>
      </c>
      <c r="I4" t="s">
        <v>492</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547</v>
      </c>
    </row>
    <row r="5" spans="1:16" x14ac:dyDescent="0.25">
      <c r="A5">
        <f t="shared" si="0"/>
        <v>1</v>
      </c>
      <c r="B5" t="s">
        <v>533</v>
      </c>
      <c r="C5" t="s">
        <v>534</v>
      </c>
      <c r="D5" t="s">
        <v>190</v>
      </c>
      <c r="E5" t="s">
        <v>535</v>
      </c>
      <c r="F5" t="s">
        <v>548</v>
      </c>
      <c r="G5" t="s">
        <v>549</v>
      </c>
      <c r="H5" t="s">
        <v>550</v>
      </c>
      <c r="I5" t="s">
        <v>492</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551</v>
      </c>
    </row>
    <row r="6" spans="1:16" x14ac:dyDescent="0.25">
      <c r="A6">
        <f t="shared" si="0"/>
        <v>1</v>
      </c>
      <c r="B6" t="s">
        <v>533</v>
      </c>
      <c r="C6" t="s">
        <v>534</v>
      </c>
      <c r="D6" t="s">
        <v>192</v>
      </c>
      <c r="E6" t="s">
        <v>535</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552</v>
      </c>
    </row>
    <row r="7" spans="1:16" x14ac:dyDescent="0.25">
      <c r="A7">
        <f t="shared" si="0"/>
        <v>1</v>
      </c>
      <c r="B7" t="s">
        <v>533</v>
      </c>
      <c r="C7" t="s">
        <v>534</v>
      </c>
      <c r="D7" t="s">
        <v>504</v>
      </c>
      <c r="E7" t="s">
        <v>535</v>
      </c>
      <c r="F7" t="s">
        <v>533</v>
      </c>
      <c r="G7" t="s">
        <v>553</v>
      </c>
      <c r="H7" t="s">
        <v>554</v>
      </c>
      <c r="K7" s="30"/>
      <c r="L7" s="8">
        <v>43028.530393518522</v>
      </c>
      <c r="M7" s="21">
        <f>LEN(ProjTextTable[[#This Row],[text]])</f>
        <v>15</v>
      </c>
      <c r="N7" s="21">
        <f>LEN(TRIM(CLEAN(SUBSTITUTE(ProjTextTable[[#This Row],[text]],CHAR(10)," "))))+1 - LEN(SUBSTITUTE(CLEAN(SUBSTITUTE(ProjTextTable[[#This Row],[text]],CHAR(10)," "))," ",""))</f>
        <v>2</v>
      </c>
      <c r="O7" t="s">
        <v>13</v>
      </c>
      <c r="P7" t="s">
        <v>554</v>
      </c>
    </row>
    <row r="8" spans="1:16" x14ac:dyDescent="0.25">
      <c r="A8">
        <f t="shared" si="0"/>
        <v>2</v>
      </c>
      <c r="B8" t="s">
        <v>555</v>
      </c>
      <c r="C8" t="s">
        <v>556</v>
      </c>
      <c r="D8" t="s">
        <v>491</v>
      </c>
      <c r="E8" t="s">
        <v>535</v>
      </c>
      <c r="F8" t="s">
        <v>536</v>
      </c>
      <c r="G8" t="s">
        <v>537</v>
      </c>
      <c r="H8" t="s">
        <v>538</v>
      </c>
      <c r="I8" t="s">
        <v>494</v>
      </c>
      <c r="K8" s="30">
        <v>43052</v>
      </c>
      <c r="L8" s="8">
        <v>43052.579988425925</v>
      </c>
      <c r="M8" s="21">
        <f>LEN(ProjTextTable[[#This Row],[text]])</f>
        <v>1</v>
      </c>
      <c r="N8" s="21">
        <f>LEN(TRIM(CLEAN(SUBSTITUTE(ProjTextTable[[#This Row],[text]],CHAR(10)," "))))+1 - LEN(SUBSTITUTE(CLEAN(SUBSTITUTE(ProjTextTable[[#This Row],[text]],CHAR(10)," "))," ",""))</f>
        <v>1</v>
      </c>
      <c r="O8" t="s">
        <v>539</v>
      </c>
      <c r="P8" t="s">
        <v>13</v>
      </c>
    </row>
    <row r="9" spans="1:16" x14ac:dyDescent="0.25">
      <c r="A9">
        <f t="shared" si="0"/>
        <v>2</v>
      </c>
      <c r="B9" t="s">
        <v>555</v>
      </c>
      <c r="C9" t="s">
        <v>556</v>
      </c>
      <c r="D9" t="s">
        <v>190</v>
      </c>
      <c r="E9" t="s">
        <v>535</v>
      </c>
      <c r="F9" t="s">
        <v>557</v>
      </c>
      <c r="G9" t="s">
        <v>558</v>
      </c>
      <c r="H9" t="s">
        <v>559</v>
      </c>
      <c r="I9" t="s">
        <v>492</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560</v>
      </c>
    </row>
    <row r="10" spans="1:16" x14ac:dyDescent="0.25">
      <c r="A10">
        <f t="shared" si="0"/>
        <v>2</v>
      </c>
      <c r="B10" t="s">
        <v>555</v>
      </c>
      <c r="C10" t="s">
        <v>556</v>
      </c>
      <c r="D10" t="s">
        <v>190</v>
      </c>
      <c r="E10" t="s">
        <v>535</v>
      </c>
      <c r="F10" t="s">
        <v>561</v>
      </c>
      <c r="G10" t="s">
        <v>562</v>
      </c>
      <c r="H10" t="s">
        <v>563</v>
      </c>
      <c r="I10" t="s">
        <v>492</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564</v>
      </c>
    </row>
    <row r="11" spans="1:16" x14ac:dyDescent="0.25">
      <c r="A11">
        <f t="shared" si="0"/>
        <v>2</v>
      </c>
      <c r="B11" t="s">
        <v>555</v>
      </c>
      <c r="C11" t="s">
        <v>556</v>
      </c>
      <c r="D11" t="s">
        <v>190</v>
      </c>
      <c r="E11" t="s">
        <v>535</v>
      </c>
      <c r="F11" t="s">
        <v>544</v>
      </c>
      <c r="G11" t="s">
        <v>545</v>
      </c>
      <c r="H11" t="s">
        <v>546</v>
      </c>
      <c r="I11" t="s">
        <v>492</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565</v>
      </c>
    </row>
    <row r="12" spans="1:16" x14ac:dyDescent="0.25">
      <c r="A12">
        <f t="shared" si="0"/>
        <v>2</v>
      </c>
      <c r="B12" t="s">
        <v>555</v>
      </c>
      <c r="C12" t="s">
        <v>556</v>
      </c>
      <c r="D12" t="s">
        <v>192</v>
      </c>
      <c r="E12" t="s">
        <v>535</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566</v>
      </c>
    </row>
    <row r="13" spans="1:16" x14ac:dyDescent="0.25">
      <c r="A13">
        <f t="shared" si="0"/>
        <v>2</v>
      </c>
      <c r="B13" t="s">
        <v>555</v>
      </c>
      <c r="C13" t="s">
        <v>556</v>
      </c>
      <c r="D13" t="s">
        <v>504</v>
      </c>
      <c r="E13" t="s">
        <v>535</v>
      </c>
      <c r="F13" t="s">
        <v>555</v>
      </c>
      <c r="G13" t="s">
        <v>553</v>
      </c>
      <c r="H13" t="s">
        <v>554</v>
      </c>
      <c r="K13" s="30"/>
      <c r="L13" s="8">
        <v>43028.520810185182</v>
      </c>
      <c r="M13" s="21">
        <f>LEN(ProjTextTable[[#This Row],[text]])</f>
        <v>15</v>
      </c>
      <c r="N13" s="21">
        <f>LEN(TRIM(CLEAN(SUBSTITUTE(ProjTextTable[[#This Row],[text]],CHAR(10)," "))))+1 - LEN(SUBSTITUTE(CLEAN(SUBSTITUTE(ProjTextTable[[#This Row],[text]],CHAR(10)," "))," ",""))</f>
        <v>2</v>
      </c>
      <c r="O13" t="s">
        <v>13</v>
      </c>
      <c r="P13" t="s">
        <v>554</v>
      </c>
    </row>
    <row r="14" spans="1:16" x14ac:dyDescent="0.25">
      <c r="A14">
        <f t="shared" si="0"/>
        <v>3</v>
      </c>
      <c r="B14" t="s">
        <v>567</v>
      </c>
      <c r="C14" t="s">
        <v>508</v>
      </c>
      <c r="D14" t="s">
        <v>491</v>
      </c>
      <c r="E14" t="s">
        <v>568</v>
      </c>
      <c r="F14" t="s">
        <v>536</v>
      </c>
      <c r="G14" t="s">
        <v>537</v>
      </c>
      <c r="H14" t="s">
        <v>538</v>
      </c>
      <c r="I14" t="s">
        <v>494</v>
      </c>
      <c r="K14" s="30">
        <v>43052</v>
      </c>
      <c r="L14" s="8">
        <v>43052.579988425925</v>
      </c>
      <c r="M14" s="21">
        <f>LEN(ProjTextTable[[#This Row],[text]])</f>
        <v>1</v>
      </c>
      <c r="N14" s="21">
        <f>LEN(TRIM(CLEAN(SUBSTITUTE(ProjTextTable[[#This Row],[text]],CHAR(10)," "))))+1 - LEN(SUBSTITUTE(CLEAN(SUBSTITUTE(ProjTextTable[[#This Row],[text]],CHAR(10)," "))," ",""))</f>
        <v>1</v>
      </c>
      <c r="O14" t="s">
        <v>539</v>
      </c>
      <c r="P14" t="s">
        <v>13</v>
      </c>
    </row>
    <row r="15" spans="1:16" x14ac:dyDescent="0.25">
      <c r="A15">
        <f t="shared" si="0"/>
        <v>3</v>
      </c>
      <c r="B15" t="s">
        <v>567</v>
      </c>
      <c r="C15" t="s">
        <v>508</v>
      </c>
      <c r="D15" t="s">
        <v>190</v>
      </c>
      <c r="E15" t="s">
        <v>568</v>
      </c>
      <c r="F15" t="s">
        <v>569</v>
      </c>
      <c r="G15" t="s">
        <v>570</v>
      </c>
      <c r="H15" t="s">
        <v>571</v>
      </c>
      <c r="I15" t="s">
        <v>492</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572</v>
      </c>
    </row>
    <row r="16" spans="1:16" x14ac:dyDescent="0.25">
      <c r="A16">
        <f t="shared" si="0"/>
        <v>3</v>
      </c>
      <c r="B16" t="s">
        <v>567</v>
      </c>
      <c r="C16" t="s">
        <v>508</v>
      </c>
      <c r="D16" t="s">
        <v>190</v>
      </c>
      <c r="E16" t="s">
        <v>568</v>
      </c>
      <c r="F16" t="s">
        <v>561</v>
      </c>
      <c r="G16" t="s">
        <v>562</v>
      </c>
      <c r="H16" t="s">
        <v>563</v>
      </c>
      <c r="I16" t="s">
        <v>492</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573</v>
      </c>
    </row>
    <row r="17" spans="1:16" x14ac:dyDescent="0.25">
      <c r="A17">
        <f t="shared" si="0"/>
        <v>3</v>
      </c>
      <c r="B17" t="s">
        <v>567</v>
      </c>
      <c r="C17" t="s">
        <v>508</v>
      </c>
      <c r="D17" t="s">
        <v>190</v>
      </c>
      <c r="E17" t="s">
        <v>568</v>
      </c>
      <c r="F17" t="s">
        <v>544</v>
      </c>
      <c r="G17" t="s">
        <v>545</v>
      </c>
      <c r="H17" t="s">
        <v>546</v>
      </c>
      <c r="I17" t="s">
        <v>492</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574</v>
      </c>
    </row>
    <row r="18" spans="1:16" x14ac:dyDescent="0.25">
      <c r="A18">
        <f t="shared" si="0"/>
        <v>3</v>
      </c>
      <c r="B18" t="s">
        <v>567</v>
      </c>
      <c r="C18" t="s">
        <v>508</v>
      </c>
      <c r="D18" t="s">
        <v>192</v>
      </c>
      <c r="E18" t="s">
        <v>568</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575</v>
      </c>
    </row>
    <row r="19" spans="1:16" x14ac:dyDescent="0.25">
      <c r="A19">
        <f t="shared" si="0"/>
        <v>3</v>
      </c>
      <c r="B19" t="s">
        <v>567</v>
      </c>
      <c r="C19" t="s">
        <v>508</v>
      </c>
      <c r="D19" t="s">
        <v>504</v>
      </c>
      <c r="E19" t="s">
        <v>568</v>
      </c>
      <c r="F19" t="s">
        <v>567</v>
      </c>
      <c r="G19" t="s">
        <v>553</v>
      </c>
      <c r="H19" t="s">
        <v>554</v>
      </c>
      <c r="K19" s="30"/>
      <c r="L19" s="8">
        <v>43028.531550925924</v>
      </c>
      <c r="M19" s="21">
        <f>LEN(ProjTextTable[[#This Row],[text]])</f>
        <v>15</v>
      </c>
      <c r="N19" s="21">
        <f>LEN(TRIM(CLEAN(SUBSTITUTE(ProjTextTable[[#This Row],[text]],CHAR(10)," "))))+1 - LEN(SUBSTITUTE(CLEAN(SUBSTITUTE(ProjTextTable[[#This Row],[text]],CHAR(10)," "))," ",""))</f>
        <v>2</v>
      </c>
      <c r="O19" t="s">
        <v>13</v>
      </c>
      <c r="P19" t="s">
        <v>554</v>
      </c>
    </row>
    <row r="20" spans="1:16" x14ac:dyDescent="0.25">
      <c r="A20">
        <f t="shared" si="0"/>
        <v>4</v>
      </c>
      <c r="B20" t="s">
        <v>576</v>
      </c>
      <c r="C20" t="s">
        <v>510</v>
      </c>
      <c r="D20" t="s">
        <v>491</v>
      </c>
      <c r="E20" t="s">
        <v>568</v>
      </c>
      <c r="F20" t="s">
        <v>536</v>
      </c>
      <c r="G20" t="s">
        <v>537</v>
      </c>
      <c r="H20" t="s">
        <v>538</v>
      </c>
      <c r="I20" t="s">
        <v>494</v>
      </c>
      <c r="K20" s="30">
        <v>43052</v>
      </c>
      <c r="L20" s="8">
        <v>43052.579988425925</v>
      </c>
      <c r="M20" s="21">
        <f>LEN(ProjTextTable[[#This Row],[text]])</f>
        <v>1</v>
      </c>
      <c r="N20" s="21">
        <f>LEN(TRIM(CLEAN(SUBSTITUTE(ProjTextTable[[#This Row],[text]],CHAR(10)," "))))+1 - LEN(SUBSTITUTE(CLEAN(SUBSTITUTE(ProjTextTable[[#This Row],[text]],CHAR(10)," "))," ",""))</f>
        <v>1</v>
      </c>
      <c r="O20" t="s">
        <v>539</v>
      </c>
      <c r="P20" t="s">
        <v>13</v>
      </c>
    </row>
    <row r="21" spans="1:16" x14ac:dyDescent="0.25">
      <c r="A21">
        <f t="shared" si="0"/>
        <v>4</v>
      </c>
      <c r="B21" t="s">
        <v>576</v>
      </c>
      <c r="C21" t="s">
        <v>510</v>
      </c>
      <c r="D21" t="s">
        <v>190</v>
      </c>
      <c r="E21" t="s">
        <v>568</v>
      </c>
      <c r="F21" t="s">
        <v>577</v>
      </c>
      <c r="G21" t="s">
        <v>578</v>
      </c>
      <c r="H21" t="s">
        <v>579</v>
      </c>
      <c r="I21" t="s">
        <v>492</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580</v>
      </c>
    </row>
    <row r="22" spans="1:16" x14ac:dyDescent="0.25">
      <c r="A22">
        <f t="shared" si="0"/>
        <v>4</v>
      </c>
      <c r="B22" t="s">
        <v>576</v>
      </c>
      <c r="C22" t="s">
        <v>510</v>
      </c>
      <c r="D22" t="s">
        <v>190</v>
      </c>
      <c r="E22" t="s">
        <v>568</v>
      </c>
      <c r="F22" t="s">
        <v>561</v>
      </c>
      <c r="G22" t="s">
        <v>562</v>
      </c>
      <c r="H22" t="s">
        <v>563</v>
      </c>
      <c r="I22" t="s">
        <v>492</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581</v>
      </c>
    </row>
    <row r="23" spans="1:16" x14ac:dyDescent="0.25">
      <c r="A23">
        <f t="shared" si="0"/>
        <v>4</v>
      </c>
      <c r="B23" t="s">
        <v>576</v>
      </c>
      <c r="C23" t="s">
        <v>510</v>
      </c>
      <c r="D23" t="s">
        <v>190</v>
      </c>
      <c r="E23" t="s">
        <v>568</v>
      </c>
      <c r="F23" t="s">
        <v>544</v>
      </c>
      <c r="G23" t="s">
        <v>545</v>
      </c>
      <c r="H23" t="s">
        <v>546</v>
      </c>
      <c r="I23" t="s">
        <v>492</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582</v>
      </c>
    </row>
    <row r="24" spans="1:16" x14ac:dyDescent="0.25">
      <c r="A24">
        <f t="shared" si="0"/>
        <v>4</v>
      </c>
      <c r="B24" t="s">
        <v>576</v>
      </c>
      <c r="C24" t="s">
        <v>510</v>
      </c>
      <c r="D24" t="s">
        <v>192</v>
      </c>
      <c r="E24" t="s">
        <v>568</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583</v>
      </c>
    </row>
    <row r="25" spans="1:16" x14ac:dyDescent="0.25">
      <c r="A25">
        <f t="shared" si="0"/>
        <v>4</v>
      </c>
      <c r="B25" t="s">
        <v>576</v>
      </c>
      <c r="C25" t="s">
        <v>510</v>
      </c>
      <c r="D25" t="s">
        <v>504</v>
      </c>
      <c r="E25" t="s">
        <v>568</v>
      </c>
      <c r="F25" t="s">
        <v>576</v>
      </c>
      <c r="G25" t="s">
        <v>553</v>
      </c>
      <c r="H25" t="s">
        <v>554</v>
      </c>
      <c r="K25" s="30"/>
      <c r="L25" s="8">
        <v>43028.538495370369</v>
      </c>
      <c r="M25" s="21">
        <f>LEN(ProjTextTable[[#This Row],[text]])</f>
        <v>15</v>
      </c>
      <c r="N25" s="21">
        <f>LEN(TRIM(CLEAN(SUBSTITUTE(ProjTextTable[[#This Row],[text]],CHAR(10)," "))))+1 - LEN(SUBSTITUTE(CLEAN(SUBSTITUTE(ProjTextTable[[#This Row],[text]],CHAR(10)," "))," ",""))</f>
        <v>2</v>
      </c>
      <c r="O25" t="s">
        <v>13</v>
      </c>
      <c r="P25" t="s">
        <v>554</v>
      </c>
    </row>
    <row r="26" spans="1:16" x14ac:dyDescent="0.25">
      <c r="A26">
        <f t="shared" si="0"/>
        <v>5</v>
      </c>
      <c r="B26" t="s">
        <v>584</v>
      </c>
      <c r="C26" t="s">
        <v>585</v>
      </c>
      <c r="D26" t="s">
        <v>491</v>
      </c>
      <c r="E26" t="s">
        <v>568</v>
      </c>
      <c r="F26" t="s">
        <v>536</v>
      </c>
      <c r="G26" t="s">
        <v>537</v>
      </c>
      <c r="H26" t="s">
        <v>538</v>
      </c>
      <c r="I26" t="s">
        <v>494</v>
      </c>
      <c r="K26" s="30">
        <v>43052</v>
      </c>
      <c r="L26" s="8">
        <v>43052.623043981483</v>
      </c>
      <c r="M26" s="21">
        <f>LEN(ProjTextTable[[#This Row],[text]])</f>
        <v>2146</v>
      </c>
      <c r="N26" s="21">
        <f>LEN(TRIM(CLEAN(SUBSTITUTE(ProjTextTable[[#This Row],[text]],CHAR(10)," "))))+1 - LEN(SUBSTITUTE(CLEAN(SUBSTITUTE(ProjTextTable[[#This Row],[text]],CHAR(10)," "))," ",""))</f>
        <v>302</v>
      </c>
      <c r="O26" t="s">
        <v>539</v>
      </c>
      <c r="P26" t="s">
        <v>586</v>
      </c>
    </row>
    <row r="27" spans="1:16" x14ac:dyDescent="0.25">
      <c r="A27">
        <f t="shared" si="0"/>
        <v>5</v>
      </c>
      <c r="B27" t="s">
        <v>584</v>
      </c>
      <c r="C27" t="s">
        <v>585</v>
      </c>
      <c r="D27" t="s">
        <v>190</v>
      </c>
      <c r="E27" t="s">
        <v>568</v>
      </c>
      <c r="F27" t="s">
        <v>569</v>
      </c>
      <c r="G27" t="s">
        <v>570</v>
      </c>
      <c r="H27" t="s">
        <v>571</v>
      </c>
      <c r="I27" t="s">
        <v>198</v>
      </c>
      <c r="J27" t="s">
        <v>495</v>
      </c>
      <c r="K27" s="30">
        <v>43052</v>
      </c>
      <c r="L27" s="8">
        <v>43045.642314814817</v>
      </c>
      <c r="M27" s="21">
        <f>LEN(ProjTextTable[[#This Row],[text]])</f>
        <v>2119</v>
      </c>
      <c r="N27" s="21">
        <f>LEN(TRIM(CLEAN(SUBSTITUTE(ProjTextTable[[#This Row],[text]],CHAR(10)," "))))+1 - LEN(SUBSTITUTE(CLEAN(SUBSTITUTE(ProjTextTable[[#This Row],[text]],CHAR(10)," "))," ",""))</f>
        <v>314</v>
      </c>
      <c r="O27" t="s">
        <v>226</v>
      </c>
      <c r="P27" t="s">
        <v>587</v>
      </c>
    </row>
    <row r="28" spans="1:16" x14ac:dyDescent="0.25">
      <c r="A28">
        <f t="shared" si="0"/>
        <v>5</v>
      </c>
      <c r="B28" t="s">
        <v>584</v>
      </c>
      <c r="C28" t="s">
        <v>585</v>
      </c>
      <c r="D28" t="s">
        <v>190</v>
      </c>
      <c r="E28" t="s">
        <v>568</v>
      </c>
      <c r="F28" t="s">
        <v>540</v>
      </c>
      <c r="G28" t="s">
        <v>541</v>
      </c>
      <c r="H28" t="s">
        <v>542</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588</v>
      </c>
    </row>
    <row r="29" spans="1:16" x14ac:dyDescent="0.25">
      <c r="A29">
        <f t="shared" si="0"/>
        <v>5</v>
      </c>
      <c r="B29" t="s">
        <v>584</v>
      </c>
      <c r="C29" t="s">
        <v>585</v>
      </c>
      <c r="D29" t="s">
        <v>190</v>
      </c>
      <c r="E29" t="s">
        <v>568</v>
      </c>
      <c r="F29" t="s">
        <v>561</v>
      </c>
      <c r="G29" t="s">
        <v>562</v>
      </c>
      <c r="H29" t="s">
        <v>563</v>
      </c>
      <c r="I29" t="s">
        <v>492</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589</v>
      </c>
    </row>
    <row r="30" spans="1:16" x14ac:dyDescent="0.25">
      <c r="A30">
        <f t="shared" si="0"/>
        <v>5</v>
      </c>
      <c r="B30" t="s">
        <v>584</v>
      </c>
      <c r="C30" t="s">
        <v>585</v>
      </c>
      <c r="D30" t="s">
        <v>190</v>
      </c>
      <c r="E30" t="s">
        <v>568</v>
      </c>
      <c r="F30" t="s">
        <v>544</v>
      </c>
      <c r="G30" t="s">
        <v>545</v>
      </c>
      <c r="H30" t="s">
        <v>546</v>
      </c>
      <c r="I30" t="s">
        <v>492</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590</v>
      </c>
    </row>
    <row r="31" spans="1:16" x14ac:dyDescent="0.25">
      <c r="A31">
        <f t="shared" si="0"/>
        <v>5</v>
      </c>
      <c r="B31" t="s">
        <v>584</v>
      </c>
      <c r="C31" t="s">
        <v>585</v>
      </c>
      <c r="D31" t="s">
        <v>192</v>
      </c>
      <c r="E31" t="s">
        <v>568</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591</v>
      </c>
    </row>
    <row r="32" spans="1:16" x14ac:dyDescent="0.25">
      <c r="A32">
        <f t="shared" si="0"/>
        <v>5</v>
      </c>
      <c r="B32" t="s">
        <v>584</v>
      </c>
      <c r="C32" t="s">
        <v>585</v>
      </c>
      <c r="D32" t="s">
        <v>504</v>
      </c>
      <c r="E32" t="s">
        <v>568</v>
      </c>
      <c r="F32" t="s">
        <v>584</v>
      </c>
      <c r="G32" t="s">
        <v>553</v>
      </c>
      <c r="H32" t="s">
        <v>554</v>
      </c>
      <c r="K32" s="30"/>
      <c r="L32" s="8">
        <v>43028.521087962959</v>
      </c>
      <c r="M32" s="21">
        <f>LEN(ProjTextTable[[#This Row],[text]])</f>
        <v>15</v>
      </c>
      <c r="N32" s="21">
        <f>LEN(TRIM(CLEAN(SUBSTITUTE(ProjTextTable[[#This Row],[text]],CHAR(10)," "))))+1 - LEN(SUBSTITUTE(CLEAN(SUBSTITUTE(ProjTextTable[[#This Row],[text]],CHAR(10)," "))," ",""))</f>
        <v>2</v>
      </c>
      <c r="O32" t="s">
        <v>13</v>
      </c>
      <c r="P32" t="s">
        <v>554</v>
      </c>
    </row>
    <row r="33" spans="1:16" x14ac:dyDescent="0.25">
      <c r="A33">
        <f t="shared" si="0"/>
        <v>6</v>
      </c>
      <c r="B33" t="s">
        <v>592</v>
      </c>
      <c r="C33" t="s">
        <v>593</v>
      </c>
      <c r="D33" t="s">
        <v>491</v>
      </c>
      <c r="E33" t="s">
        <v>568</v>
      </c>
      <c r="F33" t="s">
        <v>536</v>
      </c>
      <c r="G33" t="s">
        <v>537</v>
      </c>
      <c r="H33" t="s">
        <v>538</v>
      </c>
      <c r="I33" t="s">
        <v>494</v>
      </c>
      <c r="K33" s="30">
        <v>43052</v>
      </c>
      <c r="L33" s="8">
        <v>43052.579988425925</v>
      </c>
      <c r="M33" s="21">
        <f>LEN(ProjTextTable[[#This Row],[text]])</f>
        <v>1</v>
      </c>
      <c r="N33" s="21">
        <f>LEN(TRIM(CLEAN(SUBSTITUTE(ProjTextTable[[#This Row],[text]],CHAR(10)," "))))+1 - LEN(SUBSTITUTE(CLEAN(SUBSTITUTE(ProjTextTable[[#This Row],[text]],CHAR(10)," "))," ",""))</f>
        <v>1</v>
      </c>
      <c r="O33" t="s">
        <v>539</v>
      </c>
      <c r="P33" t="s">
        <v>13</v>
      </c>
    </row>
    <row r="34" spans="1:16" x14ac:dyDescent="0.25">
      <c r="A34">
        <f t="shared" ref="A34:A65" si="1">A33+(B34&lt;&gt;B33)</f>
        <v>6</v>
      </c>
      <c r="B34" t="s">
        <v>592</v>
      </c>
      <c r="C34" t="s">
        <v>593</v>
      </c>
      <c r="D34" t="s">
        <v>190</v>
      </c>
      <c r="E34" t="s">
        <v>568</v>
      </c>
      <c r="F34" t="s">
        <v>569</v>
      </c>
      <c r="G34" t="s">
        <v>570</v>
      </c>
      <c r="H34" t="s">
        <v>571</v>
      </c>
      <c r="I34" t="s">
        <v>492</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594</v>
      </c>
    </row>
    <row r="35" spans="1:16" x14ac:dyDescent="0.25">
      <c r="A35">
        <f t="shared" si="1"/>
        <v>6</v>
      </c>
      <c r="B35" t="s">
        <v>592</v>
      </c>
      <c r="C35" t="s">
        <v>593</v>
      </c>
      <c r="D35" t="s">
        <v>190</v>
      </c>
      <c r="E35" t="s">
        <v>568</v>
      </c>
      <c r="F35" t="s">
        <v>540</v>
      </c>
      <c r="G35" t="s">
        <v>541</v>
      </c>
      <c r="H35" t="s">
        <v>542</v>
      </c>
      <c r="I35" t="s">
        <v>492</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595</v>
      </c>
    </row>
    <row r="36" spans="1:16" x14ac:dyDescent="0.25">
      <c r="A36">
        <f t="shared" si="1"/>
        <v>6</v>
      </c>
      <c r="B36" t="s">
        <v>592</v>
      </c>
      <c r="C36" t="s">
        <v>593</v>
      </c>
      <c r="D36" t="s">
        <v>190</v>
      </c>
      <c r="E36" t="s">
        <v>568</v>
      </c>
      <c r="F36" t="s">
        <v>577</v>
      </c>
      <c r="G36" t="s">
        <v>578</v>
      </c>
      <c r="H36" t="s">
        <v>579</v>
      </c>
      <c r="I36" t="s">
        <v>492</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596</v>
      </c>
    </row>
    <row r="37" spans="1:16" x14ac:dyDescent="0.25">
      <c r="A37">
        <f t="shared" si="1"/>
        <v>6</v>
      </c>
      <c r="B37" t="s">
        <v>592</v>
      </c>
      <c r="C37" t="s">
        <v>593</v>
      </c>
      <c r="D37" t="s">
        <v>192</v>
      </c>
      <c r="E37" t="s">
        <v>568</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597</v>
      </c>
    </row>
    <row r="38" spans="1:16" x14ac:dyDescent="0.25">
      <c r="A38">
        <f t="shared" si="1"/>
        <v>6</v>
      </c>
      <c r="B38" t="s">
        <v>592</v>
      </c>
      <c r="C38" t="s">
        <v>593</v>
      </c>
      <c r="D38" t="s">
        <v>504</v>
      </c>
      <c r="E38" t="s">
        <v>568</v>
      </c>
      <c r="F38" t="s">
        <v>592</v>
      </c>
      <c r="G38" t="s">
        <v>553</v>
      </c>
      <c r="H38" t="s">
        <v>554</v>
      </c>
      <c r="K38" s="30"/>
      <c r="L38" s="8">
        <v>43028.512060185189</v>
      </c>
      <c r="M38" s="21">
        <f>LEN(ProjTextTable[[#This Row],[text]])</f>
        <v>15</v>
      </c>
      <c r="N38" s="21">
        <f>LEN(TRIM(CLEAN(SUBSTITUTE(ProjTextTable[[#This Row],[text]],CHAR(10)," "))))+1 - LEN(SUBSTITUTE(CLEAN(SUBSTITUTE(ProjTextTable[[#This Row],[text]],CHAR(10)," "))," ",""))</f>
        <v>2</v>
      </c>
      <c r="O38" t="s">
        <v>13</v>
      </c>
      <c r="P38" t="s">
        <v>554</v>
      </c>
    </row>
    <row r="39" spans="1:16" x14ac:dyDescent="0.25">
      <c r="A39">
        <f t="shared" si="1"/>
        <v>7</v>
      </c>
      <c r="B39" t="s">
        <v>598</v>
      </c>
      <c r="C39" t="s">
        <v>599</v>
      </c>
      <c r="D39" t="s">
        <v>491</v>
      </c>
      <c r="E39" t="s">
        <v>568</v>
      </c>
      <c r="F39" t="s">
        <v>536</v>
      </c>
      <c r="G39" t="s">
        <v>537</v>
      </c>
      <c r="H39" t="s">
        <v>538</v>
      </c>
      <c r="I39" t="s">
        <v>494</v>
      </c>
      <c r="K39" s="30">
        <v>43052</v>
      </c>
      <c r="L39" s="8">
        <v>43052.579988425925</v>
      </c>
      <c r="M39" s="21">
        <f>LEN(ProjTextTable[[#This Row],[text]])</f>
        <v>1</v>
      </c>
      <c r="N39" s="21">
        <f>LEN(TRIM(CLEAN(SUBSTITUTE(ProjTextTable[[#This Row],[text]],CHAR(10)," "))))+1 - LEN(SUBSTITUTE(CLEAN(SUBSTITUTE(ProjTextTable[[#This Row],[text]],CHAR(10)," "))," ",""))</f>
        <v>1</v>
      </c>
      <c r="O39" t="s">
        <v>539</v>
      </c>
      <c r="P39" t="s">
        <v>13</v>
      </c>
    </row>
    <row r="40" spans="1:16" x14ac:dyDescent="0.25">
      <c r="A40">
        <f t="shared" si="1"/>
        <v>7</v>
      </c>
      <c r="B40" t="s">
        <v>598</v>
      </c>
      <c r="C40" t="s">
        <v>599</v>
      </c>
      <c r="D40" t="s">
        <v>190</v>
      </c>
      <c r="E40" t="s">
        <v>568</v>
      </c>
      <c r="F40" t="s">
        <v>557</v>
      </c>
      <c r="G40" t="s">
        <v>558</v>
      </c>
      <c r="H40" t="s">
        <v>559</v>
      </c>
      <c r="I40" t="s">
        <v>492</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600</v>
      </c>
    </row>
    <row r="41" spans="1:16" x14ac:dyDescent="0.25">
      <c r="A41">
        <f t="shared" si="1"/>
        <v>7</v>
      </c>
      <c r="B41" t="s">
        <v>598</v>
      </c>
      <c r="C41" t="s">
        <v>599</v>
      </c>
      <c r="D41" t="s">
        <v>190</v>
      </c>
      <c r="E41" t="s">
        <v>568</v>
      </c>
      <c r="F41" t="s">
        <v>577</v>
      </c>
      <c r="G41" t="s">
        <v>578</v>
      </c>
      <c r="H41" t="s">
        <v>579</v>
      </c>
      <c r="I41" t="s">
        <v>492</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601</v>
      </c>
    </row>
    <row r="42" spans="1:16" x14ac:dyDescent="0.25">
      <c r="A42">
        <f t="shared" si="1"/>
        <v>7</v>
      </c>
      <c r="B42" t="s">
        <v>598</v>
      </c>
      <c r="C42" t="s">
        <v>599</v>
      </c>
      <c r="D42" t="s">
        <v>190</v>
      </c>
      <c r="E42" t="s">
        <v>568</v>
      </c>
      <c r="F42" t="s">
        <v>544</v>
      </c>
      <c r="G42" t="s">
        <v>545</v>
      </c>
      <c r="H42" t="s">
        <v>546</v>
      </c>
      <c r="I42" t="s">
        <v>492</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602</v>
      </c>
    </row>
    <row r="43" spans="1:16" x14ac:dyDescent="0.25">
      <c r="A43">
        <f t="shared" si="1"/>
        <v>7</v>
      </c>
      <c r="B43" t="s">
        <v>598</v>
      </c>
      <c r="C43" t="s">
        <v>599</v>
      </c>
      <c r="D43" t="s">
        <v>504</v>
      </c>
      <c r="E43" t="s">
        <v>568</v>
      </c>
      <c r="F43" t="s">
        <v>598</v>
      </c>
      <c r="G43" t="s">
        <v>553</v>
      </c>
      <c r="H43" t="s">
        <v>554</v>
      </c>
      <c r="K43" s="30"/>
      <c r="L43" s="8">
        <v>43028.533888888887</v>
      </c>
      <c r="M43" s="21">
        <f>LEN(ProjTextTable[[#This Row],[text]])</f>
        <v>15</v>
      </c>
      <c r="N43" s="21">
        <f>LEN(TRIM(CLEAN(SUBSTITUTE(ProjTextTable[[#This Row],[text]],CHAR(10)," "))))+1 - LEN(SUBSTITUTE(CLEAN(SUBSTITUTE(ProjTextTable[[#This Row],[text]],CHAR(10)," "))," ",""))</f>
        <v>2</v>
      </c>
      <c r="O43" t="s">
        <v>13</v>
      </c>
      <c r="P43" t="s">
        <v>554</v>
      </c>
    </row>
    <row r="44" spans="1:16" x14ac:dyDescent="0.25">
      <c r="A44">
        <f t="shared" si="1"/>
        <v>8</v>
      </c>
      <c r="B44" t="s">
        <v>603</v>
      </c>
      <c r="C44" t="s">
        <v>599</v>
      </c>
      <c r="D44" t="s">
        <v>491</v>
      </c>
      <c r="E44" t="s">
        <v>568</v>
      </c>
      <c r="F44" t="s">
        <v>536</v>
      </c>
      <c r="G44" t="s">
        <v>537</v>
      </c>
      <c r="H44" t="s">
        <v>538</v>
      </c>
      <c r="I44" t="s">
        <v>494</v>
      </c>
      <c r="K44" s="30">
        <v>43052</v>
      </c>
      <c r="L44" s="8">
        <v>43052.579988425925</v>
      </c>
      <c r="M44" s="21">
        <f>LEN(ProjTextTable[[#This Row],[text]])</f>
        <v>1</v>
      </c>
      <c r="N44" s="21">
        <f>LEN(TRIM(CLEAN(SUBSTITUTE(ProjTextTable[[#This Row],[text]],CHAR(10)," "))))+1 - LEN(SUBSTITUTE(CLEAN(SUBSTITUTE(ProjTextTable[[#This Row],[text]],CHAR(10)," "))," ",""))</f>
        <v>1</v>
      </c>
      <c r="O44" t="s">
        <v>539</v>
      </c>
      <c r="P44" t="s">
        <v>13</v>
      </c>
    </row>
    <row r="45" spans="1:16" x14ac:dyDescent="0.25">
      <c r="A45">
        <f t="shared" si="1"/>
        <v>8</v>
      </c>
      <c r="B45" t="s">
        <v>603</v>
      </c>
      <c r="C45" t="s">
        <v>599</v>
      </c>
      <c r="D45" t="s">
        <v>190</v>
      </c>
      <c r="E45" t="s">
        <v>568</v>
      </c>
      <c r="F45" t="s">
        <v>557</v>
      </c>
      <c r="G45" t="s">
        <v>558</v>
      </c>
      <c r="H45" t="s">
        <v>559</v>
      </c>
      <c r="I45" t="s">
        <v>492</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604</v>
      </c>
    </row>
    <row r="46" spans="1:16" x14ac:dyDescent="0.25">
      <c r="A46">
        <f t="shared" si="1"/>
        <v>8</v>
      </c>
      <c r="B46" t="s">
        <v>603</v>
      </c>
      <c r="C46" t="s">
        <v>599</v>
      </c>
      <c r="D46" t="s">
        <v>190</v>
      </c>
      <c r="E46" t="s">
        <v>568</v>
      </c>
      <c r="F46" t="s">
        <v>577</v>
      </c>
      <c r="G46" t="s">
        <v>578</v>
      </c>
      <c r="H46" t="s">
        <v>579</v>
      </c>
      <c r="I46" t="s">
        <v>492</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605</v>
      </c>
    </row>
    <row r="47" spans="1:16" x14ac:dyDescent="0.25">
      <c r="A47">
        <f t="shared" si="1"/>
        <v>8</v>
      </c>
      <c r="B47" t="s">
        <v>603</v>
      </c>
      <c r="C47" t="s">
        <v>599</v>
      </c>
      <c r="D47" t="s">
        <v>190</v>
      </c>
      <c r="E47" t="s">
        <v>568</v>
      </c>
      <c r="F47" t="s">
        <v>606</v>
      </c>
      <c r="G47" t="s">
        <v>607</v>
      </c>
      <c r="H47" t="s">
        <v>608</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609</v>
      </c>
    </row>
    <row r="48" spans="1:16" x14ac:dyDescent="0.25">
      <c r="A48">
        <f t="shared" si="1"/>
        <v>8</v>
      </c>
      <c r="B48" t="s">
        <v>603</v>
      </c>
      <c r="C48" t="s">
        <v>599</v>
      </c>
      <c r="D48" t="s">
        <v>504</v>
      </c>
      <c r="E48" t="s">
        <v>568</v>
      </c>
      <c r="F48" t="s">
        <v>603</v>
      </c>
      <c r="G48" t="s">
        <v>553</v>
      </c>
      <c r="H48" t="s">
        <v>554</v>
      </c>
      <c r="K48" s="30"/>
      <c r="L48" s="8">
        <v>43028.533912037034</v>
      </c>
      <c r="M48" s="21">
        <f>LEN(ProjTextTable[[#This Row],[text]])</f>
        <v>15</v>
      </c>
      <c r="N48" s="21">
        <f>LEN(TRIM(CLEAN(SUBSTITUTE(ProjTextTable[[#This Row],[text]],CHAR(10)," "))))+1 - LEN(SUBSTITUTE(CLEAN(SUBSTITUTE(ProjTextTable[[#This Row],[text]],CHAR(10)," "))," ",""))</f>
        <v>2</v>
      </c>
      <c r="O48" t="s">
        <v>13</v>
      </c>
      <c r="P48" t="s">
        <v>554</v>
      </c>
    </row>
    <row r="49" spans="1:16" x14ac:dyDescent="0.25">
      <c r="A49">
        <f t="shared" si="1"/>
        <v>9</v>
      </c>
      <c r="B49" t="s">
        <v>610</v>
      </c>
      <c r="C49" t="s">
        <v>611</v>
      </c>
      <c r="D49" t="s">
        <v>491</v>
      </c>
      <c r="E49" t="s">
        <v>568</v>
      </c>
      <c r="F49" t="s">
        <v>536</v>
      </c>
      <c r="G49" t="s">
        <v>537</v>
      </c>
      <c r="H49" t="s">
        <v>538</v>
      </c>
      <c r="I49" t="s">
        <v>494</v>
      </c>
      <c r="K49" s="30">
        <v>43052</v>
      </c>
      <c r="L49" s="8">
        <v>43052.579988425925</v>
      </c>
      <c r="M49" s="21">
        <f>LEN(ProjTextTable[[#This Row],[text]])</f>
        <v>1</v>
      </c>
      <c r="N49" s="21">
        <f>LEN(TRIM(CLEAN(SUBSTITUTE(ProjTextTable[[#This Row],[text]],CHAR(10)," "))))+1 - LEN(SUBSTITUTE(CLEAN(SUBSTITUTE(ProjTextTable[[#This Row],[text]],CHAR(10)," "))," ",""))</f>
        <v>1</v>
      </c>
      <c r="O49" t="s">
        <v>539</v>
      </c>
      <c r="P49" t="s">
        <v>13</v>
      </c>
    </row>
    <row r="50" spans="1:16" x14ac:dyDescent="0.25">
      <c r="A50">
        <f t="shared" si="1"/>
        <v>9</v>
      </c>
      <c r="B50" t="s">
        <v>610</v>
      </c>
      <c r="C50" t="s">
        <v>611</v>
      </c>
      <c r="D50" t="s">
        <v>190</v>
      </c>
      <c r="E50" t="s">
        <v>568</v>
      </c>
      <c r="F50" t="s">
        <v>540</v>
      </c>
      <c r="G50" t="s">
        <v>541</v>
      </c>
      <c r="H50" t="s">
        <v>542</v>
      </c>
      <c r="I50" t="s">
        <v>492</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612</v>
      </c>
    </row>
    <row r="51" spans="1:16" x14ac:dyDescent="0.25">
      <c r="A51">
        <f t="shared" si="1"/>
        <v>9</v>
      </c>
      <c r="B51" t="s">
        <v>610</v>
      </c>
      <c r="C51" t="s">
        <v>611</v>
      </c>
      <c r="D51" t="s">
        <v>190</v>
      </c>
      <c r="E51" t="s">
        <v>568</v>
      </c>
      <c r="F51" t="s">
        <v>561</v>
      </c>
      <c r="G51" t="s">
        <v>562</v>
      </c>
      <c r="H51" t="s">
        <v>563</v>
      </c>
      <c r="I51" t="s">
        <v>492</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613</v>
      </c>
    </row>
    <row r="52" spans="1:16" x14ac:dyDescent="0.25">
      <c r="A52">
        <f t="shared" si="1"/>
        <v>9</v>
      </c>
      <c r="B52" t="s">
        <v>610</v>
      </c>
      <c r="C52" t="s">
        <v>611</v>
      </c>
      <c r="D52" t="s">
        <v>190</v>
      </c>
      <c r="E52" t="s">
        <v>568</v>
      </c>
      <c r="F52" t="s">
        <v>544</v>
      </c>
      <c r="G52" t="s">
        <v>545</v>
      </c>
      <c r="H52" t="s">
        <v>546</v>
      </c>
      <c r="I52" t="s">
        <v>492</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614</v>
      </c>
    </row>
    <row r="53" spans="1:16" x14ac:dyDescent="0.25">
      <c r="A53">
        <f t="shared" si="1"/>
        <v>9</v>
      </c>
      <c r="B53" t="s">
        <v>610</v>
      </c>
      <c r="C53" t="s">
        <v>611</v>
      </c>
      <c r="D53" t="s">
        <v>192</v>
      </c>
      <c r="E53" t="s">
        <v>568</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615</v>
      </c>
    </row>
    <row r="54" spans="1:16" x14ac:dyDescent="0.25">
      <c r="A54">
        <f t="shared" si="1"/>
        <v>9</v>
      </c>
      <c r="B54" t="s">
        <v>610</v>
      </c>
      <c r="C54" t="s">
        <v>611</v>
      </c>
      <c r="D54" t="s">
        <v>504</v>
      </c>
      <c r="E54" t="s">
        <v>568</v>
      </c>
      <c r="F54" t="s">
        <v>610</v>
      </c>
      <c r="G54" t="s">
        <v>553</v>
      </c>
      <c r="H54" t="s">
        <v>554</v>
      </c>
      <c r="K54" s="30"/>
      <c r="L54" s="8">
        <v>43028.519108796296</v>
      </c>
      <c r="M54" s="21">
        <f>LEN(ProjTextTable[[#This Row],[text]])</f>
        <v>15</v>
      </c>
      <c r="N54" s="21">
        <f>LEN(TRIM(CLEAN(SUBSTITUTE(ProjTextTable[[#This Row],[text]],CHAR(10)," "))))+1 - LEN(SUBSTITUTE(CLEAN(SUBSTITUTE(ProjTextTable[[#This Row],[text]],CHAR(10)," "))," ",""))</f>
        <v>2</v>
      </c>
      <c r="O54" t="s">
        <v>13</v>
      </c>
      <c r="P54" t="s">
        <v>554</v>
      </c>
    </row>
    <row r="55" spans="1:16" x14ac:dyDescent="0.25">
      <c r="A55">
        <f t="shared" si="1"/>
        <v>10</v>
      </c>
      <c r="B55" t="s">
        <v>616</v>
      </c>
      <c r="C55" t="s">
        <v>617</v>
      </c>
      <c r="D55" t="s">
        <v>491</v>
      </c>
      <c r="E55" t="s">
        <v>568</v>
      </c>
      <c r="F55" t="s">
        <v>536</v>
      </c>
      <c r="G55" t="s">
        <v>537</v>
      </c>
      <c r="H55" t="s">
        <v>618</v>
      </c>
      <c r="I55" t="s">
        <v>493</v>
      </c>
      <c r="K55" s="30">
        <v>43052</v>
      </c>
      <c r="L55" s="8">
        <v>43052.635266203702</v>
      </c>
      <c r="M55" s="21">
        <f>LEN(ProjTextTable[[#This Row],[text]])</f>
        <v>4137</v>
      </c>
      <c r="N55" s="21">
        <f>LEN(TRIM(CLEAN(SUBSTITUTE(ProjTextTable[[#This Row],[text]],CHAR(10)," "))))+1 - LEN(SUBSTITUTE(CLEAN(SUBSTITUTE(ProjTextTable[[#This Row],[text]],CHAR(10)," "))," ",""))</f>
        <v>597</v>
      </c>
      <c r="O55" t="s">
        <v>119</v>
      </c>
      <c r="P55" t="s">
        <v>619</v>
      </c>
    </row>
    <row r="56" spans="1:16" x14ac:dyDescent="0.25">
      <c r="A56">
        <f t="shared" si="1"/>
        <v>10</v>
      </c>
      <c r="B56" t="s">
        <v>616</v>
      </c>
      <c r="C56" t="s">
        <v>617</v>
      </c>
      <c r="D56" t="s">
        <v>190</v>
      </c>
      <c r="E56" t="s">
        <v>568</v>
      </c>
      <c r="F56" t="s">
        <v>540</v>
      </c>
      <c r="G56" t="s">
        <v>541</v>
      </c>
      <c r="H56" t="s">
        <v>542</v>
      </c>
      <c r="I56" t="s">
        <v>492</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620</v>
      </c>
    </row>
    <row r="57" spans="1:16" x14ac:dyDescent="0.25">
      <c r="A57">
        <f t="shared" si="1"/>
        <v>10</v>
      </c>
      <c r="B57" t="s">
        <v>616</v>
      </c>
      <c r="C57" t="s">
        <v>617</v>
      </c>
      <c r="D57" t="s">
        <v>190</v>
      </c>
      <c r="E57" t="s">
        <v>568</v>
      </c>
      <c r="F57" t="s">
        <v>577</v>
      </c>
      <c r="G57" t="s">
        <v>578</v>
      </c>
      <c r="H57" t="s">
        <v>579</v>
      </c>
      <c r="I57" t="s">
        <v>492</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621</v>
      </c>
    </row>
    <row r="58" spans="1:16" x14ac:dyDescent="0.25">
      <c r="A58">
        <f t="shared" si="1"/>
        <v>10</v>
      </c>
      <c r="B58" t="s">
        <v>616</v>
      </c>
      <c r="C58" t="s">
        <v>617</v>
      </c>
      <c r="D58" t="s">
        <v>190</v>
      </c>
      <c r="E58" t="s">
        <v>568</v>
      </c>
      <c r="F58" t="s">
        <v>544</v>
      </c>
      <c r="G58" t="s">
        <v>545</v>
      </c>
      <c r="H58" t="s">
        <v>546</v>
      </c>
      <c r="I58" t="s">
        <v>492</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622</v>
      </c>
    </row>
    <row r="59" spans="1:16" x14ac:dyDescent="0.25">
      <c r="A59">
        <f t="shared" si="1"/>
        <v>10</v>
      </c>
      <c r="B59" t="s">
        <v>616</v>
      </c>
      <c r="C59" t="s">
        <v>617</v>
      </c>
      <c r="D59" t="s">
        <v>190</v>
      </c>
      <c r="E59" t="s">
        <v>568</v>
      </c>
      <c r="F59" t="s">
        <v>548</v>
      </c>
      <c r="G59" t="s">
        <v>549</v>
      </c>
      <c r="H59" t="s">
        <v>550</v>
      </c>
      <c r="I59" t="s">
        <v>492</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623</v>
      </c>
    </row>
    <row r="60" spans="1:16" x14ac:dyDescent="0.25">
      <c r="A60">
        <f t="shared" si="1"/>
        <v>10</v>
      </c>
      <c r="B60" t="s">
        <v>616</v>
      </c>
      <c r="C60" t="s">
        <v>617</v>
      </c>
      <c r="D60" t="s">
        <v>192</v>
      </c>
      <c r="E60" t="s">
        <v>568</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624</v>
      </c>
    </row>
    <row r="61" spans="1:16" x14ac:dyDescent="0.25">
      <c r="A61">
        <f t="shared" si="1"/>
        <v>10</v>
      </c>
      <c r="B61" t="s">
        <v>616</v>
      </c>
      <c r="C61" t="s">
        <v>617</v>
      </c>
      <c r="D61" t="s">
        <v>504</v>
      </c>
      <c r="E61" t="s">
        <v>568</v>
      </c>
      <c r="F61" t="s">
        <v>616</v>
      </c>
      <c r="G61" t="s">
        <v>553</v>
      </c>
      <c r="H61" t="s">
        <v>554</v>
      </c>
      <c r="K61" s="30"/>
      <c r="L61" s="8">
        <v>43028.520266203705</v>
      </c>
      <c r="M61" s="21">
        <f>LEN(ProjTextTable[[#This Row],[text]])</f>
        <v>15</v>
      </c>
      <c r="N61" s="21">
        <f>LEN(TRIM(CLEAN(SUBSTITUTE(ProjTextTable[[#This Row],[text]],CHAR(10)," "))))+1 - LEN(SUBSTITUTE(CLEAN(SUBSTITUTE(ProjTextTable[[#This Row],[text]],CHAR(10)," "))," ",""))</f>
        <v>2</v>
      </c>
      <c r="O61" t="s">
        <v>13</v>
      </c>
      <c r="P61" t="s">
        <v>554</v>
      </c>
    </row>
    <row r="62" spans="1:16" x14ac:dyDescent="0.25">
      <c r="A62">
        <f t="shared" si="1"/>
        <v>11</v>
      </c>
      <c r="B62" t="s">
        <v>625</v>
      </c>
      <c r="C62" t="s">
        <v>626</v>
      </c>
      <c r="D62" t="s">
        <v>491</v>
      </c>
      <c r="E62" t="s">
        <v>568</v>
      </c>
      <c r="F62" t="s">
        <v>536</v>
      </c>
      <c r="G62" t="s">
        <v>537</v>
      </c>
      <c r="H62" t="s">
        <v>538</v>
      </c>
      <c r="I62" t="s">
        <v>494</v>
      </c>
      <c r="K62" s="30">
        <v>43052</v>
      </c>
      <c r="L62" s="8">
        <v>43052.579988425925</v>
      </c>
      <c r="M62" s="21">
        <f>LEN(ProjTextTable[[#This Row],[text]])</f>
        <v>1</v>
      </c>
      <c r="N62" s="21">
        <f>LEN(TRIM(CLEAN(SUBSTITUTE(ProjTextTable[[#This Row],[text]],CHAR(10)," "))))+1 - LEN(SUBSTITUTE(CLEAN(SUBSTITUTE(ProjTextTable[[#This Row],[text]],CHAR(10)," "))," ",""))</f>
        <v>1</v>
      </c>
      <c r="O62" t="s">
        <v>539</v>
      </c>
      <c r="P62" t="s">
        <v>13</v>
      </c>
    </row>
    <row r="63" spans="1:16" x14ac:dyDescent="0.25">
      <c r="A63">
        <f t="shared" si="1"/>
        <v>11</v>
      </c>
      <c r="B63" t="s">
        <v>625</v>
      </c>
      <c r="C63" t="s">
        <v>626</v>
      </c>
      <c r="D63" t="s">
        <v>2</v>
      </c>
      <c r="E63" t="s">
        <v>568</v>
      </c>
      <c r="F63" t="s">
        <v>13</v>
      </c>
      <c r="G63" t="s">
        <v>785</v>
      </c>
      <c r="H63" t="s">
        <v>13</v>
      </c>
      <c r="I63" t="s">
        <v>13</v>
      </c>
      <c r="K63" s="30"/>
      <c r="L63" s="8">
        <v>43084.715127314812</v>
      </c>
      <c r="M63" s="21">
        <f>LEN(ProjTextTable[[#This Row],[text]])</f>
        <v>1911</v>
      </c>
      <c r="N63" s="21">
        <f>LEN(TRIM(CLEAN(SUBSTITUTE(ProjTextTable[[#This Row],[text]],CHAR(10)," "))))+1 - LEN(SUBSTITUTE(CLEAN(SUBSTITUTE(ProjTextTable[[#This Row],[text]],CHAR(10)," "))," ",""))</f>
        <v>277</v>
      </c>
      <c r="O63" t="s">
        <v>13</v>
      </c>
      <c r="P63" t="s">
        <v>786</v>
      </c>
    </row>
    <row r="64" spans="1:16" x14ac:dyDescent="0.25">
      <c r="A64">
        <f t="shared" si="1"/>
        <v>11</v>
      </c>
      <c r="B64" t="s">
        <v>625</v>
      </c>
      <c r="C64" t="s">
        <v>626</v>
      </c>
      <c r="D64" t="s">
        <v>190</v>
      </c>
      <c r="E64" t="s">
        <v>568</v>
      </c>
      <c r="F64" t="s">
        <v>577</v>
      </c>
      <c r="G64" t="s">
        <v>578</v>
      </c>
      <c r="H64" t="s">
        <v>579</v>
      </c>
      <c r="I64" t="s">
        <v>492</v>
      </c>
      <c r="J64" t="s">
        <v>173</v>
      </c>
      <c r="K64" s="30">
        <v>43052</v>
      </c>
      <c r="L64" s="8">
        <v>43045.493472222224</v>
      </c>
      <c r="M64" s="21">
        <f>LEN(ProjTextTable[[#This Row],[text]])</f>
        <v>4083</v>
      </c>
      <c r="N64" s="21">
        <f>LEN(TRIM(CLEAN(SUBSTITUTE(ProjTextTable[[#This Row],[text]],CHAR(10)," "))))+1 - LEN(SUBSTITUTE(CLEAN(SUBSTITUTE(ProjTextTable[[#This Row],[text]],CHAR(10)," "))," ",""))</f>
        <v>601</v>
      </c>
      <c r="O64" t="s">
        <v>194</v>
      </c>
      <c r="P64" t="s">
        <v>627</v>
      </c>
    </row>
    <row r="65" spans="1:16" x14ac:dyDescent="0.25">
      <c r="A65">
        <f t="shared" si="1"/>
        <v>11</v>
      </c>
      <c r="B65" t="s">
        <v>625</v>
      </c>
      <c r="C65" t="s">
        <v>626</v>
      </c>
      <c r="D65" t="s">
        <v>190</v>
      </c>
      <c r="E65" t="s">
        <v>568</v>
      </c>
      <c r="F65" t="s">
        <v>561</v>
      </c>
      <c r="G65" t="s">
        <v>562</v>
      </c>
      <c r="H65" t="s">
        <v>563</v>
      </c>
      <c r="I65" t="s">
        <v>492</v>
      </c>
      <c r="J65" t="s">
        <v>173</v>
      </c>
      <c r="K65" s="30">
        <v>43052</v>
      </c>
      <c r="L65" s="8">
        <v>43051.906828703701</v>
      </c>
      <c r="M65" s="21">
        <f>LEN(ProjTextTable[[#This Row],[text]])</f>
        <v>1943</v>
      </c>
      <c r="N65" s="21">
        <f>LEN(TRIM(CLEAN(SUBSTITUTE(ProjTextTable[[#This Row],[text]],CHAR(10)," "))))+1 - LEN(SUBSTITUTE(CLEAN(SUBSTITUTE(ProjTextTable[[#This Row],[text]],CHAR(10)," "))," ",""))</f>
        <v>267</v>
      </c>
      <c r="O65" t="s">
        <v>194</v>
      </c>
      <c r="P65" t="s">
        <v>628</v>
      </c>
    </row>
    <row r="66" spans="1:16" x14ac:dyDescent="0.25">
      <c r="A66">
        <f t="shared" ref="A66:A97" si="2">A65+(B66&lt;&gt;B65)</f>
        <v>11</v>
      </c>
      <c r="B66" t="s">
        <v>625</v>
      </c>
      <c r="C66" t="s">
        <v>626</v>
      </c>
      <c r="D66" t="s">
        <v>190</v>
      </c>
      <c r="E66" t="s">
        <v>568</v>
      </c>
      <c r="F66" t="s">
        <v>548</v>
      </c>
      <c r="G66" t="s">
        <v>549</v>
      </c>
      <c r="H66" t="s">
        <v>550</v>
      </c>
      <c r="I66" t="s">
        <v>492</v>
      </c>
      <c r="J66" t="s">
        <v>173</v>
      </c>
      <c r="K66" s="30">
        <v>43052</v>
      </c>
      <c r="L66" s="8">
        <v>43052.349224537036</v>
      </c>
      <c r="M66" s="21">
        <f>LEN(ProjTextTable[[#This Row],[text]])</f>
        <v>1550</v>
      </c>
      <c r="N66" s="21">
        <f>LEN(TRIM(CLEAN(SUBSTITUTE(ProjTextTable[[#This Row],[text]],CHAR(10)," "))))+1 - LEN(SUBSTITUTE(CLEAN(SUBSTITUTE(ProjTextTable[[#This Row],[text]],CHAR(10)," "))," ",""))</f>
        <v>208</v>
      </c>
      <c r="O66" t="s">
        <v>194</v>
      </c>
      <c r="P66" t="s">
        <v>629</v>
      </c>
    </row>
    <row r="67" spans="1:16" x14ac:dyDescent="0.25">
      <c r="A67">
        <f t="shared" si="2"/>
        <v>11</v>
      </c>
      <c r="B67" t="s">
        <v>625</v>
      </c>
      <c r="C67" t="s">
        <v>626</v>
      </c>
      <c r="D67" t="s">
        <v>192</v>
      </c>
      <c r="E67" t="s">
        <v>568</v>
      </c>
      <c r="F67" t="s">
        <v>13</v>
      </c>
      <c r="G67" t="s">
        <v>13</v>
      </c>
      <c r="H67" t="s">
        <v>13</v>
      </c>
      <c r="K67" s="30"/>
      <c r="L67" s="8">
        <v>42997.04278935185</v>
      </c>
      <c r="M67" s="21">
        <f>LEN(ProjTextTable[[#This Row],[text]])</f>
        <v>4646</v>
      </c>
      <c r="N67" s="21">
        <f>LEN(TRIM(CLEAN(SUBSTITUTE(ProjTextTable[[#This Row],[text]],CHAR(10)," "))))+1 - LEN(SUBSTITUTE(CLEAN(SUBSTITUTE(ProjTextTable[[#This Row],[text]],CHAR(10)," "))," ",""))</f>
        <v>621</v>
      </c>
      <c r="O67" t="s">
        <v>13</v>
      </c>
      <c r="P67" t="s">
        <v>630</v>
      </c>
    </row>
    <row r="68" spans="1:16" x14ac:dyDescent="0.25">
      <c r="A68">
        <f t="shared" si="2"/>
        <v>11</v>
      </c>
      <c r="B68" t="s">
        <v>625</v>
      </c>
      <c r="C68" t="s">
        <v>626</v>
      </c>
      <c r="D68" t="s">
        <v>504</v>
      </c>
      <c r="E68" t="s">
        <v>568</v>
      </c>
      <c r="F68" t="s">
        <v>625</v>
      </c>
      <c r="G68" t="s">
        <v>553</v>
      </c>
      <c r="H68" t="s">
        <v>554</v>
      </c>
      <c r="K68" s="30"/>
      <c r="L68" s="8">
        <v>43028.516759259262</v>
      </c>
      <c r="M68" s="21">
        <f>LEN(ProjTextTable[[#This Row],[text]])</f>
        <v>15</v>
      </c>
      <c r="N68" s="21">
        <f>LEN(TRIM(CLEAN(SUBSTITUTE(ProjTextTable[[#This Row],[text]],CHAR(10)," "))))+1 - LEN(SUBSTITUTE(CLEAN(SUBSTITUTE(ProjTextTable[[#This Row],[text]],CHAR(10)," "))," ",""))</f>
        <v>2</v>
      </c>
      <c r="O68" t="s">
        <v>13</v>
      </c>
      <c r="P68" t="s">
        <v>554</v>
      </c>
    </row>
    <row r="69" spans="1:16" x14ac:dyDescent="0.25">
      <c r="A69">
        <f t="shared" si="2"/>
        <v>12</v>
      </c>
      <c r="B69" t="s">
        <v>631</v>
      </c>
      <c r="C69" t="s">
        <v>509</v>
      </c>
      <c r="D69" t="s">
        <v>491</v>
      </c>
      <c r="E69" t="s">
        <v>568</v>
      </c>
      <c r="F69" t="s">
        <v>536</v>
      </c>
      <c r="G69" t="s">
        <v>537</v>
      </c>
      <c r="H69" t="s">
        <v>538</v>
      </c>
      <c r="I69" t="s">
        <v>494</v>
      </c>
      <c r="K69" s="30">
        <v>43052</v>
      </c>
      <c r="L69" s="8">
        <v>43052.579988425925</v>
      </c>
      <c r="M69" s="21">
        <f>LEN(ProjTextTable[[#This Row],[text]])</f>
        <v>1</v>
      </c>
      <c r="N69" s="21">
        <f>LEN(TRIM(CLEAN(SUBSTITUTE(ProjTextTable[[#This Row],[text]],CHAR(10)," "))))+1 - LEN(SUBSTITUTE(CLEAN(SUBSTITUTE(ProjTextTable[[#This Row],[text]],CHAR(10)," "))," ",""))</f>
        <v>1</v>
      </c>
      <c r="O69" t="s">
        <v>539</v>
      </c>
      <c r="P69" t="s">
        <v>13</v>
      </c>
    </row>
    <row r="70" spans="1:16" x14ac:dyDescent="0.25">
      <c r="A70">
        <f t="shared" si="2"/>
        <v>12</v>
      </c>
      <c r="B70" t="s">
        <v>631</v>
      </c>
      <c r="C70" t="s">
        <v>509</v>
      </c>
      <c r="D70" t="s">
        <v>2</v>
      </c>
      <c r="E70" t="s">
        <v>568</v>
      </c>
      <c r="F70" t="s">
        <v>13</v>
      </c>
      <c r="G70" t="s">
        <v>785</v>
      </c>
      <c r="H70" t="s">
        <v>13</v>
      </c>
      <c r="I70" t="s">
        <v>13</v>
      </c>
      <c r="K70" s="30"/>
      <c r="L70" s="8">
        <v>43084.715173611112</v>
      </c>
      <c r="M70" s="21">
        <f>LEN(ProjTextTable[[#This Row],[text]])</f>
        <v>1932</v>
      </c>
      <c r="N70" s="21">
        <f>LEN(TRIM(CLEAN(SUBSTITUTE(ProjTextTable[[#This Row],[text]],CHAR(10)," "))))+1 - LEN(SUBSTITUTE(CLEAN(SUBSTITUTE(ProjTextTable[[#This Row],[text]],CHAR(10)," "))," ",""))</f>
        <v>281</v>
      </c>
      <c r="O70" t="s">
        <v>13</v>
      </c>
      <c r="P70" t="s">
        <v>787</v>
      </c>
    </row>
    <row r="71" spans="1:16" x14ac:dyDescent="0.25">
      <c r="A71">
        <f t="shared" si="2"/>
        <v>12</v>
      </c>
      <c r="B71" t="s">
        <v>631</v>
      </c>
      <c r="C71" t="s">
        <v>509</v>
      </c>
      <c r="D71" t="s">
        <v>190</v>
      </c>
      <c r="E71" t="s">
        <v>568</v>
      </c>
      <c r="F71" t="s">
        <v>577</v>
      </c>
      <c r="G71" t="s">
        <v>578</v>
      </c>
      <c r="H71" t="s">
        <v>579</v>
      </c>
      <c r="I71" t="s">
        <v>492</v>
      </c>
      <c r="J71" t="s">
        <v>173</v>
      </c>
      <c r="K71" s="30">
        <v>43052</v>
      </c>
      <c r="L71" s="8">
        <v>43044.619027777779</v>
      </c>
      <c r="M71" s="21">
        <f>LEN(ProjTextTable[[#This Row],[text]])</f>
        <v>2835</v>
      </c>
      <c r="N71" s="21">
        <f>LEN(TRIM(CLEAN(SUBSTITUTE(ProjTextTable[[#This Row],[text]],CHAR(10)," "))))+1 - LEN(SUBSTITUTE(CLEAN(SUBSTITUTE(ProjTextTable[[#This Row],[text]],CHAR(10)," "))," ",""))</f>
        <v>425</v>
      </c>
      <c r="O71" t="s">
        <v>194</v>
      </c>
      <c r="P71" t="s">
        <v>632</v>
      </c>
    </row>
    <row r="72" spans="1:16" x14ac:dyDescent="0.25">
      <c r="A72">
        <f t="shared" si="2"/>
        <v>12</v>
      </c>
      <c r="B72" t="s">
        <v>631</v>
      </c>
      <c r="C72" t="s">
        <v>509</v>
      </c>
      <c r="D72" t="s">
        <v>190</v>
      </c>
      <c r="E72" t="s">
        <v>568</v>
      </c>
      <c r="F72" t="s">
        <v>561</v>
      </c>
      <c r="G72" t="s">
        <v>562</v>
      </c>
      <c r="H72" t="s">
        <v>563</v>
      </c>
      <c r="I72" t="s">
        <v>492</v>
      </c>
      <c r="J72" t="s">
        <v>173</v>
      </c>
      <c r="K72" s="30">
        <v>43052</v>
      </c>
      <c r="L72" s="8">
        <v>43052.259085648147</v>
      </c>
      <c r="M72" s="21">
        <f>LEN(ProjTextTable[[#This Row],[text]])</f>
        <v>1458</v>
      </c>
      <c r="N72" s="21">
        <f>LEN(TRIM(CLEAN(SUBSTITUTE(ProjTextTable[[#This Row],[text]],CHAR(10)," "))))+1 - LEN(SUBSTITUTE(CLEAN(SUBSTITUTE(ProjTextTable[[#This Row],[text]],CHAR(10)," "))," ",""))</f>
        <v>214</v>
      </c>
      <c r="O72" t="s">
        <v>194</v>
      </c>
      <c r="P72" t="s">
        <v>633</v>
      </c>
    </row>
    <row r="73" spans="1:16" x14ac:dyDescent="0.25">
      <c r="A73">
        <f t="shared" si="2"/>
        <v>12</v>
      </c>
      <c r="B73" t="s">
        <v>631</v>
      </c>
      <c r="C73" t="s">
        <v>509</v>
      </c>
      <c r="D73" t="s">
        <v>190</v>
      </c>
      <c r="E73" t="s">
        <v>568</v>
      </c>
      <c r="F73" t="s">
        <v>544</v>
      </c>
      <c r="G73" t="s">
        <v>545</v>
      </c>
      <c r="H73" t="s">
        <v>546</v>
      </c>
      <c r="I73" t="s">
        <v>492</v>
      </c>
      <c r="J73" t="s">
        <v>173</v>
      </c>
      <c r="K73" s="30">
        <v>43052</v>
      </c>
      <c r="L73" s="8">
        <v>43050.661238425928</v>
      </c>
      <c r="M73" s="21">
        <f>LEN(ProjTextTable[[#This Row],[text]])</f>
        <v>1834</v>
      </c>
      <c r="N73" s="21">
        <f>LEN(TRIM(CLEAN(SUBSTITUTE(ProjTextTable[[#This Row],[text]],CHAR(10)," "))))+1 - LEN(SUBSTITUTE(CLEAN(SUBSTITUTE(ProjTextTable[[#This Row],[text]],CHAR(10)," "))," ",""))</f>
        <v>258</v>
      </c>
      <c r="O73" t="s">
        <v>194</v>
      </c>
      <c r="P73" t="s">
        <v>634</v>
      </c>
    </row>
    <row r="74" spans="1:16" x14ac:dyDescent="0.25">
      <c r="A74">
        <f t="shared" si="2"/>
        <v>12</v>
      </c>
      <c r="B74" t="s">
        <v>631</v>
      </c>
      <c r="C74" t="s">
        <v>509</v>
      </c>
      <c r="D74" t="s">
        <v>192</v>
      </c>
      <c r="E74" t="s">
        <v>568</v>
      </c>
      <c r="F74" t="s">
        <v>13</v>
      </c>
      <c r="G74" t="s">
        <v>13</v>
      </c>
      <c r="H74" t="s">
        <v>13</v>
      </c>
      <c r="K74" s="30"/>
      <c r="L74" s="8">
        <v>43000.04247685185</v>
      </c>
      <c r="M74" s="21">
        <f>LEN(ProjTextTable[[#This Row],[text]])</f>
        <v>3961</v>
      </c>
      <c r="N74" s="21">
        <f>LEN(TRIM(CLEAN(SUBSTITUTE(ProjTextTable[[#This Row],[text]],CHAR(10)," "))))+1 - LEN(SUBSTITUTE(CLEAN(SUBSTITUTE(ProjTextTable[[#This Row],[text]],CHAR(10)," "))," ",""))</f>
        <v>547</v>
      </c>
      <c r="O74" t="s">
        <v>13</v>
      </c>
      <c r="P74" t="s">
        <v>635</v>
      </c>
    </row>
    <row r="75" spans="1:16" x14ac:dyDescent="0.25">
      <c r="A75">
        <f t="shared" si="2"/>
        <v>12</v>
      </c>
      <c r="B75" t="s">
        <v>631</v>
      </c>
      <c r="C75" t="s">
        <v>509</v>
      </c>
      <c r="D75" t="s">
        <v>504</v>
      </c>
      <c r="E75" t="s">
        <v>568</v>
      </c>
      <c r="F75" t="s">
        <v>631</v>
      </c>
      <c r="G75" t="s">
        <v>553</v>
      </c>
      <c r="H75" t="s">
        <v>554</v>
      </c>
      <c r="K75" s="30"/>
      <c r="L75" s="8">
        <v>43028.517523148148</v>
      </c>
      <c r="M75" s="21">
        <f>LEN(ProjTextTable[[#This Row],[text]])</f>
        <v>15</v>
      </c>
      <c r="N75" s="21">
        <f>LEN(TRIM(CLEAN(SUBSTITUTE(ProjTextTable[[#This Row],[text]],CHAR(10)," "))))+1 - LEN(SUBSTITUTE(CLEAN(SUBSTITUTE(ProjTextTable[[#This Row],[text]],CHAR(10)," "))," ",""))</f>
        <v>2</v>
      </c>
      <c r="O75" t="s">
        <v>13</v>
      </c>
      <c r="P75" t="s">
        <v>554</v>
      </c>
    </row>
    <row r="76" spans="1:16" x14ac:dyDescent="0.25">
      <c r="A76">
        <f t="shared" si="2"/>
        <v>13</v>
      </c>
      <c r="B76" t="s">
        <v>636</v>
      </c>
      <c r="C76" t="s">
        <v>637</v>
      </c>
      <c r="D76" t="s">
        <v>491</v>
      </c>
      <c r="E76" t="s">
        <v>568</v>
      </c>
      <c r="F76" t="s">
        <v>536</v>
      </c>
      <c r="G76" t="s">
        <v>537</v>
      </c>
      <c r="H76" t="s">
        <v>538</v>
      </c>
      <c r="I76" t="s">
        <v>494</v>
      </c>
      <c r="K76" s="30">
        <v>43052</v>
      </c>
      <c r="L76" s="8">
        <v>43052.640590277777</v>
      </c>
      <c r="M76" s="21">
        <f>LEN(ProjTextTable[[#This Row],[text]])</f>
        <v>4319</v>
      </c>
      <c r="N76" s="21">
        <f>LEN(TRIM(CLEAN(SUBSTITUTE(ProjTextTable[[#This Row],[text]],CHAR(10)," "))))+1 - LEN(SUBSTITUTE(CLEAN(SUBSTITUTE(ProjTextTable[[#This Row],[text]],CHAR(10)," "))," ",""))</f>
        <v>631</v>
      </c>
      <c r="O76" t="s">
        <v>539</v>
      </c>
      <c r="P76" t="s">
        <v>638</v>
      </c>
    </row>
    <row r="77" spans="1:16" x14ac:dyDescent="0.25">
      <c r="A77">
        <f t="shared" si="2"/>
        <v>13</v>
      </c>
      <c r="B77" t="s">
        <v>636</v>
      </c>
      <c r="C77" t="s">
        <v>637</v>
      </c>
      <c r="D77" t="s">
        <v>190</v>
      </c>
      <c r="E77" t="s">
        <v>568</v>
      </c>
      <c r="F77" t="s">
        <v>569</v>
      </c>
      <c r="G77" t="s">
        <v>570</v>
      </c>
      <c r="H77" t="s">
        <v>571</v>
      </c>
      <c r="I77" t="s">
        <v>198</v>
      </c>
      <c r="J77" t="s">
        <v>495</v>
      </c>
      <c r="K77" s="30">
        <v>43052</v>
      </c>
      <c r="L77" s="8">
        <v>43046.486608796295</v>
      </c>
      <c r="M77" s="21">
        <f>LEN(ProjTextTable[[#This Row],[text]])</f>
        <v>1868</v>
      </c>
      <c r="N77" s="21">
        <f>LEN(TRIM(CLEAN(SUBSTITUTE(ProjTextTable[[#This Row],[text]],CHAR(10)," "))))+1 - LEN(SUBSTITUTE(CLEAN(SUBSTITUTE(ProjTextTable[[#This Row],[text]],CHAR(10)," "))," ",""))</f>
        <v>283</v>
      </c>
      <c r="O77" t="s">
        <v>194</v>
      </c>
      <c r="P77" t="s">
        <v>639</v>
      </c>
    </row>
    <row r="78" spans="1:16" x14ac:dyDescent="0.25">
      <c r="A78">
        <f t="shared" si="2"/>
        <v>13</v>
      </c>
      <c r="B78" t="s">
        <v>636</v>
      </c>
      <c r="C78" t="s">
        <v>637</v>
      </c>
      <c r="D78" t="s">
        <v>190</v>
      </c>
      <c r="E78" t="s">
        <v>568</v>
      </c>
      <c r="F78" t="s">
        <v>540</v>
      </c>
      <c r="G78" t="s">
        <v>541</v>
      </c>
      <c r="H78" t="s">
        <v>542</v>
      </c>
      <c r="I78" t="s">
        <v>492</v>
      </c>
      <c r="J78" t="s">
        <v>173</v>
      </c>
      <c r="K78" s="30">
        <v>43052</v>
      </c>
      <c r="L78" s="8">
        <v>43051.01667824074</v>
      </c>
      <c r="M78" s="21">
        <f>LEN(ProjTextTable[[#This Row],[text]])</f>
        <v>4534</v>
      </c>
      <c r="N78" s="21">
        <f>LEN(TRIM(CLEAN(SUBSTITUTE(ProjTextTable[[#This Row],[text]],CHAR(10)," "))))+1 - LEN(SUBSTITUTE(CLEAN(SUBSTITUTE(ProjTextTable[[#This Row],[text]],CHAR(10)," "))," ",""))</f>
        <v>647</v>
      </c>
      <c r="O78" t="s">
        <v>194</v>
      </c>
      <c r="P78" t="s">
        <v>640</v>
      </c>
    </row>
    <row r="79" spans="1:16" x14ac:dyDescent="0.25">
      <c r="A79">
        <f t="shared" si="2"/>
        <v>13</v>
      </c>
      <c r="B79" t="s">
        <v>636</v>
      </c>
      <c r="C79" t="s">
        <v>637</v>
      </c>
      <c r="D79" t="s">
        <v>190</v>
      </c>
      <c r="E79" t="s">
        <v>568</v>
      </c>
      <c r="F79" t="s">
        <v>577</v>
      </c>
      <c r="G79" t="s">
        <v>578</v>
      </c>
      <c r="H79" t="s">
        <v>579</v>
      </c>
      <c r="I79" t="s">
        <v>492</v>
      </c>
      <c r="J79" t="s">
        <v>173</v>
      </c>
      <c r="K79" s="30">
        <v>43052</v>
      </c>
      <c r="L79" s="8">
        <v>43046.464305555557</v>
      </c>
      <c r="M79" s="21">
        <f>LEN(ProjTextTable[[#This Row],[text]])</f>
        <v>3451</v>
      </c>
      <c r="N79" s="21">
        <f>LEN(TRIM(CLEAN(SUBSTITUTE(ProjTextTable[[#This Row],[text]],CHAR(10)," "))))+1 - LEN(SUBSTITUTE(CLEAN(SUBSTITUTE(ProjTextTable[[#This Row],[text]],CHAR(10)," "))," ",""))</f>
        <v>522</v>
      </c>
      <c r="O79" t="s">
        <v>191</v>
      </c>
      <c r="P79" t="s">
        <v>641</v>
      </c>
    </row>
    <row r="80" spans="1:16" x14ac:dyDescent="0.25">
      <c r="A80">
        <f t="shared" si="2"/>
        <v>13</v>
      </c>
      <c r="B80" t="s">
        <v>636</v>
      </c>
      <c r="C80" t="s">
        <v>637</v>
      </c>
      <c r="D80" t="s">
        <v>190</v>
      </c>
      <c r="E80" t="s">
        <v>568</v>
      </c>
      <c r="F80" t="s">
        <v>544</v>
      </c>
      <c r="G80" t="s">
        <v>545</v>
      </c>
      <c r="H80" t="s">
        <v>546</v>
      </c>
      <c r="I80" t="s">
        <v>198</v>
      </c>
      <c r="J80" t="s">
        <v>173</v>
      </c>
      <c r="K80" s="30">
        <v>43052</v>
      </c>
      <c r="L80" s="8">
        <v>43050.510567129626</v>
      </c>
      <c r="M80" s="21">
        <f>LEN(ProjTextTable[[#This Row],[text]])</f>
        <v>3444</v>
      </c>
      <c r="N80" s="21">
        <f>LEN(TRIM(CLEAN(SUBSTITUTE(ProjTextTable[[#This Row],[text]],CHAR(10)," "))))+1 - LEN(SUBSTITUTE(CLEAN(SUBSTITUTE(ProjTextTable[[#This Row],[text]],CHAR(10)," "))," ",""))</f>
        <v>492</v>
      </c>
      <c r="O80" t="s">
        <v>194</v>
      </c>
      <c r="P80" t="s">
        <v>642</v>
      </c>
    </row>
    <row r="81" spans="1:16" x14ac:dyDescent="0.25">
      <c r="A81">
        <f t="shared" si="2"/>
        <v>13</v>
      </c>
      <c r="B81" t="s">
        <v>636</v>
      </c>
      <c r="C81" t="s">
        <v>637</v>
      </c>
      <c r="D81" t="s">
        <v>190</v>
      </c>
      <c r="E81" t="s">
        <v>568</v>
      </c>
      <c r="F81" t="s">
        <v>548</v>
      </c>
      <c r="G81" t="s">
        <v>549</v>
      </c>
      <c r="H81" t="s">
        <v>550</v>
      </c>
      <c r="I81" t="s">
        <v>492</v>
      </c>
      <c r="J81" t="s">
        <v>173</v>
      </c>
      <c r="K81" s="30">
        <v>43052</v>
      </c>
      <c r="L81" s="8">
        <v>43052.247731481482</v>
      </c>
      <c r="M81" s="21">
        <f>LEN(ProjTextTable[[#This Row],[text]])</f>
        <v>4885</v>
      </c>
      <c r="N81" s="21">
        <f>LEN(TRIM(CLEAN(SUBSTITUTE(ProjTextTable[[#This Row],[text]],CHAR(10)," "))))+1 - LEN(SUBSTITUTE(CLEAN(SUBSTITUTE(ProjTextTable[[#This Row],[text]],CHAR(10)," "))," ",""))</f>
        <v>758</v>
      </c>
      <c r="O81" t="s">
        <v>193</v>
      </c>
      <c r="P81" t="s">
        <v>643</v>
      </c>
    </row>
    <row r="82" spans="1:16" x14ac:dyDescent="0.25">
      <c r="A82">
        <f t="shared" si="2"/>
        <v>13</v>
      </c>
      <c r="B82" t="s">
        <v>636</v>
      </c>
      <c r="C82" t="s">
        <v>637</v>
      </c>
      <c r="D82" t="s">
        <v>192</v>
      </c>
      <c r="E82" t="s">
        <v>568</v>
      </c>
      <c r="F82" t="s">
        <v>13</v>
      </c>
      <c r="G82" t="s">
        <v>13</v>
      </c>
      <c r="H82" t="s">
        <v>13</v>
      </c>
      <c r="K82" s="30"/>
      <c r="L82" s="8">
        <v>43000.042546296296</v>
      </c>
      <c r="M82" s="21">
        <f>LEN(ProjTextTable[[#This Row],[text]])</f>
        <v>4049</v>
      </c>
      <c r="N82" s="21">
        <f>LEN(TRIM(CLEAN(SUBSTITUTE(ProjTextTable[[#This Row],[text]],CHAR(10)," "))))+1 - LEN(SUBSTITUTE(CLEAN(SUBSTITUTE(ProjTextTable[[#This Row],[text]],CHAR(10)," "))," ",""))</f>
        <v>556</v>
      </c>
      <c r="O82" t="s">
        <v>13</v>
      </c>
      <c r="P82" t="s">
        <v>644</v>
      </c>
    </row>
    <row r="83" spans="1:16" x14ac:dyDescent="0.25">
      <c r="A83">
        <f t="shared" si="2"/>
        <v>13</v>
      </c>
      <c r="B83" t="s">
        <v>636</v>
      </c>
      <c r="C83" t="s">
        <v>637</v>
      </c>
      <c r="D83" t="s">
        <v>504</v>
      </c>
      <c r="E83" t="s">
        <v>568</v>
      </c>
      <c r="F83" t="s">
        <v>636</v>
      </c>
      <c r="G83" t="s">
        <v>553</v>
      </c>
      <c r="H83" t="s">
        <v>554</v>
      </c>
      <c r="K83" s="30"/>
      <c r="L83" s="8">
        <v>43028.514606481483</v>
      </c>
      <c r="M83" s="21">
        <f>LEN(ProjTextTable[[#This Row],[text]])</f>
        <v>15</v>
      </c>
      <c r="N83" s="21">
        <f>LEN(TRIM(CLEAN(SUBSTITUTE(ProjTextTable[[#This Row],[text]],CHAR(10)," "))))+1 - LEN(SUBSTITUTE(CLEAN(SUBSTITUTE(ProjTextTable[[#This Row],[text]],CHAR(10)," "))," ",""))</f>
        <v>2</v>
      </c>
      <c r="O83" t="s">
        <v>13</v>
      </c>
      <c r="P83" t="s">
        <v>554</v>
      </c>
    </row>
    <row r="84" spans="1:16" x14ac:dyDescent="0.25">
      <c r="A84">
        <f t="shared" si="2"/>
        <v>14</v>
      </c>
      <c r="B84" t="s">
        <v>645</v>
      </c>
      <c r="C84" t="s">
        <v>646</v>
      </c>
      <c r="D84" t="s">
        <v>491</v>
      </c>
      <c r="E84" t="s">
        <v>568</v>
      </c>
      <c r="F84" t="s">
        <v>525</v>
      </c>
      <c r="G84" t="s">
        <v>537</v>
      </c>
      <c r="H84" t="s">
        <v>538</v>
      </c>
      <c r="I84" t="s">
        <v>494</v>
      </c>
      <c r="K84" s="30">
        <v>43052</v>
      </c>
      <c r="L84" s="8">
        <v>43052.612222222226</v>
      </c>
      <c r="M84" s="21">
        <f>LEN(ProjTextTable[[#This Row],[text]])</f>
        <v>3113</v>
      </c>
      <c r="N84" s="21">
        <f>LEN(TRIM(CLEAN(SUBSTITUTE(ProjTextTable[[#This Row],[text]],CHAR(10)," "))))+1 - LEN(SUBSTITUTE(CLEAN(SUBSTITUTE(ProjTextTable[[#This Row],[text]],CHAR(10)," "))," ",""))</f>
        <v>484</v>
      </c>
      <c r="O84" t="s">
        <v>539</v>
      </c>
      <c r="P84" t="s">
        <v>647</v>
      </c>
    </row>
    <row r="85" spans="1:16" x14ac:dyDescent="0.25">
      <c r="A85">
        <f t="shared" si="2"/>
        <v>14</v>
      </c>
      <c r="B85" t="s">
        <v>645</v>
      </c>
      <c r="C85" t="s">
        <v>646</v>
      </c>
      <c r="D85" t="s">
        <v>190</v>
      </c>
      <c r="E85" t="s">
        <v>568</v>
      </c>
      <c r="F85" t="s">
        <v>540</v>
      </c>
      <c r="G85" t="s">
        <v>541</v>
      </c>
      <c r="H85" t="s">
        <v>542</v>
      </c>
      <c r="I85" t="s">
        <v>492</v>
      </c>
      <c r="J85" t="s">
        <v>173</v>
      </c>
      <c r="K85" s="30">
        <v>43052</v>
      </c>
      <c r="L85" s="8">
        <v>43051.024942129632</v>
      </c>
      <c r="M85" s="21">
        <f>LEN(ProjTextTable[[#This Row],[text]])</f>
        <v>4280</v>
      </c>
      <c r="N85" s="21">
        <f>LEN(TRIM(CLEAN(SUBSTITUTE(ProjTextTable[[#This Row],[text]],CHAR(10)," "))))+1 - LEN(SUBSTITUTE(CLEAN(SUBSTITUTE(ProjTextTable[[#This Row],[text]],CHAR(10)," "))," ",""))</f>
        <v>610</v>
      </c>
      <c r="O85" t="s">
        <v>196</v>
      </c>
      <c r="P85" t="s">
        <v>648</v>
      </c>
    </row>
    <row r="86" spans="1:16" x14ac:dyDescent="0.25">
      <c r="A86">
        <f t="shared" si="2"/>
        <v>14</v>
      </c>
      <c r="B86" t="s">
        <v>645</v>
      </c>
      <c r="C86" t="s">
        <v>646</v>
      </c>
      <c r="D86" t="s">
        <v>190</v>
      </c>
      <c r="E86" t="s">
        <v>568</v>
      </c>
      <c r="F86" t="s">
        <v>557</v>
      </c>
      <c r="G86" t="s">
        <v>558</v>
      </c>
      <c r="H86" t="s">
        <v>559</v>
      </c>
      <c r="I86" t="s">
        <v>492</v>
      </c>
      <c r="J86" t="s">
        <v>173</v>
      </c>
      <c r="K86" s="30">
        <v>43052</v>
      </c>
      <c r="L86" s="8">
        <v>43042.571550925924</v>
      </c>
      <c r="M86" s="21">
        <f>LEN(ProjTextTable[[#This Row],[text]])</f>
        <v>6669</v>
      </c>
      <c r="N86" s="21">
        <f>LEN(TRIM(CLEAN(SUBSTITUTE(ProjTextTable[[#This Row],[text]],CHAR(10)," "))))+1 - LEN(SUBSTITUTE(CLEAN(SUBSTITUTE(ProjTextTable[[#This Row],[text]],CHAR(10)," "))," ",""))</f>
        <v>1017</v>
      </c>
      <c r="O86" t="s">
        <v>194</v>
      </c>
      <c r="P86" t="s">
        <v>649</v>
      </c>
    </row>
    <row r="87" spans="1:16" x14ac:dyDescent="0.25">
      <c r="A87">
        <f t="shared" si="2"/>
        <v>14</v>
      </c>
      <c r="B87" t="s">
        <v>645</v>
      </c>
      <c r="C87" t="s">
        <v>646</v>
      </c>
      <c r="D87" t="s">
        <v>190</v>
      </c>
      <c r="E87" t="s">
        <v>568</v>
      </c>
      <c r="F87" t="s">
        <v>577</v>
      </c>
      <c r="G87" t="s">
        <v>578</v>
      </c>
      <c r="H87" t="s">
        <v>579</v>
      </c>
      <c r="I87" t="s">
        <v>492</v>
      </c>
      <c r="J87" t="s">
        <v>173</v>
      </c>
      <c r="K87" s="30">
        <v>43052</v>
      </c>
      <c r="L87" s="8">
        <v>43047.388321759259</v>
      </c>
      <c r="M87" s="21">
        <f>LEN(ProjTextTable[[#This Row],[text]])</f>
        <v>3846</v>
      </c>
      <c r="N87" s="21">
        <f>LEN(TRIM(CLEAN(SUBSTITUTE(ProjTextTable[[#This Row],[text]],CHAR(10)," "))))+1 - LEN(SUBSTITUTE(CLEAN(SUBSTITUTE(ProjTextTable[[#This Row],[text]],CHAR(10)," "))," ",""))</f>
        <v>547</v>
      </c>
      <c r="O87" t="s">
        <v>193</v>
      </c>
      <c r="P87" t="s">
        <v>650</v>
      </c>
    </row>
    <row r="88" spans="1:16" x14ac:dyDescent="0.25">
      <c r="A88">
        <f t="shared" si="2"/>
        <v>14</v>
      </c>
      <c r="B88" t="s">
        <v>645</v>
      </c>
      <c r="C88" t="s">
        <v>646</v>
      </c>
      <c r="D88" t="s">
        <v>190</v>
      </c>
      <c r="E88" t="s">
        <v>568</v>
      </c>
      <c r="F88" t="s">
        <v>561</v>
      </c>
      <c r="G88" t="s">
        <v>562</v>
      </c>
      <c r="H88" t="s">
        <v>563</v>
      </c>
      <c r="I88" t="s">
        <v>492</v>
      </c>
      <c r="J88" t="s">
        <v>173</v>
      </c>
      <c r="K88" s="30">
        <v>43052</v>
      </c>
      <c r="L88" s="8">
        <v>43051.799293981479</v>
      </c>
      <c r="M88" s="21">
        <f>LEN(ProjTextTable[[#This Row],[text]])</f>
        <v>2960</v>
      </c>
      <c r="N88" s="21">
        <f>LEN(TRIM(CLEAN(SUBSTITUTE(ProjTextTable[[#This Row],[text]],CHAR(10)," "))))+1 - LEN(SUBSTITUTE(CLEAN(SUBSTITUTE(ProjTextTable[[#This Row],[text]],CHAR(10)," "))," ",""))</f>
        <v>442</v>
      </c>
      <c r="O88" t="s">
        <v>194</v>
      </c>
      <c r="P88" t="s">
        <v>651</v>
      </c>
    </row>
    <row r="89" spans="1:16" x14ac:dyDescent="0.25">
      <c r="A89">
        <f t="shared" si="2"/>
        <v>14</v>
      </c>
      <c r="B89" t="s">
        <v>645</v>
      </c>
      <c r="C89" t="s">
        <v>646</v>
      </c>
      <c r="D89" t="s">
        <v>192</v>
      </c>
      <c r="E89" t="s">
        <v>568</v>
      </c>
      <c r="F89" t="s">
        <v>13</v>
      </c>
      <c r="G89" t="s">
        <v>13</v>
      </c>
      <c r="H89" t="s">
        <v>13</v>
      </c>
      <c r="K89" s="30"/>
      <c r="L89" s="8">
        <v>43001.078761574077</v>
      </c>
      <c r="M89" s="21">
        <f>LEN(ProjTextTable[[#This Row],[text]])</f>
        <v>4490</v>
      </c>
      <c r="N89" s="21">
        <f>LEN(TRIM(CLEAN(SUBSTITUTE(ProjTextTable[[#This Row],[text]],CHAR(10)," "))))+1 - LEN(SUBSTITUTE(CLEAN(SUBSTITUTE(ProjTextTable[[#This Row],[text]],CHAR(10)," "))," ",""))</f>
        <v>627</v>
      </c>
      <c r="O89" t="s">
        <v>13</v>
      </c>
      <c r="P89" t="s">
        <v>652</v>
      </c>
    </row>
    <row r="90" spans="1:16" x14ac:dyDescent="0.25">
      <c r="A90">
        <f t="shared" si="2"/>
        <v>14</v>
      </c>
      <c r="B90" t="s">
        <v>645</v>
      </c>
      <c r="C90" t="s">
        <v>646</v>
      </c>
      <c r="D90" t="s">
        <v>504</v>
      </c>
      <c r="E90" t="s">
        <v>568</v>
      </c>
      <c r="F90" t="s">
        <v>645</v>
      </c>
      <c r="G90" t="s">
        <v>553</v>
      </c>
      <c r="H90" t="s">
        <v>554</v>
      </c>
      <c r="K90" s="30"/>
      <c r="L90" s="8">
        <v>43028.522916666669</v>
      </c>
      <c r="M90" s="21">
        <f>LEN(ProjTextTable[[#This Row],[text]])</f>
        <v>15</v>
      </c>
      <c r="N90" s="21">
        <f>LEN(TRIM(CLEAN(SUBSTITUTE(ProjTextTable[[#This Row],[text]],CHAR(10)," "))))+1 - LEN(SUBSTITUTE(CLEAN(SUBSTITUTE(ProjTextTable[[#This Row],[text]],CHAR(10)," "))," ",""))</f>
        <v>2</v>
      </c>
      <c r="O90" t="s">
        <v>13</v>
      </c>
      <c r="P90" t="s">
        <v>554</v>
      </c>
    </row>
    <row r="91" spans="1:16" x14ac:dyDescent="0.25">
      <c r="A91">
        <f t="shared" si="2"/>
        <v>15</v>
      </c>
      <c r="B91" t="s">
        <v>653</v>
      </c>
      <c r="C91" t="s">
        <v>654</v>
      </c>
      <c r="D91" t="s">
        <v>491</v>
      </c>
      <c r="E91" t="s">
        <v>568</v>
      </c>
      <c r="F91" t="s">
        <v>536</v>
      </c>
      <c r="G91" t="s">
        <v>537</v>
      </c>
      <c r="H91" t="s">
        <v>538</v>
      </c>
      <c r="I91" t="s">
        <v>494</v>
      </c>
      <c r="K91" s="30">
        <v>43052</v>
      </c>
      <c r="L91" s="8">
        <v>43052.579988425925</v>
      </c>
      <c r="M91" s="21">
        <f>LEN(ProjTextTable[[#This Row],[text]])</f>
        <v>1</v>
      </c>
      <c r="N91" s="21">
        <f>LEN(TRIM(CLEAN(SUBSTITUTE(ProjTextTable[[#This Row],[text]],CHAR(10)," "))))+1 - LEN(SUBSTITUTE(CLEAN(SUBSTITUTE(ProjTextTable[[#This Row],[text]],CHAR(10)," "))," ",""))</f>
        <v>1</v>
      </c>
      <c r="O91" t="s">
        <v>539</v>
      </c>
      <c r="P91" t="s">
        <v>13</v>
      </c>
    </row>
    <row r="92" spans="1:16" x14ac:dyDescent="0.25">
      <c r="A92">
        <f t="shared" si="2"/>
        <v>15</v>
      </c>
      <c r="B92" t="s">
        <v>653</v>
      </c>
      <c r="C92" t="s">
        <v>654</v>
      </c>
      <c r="D92" t="s">
        <v>190</v>
      </c>
      <c r="E92" t="s">
        <v>568</v>
      </c>
      <c r="F92" t="s">
        <v>569</v>
      </c>
      <c r="G92" t="s">
        <v>570</v>
      </c>
      <c r="H92" t="s">
        <v>571</v>
      </c>
      <c r="I92" t="s">
        <v>492</v>
      </c>
      <c r="J92" t="s">
        <v>173</v>
      </c>
      <c r="K92" s="30">
        <v>43052</v>
      </c>
      <c r="L92" s="8">
        <v>43046.669039351851</v>
      </c>
      <c r="M92" s="21">
        <f>LEN(ProjTextTable[[#This Row],[text]])</f>
        <v>2067</v>
      </c>
      <c r="N92" s="21">
        <f>LEN(TRIM(CLEAN(SUBSTITUTE(ProjTextTable[[#This Row],[text]],CHAR(10)," "))))+1 - LEN(SUBSTITUTE(CLEAN(SUBSTITUTE(ProjTextTable[[#This Row],[text]],CHAR(10)," "))," ",""))</f>
        <v>306</v>
      </c>
      <c r="O92" t="s">
        <v>194</v>
      </c>
      <c r="P92" t="s">
        <v>655</v>
      </c>
    </row>
    <row r="93" spans="1:16" x14ac:dyDescent="0.25">
      <c r="A93">
        <f t="shared" si="2"/>
        <v>15</v>
      </c>
      <c r="B93" t="s">
        <v>653</v>
      </c>
      <c r="C93" t="s">
        <v>654</v>
      </c>
      <c r="D93" t="s">
        <v>190</v>
      </c>
      <c r="E93" t="s">
        <v>568</v>
      </c>
      <c r="F93" t="s">
        <v>540</v>
      </c>
      <c r="G93" t="s">
        <v>541</v>
      </c>
      <c r="H93" t="s">
        <v>542</v>
      </c>
      <c r="I93" t="s">
        <v>492</v>
      </c>
      <c r="J93" t="s">
        <v>173</v>
      </c>
      <c r="K93" s="30">
        <v>43052</v>
      </c>
      <c r="L93" s="8">
        <v>43051.018425925926</v>
      </c>
      <c r="M93" s="21">
        <f>LEN(ProjTextTable[[#This Row],[text]])</f>
        <v>4910</v>
      </c>
      <c r="N93" s="21">
        <f>LEN(TRIM(CLEAN(SUBSTITUTE(ProjTextTable[[#This Row],[text]],CHAR(10)," "))))+1 - LEN(SUBSTITUTE(CLEAN(SUBSTITUTE(ProjTextTable[[#This Row],[text]],CHAR(10)," "))," ",""))</f>
        <v>719</v>
      </c>
      <c r="O93" t="s">
        <v>507</v>
      </c>
      <c r="P93" t="s">
        <v>656</v>
      </c>
    </row>
    <row r="94" spans="1:16" x14ac:dyDescent="0.25">
      <c r="A94">
        <f t="shared" si="2"/>
        <v>15</v>
      </c>
      <c r="B94" t="s">
        <v>653</v>
      </c>
      <c r="C94" t="s">
        <v>654</v>
      </c>
      <c r="D94" t="s">
        <v>190</v>
      </c>
      <c r="E94" t="s">
        <v>568</v>
      </c>
      <c r="F94" t="s">
        <v>557</v>
      </c>
      <c r="G94" t="s">
        <v>558</v>
      </c>
      <c r="H94" t="s">
        <v>559</v>
      </c>
      <c r="I94" t="s">
        <v>492</v>
      </c>
      <c r="J94" t="s">
        <v>173</v>
      </c>
      <c r="K94" s="30">
        <v>43052</v>
      </c>
      <c r="L94" s="8">
        <v>43033.768969907411</v>
      </c>
      <c r="M94" s="21">
        <f>LEN(ProjTextTable[[#This Row],[text]])</f>
        <v>9034</v>
      </c>
      <c r="N94" s="21">
        <f>LEN(TRIM(CLEAN(SUBSTITUTE(ProjTextTable[[#This Row],[text]],CHAR(10)," "))))+1 - LEN(SUBSTITUTE(CLEAN(SUBSTITUTE(ProjTextTable[[#This Row],[text]],CHAR(10)," "))," ",""))</f>
        <v>1399</v>
      </c>
      <c r="O94" t="s">
        <v>196</v>
      </c>
      <c r="P94" t="s">
        <v>657</v>
      </c>
    </row>
    <row r="95" spans="1:16" x14ac:dyDescent="0.25">
      <c r="A95">
        <f t="shared" si="2"/>
        <v>15</v>
      </c>
      <c r="B95" t="s">
        <v>653</v>
      </c>
      <c r="C95" t="s">
        <v>654</v>
      </c>
      <c r="D95" t="s">
        <v>190</v>
      </c>
      <c r="E95" t="s">
        <v>568</v>
      </c>
      <c r="F95" t="s">
        <v>561</v>
      </c>
      <c r="G95" t="s">
        <v>562</v>
      </c>
      <c r="H95" t="s">
        <v>563</v>
      </c>
      <c r="I95" t="s">
        <v>492</v>
      </c>
      <c r="J95" t="s">
        <v>173</v>
      </c>
      <c r="K95" s="30">
        <v>43052</v>
      </c>
      <c r="L95" s="8">
        <v>43051.804745370369</v>
      </c>
      <c r="M95" s="21">
        <f>LEN(ProjTextTable[[#This Row],[text]])</f>
        <v>2950</v>
      </c>
      <c r="N95" s="21">
        <f>LEN(TRIM(CLEAN(SUBSTITUTE(ProjTextTable[[#This Row],[text]],CHAR(10)," "))))+1 - LEN(SUBSTITUTE(CLEAN(SUBSTITUTE(ProjTextTable[[#This Row],[text]],CHAR(10)," "))," ",""))</f>
        <v>429</v>
      </c>
      <c r="O95" t="s">
        <v>195</v>
      </c>
      <c r="P95" t="s">
        <v>658</v>
      </c>
    </row>
    <row r="96" spans="1:16" x14ac:dyDescent="0.25">
      <c r="A96">
        <f t="shared" si="2"/>
        <v>15</v>
      </c>
      <c r="B96" t="s">
        <v>653</v>
      </c>
      <c r="C96" t="s">
        <v>654</v>
      </c>
      <c r="D96" t="s">
        <v>192</v>
      </c>
      <c r="E96" t="s">
        <v>568</v>
      </c>
      <c r="F96" t="s">
        <v>13</v>
      </c>
      <c r="G96" t="s">
        <v>13</v>
      </c>
      <c r="H96" t="s">
        <v>13</v>
      </c>
      <c r="K96" s="30"/>
      <c r="L96" s="8">
        <v>43001.079039351855</v>
      </c>
      <c r="M96" s="21">
        <f>LEN(ProjTextTable[[#This Row],[text]])</f>
        <v>4280</v>
      </c>
      <c r="N96" s="21">
        <f>LEN(TRIM(CLEAN(SUBSTITUTE(ProjTextTable[[#This Row],[text]],CHAR(10)," "))))+1 - LEN(SUBSTITUTE(CLEAN(SUBSTITUTE(ProjTextTable[[#This Row],[text]],CHAR(10)," "))," ",""))</f>
        <v>582</v>
      </c>
      <c r="O96" t="s">
        <v>13</v>
      </c>
      <c r="P96" t="s">
        <v>659</v>
      </c>
    </row>
    <row r="97" spans="1:16" x14ac:dyDescent="0.25">
      <c r="A97">
        <f t="shared" si="2"/>
        <v>15</v>
      </c>
      <c r="B97" t="s">
        <v>653</v>
      </c>
      <c r="C97" t="s">
        <v>654</v>
      </c>
      <c r="D97" t="s">
        <v>504</v>
      </c>
      <c r="E97" t="s">
        <v>568</v>
      </c>
      <c r="F97" t="s">
        <v>653</v>
      </c>
      <c r="G97" t="s">
        <v>553</v>
      </c>
      <c r="H97" t="s">
        <v>554</v>
      </c>
      <c r="K97" s="30"/>
      <c r="L97" s="8">
        <v>43028.526076388887</v>
      </c>
      <c r="M97" s="21">
        <f>LEN(ProjTextTable[[#This Row],[text]])</f>
        <v>15</v>
      </c>
      <c r="N97" s="21">
        <f>LEN(TRIM(CLEAN(SUBSTITUTE(ProjTextTable[[#This Row],[text]],CHAR(10)," "))))+1 - LEN(SUBSTITUTE(CLEAN(SUBSTITUTE(ProjTextTable[[#This Row],[text]],CHAR(10)," "))," ",""))</f>
        <v>2</v>
      </c>
      <c r="O97" t="s">
        <v>13</v>
      </c>
      <c r="P97" t="s">
        <v>554</v>
      </c>
    </row>
    <row r="98" spans="1:16" x14ac:dyDescent="0.25">
      <c r="B98" t="s">
        <v>197</v>
      </c>
      <c r="K98" s="30"/>
      <c r="M98"/>
      <c r="N98"/>
      <c r="P98">
        <f>SUBTOTAL(103,ProjTextTable[text])</f>
        <v>96</v>
      </c>
    </row>
  </sheetData>
  <conditionalFormatting sqref="A2:P97">
    <cfRule type="expression" dxfId="5"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8"/>
  <sheetViews>
    <sheetView zoomScale="80" zoomScaleNormal="80" workbookViewId="0">
      <selection activeCell="B6" sqref="B6"/>
    </sheetView>
  </sheetViews>
  <sheetFormatPr defaultColWidth="9.28515625" defaultRowHeight="15" x14ac:dyDescent="0.25"/>
  <cols>
    <col min="1" max="1" width="16.7109375" style="64" customWidth="1"/>
    <col min="2" max="2" width="16.5703125" style="64" customWidth="1"/>
    <col min="3" max="3" width="98.5703125" style="83" customWidth="1"/>
    <col min="4" max="4" width="23.42578125" style="62" customWidth="1"/>
    <col min="5" max="5" width="12" style="62" customWidth="1"/>
    <col min="6" max="16384" width="9.28515625" style="62"/>
  </cols>
  <sheetData>
    <row r="1" spans="1:5" x14ac:dyDescent="0.25">
      <c r="A1" s="64" t="s">
        <v>258</v>
      </c>
    </row>
    <row r="2" spans="1:5" x14ac:dyDescent="0.25">
      <c r="A2" s="65" t="s">
        <v>259</v>
      </c>
      <c r="B2" s="66" t="s">
        <v>260</v>
      </c>
    </row>
    <row r="3" spans="1:5" x14ac:dyDescent="0.25">
      <c r="A3" s="65" t="s">
        <v>261</v>
      </c>
      <c r="B3" s="67"/>
    </row>
    <row r="4" spans="1:5" x14ac:dyDescent="0.25">
      <c r="A4" s="64" t="s">
        <v>262</v>
      </c>
      <c r="B4" s="66" t="s">
        <v>263</v>
      </c>
    </row>
    <row r="5" spans="1:5" x14ac:dyDescent="0.25">
      <c r="A5" s="64" t="s">
        <v>264</v>
      </c>
      <c r="B5" s="66" t="s">
        <v>265</v>
      </c>
    </row>
    <row r="6" spans="1:5" x14ac:dyDescent="0.25">
      <c r="A6" s="64" t="s">
        <v>789</v>
      </c>
      <c r="B6" s="7" t="s">
        <v>790</v>
      </c>
      <c r="D6" s="62" t="s">
        <v>455</v>
      </c>
      <c r="E6" s="62">
        <v>2</v>
      </c>
    </row>
    <row r="7" spans="1:5" ht="15.75" x14ac:dyDescent="0.25">
      <c r="B7"/>
      <c r="D7" s="116" t="s">
        <v>460</v>
      </c>
      <c r="E7" s="114" t="s">
        <v>458</v>
      </c>
    </row>
    <row r="8" spans="1:5" ht="15.75" x14ac:dyDescent="0.25">
      <c r="A8" s="68" t="s">
        <v>245</v>
      </c>
      <c r="B8" s="69" t="s">
        <v>246</v>
      </c>
      <c r="D8" s="116" t="s">
        <v>461</v>
      </c>
      <c r="E8" s="115" t="s">
        <v>456</v>
      </c>
    </row>
    <row r="9" spans="1:5" ht="15.75" x14ac:dyDescent="0.25">
      <c r="A9" s="70" t="s">
        <v>250</v>
      </c>
      <c r="B9" s="71"/>
      <c r="D9" s="116" t="s">
        <v>462</v>
      </c>
      <c r="E9" s="115" t="s">
        <v>457</v>
      </c>
    </row>
    <row r="10" spans="1:5" ht="15.75" x14ac:dyDescent="0.25">
      <c r="A10" s="70" t="s">
        <v>235</v>
      </c>
      <c r="B10" s="71"/>
      <c r="D10" s="116" t="s">
        <v>463</v>
      </c>
      <c r="E10" s="115" t="s">
        <v>459</v>
      </c>
    </row>
    <row r="11" spans="1:5" ht="15.75" x14ac:dyDescent="0.25">
      <c r="A11" s="70" t="s">
        <v>249</v>
      </c>
      <c r="B11" s="71"/>
      <c r="D11" s="116" t="s">
        <v>464</v>
      </c>
      <c r="E11" s="115" t="s">
        <v>454</v>
      </c>
    </row>
    <row r="12" spans="1:5" x14ac:dyDescent="0.25">
      <c r="A12" s="70" t="s">
        <v>248</v>
      </c>
      <c r="B12" s="71"/>
    </row>
    <row r="13" spans="1:5" x14ac:dyDescent="0.25">
      <c r="A13" s="70" t="s">
        <v>247</v>
      </c>
      <c r="B13" s="71"/>
    </row>
    <row r="14" spans="1:5" x14ac:dyDescent="0.25">
      <c r="A14" s="70" t="s">
        <v>251</v>
      </c>
      <c r="B14" s="71"/>
    </row>
    <row r="15" spans="1:5" x14ac:dyDescent="0.25">
      <c r="A15" s="70" t="s">
        <v>252</v>
      </c>
      <c r="B15" s="71"/>
      <c r="D15" s="88" t="s">
        <v>397</v>
      </c>
      <c r="E15" t="s">
        <v>434</v>
      </c>
    </row>
    <row r="16" spans="1:5" x14ac:dyDescent="0.25">
      <c r="A16" s="70" t="s">
        <v>239</v>
      </c>
      <c r="B16" s="71"/>
      <c r="D16" s="25" t="s">
        <v>13</v>
      </c>
      <c r="E16" s="21">
        <v>11</v>
      </c>
    </row>
    <row r="17" spans="1:5" x14ac:dyDescent="0.25">
      <c r="A17" s="70" t="s">
        <v>242</v>
      </c>
      <c r="B17" s="71"/>
      <c r="D17" s="25" t="s">
        <v>171</v>
      </c>
      <c r="E17" s="21">
        <v>1</v>
      </c>
    </row>
    <row r="18" spans="1:5" x14ac:dyDescent="0.25">
      <c r="A18" s="72" t="s">
        <v>244</v>
      </c>
      <c r="B18" s="73"/>
      <c r="D18" s="25" t="s">
        <v>174</v>
      </c>
      <c r="E18" s="21">
        <v>2</v>
      </c>
    </row>
    <row r="19" spans="1:5" x14ac:dyDescent="0.25">
      <c r="D19" s="25" t="s">
        <v>441</v>
      </c>
      <c r="E19" s="21">
        <v>1</v>
      </c>
    </row>
    <row r="20" spans="1:5" x14ac:dyDescent="0.25">
      <c r="D20" s="25" t="s">
        <v>784</v>
      </c>
      <c r="E20" s="21">
        <v>1</v>
      </c>
    </row>
    <row r="21" spans="1:5" x14ac:dyDescent="0.25">
      <c r="D21" s="25" t="s">
        <v>395</v>
      </c>
      <c r="E21" s="21">
        <v>16</v>
      </c>
    </row>
    <row r="22" spans="1:5" ht="22.7" customHeight="1" x14ac:dyDescent="0.25">
      <c r="A22" s="74" t="s">
        <v>180</v>
      </c>
      <c r="B22" s="75" t="s">
        <v>266</v>
      </c>
      <c r="C22" s="84" t="s">
        <v>267</v>
      </c>
    </row>
    <row r="23" spans="1:5" ht="35.65" customHeight="1" x14ac:dyDescent="0.25">
      <c r="A23" s="64" t="s">
        <v>268</v>
      </c>
      <c r="B23" s="76">
        <v>43076.559108796297</v>
      </c>
      <c r="C23" s="85" t="s">
        <v>342</v>
      </c>
    </row>
    <row r="24" spans="1:5" ht="35.65" customHeight="1" x14ac:dyDescent="0.25">
      <c r="A24" s="64" t="s">
        <v>269</v>
      </c>
      <c r="B24" s="76">
        <v>43076.559108796297</v>
      </c>
      <c r="C24" s="85" t="s">
        <v>373</v>
      </c>
    </row>
    <row r="25" spans="1:5" ht="35.65" customHeight="1" x14ac:dyDescent="0.25">
      <c r="A25" s="64" t="s">
        <v>270</v>
      </c>
      <c r="B25" s="76">
        <v>43076.559108796297</v>
      </c>
      <c r="C25" s="85" t="s">
        <v>374</v>
      </c>
    </row>
    <row r="26" spans="1:5" ht="35.65" customHeight="1" x14ac:dyDescent="0.25">
      <c r="A26" s="64" t="s">
        <v>271</v>
      </c>
      <c r="B26" s="76">
        <v>43076.559108796297</v>
      </c>
      <c r="C26" s="85" t="s">
        <v>375</v>
      </c>
    </row>
    <row r="27" spans="1:5" ht="35.65" customHeight="1" x14ac:dyDescent="0.25">
      <c r="A27" s="64" t="s">
        <v>272</v>
      </c>
      <c r="B27" s="76">
        <v>43076.559108796297</v>
      </c>
      <c r="C27" s="85" t="s">
        <v>376</v>
      </c>
    </row>
    <row r="28" spans="1:5" ht="35.65" customHeight="1" x14ac:dyDescent="0.25">
      <c r="A28" s="64" t="s">
        <v>273</v>
      </c>
      <c r="B28" s="76">
        <v>43077.112500000003</v>
      </c>
      <c r="C28" s="85" t="s">
        <v>474</v>
      </c>
    </row>
    <row r="29" spans="1:5" ht="35.65" customHeight="1" x14ac:dyDescent="0.25">
      <c r="A29" s="64" t="s">
        <v>274</v>
      </c>
      <c r="B29" s="76">
        <v>43076.559108796297</v>
      </c>
      <c r="C29" s="85" t="s">
        <v>435</v>
      </c>
    </row>
    <row r="30" spans="1:5" ht="35.65" customHeight="1" x14ac:dyDescent="0.25">
      <c r="A30" s="64" t="s">
        <v>275</v>
      </c>
      <c r="B30" s="76">
        <v>43076.559108796297</v>
      </c>
      <c r="C30" s="85" t="s">
        <v>343</v>
      </c>
    </row>
    <row r="31" spans="1:5" ht="35.65" customHeight="1" x14ac:dyDescent="0.25">
      <c r="A31" s="64" t="s">
        <v>276</v>
      </c>
      <c r="B31" s="76">
        <v>43076.559108796297</v>
      </c>
      <c r="C31" s="85" t="s">
        <v>379</v>
      </c>
    </row>
    <row r="32" spans="1:5" ht="35.65" customHeight="1" x14ac:dyDescent="0.25">
      <c r="A32" s="64" t="s">
        <v>277</v>
      </c>
      <c r="B32" s="76">
        <v>43076.559108796297</v>
      </c>
      <c r="C32" s="85" t="s">
        <v>378</v>
      </c>
    </row>
    <row r="33" spans="1:3" ht="35.65" customHeight="1" x14ac:dyDescent="0.25">
      <c r="A33" s="64" t="s">
        <v>339</v>
      </c>
      <c r="B33" s="76">
        <v>43082.47148148148</v>
      </c>
      <c r="C33" s="85" t="s">
        <v>503</v>
      </c>
    </row>
    <row r="34" spans="1:3" ht="35.65" customHeight="1" x14ac:dyDescent="0.25">
      <c r="A34" s="64" t="s">
        <v>341</v>
      </c>
      <c r="B34" s="76">
        <v>43076.559108796297</v>
      </c>
      <c r="C34" s="85" t="s">
        <v>436</v>
      </c>
    </row>
    <row r="35" spans="1:3" ht="36" customHeight="1" x14ac:dyDescent="0.25">
      <c r="A35" s="64" t="s">
        <v>340</v>
      </c>
      <c r="B35" s="76">
        <v>43076.559108796297</v>
      </c>
      <c r="C35" s="85" t="s">
        <v>392</v>
      </c>
    </row>
    <row r="36" spans="1:3" ht="36" customHeight="1" x14ac:dyDescent="0.25">
      <c r="A36" s="64" t="s">
        <v>377</v>
      </c>
      <c r="B36" s="76">
        <v>43076.559108796297</v>
      </c>
      <c r="C36" s="85" t="s">
        <v>452</v>
      </c>
    </row>
    <row r="37" spans="1:3" ht="24.4" customHeight="1" x14ac:dyDescent="0.25">
      <c r="A37" s="64" t="s">
        <v>344</v>
      </c>
      <c r="B37" s="76">
        <v>43076.559108796297</v>
      </c>
      <c r="C37" s="85" t="s">
        <v>467</v>
      </c>
    </row>
    <row r="38" spans="1:3" ht="36.4" customHeight="1" x14ac:dyDescent="0.25">
      <c r="A38" s="64" t="s">
        <v>450</v>
      </c>
      <c r="B38" s="76">
        <v>43076.559108796297</v>
      </c>
      <c r="C38" s="85" t="s">
        <v>451</v>
      </c>
    </row>
  </sheetData>
  <hyperlinks>
    <hyperlink ref="B6" r:id="rId2"/>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2017-12-18T19:26:30Z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